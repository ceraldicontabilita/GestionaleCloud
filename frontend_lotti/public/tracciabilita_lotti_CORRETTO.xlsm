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707" firstSheet="0" activeTab="0" autoFilterDateGrouping="1"/>
  </bookViews>
  <sheets>
    <sheet name="Lotto" sheetId="1" state="visible" r:id="rId1"/>
    <sheet name="Ricette" sheetId="2" state="visible" r:id="rId2"/>
    <sheet name="ric" sheetId="3" state="visible" r:id="rId3"/>
    <sheet name="ricette1" sheetId="4" state="visible" r:id="rId4"/>
    <sheet name="Archivio_Lotto" sheetId="5" state="visible" r:id="rId5"/>
    <sheet name="Stampa_Lotto" sheetId="6" state="visible" r:id="rId6"/>
    <sheet name="etichetta" sheetId="7" state="visible" r:id="rId7"/>
    <sheet name="Magazzino" sheetId="8" state="visible" r:id="rId8"/>
    <sheet name="Foglio1" sheetId="9" state="visible" r:id="rId9"/>
  </sheets>
  <definedNames>
    <definedName name="Distina">Ricette!$A$2:$A$1709</definedName>
    <definedName name="Materie">Magazzino!$D:$D</definedName>
    <definedName name="Materie_Prime">Magazzino!#REF!</definedName>
    <definedName name="_xlnm._FilterDatabase" localSheetId="2" hidden="1">'ric'!$A$1:$R$1379</definedName>
    <definedName name="_xlnm.Print_Titles" localSheetId="4">'Archivio_Lotto'!$2:$2,'Archivio_Lotto'!$A:$P</definedName>
    <definedName name="_xlnm.Print_Area" localSheetId="4">'Archivio_Lotto'!$A$3:$U$155</definedName>
    <definedName name="_xlnm.Print_Area" localSheetId="5">'Stampa_Lotto'!$C$2:$D$20</definedName>
    <definedName name="_xlnm._FilterDatabase" localSheetId="7" hidden="1">'Magazzino'!$A$1:$F$691</definedName>
    <definedName name="_xlnm._FilterDatabase" localSheetId="8" hidden="1">'Foglio1'!$A$5:$D$638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dd/mm/yy;@"/>
    <numFmt numFmtId="165" formatCode="[$-F800]dddd\,\ mmmm\ dd\,\ yyyy"/>
    <numFmt numFmtId="166" formatCode="d/m/yy\ h:mm;@"/>
    <numFmt numFmtId="167" formatCode="[$-410]d\-mmm\-yy;@"/>
    <numFmt numFmtId="168" formatCode="dd/mm/yyyy"/>
    <numFmt numFmtId="169" formatCode="&quot;Reorder&quot;;&quot;&quot;;&quot;&quot;"/>
    <numFmt numFmtId="170" formatCode="&quot;$&quot;#,##0.00_);\(&quot;$&quot;#,##0.00\)"/>
    <numFmt numFmtId="171" formatCode="_-[$€]\ * #,##0.00_-;\-[$€]\ * #,##0.00_-;_-[$€]\ * &quot;-&quot;??_-;_-@_-"/>
    <numFmt numFmtId="172" formatCode="_-* #,##0.00_-;\-* #,##0.00_-;_-* \-??_-;_-@_-"/>
    <numFmt numFmtId="173" formatCode="_-&quot;€ &quot;* #,##0.00_-;&quot;-€ &quot;* #,##0.00_-;_-&quot;€ &quot;* \-??_-;_-@_-"/>
    <numFmt numFmtId="174" formatCode="_-* #,##0.00\ [$€-1]_-;\-* #,##0.00\ [$€-1]_-;_-* &quot;-&quot;??\ [$€-1]_-"/>
    <numFmt numFmtId="175" formatCode="DD/MM/YYYY"/>
  </numFmts>
  <fonts count="50">
    <font>
      <name val="Franklin Gothic Medium"/>
      <family val="2"/>
      <color theme="3" tint="0.1499374370555742"/>
      <sz val="11"/>
      <scheme val="minor"/>
    </font>
    <font>
      <name val="Franklin Gothic Medium"/>
      <family val="2"/>
      <color theme="1"/>
      <sz val="11"/>
      <scheme val="minor"/>
    </font>
    <font>
      <name val="Franklin Gothic Medium"/>
      <family val="2"/>
      <color theme="1"/>
      <sz val="11"/>
      <scheme val="minor"/>
    </font>
    <font>
      <name val="Franklin Gothic Medium"/>
      <family val="2"/>
      <color theme="1"/>
      <sz val="11"/>
      <scheme val="minor"/>
    </font>
    <font>
      <name val="Franklin Gothic Medium"/>
      <family val="2"/>
      <b val="1"/>
      <color theme="3" tint="0.1499679555650502"/>
      <sz val="26"/>
      <scheme val="major"/>
    </font>
    <font>
      <name val="Franklin Gothic Medium"/>
      <family val="2"/>
      <color theme="3"/>
      <sz val="11"/>
      <scheme val="major"/>
    </font>
    <font>
      <name val="Franklin Gothic Medium"/>
      <family val="2"/>
      <b val="1"/>
      <color theme="1"/>
      <sz val="11"/>
      <scheme val="minor"/>
    </font>
    <font>
      <name val="Franklin Gothic Medium"/>
      <family val="2"/>
      <color theme="3"/>
      <sz val="11"/>
      <scheme val="minor"/>
    </font>
    <font>
      <name val="Franklin Gothic Medium"/>
      <family val="2"/>
      <color theme="4" tint="-0.499984740745262"/>
      <sz val="16"/>
      <scheme val="major"/>
    </font>
    <font>
      <name val="Franklin Gothic Medium"/>
      <family val="2"/>
      <color theme="3" tint="0.1499374370555742"/>
      <sz val="11"/>
      <scheme val="minor"/>
    </font>
    <font>
      <name val="Franklin Gothic Medium"/>
      <family val="2"/>
      <color theme="0"/>
      <sz val="11"/>
      <scheme val="minor"/>
    </font>
    <font>
      <name val="Franklin Gothic Medium"/>
      <family val="2"/>
      <color theme="0"/>
      <sz val="11"/>
      <scheme val="major"/>
    </font>
    <font>
      <name val="Franklin Gothic Medium"/>
      <family val="2"/>
      <color theme="4" tint="-0.499984740745262"/>
      <sz val="11"/>
      <scheme val="minor"/>
    </font>
    <font>
      <name val="Franklin Gothic Medium"/>
      <family val="2"/>
      <color theme="3" tint="0.1499069185460982"/>
      <sz val="11"/>
      <scheme val="minor"/>
    </font>
    <font>
      <name val="Arial"/>
      <family val="2"/>
      <sz val="10"/>
    </font>
    <font>
      <name val="Arial"/>
      <family val="2"/>
      <color indexed="12"/>
      <sz val="10"/>
      <u val="single"/>
    </font>
    <font>
      <name val="Franklin Gothic Medium"/>
      <family val="2"/>
      <color theme="10"/>
      <sz val="11"/>
      <u val="single"/>
      <scheme val="minor"/>
    </font>
    <font>
      <name val="Arial"/>
      <family val="2"/>
      <color theme="10"/>
      <sz val="10"/>
      <u val="single"/>
    </font>
    <font>
      <name val="Franklin Gothic Medium"/>
      <family val="2"/>
      <sz val="8"/>
      <scheme val="minor"/>
    </font>
    <font>
      <name val="Franklin Gothic Medium"/>
      <family val="2"/>
      <color theme="1"/>
      <sz val="8"/>
      <scheme val="minor"/>
    </font>
    <font>
      <name val="Calibri"/>
      <family val="2"/>
      <color rgb="FF9C5700"/>
      <sz val="11"/>
    </font>
    <font>
      <name val="Verdana"/>
      <family val="2"/>
      <b val="1"/>
      <color theme="1"/>
      <sz val="300"/>
    </font>
    <font>
      <name val="Franklin Gothic Medium"/>
      <family val="2"/>
      <color rgb="FF262626"/>
      <sz val="11"/>
    </font>
    <font>
      <name val="Arial Nova"/>
      <family val="2"/>
      <color theme="3" tint="0.1499374370555742"/>
      <sz val="9"/>
    </font>
    <font>
      <name val="Arial Nova"/>
      <family val="2"/>
      <b val="1"/>
      <sz val="9"/>
    </font>
    <font>
      <name val="Arial Nova"/>
      <family val="2"/>
      <color theme="1"/>
      <sz val="9"/>
    </font>
    <font>
      <name val="Franklin Gothic Medium"/>
      <family val="2"/>
      <color rgb="FF262626"/>
      <sz val="22"/>
    </font>
    <font>
      <name val="Arial Nova"/>
      <family val="2"/>
      <b val="1"/>
      <color theme="0"/>
      <sz val="9"/>
    </font>
    <font>
      <name val="Cambria"/>
      <family val="1"/>
      <b val="1"/>
      <color theme="3" tint="0.1499679555650502"/>
      <sz val="12"/>
    </font>
    <font>
      <name val="Cambria"/>
      <family val="1"/>
      <color theme="3" tint="0.1499374370555742"/>
      <sz val="12"/>
    </font>
    <font>
      <name val="Cambria"/>
      <family val="1"/>
      <b val="1"/>
      <color theme="3" tint="0.1499374370555742"/>
      <sz val="12"/>
    </font>
    <font>
      <name val="Cambria"/>
      <family val="1"/>
      <b val="1"/>
      <color theme="1"/>
      <sz val="12"/>
    </font>
    <font>
      <name val="Cambria"/>
      <family val="1"/>
      <b val="1"/>
      <sz val="12"/>
    </font>
    <font>
      <name val="Cambria"/>
      <family val="1"/>
      <color theme="1"/>
      <sz val="12"/>
    </font>
    <font>
      <name val="Cambria"/>
      <family val="1"/>
      <sz val="12"/>
    </font>
    <font>
      <name val="Franklin Gothic Medium"/>
      <family val="2"/>
      <color rgb="FF262626"/>
      <sz val="16"/>
    </font>
    <font>
      <name val="Franklin Gothic Medium"/>
      <family val="2"/>
      <color theme="3" tint="0.1499374370555742"/>
      <sz val="10"/>
      <scheme val="minor"/>
    </font>
    <font>
      <name val="Franklin Gothic Medium"/>
      <family val="2"/>
      <color theme="3" tint="0.1499374370555742"/>
      <sz val="7"/>
      <scheme val="minor"/>
    </font>
    <font>
      <name val="Arial Nova"/>
      <family val="2"/>
      <color rgb="FFFF0000"/>
      <sz val="7"/>
    </font>
    <font>
      <name val="Arial Nova"/>
      <family val="2"/>
      <color theme="3" tint="0.1499374370555742"/>
      <sz val="7"/>
    </font>
    <font>
      <name val="Arial Nova"/>
      <family val="2"/>
      <sz val="7"/>
    </font>
    <font>
      <name val="Franklin Gothic Medium"/>
      <family val="2"/>
      <color theme="1"/>
      <sz val="8"/>
      <scheme val="major"/>
    </font>
    <font>
      <name val="Franklin Gothic Medium"/>
      <family val="2"/>
      <color theme="3" tint="0.1499374370555742"/>
      <sz val="8"/>
      <scheme val="major"/>
    </font>
    <font>
      <name val="Franklin Gothic Medium"/>
      <family val="2"/>
      <color theme="3" tint="0.1499374370555742"/>
      <sz val="8"/>
      <scheme val="minor"/>
    </font>
    <font>
      <name val="Arial"/>
      <family val="2"/>
      <b val="1"/>
      <color theme="1"/>
      <sz val="12"/>
    </font>
    <font>
      <name val="Arial Nova"/>
      <family val="2"/>
      <b val="1"/>
      <color theme="1"/>
      <sz val="12"/>
    </font>
    <font>
      <name val="Arial Nova"/>
      <family val="2"/>
      <color theme="1"/>
      <sz val="12"/>
    </font>
    <font>
      <name val="Tahoma"/>
      <family val="2"/>
      <color theme="1"/>
      <sz val="10"/>
    </font>
    <font>
      <name val="Tahoma"/>
      <family val="2"/>
      <b val="1"/>
      <color theme="1"/>
      <sz val="10"/>
    </font>
    <font>
      <b val="1"/>
      <color rgb="00FFFFFF"/>
      <sz val="11"/>
    </font>
  </fonts>
  <fills count="1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"/>
        <bgColor theme="4" tint="0.7999816888943144"/>
      </patternFill>
    </fill>
    <fill>
      <patternFill patternType="solid">
        <fgColor theme="6" tint="0.3999755851924192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004472C4"/>
        <bgColor rgb="004472C4"/>
      </patternFill>
    </fill>
  </fills>
  <borders count="42">
    <border>
      <left/>
      <right/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double">
        <color theme="4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"/>
      </top>
      <bottom style="thin">
        <color theme="4" tint="0.3999755851924192"/>
      </bottom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"/>
      </top>
      <bottom/>
      <diagonal/>
    </border>
    <border>
      <left/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 style="thin">
        <color theme="4" tint="0.3999755851924192"/>
      </top>
      <bottom/>
      <diagonal/>
    </border>
    <border>
      <left style="thin">
        <color theme="4" tint="0.3999755851924192"/>
      </left>
      <right/>
      <top style="thin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/>
      <right style="thin"/>
      <top style="thin"/>
      <bottom style="thin"/>
    </border>
  </borders>
  <cellStyleXfs count="30">
    <xf numFmtId="0" fontId="9" fillId="0" borderId="0" applyAlignment="1">
      <alignment vertical="center"/>
    </xf>
    <xf numFmtId="0" fontId="4" fillId="0" borderId="1"/>
    <xf numFmtId="0" fontId="11" fillId="2" borderId="0" applyAlignment="1">
      <alignment horizontal="left" vertical="center" indent="1"/>
    </xf>
    <xf numFmtId="0" fontId="5" fillId="0" borderId="0"/>
    <xf numFmtId="0" fontId="7" fillId="0" borderId="1"/>
    <xf numFmtId="0" fontId="7" fillId="0" borderId="0"/>
    <xf numFmtId="0" fontId="6" fillId="0" borderId="2"/>
    <xf numFmtId="169" fontId="13" fillId="0" borderId="0" applyAlignment="1">
      <alignment horizontal="center" vertical="center"/>
    </xf>
    <xf numFmtId="0" fontId="10" fillId="2" borderId="0" applyAlignment="1">
      <alignment horizontal="right" indent="1"/>
    </xf>
    <xf numFmtId="0" fontId="12" fillId="0" borderId="0" applyAlignment="1">
      <alignment horizontal="center"/>
    </xf>
    <xf numFmtId="0" fontId="12" fillId="0" borderId="0" applyAlignment="1">
      <alignment horizontal="center"/>
    </xf>
    <xf numFmtId="0" fontId="8" fillId="0" borderId="0" applyAlignment="1">
      <alignment horizontal="left" vertical="top"/>
    </xf>
    <xf numFmtId="0" fontId="9" fillId="0" borderId="0" applyAlignment="1">
      <alignment horizontal="left" vertical="center" wrapText="1" indent="1"/>
    </xf>
    <xf numFmtId="1" fontId="9" fillId="0" borderId="0" applyAlignment="1">
      <alignment horizontal="center" vertical="center"/>
    </xf>
    <xf numFmtId="170" fontId="9" fillId="0" borderId="0" applyAlignment="1">
      <alignment horizontal="right" vertical="center"/>
    </xf>
    <xf numFmtId="0" fontId="3" fillId="0" borderId="0"/>
    <xf numFmtId="0" fontId="9" fillId="0" borderId="0" applyAlignment="1">
      <alignment vertical="center"/>
    </xf>
    <xf numFmtId="0" fontId="14" fillId="0" borderId="0"/>
    <xf numFmtId="0" fontId="3" fillId="0" borderId="0"/>
    <xf numFmtId="171" fontId="14" fillId="0" borderId="0"/>
    <xf numFmtId="9" fontId="14" fillId="0" borderId="0"/>
    <xf numFmtId="0" fontId="15" fillId="0" borderId="0" applyAlignment="1" applyProtection="1">
      <alignment vertical="top"/>
      <protection locked="0" hidden="0"/>
    </xf>
    <xf numFmtId="0" fontId="16" fillId="0" borderId="0"/>
    <xf numFmtId="0" fontId="14" fillId="0" borderId="0"/>
    <xf numFmtId="172" fontId="14" fillId="0" borderId="0"/>
    <xf numFmtId="173" fontId="14" fillId="0" borderId="0"/>
    <xf numFmtId="173" fontId="14" fillId="0" borderId="0"/>
    <xf numFmtId="174" fontId="14" fillId="0" borderId="0"/>
    <xf numFmtId="0" fontId="17" fillId="0" borderId="0" applyAlignment="1" applyProtection="1">
      <alignment vertical="top"/>
      <protection locked="0" hidden="0"/>
    </xf>
    <xf numFmtId="0" fontId="20" fillId="4" borderId="0"/>
  </cellStyleXfs>
  <cellXfs count="197">
    <xf numFmtId="0" fontId="0" fillId="0" borderId="0" applyAlignment="1" pivotButton="0" quotePrefix="0" xfId="0">
      <alignment vertical="center"/>
    </xf>
    <xf numFmtId="0" fontId="2" fillId="3" borderId="0" pivotButton="0" quotePrefix="0" xfId="18"/>
    <xf numFmtId="0" fontId="19" fillId="3" borderId="0" pivotButton="0" quotePrefix="0" xfId="18"/>
    <xf numFmtId="0" fontId="1" fillId="3" borderId="0" pivotButton="0" quotePrefix="0" xfId="18"/>
    <xf numFmtId="0" fontId="23" fillId="0" borderId="0" applyAlignment="1" pivotButton="0" quotePrefix="0" xfId="0">
      <alignment horizontal="center" vertical="center" wrapText="1"/>
    </xf>
    <xf numFmtId="49" fontId="23" fillId="0" borderId="0" applyAlignment="1" pivotButton="0" quotePrefix="0" xfId="0">
      <alignment horizontal="center" vertical="center" wrapText="1"/>
    </xf>
    <xf numFmtId="49" fontId="24" fillId="6" borderId="26" applyAlignment="1" pivotButton="0" quotePrefix="0" xfId="0">
      <alignment horizontal="center" vertical="center" wrapText="1"/>
    </xf>
    <xf numFmtId="0" fontId="27" fillId="6" borderId="28" applyAlignment="1" pivotButton="0" quotePrefix="0" xfId="0">
      <alignment horizontal="center" vertical="center" wrapText="1"/>
    </xf>
    <xf numFmtId="0" fontId="27" fillId="6" borderId="29" applyAlignment="1" pivotButton="0" quotePrefix="0" xfId="0">
      <alignment horizontal="center" vertical="center" wrapText="1"/>
    </xf>
    <xf numFmtId="49" fontId="25" fillId="7" borderId="26" applyAlignment="1" pivotButton="0" quotePrefix="0" xfId="0">
      <alignment horizontal="center" vertical="center" wrapText="1"/>
    </xf>
    <xf numFmtId="49" fontId="25" fillId="0" borderId="30" applyAlignment="1" pivotButton="0" quotePrefix="0" xfId="0">
      <alignment horizontal="center" vertical="center" wrapText="1"/>
    </xf>
    <xf numFmtId="49" fontId="25" fillId="0" borderId="28" applyAlignment="1" pivotButton="0" quotePrefix="0" xfId="0">
      <alignment horizontal="center" vertical="center" wrapText="1"/>
    </xf>
    <xf numFmtId="49" fontId="25" fillId="0" borderId="29" applyAlignment="1" pivotButton="0" quotePrefix="0" xfId="0">
      <alignment horizontal="center" vertical="center" wrapText="1"/>
    </xf>
    <xf numFmtId="49" fontId="25" fillId="7" borderId="31" applyAlignment="1" pivotButton="0" quotePrefix="0" xfId="0">
      <alignment horizontal="center" vertical="center" wrapText="1"/>
    </xf>
    <xf numFmtId="49" fontId="25" fillId="7" borderId="28" applyAlignment="1" pivotButton="0" quotePrefix="0" xfId="0">
      <alignment horizontal="center" vertical="center" wrapText="1"/>
    </xf>
    <xf numFmtId="49" fontId="25" fillId="7" borderId="29" applyAlignment="1" pivotButton="0" quotePrefix="0" xfId="0">
      <alignment horizontal="center" vertical="center" wrapText="1"/>
    </xf>
    <xf numFmtId="49" fontId="25" fillId="0" borderId="31" applyAlignment="1" pivotButton="0" quotePrefix="0" xfId="0">
      <alignment horizontal="center" vertical="center" wrapText="1"/>
    </xf>
    <xf numFmtId="49" fontId="25" fillId="0" borderId="12" applyAlignment="1" pivotButton="0" quotePrefix="0" xfId="0">
      <alignment horizontal="center" vertical="center" wrapText="1"/>
    </xf>
    <xf numFmtId="49" fontId="25" fillId="0" borderId="24" applyAlignment="1" pivotButton="0" quotePrefix="0" xfId="0">
      <alignment horizontal="center" vertical="center" wrapText="1"/>
    </xf>
    <xf numFmtId="49" fontId="25" fillId="0" borderId="25" applyAlignment="1" pivotButton="0" quotePrefix="0" xfId="0">
      <alignment horizontal="center" vertical="center" wrapText="1"/>
    </xf>
    <xf numFmtId="49" fontId="28" fillId="0" borderId="0" applyAlignment="1" pivotButton="0" quotePrefix="0" xfId="1">
      <alignment horizontal="center" vertical="center" wrapText="1"/>
    </xf>
    <xf numFmtId="0" fontId="29" fillId="0" borderId="0" applyAlignment="1" pivotButton="0" quotePrefix="0" xfId="0">
      <alignment horizontal="center" vertical="center" wrapText="1"/>
    </xf>
    <xf numFmtId="164" fontId="30" fillId="0" borderId="0" applyAlignment="1" pivotButton="0" quotePrefix="0" xfId="0">
      <alignment horizontal="center" vertical="center" wrapText="1"/>
    </xf>
    <xf numFmtId="164" fontId="29" fillId="0" borderId="0" applyAlignment="1" pivotButton="0" quotePrefix="0" xfId="0">
      <alignment horizontal="center" vertical="center" wrapText="1"/>
    </xf>
    <xf numFmtId="165" fontId="31" fillId="9" borderId="3" applyAlignment="1" pivotButton="0" quotePrefix="0" xfId="0">
      <alignment horizontal="center" vertical="center" wrapText="1"/>
    </xf>
    <xf numFmtId="49" fontId="32" fillId="9" borderId="3" applyAlignment="1" pivotButton="0" quotePrefix="0" xfId="0">
      <alignment horizontal="center" vertical="center" wrapText="1"/>
    </xf>
    <xf numFmtId="0" fontId="32" fillId="9" borderId="3" applyAlignment="1" pivotButton="0" quotePrefix="0" xfId="0">
      <alignment horizontal="center" vertical="center" wrapText="1"/>
    </xf>
    <xf numFmtId="164" fontId="32" fillId="9" borderId="3" applyAlignment="1" pivotButton="0" quotePrefix="0" xfId="0">
      <alignment horizontal="center" vertical="center" wrapText="1"/>
    </xf>
    <xf numFmtId="0" fontId="31" fillId="0" borderId="3" applyAlignment="1" pivotButton="0" quotePrefix="0" xfId="0">
      <alignment horizontal="center" vertical="center" wrapText="1"/>
    </xf>
    <xf numFmtId="49" fontId="33" fillId="0" borderId="3" applyAlignment="1" pivotButton="0" quotePrefix="0" xfId="0">
      <alignment horizontal="center" vertical="center" wrapText="1"/>
    </xf>
    <xf numFmtId="164" fontId="33" fillId="0" borderId="3" applyAlignment="1" pivotButton="0" quotePrefix="0" xfId="0">
      <alignment horizontal="center" vertical="center" wrapText="1"/>
    </xf>
    <xf numFmtId="49" fontId="34" fillId="0" borderId="3" applyAlignment="1" pivotButton="0" quotePrefix="0" xfId="0">
      <alignment horizontal="center" vertical="center" wrapText="1"/>
    </xf>
    <xf numFmtId="49" fontId="31" fillId="0" borderId="3" applyAlignment="1" pivotButton="0" quotePrefix="0" xfId="0">
      <alignment horizontal="center" vertical="center" wrapText="1"/>
    </xf>
    <xf numFmtId="164" fontId="33" fillId="0" borderId="32" applyAlignment="1" pivotButton="0" quotePrefix="0" xfId="0">
      <alignment horizontal="center" vertical="center" wrapText="1"/>
    </xf>
    <xf numFmtId="164" fontId="31" fillId="0" borderId="32" applyAlignment="1" pivotButton="0" quotePrefix="0" xfId="0">
      <alignment horizontal="center" vertical="center" wrapText="1"/>
    </xf>
    <xf numFmtId="49" fontId="29" fillId="0" borderId="3" applyAlignment="1" pivotButton="0" quotePrefix="0" xfId="0">
      <alignment horizontal="center" vertical="center" wrapText="1"/>
    </xf>
    <xf numFmtId="0" fontId="29" fillId="0" borderId="3" applyAlignment="1" pivotButton="0" quotePrefix="0" xfId="0">
      <alignment horizontal="center" vertical="center" wrapText="1"/>
    </xf>
    <xf numFmtId="164" fontId="30" fillId="0" borderId="32" applyAlignment="1" pivotButton="0" quotePrefix="0" xfId="0">
      <alignment horizontal="center" vertical="center" wrapText="1"/>
    </xf>
    <xf numFmtId="164" fontId="29" fillId="0" borderId="3" applyAlignment="1" pivotButton="0" quotePrefix="0" xfId="0">
      <alignment horizontal="center" vertical="center" wrapText="1"/>
    </xf>
    <xf numFmtId="164" fontId="30" fillId="0" borderId="3" applyAlignment="1" pivotButton="0" quotePrefix="0" xfId="0">
      <alignment horizontal="center" vertical="center" wrapText="1"/>
    </xf>
    <xf numFmtId="165" fontId="30" fillId="0" borderId="3" applyAlignment="1" pivotButton="0" quotePrefix="0" xfId="0">
      <alignment horizontal="center" vertical="center" wrapText="1"/>
    </xf>
    <xf numFmtId="165" fontId="30" fillId="0" borderId="0" applyAlignment="1" pivotButton="0" quotePrefix="0" xfId="0">
      <alignment horizontal="center" vertical="center" wrapText="1"/>
    </xf>
    <xf numFmtId="49" fontId="29" fillId="0" borderId="0" applyAlignment="1" pivotButton="0" quotePrefix="0" xfId="0">
      <alignment horizontal="center" vertical="center" wrapText="1"/>
    </xf>
    <xf numFmtId="0" fontId="36" fillId="0" borderId="0" applyAlignment="1" pivotButton="0" quotePrefix="0" xfId="0">
      <alignment horizontal="center" vertical="center" wrapText="1"/>
    </xf>
    <xf numFmtId="0" fontId="24" fillId="6" borderId="3" applyAlignment="1" pivotButton="0" quotePrefix="0" xfId="0">
      <alignment horizontal="center" vertical="center" wrapText="1"/>
    </xf>
    <xf numFmtId="0" fontId="27" fillId="6" borderId="27" applyAlignment="1" pivotButton="0" quotePrefix="0" xfId="0">
      <alignment horizontal="center" vertical="center" wrapText="1"/>
    </xf>
    <xf numFmtId="0" fontId="25" fillId="7" borderId="31" applyAlignment="1" pivotButton="0" quotePrefix="0" xfId="0">
      <alignment horizontal="center" vertical="center" wrapText="1"/>
    </xf>
    <xf numFmtId="0" fontId="25" fillId="0" borderId="12" applyAlignment="1" pivotButton="0" quotePrefix="0" xfId="0">
      <alignment horizontal="center" vertical="center" wrapText="1"/>
    </xf>
    <xf numFmtId="0" fontId="25" fillId="7" borderId="12" applyAlignment="1" pivotButton="0" quotePrefix="0" xfId="0">
      <alignment horizontal="center" vertical="center" wrapText="1"/>
    </xf>
    <xf numFmtId="0" fontId="25" fillId="7" borderId="27" applyAlignment="1" pivotButton="0" quotePrefix="0" xfId="0">
      <alignment horizontal="center" vertical="center" wrapText="1"/>
    </xf>
    <xf numFmtId="0" fontId="25" fillId="7" borderId="28" applyAlignment="1" pivotButton="0" quotePrefix="0" xfId="0">
      <alignment horizontal="center" vertical="center" wrapText="1"/>
    </xf>
    <xf numFmtId="0" fontId="25" fillId="7" borderId="29" applyAlignment="1" pivotButton="0" quotePrefix="0" xfId="0">
      <alignment horizontal="center" vertical="center" wrapText="1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horizontal="center" vertical="center"/>
    </xf>
    <xf numFmtId="49" fontId="39" fillId="0" borderId="0" applyAlignment="1" pivotButton="0" quotePrefix="0" xfId="0">
      <alignment horizontal="center" vertical="center"/>
    </xf>
    <xf numFmtId="165" fontId="39" fillId="0" borderId="3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165" fontId="40" fillId="0" borderId="3" applyAlignment="1" pivotButton="0" quotePrefix="0" xfId="0">
      <alignment horizontal="center" vertical="center"/>
    </xf>
    <xf numFmtId="165" fontId="39" fillId="0" borderId="0" applyAlignment="1" pivotButton="0" quotePrefix="0" xfId="0">
      <alignment horizontal="center" vertical="center"/>
    </xf>
    <xf numFmtId="49" fontId="39" fillId="11" borderId="0" applyAlignment="1" pivotButton="0" quotePrefix="0" xfId="0">
      <alignment horizontal="center" vertical="center"/>
    </xf>
    <xf numFmtId="0" fontId="41" fillId="5" borderId="0" applyAlignment="1" pivotButton="0" quotePrefix="0" xfId="0">
      <alignment horizontal="center" vertical="top"/>
    </xf>
    <xf numFmtId="164" fontId="41" fillId="5" borderId="0" applyAlignment="1" pivotButton="0" quotePrefix="0" xfId="0">
      <alignment horizontal="center" vertical="center"/>
    </xf>
    <xf numFmtId="49" fontId="42" fillId="5" borderId="0" applyAlignment="1" pivotButton="0" quotePrefix="0" xfId="0">
      <alignment horizontal="center" vertical="center"/>
    </xf>
    <xf numFmtId="0" fontId="41" fillId="5" borderId="0" applyAlignment="1" pivotButton="0" quotePrefix="0" xfId="0">
      <alignment horizontal="center" vertical="center"/>
    </xf>
    <xf numFmtId="0" fontId="41" fillId="0" borderId="0" applyAlignment="1" pivotButton="0" quotePrefix="0" xfId="0">
      <alignment horizontal="center" vertical="top"/>
    </xf>
    <xf numFmtId="0" fontId="43" fillId="0" borderId="0" applyAlignment="1" pivotButton="0" quotePrefix="0" xfId="0">
      <alignment horizontal="center" vertical="center" wrapText="1"/>
    </xf>
    <xf numFmtId="164" fontId="43" fillId="0" borderId="0" applyAlignment="1" pivotButton="0" quotePrefix="0" xfId="0">
      <alignment horizontal="center" vertical="center" wrapText="1"/>
    </xf>
    <xf numFmtId="0" fontId="41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vertical="center" wrapText="1"/>
    </xf>
    <xf numFmtId="164" fontId="43" fillId="0" borderId="0" applyAlignment="1" pivotButton="0" quotePrefix="0" xfId="0">
      <alignment vertical="center" wrapText="1"/>
    </xf>
    <xf numFmtId="0" fontId="43" fillId="0" borderId="0" applyAlignment="1" pivotButton="0" quotePrefix="0" xfId="0">
      <alignment horizontal="center" vertical="center"/>
    </xf>
    <xf numFmtId="164" fontId="41" fillId="0" borderId="0" applyAlignment="1" pivotButton="0" quotePrefix="0" xfId="0">
      <alignment horizontal="center" vertical="center"/>
    </xf>
    <xf numFmtId="49" fontId="42" fillId="0" borderId="0" applyAlignment="1" pivotButton="0" quotePrefix="0" xfId="0">
      <alignment horizontal="center" vertical="center"/>
    </xf>
    <xf numFmtId="0" fontId="44" fillId="8" borderId="0" applyAlignment="1" pivotButton="0" quotePrefix="0" xfId="18">
      <alignment horizontal="left" vertical="top" indent="1"/>
    </xf>
    <xf numFmtId="49" fontId="45" fillId="8" borderId="3" applyAlignment="1" pivotButton="0" quotePrefix="0" xfId="0">
      <alignment horizontal="center" vertical="center" wrapText="1"/>
    </xf>
    <xf numFmtId="0" fontId="46" fillId="8" borderId="0" applyAlignment="1" pivotButton="0" quotePrefix="0" xfId="18">
      <alignment horizontal="left" vertical="top" indent="1"/>
    </xf>
    <xf numFmtId="0" fontId="45" fillId="8" borderId="3" applyAlignment="1" pivotButton="0" quotePrefix="0" xfId="0">
      <alignment horizontal="center" vertical="center" wrapText="1"/>
    </xf>
    <xf numFmtId="0" fontId="45" fillId="8" borderId="3" applyAlignment="1" pivotButton="0" quotePrefix="0" xfId="17">
      <alignment horizontal="center" vertical="center" wrapText="1"/>
    </xf>
    <xf numFmtId="0" fontId="45" fillId="8" borderId="0" applyAlignment="1" pivotButton="0" quotePrefix="0" xfId="18">
      <alignment horizontal="left" vertical="center" wrapText="1"/>
    </xf>
    <xf numFmtId="0" fontId="47" fillId="10" borderId="0" applyAlignment="1" pivotButton="0" quotePrefix="0" xfId="0">
      <alignment horizontal="left" vertical="center"/>
    </xf>
    <xf numFmtId="0" fontId="47" fillId="10" borderId="6" applyAlignment="1" pivotButton="0" quotePrefix="0" xfId="0">
      <alignment horizontal="left" vertical="top"/>
    </xf>
    <xf numFmtId="0" fontId="47" fillId="10" borderId="8" applyAlignment="1" pivotButton="0" quotePrefix="0" xfId="0">
      <alignment horizontal="left" vertical="top"/>
    </xf>
    <xf numFmtId="166" fontId="47" fillId="10" borderId="8" applyAlignment="1" pivotButton="0" quotePrefix="0" xfId="0">
      <alignment horizontal="left" vertical="top"/>
    </xf>
    <xf numFmtId="0" fontId="47" fillId="10" borderId="23" applyAlignment="1" pivotButton="0" quotePrefix="0" xfId="0">
      <alignment horizontal="left" vertical="top"/>
    </xf>
    <xf numFmtId="22" fontId="48" fillId="10" borderId="15" applyAlignment="1" pivotButton="0" quotePrefix="0" xfId="0">
      <alignment horizontal="center" vertical="top"/>
    </xf>
    <xf numFmtId="0" fontId="47" fillId="10" borderId="16" applyAlignment="1" pivotButton="0" quotePrefix="0" xfId="0">
      <alignment horizontal="center" vertical="center"/>
    </xf>
    <xf numFmtId="0" fontId="47" fillId="10" borderId="3" applyAlignment="1" pivotButton="0" quotePrefix="0" xfId="0">
      <alignment horizontal="center" vertical="center"/>
    </xf>
    <xf numFmtId="0" fontId="47" fillId="10" borderId="16" applyAlignment="1" pivotButton="0" quotePrefix="0" xfId="17">
      <alignment horizontal="center" vertical="center"/>
    </xf>
    <xf numFmtId="0" fontId="47" fillId="10" borderId="18" applyAlignment="1" pivotButton="0" quotePrefix="0" xfId="17">
      <alignment horizontal="center" vertical="center"/>
    </xf>
    <xf numFmtId="0" fontId="47" fillId="10" borderId="0" applyAlignment="1" pivotButton="0" quotePrefix="0" xfId="17">
      <alignment horizontal="left" vertical="top"/>
    </xf>
    <xf numFmtId="0" fontId="47" fillId="10" borderId="0" applyAlignment="1" pivotButton="0" quotePrefix="0" xfId="0">
      <alignment horizontal="left" vertical="top"/>
    </xf>
    <xf numFmtId="0" fontId="47" fillId="10" borderId="4" applyAlignment="1" pivotButton="0" quotePrefix="0" xfId="0">
      <alignment horizontal="left" vertical="center"/>
    </xf>
    <xf numFmtId="0" fontId="47" fillId="10" borderId="5" applyAlignment="1" pivotButton="0" quotePrefix="0" xfId="0">
      <alignment horizontal="left" vertical="top"/>
    </xf>
    <xf numFmtId="0" fontId="47" fillId="10" borderId="5" applyAlignment="1" pivotButton="0" quotePrefix="0" xfId="0">
      <alignment horizontal="left" vertical="center"/>
    </xf>
    <xf numFmtId="0" fontId="47" fillId="10" borderId="7" applyAlignment="1" pivotButton="0" quotePrefix="0" xfId="0">
      <alignment horizontal="left" vertical="center"/>
    </xf>
    <xf numFmtId="22" fontId="47" fillId="10" borderId="21" applyAlignment="1" pivotButton="0" quotePrefix="0" xfId="0">
      <alignment horizontal="left" vertical="center"/>
    </xf>
    <xf numFmtId="0" fontId="47" fillId="10" borderId="22" applyAlignment="1" pivotButton="0" quotePrefix="0" xfId="0">
      <alignment horizontal="left" vertical="top"/>
    </xf>
    <xf numFmtId="0" fontId="47" fillId="10" borderId="22" applyAlignment="1" pivotButton="0" quotePrefix="0" xfId="0">
      <alignment horizontal="left" vertical="center"/>
    </xf>
    <xf numFmtId="0" fontId="47" fillId="10" borderId="13" applyAlignment="1" pivotButton="0" quotePrefix="0" xfId="0">
      <alignment horizontal="left" vertical="center"/>
    </xf>
    <xf numFmtId="0" fontId="47" fillId="10" borderId="14" applyAlignment="1" pivotButton="0" quotePrefix="0" xfId="0">
      <alignment horizontal="left" vertical="top"/>
    </xf>
    <xf numFmtId="0" fontId="47" fillId="10" borderId="14" applyAlignment="1" pivotButton="0" quotePrefix="0" xfId="0">
      <alignment horizontal="left" vertical="center"/>
    </xf>
    <xf numFmtId="0" fontId="47" fillId="10" borderId="16" applyAlignment="1" pivotButton="0" quotePrefix="0" xfId="0">
      <alignment horizontal="left" vertical="center"/>
    </xf>
    <xf numFmtId="167" fontId="48" fillId="10" borderId="3" applyAlignment="1" pivotButton="0" quotePrefix="0" xfId="0">
      <alignment horizontal="center" vertical="top"/>
    </xf>
    <xf numFmtId="0" fontId="48" fillId="10" borderId="3" applyAlignment="1" pivotButton="0" quotePrefix="0" xfId="0">
      <alignment horizontal="center" vertical="center"/>
    </xf>
    <xf numFmtId="49" fontId="47" fillId="10" borderId="3" applyAlignment="1" pivotButton="0" quotePrefix="0" xfId="0">
      <alignment horizontal="center" vertical="center"/>
    </xf>
    <xf numFmtId="165" fontId="47" fillId="10" borderId="3" applyAlignment="1" pivotButton="0" quotePrefix="0" xfId="0">
      <alignment horizontal="center" vertical="center"/>
    </xf>
    <xf numFmtId="49" fontId="48" fillId="10" borderId="19" applyAlignment="1" pivotButton="0" quotePrefix="0" xfId="0">
      <alignment horizontal="center" vertical="center"/>
    </xf>
    <xf numFmtId="167" fontId="48" fillId="3" borderId="3" applyAlignment="1" pivotButton="0" quotePrefix="0" xfId="0">
      <alignment horizontal="center" vertical="top"/>
    </xf>
    <xf numFmtId="49" fontId="47" fillId="3" borderId="3" applyAlignment="1" pivotButton="0" quotePrefix="0" xfId="0">
      <alignment horizontal="center" vertical="center"/>
    </xf>
    <xf numFmtId="165" fontId="47" fillId="3" borderId="3" applyAlignment="1" pivotButton="0" quotePrefix="0" xfId="0">
      <alignment horizontal="center" vertical="center"/>
    </xf>
    <xf numFmtId="49" fontId="48" fillId="3" borderId="19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vertical="center"/>
    </xf>
    <xf numFmtId="49" fontId="0" fillId="0" borderId="0" applyAlignment="1" pivotButton="0" quotePrefix="0" xfId="0">
      <alignment vertical="center" wrapText="1"/>
    </xf>
    <xf numFmtId="165" fontId="40" fillId="0" borderId="3" applyAlignment="1" pivotButton="0" quotePrefix="0" xfId="0">
      <alignment horizontal="center" vertical="center"/>
    </xf>
    <xf numFmtId="49" fontId="39" fillId="0" borderId="3" applyAlignment="1" pivotButton="0" quotePrefix="0" xfId="0">
      <alignment horizontal="center" vertical="center"/>
    </xf>
    <xf numFmtId="49" fontId="39" fillId="0" borderId="0" applyAlignment="1" pivotButton="0" quotePrefix="0" xfId="0">
      <alignment horizontal="center" vertical="center"/>
    </xf>
    <xf numFmtId="49" fontId="39" fillId="0" borderId="3" applyAlignment="1" pivotButton="0" quotePrefix="0" xfId="0">
      <alignment horizontal="center" vertical="center"/>
    </xf>
    <xf numFmtId="49" fontId="39" fillId="12" borderId="3" applyAlignment="1" pivotButton="0" quotePrefix="0" xfId="0">
      <alignment horizontal="center" vertical="center"/>
    </xf>
    <xf numFmtId="49" fontId="40" fillId="0" borderId="3" applyAlignment="1" pivotButton="0" quotePrefix="0" xfId="0">
      <alignment horizontal="center" vertical="center"/>
    </xf>
    <xf numFmtId="49" fontId="39" fillId="0" borderId="32" applyAlignment="1" pivotButton="0" quotePrefix="0" xfId="0">
      <alignment horizontal="center" vertical="center"/>
    </xf>
    <xf numFmtId="165" fontId="39" fillId="0" borderId="3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49" fontId="39" fillId="0" borderId="34" applyAlignment="1" pivotButton="0" quotePrefix="0" xfId="0">
      <alignment horizontal="center" vertical="center"/>
    </xf>
    <xf numFmtId="49" fontId="39" fillId="0" borderId="0" applyAlignment="1" pivotButton="0" quotePrefix="0" xfId="0">
      <alignment horizontal="center" vertical="center"/>
    </xf>
    <xf numFmtId="49" fontId="39" fillId="0" borderId="34" applyAlignment="1" pivotButton="0" quotePrefix="0" xfId="0">
      <alignment horizontal="center" vertical="center"/>
    </xf>
    <xf numFmtId="49" fontId="39" fillId="12" borderId="34" applyAlignment="1" pivotButton="0" quotePrefix="0" xfId="0">
      <alignment horizontal="center" vertical="center"/>
    </xf>
    <xf numFmtId="49" fontId="40" fillId="0" borderId="34" applyAlignment="1" pivotButton="0" quotePrefix="0" xfId="0">
      <alignment horizontal="center" vertical="center"/>
    </xf>
    <xf numFmtId="49" fontId="39" fillId="0" borderId="33" applyAlignment="1" pivotButton="0" quotePrefix="0" xfId="0">
      <alignment horizontal="center" vertical="center"/>
    </xf>
    <xf numFmtId="165" fontId="40" fillId="0" borderId="34" applyAlignment="1" pivotButton="0" quotePrefix="0" xfId="0">
      <alignment horizontal="center" vertical="center"/>
    </xf>
    <xf numFmtId="165" fontId="39" fillId="0" borderId="34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0" fontId="39" fillId="0" borderId="32" applyAlignment="1" pivotButton="0" quotePrefix="0" xfId="0">
      <alignment horizontal="center" vertical="center"/>
    </xf>
    <xf numFmtId="0" fontId="39" fillId="0" borderId="33" applyAlignment="1" pivotButton="0" quotePrefix="0" xfId="0">
      <alignment horizontal="center" vertical="center"/>
    </xf>
    <xf numFmtId="0" fontId="47" fillId="10" borderId="13" applyAlignment="1" pivotButton="0" quotePrefix="0" xfId="0">
      <alignment horizontal="center" vertical="center"/>
    </xf>
    <xf numFmtId="0" fontId="47" fillId="10" borderId="14" applyAlignment="1" pivotButton="0" quotePrefix="0" xfId="0">
      <alignment horizontal="center" vertical="center"/>
    </xf>
    <xf numFmtId="0" fontId="47" fillId="10" borderId="15" applyAlignment="1" pivotButton="0" quotePrefix="0" xfId="0">
      <alignment horizontal="center" vertical="center"/>
    </xf>
    <xf numFmtId="0" fontId="47" fillId="10" borderId="16" applyAlignment="1" pivotButton="0" quotePrefix="0" xfId="0">
      <alignment horizontal="center" vertical="center"/>
    </xf>
    <xf numFmtId="0" fontId="47" fillId="10" borderId="3" applyAlignment="1" pivotButton="0" quotePrefix="0" xfId="0">
      <alignment horizontal="center" vertical="center"/>
    </xf>
    <xf numFmtId="0" fontId="47" fillId="10" borderId="17" applyAlignment="1" pivotButton="0" quotePrefix="0" xfId="0">
      <alignment horizontal="center" vertical="center"/>
    </xf>
    <xf numFmtId="0" fontId="47" fillId="10" borderId="18" applyAlignment="1" pivotButton="0" quotePrefix="0" xfId="0">
      <alignment horizontal="center" vertical="center"/>
    </xf>
    <xf numFmtId="0" fontId="47" fillId="10" borderId="19" applyAlignment="1" pivotButton="0" quotePrefix="0" xfId="0">
      <alignment horizontal="center" vertical="center"/>
    </xf>
    <xf numFmtId="0" fontId="47" fillId="10" borderId="20" applyAlignment="1" pivotButton="0" quotePrefix="0" xfId="0">
      <alignment horizontal="center" vertical="center"/>
    </xf>
    <xf numFmtId="165" fontId="48" fillId="5" borderId="0" applyAlignment="1" applyProtection="1" pivotButton="0" quotePrefix="0" xfId="0">
      <alignment horizontal="center" vertical="center"/>
      <protection locked="0" hidden="0"/>
    </xf>
    <xf numFmtId="1" fontId="21" fillId="3" borderId="9" applyAlignment="1" pivotButton="0" quotePrefix="0" xfId="29">
      <alignment horizontal="center" vertical="center" wrapText="1"/>
    </xf>
    <xf numFmtId="1" fontId="21" fillId="3" borderId="11" applyAlignment="1" pivotButton="0" quotePrefix="0" xfId="29">
      <alignment horizontal="center" vertical="center" wrapText="1"/>
    </xf>
    <xf numFmtId="1" fontId="21" fillId="3" borderId="10" applyAlignment="1" pivotButton="0" quotePrefix="0" xfId="29">
      <alignment horizontal="center" vertical="center" wrapText="1"/>
    </xf>
    <xf numFmtId="168" fontId="30" fillId="0" borderId="3" applyAlignment="1" pivotButton="0" quotePrefix="0" xfId="0">
      <alignment horizontal="center" vertical="center" wrapText="1"/>
    </xf>
    <xf numFmtId="168" fontId="29" fillId="0" borderId="3" applyAlignment="1" pivotButton="0" quotePrefix="0" xfId="0">
      <alignment horizontal="center" vertical="center" wrapText="1"/>
    </xf>
    <xf numFmtId="0" fontId="0" fillId="0" borderId="5" pivotButton="0" quotePrefix="0" xfId="0"/>
    <xf numFmtId="0" fontId="0" fillId="0" borderId="35" pivotButton="0" quotePrefix="0" xfId="0"/>
    <xf numFmtId="0" fontId="0" fillId="0" borderId="7" pivotButton="0" quotePrefix="0" xfId="0"/>
    <xf numFmtId="0" fontId="0" fillId="0" borderId="36" pivotButton="0" quotePrefix="0" xfId="0"/>
    <xf numFmtId="0" fontId="0" fillId="0" borderId="0" pivotButton="0" quotePrefix="0" xfId="0"/>
    <xf numFmtId="0" fontId="0" fillId="0" borderId="37" pivotButton="0" quotePrefix="0" xfId="0"/>
    <xf numFmtId="0" fontId="0" fillId="0" borderId="38" pivotButton="0" quotePrefix="0" xfId="0"/>
    <xf numFmtId="0" fontId="0" fillId="0" borderId="39" pivotButton="0" quotePrefix="0" xfId="0"/>
    <xf numFmtId="165" fontId="48" fillId="5" borderId="0" applyAlignment="1" applyProtection="1" pivotButton="0" quotePrefix="0" xfId="0">
      <alignment horizontal="center" vertical="center"/>
      <protection locked="0" hidden="0"/>
    </xf>
    <xf numFmtId="0" fontId="0" fillId="0" borderId="0" applyProtection="1" pivotButton="0" quotePrefix="0" xfId="0">
      <protection locked="0" hidden="0"/>
    </xf>
    <xf numFmtId="166" fontId="47" fillId="10" borderId="8" applyAlignment="1" pivotButton="0" quotePrefix="0" xfId="0">
      <alignment horizontal="left" vertical="top"/>
    </xf>
    <xf numFmtId="167" fontId="48" fillId="10" borderId="3" applyAlignment="1" pivotButton="0" quotePrefix="0" xfId="0">
      <alignment horizontal="center" vertical="top"/>
    </xf>
    <xf numFmtId="175" fontId="47" fillId="10" borderId="3" applyAlignment="1" pivotButton="0" quotePrefix="0" xfId="0">
      <alignment horizontal="center" vertical="center"/>
    </xf>
    <xf numFmtId="165" fontId="39" fillId="0" borderId="0" applyAlignment="1" pivotButton="0" quotePrefix="0" xfId="0">
      <alignment horizontal="center" vertical="center"/>
    </xf>
    <xf numFmtId="165" fontId="39" fillId="0" borderId="3" applyAlignment="1" pivotButton="0" quotePrefix="0" xfId="0">
      <alignment horizontal="center" vertical="center"/>
    </xf>
    <xf numFmtId="165" fontId="40" fillId="0" borderId="3" applyAlignment="1" pivotButton="0" quotePrefix="0" xfId="0">
      <alignment horizontal="center" vertical="center"/>
    </xf>
    <xf numFmtId="165" fontId="40" fillId="0" borderId="34" applyAlignment="1" pivotButton="0" quotePrefix="0" xfId="0">
      <alignment horizontal="center" vertical="center"/>
    </xf>
    <xf numFmtId="165" fontId="39" fillId="0" borderId="34" applyAlignment="1" pivotButton="0" quotePrefix="0" xfId="0">
      <alignment horizontal="center" vertical="center"/>
    </xf>
    <xf numFmtId="165" fontId="30" fillId="0" borderId="0" applyAlignment="1" pivotButton="0" quotePrefix="0" xfId="0">
      <alignment horizontal="center" vertical="center" wrapText="1"/>
    </xf>
    <xf numFmtId="164" fontId="30" fillId="0" borderId="0" applyAlignment="1" pivotButton="0" quotePrefix="0" xfId="0">
      <alignment horizontal="center" vertical="center" wrapText="1"/>
    </xf>
    <xf numFmtId="164" fontId="29" fillId="0" borderId="0" applyAlignment="1" pivotButton="0" quotePrefix="0" xfId="0">
      <alignment horizontal="center" vertical="center" wrapText="1"/>
    </xf>
    <xf numFmtId="49" fontId="49" fillId="13" borderId="41" applyAlignment="1" pivotButton="0" quotePrefix="0" xfId="1">
      <alignment horizontal="center" vertical="center" wrapText="1"/>
    </xf>
    <xf numFmtId="0" fontId="49" fillId="13" borderId="41" applyAlignment="1" pivotButton="0" quotePrefix="0" xfId="0">
      <alignment horizontal="center" vertical="center" wrapText="1"/>
    </xf>
    <xf numFmtId="165" fontId="31" fillId="9" borderId="3" applyAlignment="1" pivotButton="0" quotePrefix="0" xfId="0">
      <alignment horizontal="center" vertical="center" wrapText="1"/>
    </xf>
    <xf numFmtId="164" fontId="32" fillId="9" borderId="3" applyAlignment="1" pivotButton="0" quotePrefix="0" xfId="0">
      <alignment horizontal="center" vertical="center" wrapText="1"/>
    </xf>
    <xf numFmtId="164" fontId="33" fillId="0" borderId="3" applyAlignment="1" pivotButton="0" quotePrefix="0" xfId="0">
      <alignment horizontal="center" vertical="center" wrapText="1"/>
    </xf>
    <xf numFmtId="164" fontId="33" fillId="0" borderId="32" applyAlignment="1" pivotButton="0" quotePrefix="0" xfId="0">
      <alignment horizontal="center" vertical="center" wrapText="1"/>
    </xf>
    <xf numFmtId="175" fontId="31" fillId="0" borderId="32" applyAlignment="1" pivotButton="0" quotePrefix="0" xfId="0">
      <alignment horizontal="center" vertical="center" wrapText="1"/>
    </xf>
    <xf numFmtId="175" fontId="33" fillId="0" borderId="3" applyAlignment="1" pivotButton="0" quotePrefix="0" xfId="0">
      <alignment horizontal="center" vertical="center" wrapText="1"/>
    </xf>
    <xf numFmtId="175" fontId="30" fillId="0" borderId="32" applyAlignment="1" pivotButton="0" quotePrefix="0" xfId="0">
      <alignment horizontal="center" vertical="center" wrapText="1"/>
    </xf>
    <xf numFmtId="175" fontId="29" fillId="0" borderId="3" applyAlignment="1" pivotButton="0" quotePrefix="0" xfId="0">
      <alignment horizontal="center" vertical="center" wrapText="1"/>
    </xf>
    <xf numFmtId="175" fontId="30" fillId="0" borderId="3" applyAlignment="1" pivotButton="0" quotePrefix="0" xfId="0">
      <alignment horizontal="center" vertical="center" wrapText="1"/>
    </xf>
    <xf numFmtId="165" fontId="30" fillId="0" borderId="3" applyAlignment="1" pivotButton="0" quotePrefix="0" xfId="0">
      <alignment horizontal="center" vertical="center" wrapText="1"/>
    </xf>
    <xf numFmtId="164" fontId="29" fillId="0" borderId="3" applyAlignment="1" pivotButton="0" quotePrefix="0" xfId="0">
      <alignment horizontal="center" vertical="center" wrapText="1"/>
    </xf>
    <xf numFmtId="164" fontId="30" fillId="0" borderId="3" applyAlignment="1" pivotButton="0" quotePrefix="0" xfId="0">
      <alignment horizontal="center" vertical="center" wrapText="1"/>
    </xf>
    <xf numFmtId="167" fontId="48" fillId="3" borderId="3" applyAlignment="1" pivotButton="0" quotePrefix="0" xfId="0">
      <alignment horizontal="center" vertical="top"/>
    </xf>
    <xf numFmtId="165" fontId="47" fillId="3" borderId="3" applyAlignment="1" pivotButton="0" quotePrefix="0" xfId="0">
      <alignment horizontal="center" vertical="center"/>
    </xf>
    <xf numFmtId="1" fontId="21" fillId="3" borderId="40" applyAlignment="1" pivotButton="0" quotePrefix="0" xfId="29">
      <alignment horizontal="center" vertical="center" wrapText="1"/>
    </xf>
    <xf numFmtId="0" fontId="0" fillId="0" borderId="11" pivotButton="0" quotePrefix="0" xfId="0"/>
    <xf numFmtId="0" fontId="0" fillId="0" borderId="10" pivotButton="0" quotePrefix="0" xfId="0"/>
    <xf numFmtId="164" fontId="41" fillId="0" borderId="0" applyAlignment="1" pivotButton="0" quotePrefix="0" xfId="0">
      <alignment horizontal="center" vertical="center"/>
    </xf>
    <xf numFmtId="164" fontId="41" fillId="5" borderId="0" applyAlignment="1" pivotButton="0" quotePrefix="0" xfId="0">
      <alignment horizontal="center" vertical="center"/>
    </xf>
    <xf numFmtId="164" fontId="43" fillId="0" borderId="0" applyAlignment="1" pivotButton="0" quotePrefix="0" xfId="0">
      <alignment horizontal="center" vertical="center" wrapText="1"/>
    </xf>
    <xf numFmtId="164" fontId="0" fillId="0" borderId="0" applyAlignment="1" pivotButton="0" quotePrefix="0" xfId="0">
      <alignment vertical="center" wrapText="1"/>
    </xf>
    <xf numFmtId="164" fontId="43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vertical="center"/>
    </xf>
  </cellXfs>
  <cellStyles count="30">
    <cellStyle name="Normale" xfId="0" builtinId="0"/>
    <cellStyle name="Titolo" xfId="1" builtinId="15"/>
    <cellStyle name="Titolo 1" xfId="2" builtinId="16"/>
    <cellStyle name="Titolo 2" xfId="3" builtinId="17"/>
    <cellStyle name="Titolo 3" xfId="4" builtinId="18"/>
    <cellStyle name="Titolo 4" xfId="5" builtinId="19"/>
    <cellStyle name="Totale" xfId="6" builtinId="25"/>
    <cellStyle name="Colonna contrassegno" xfId="7"/>
    <cellStyle name="Cella collegata" xfId="8" builtinId="24"/>
    <cellStyle name="Collegamento ipertestuale" xfId="9" builtinId="8"/>
    <cellStyle name="Collegamento ipertestuale visitato" xfId="10" builtinId="9"/>
    <cellStyle name="Totale conteggi" xfId="11"/>
    <cellStyle name="Dettagli tabella allineati a sinistra" xfId="12"/>
    <cellStyle name="Dettagli tabella allineati al centro" xfId="13"/>
    <cellStyle name="Dettagli tabella allineati a destra" xfId="14"/>
    <cellStyle name="Normale 2" xfId="15"/>
    <cellStyle name="Normale 2 2" xfId="16"/>
    <cellStyle name="Normale 3" xfId="17"/>
    <cellStyle name="Normale 4" xfId="18"/>
    <cellStyle name="Euro 3" xfId="19"/>
    <cellStyle name="Percentuale 2" xfId="20"/>
    <cellStyle name="Collegamento ipertestuale 3" xfId="21"/>
    <cellStyle name="Collegamento ipertestuale 2" xfId="22"/>
    <cellStyle name="Normale 2 3" xfId="23"/>
    <cellStyle name="Migliaia 2" xfId="24"/>
    <cellStyle name="Euro 2" xfId="25"/>
    <cellStyle name="Valuta 2" xfId="26"/>
    <cellStyle name="Euro" xfId="27"/>
    <cellStyle name="Collegamento ipertestuale 4" xfId="28"/>
    <cellStyle name="Neutrale" xfId="29" builtinId="28"/>
  </cellStyles>
  <dxfs count="27">
    <dxf>
      <font>
        <name val="Arial Nova"/>
        <family val="2"/>
        <strike val="0"/>
        <outline val="0"/>
        <shadow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/>
      <protection locked="1" hidden="0"/>
    </dxf>
    <dxf>
      <font>
        <name val="Arial Nova"/>
        <family val="2"/>
        <strike val="0"/>
        <outline val="0"/>
        <shadow val="0"/>
        <sz val="7"/>
        <vertAlign val="baseline"/>
      </font>
      <numFmt numFmtId="171" formatCode="[$-F800]dddd\,\ mmmm\ dd\,\ yyyy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 Nova"/>
        <family val="2"/>
        <strike val="0"/>
        <outline val="0"/>
        <shadow val="0"/>
        <sz val="7"/>
        <vertAlign val="baseline"/>
      </font>
      <numFmt numFmtId="171" formatCode="[$-F800]dddd\,\ mmmm\ dd\,\ yyyy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 Nova"/>
        <family val="2"/>
        <strike val="0"/>
        <outline val="0"/>
        <shadow val="0"/>
        <condense val="0"/>
        <color auto="1"/>
        <extend val="0"/>
        <sz val="7"/>
        <vertAlign val="baseline"/>
      </font>
      <numFmt numFmtId="171" formatCode="[$-F800]dddd\,\ mmmm\ dd\,\ yyyy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 Nova"/>
        <family val="2"/>
        <strike val="0"/>
        <outline val="0"/>
        <shadow val="0"/>
        <condense val="0"/>
        <color theme="3" tint="0.1499374370555742"/>
        <extend val="0"/>
        <sz val="7"/>
        <vertAlign val="baseline"/>
      </font>
      <numFmt numFmtId="30" formatCode="@"/>
      <fill>
        <patternFill>
          <fgColor indexed="64"/>
          <bgColor indexed="65"/>
        </patternFill>
      </fill>
      <alignment horizontal="center" vertical="center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 Nova"/>
        <family val="2"/>
        <strike val="0"/>
        <outline val="0"/>
        <shadow val="0"/>
        <condense val="0"/>
        <color theme="3" tint="0.1499374370555742"/>
        <extend val="0"/>
        <sz val="7"/>
        <vertAlign val="baseline"/>
      </font>
      <numFmt numFmtId="30" formatCode="@"/>
      <fill>
        <patternFill>
          <fgColor indexed="64"/>
          <bgColor indexed="65"/>
        </patternFill>
      </fill>
      <alignment horizontal="center" vertical="center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 Nova"/>
        <family val="2"/>
        <strike val="0"/>
        <outline val="0"/>
        <shadow val="0"/>
        <color theme="3" tint="0.1499374370555742"/>
        <sz val="7"/>
        <vertAlign val="baseline"/>
      </font>
      <numFmt numFmtId="30" formatCode="@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 Nova"/>
        <family val="2"/>
        <strike val="0"/>
        <outline val="0"/>
        <shadow val="0"/>
        <color auto="1"/>
        <sz val="7"/>
        <vertAlign val="baseline"/>
      </font>
      <numFmt numFmtId="30" formatCode="@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 Nova"/>
        <family val="2"/>
        <strike val="0"/>
        <outline val="0"/>
        <shadow val="0"/>
        <condense val="0"/>
        <color auto="1"/>
        <extend val="0"/>
        <sz val="7"/>
        <vertAlign val="baseline"/>
      </font>
      <numFmt numFmtId="30" formatCode="@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 Nova"/>
        <family val="2"/>
        <strike val="0"/>
        <outline val="0"/>
        <shadow val="0"/>
        <sz val="7"/>
        <vertAlign val="baseline"/>
      </font>
      <numFmt numFmtId="30" formatCode="@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 Nova"/>
        <family val="2"/>
        <strike val="0"/>
        <outline val="0"/>
        <shadow val="0"/>
        <sz val="7"/>
        <vertAlign val="baseline"/>
      </font>
      <numFmt numFmtId="30" formatCode="@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 Nova"/>
        <family val="2"/>
        <strike val="0"/>
        <outline val="0"/>
        <shadow val="0"/>
        <sz val="7"/>
        <vertAlign val="baseline"/>
      </font>
      <numFmt numFmtId="30" formatCode="@"/>
      <fill>
        <patternFill patternType="solid">
          <fgColor indexed="64"/>
          <bgColor theme="7" tint="0.7999816888943144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 Nova"/>
        <family val="2"/>
        <strike val="0"/>
        <outline val="0"/>
        <shadow val="0"/>
        <sz val="7"/>
        <vertAlign val="baseline"/>
      </font>
      <numFmt numFmtId="30" formatCode="@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 Nova"/>
        <family val="2"/>
        <strike val="0"/>
        <outline val="0"/>
        <shadow val="0"/>
        <sz val="7"/>
        <vertAlign val="baseline"/>
      </font>
      <numFmt numFmtId="30" formatCode="@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 Nova"/>
        <family val="2"/>
        <strike val="0"/>
        <outline val="0"/>
        <shadow val="0"/>
        <condense val="0"/>
        <color theme="3" tint="0.1499374370555742"/>
        <extend val="0"/>
        <sz val="7"/>
        <vertAlign val="baseline"/>
      </font>
      <numFmt numFmtId="30" formatCode="@"/>
      <alignment horizontal="center" vertical="center"/>
      <protection locked="1" hidden="0"/>
    </dxf>
    <dxf>
      <font>
        <name val="Arial Nova"/>
        <family val="2"/>
        <strike val="0"/>
        <outline val="0"/>
        <shadow val="0"/>
        <condense val="0"/>
        <color theme="3" tint="0.1499374370555742"/>
        <extend val="0"/>
        <sz val="7"/>
        <vertAlign val="baseline"/>
      </font>
      <numFmt numFmtId="30" formatCode="@"/>
      <alignment horizontal="center" vertical="center"/>
      <protection locked="1" hidden="0"/>
    </dxf>
    <dxf>
      <font>
        <name val="Arial Nova"/>
        <family val="2"/>
        <strike val="0"/>
        <outline val="0"/>
        <shadow val="0"/>
        <condense val="0"/>
        <color theme="3" tint="0.1499374370555742"/>
        <extend val="0"/>
        <sz val="7"/>
        <vertAlign val="baseline"/>
      </font>
      <numFmt numFmtId="30" formatCode="@"/>
      <alignment horizontal="center" vertical="center"/>
      <protection locked="1" hidden="0"/>
    </dxf>
    <dxf>
      <font>
        <name val="Arial Nova"/>
        <family val="2"/>
        <strike val="0"/>
        <outline val="0"/>
        <shadow val="0"/>
        <condense val="0"/>
        <color theme="3" tint="0.1499374370555742"/>
        <extend val="0"/>
        <sz val="7"/>
        <vertAlign val="baseline"/>
      </font>
      <numFmt numFmtId="30" formatCode="@"/>
      <alignment horizontal="center" vertical="center"/>
      <protection locked="1" hidden="0"/>
    </dxf>
    <dxf>
      <font>
        <name val="Arial Nova"/>
        <family val="2"/>
        <strike val="0"/>
        <outline val="0"/>
        <shadow val="0"/>
        <sz val="7"/>
        <vertAlign val="baseline"/>
      </font>
      <numFmt numFmtId="30" formatCode="@"/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 Nova"/>
        <family val="2"/>
        <strike val="0"/>
        <outline val="0"/>
        <shadow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/>
      <border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 Nova"/>
        <family val="2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</dxf>
    <dxf>
      <border outline="0">
        <bottom style="thin">
          <color indexed="64"/>
        </bottom>
      </border>
    </dxf>
    <dxf>
      <font>
        <name val="Arial Nova"/>
        <family val="2"/>
        <strike val="0"/>
        <outline val="0"/>
        <shadow val="0"/>
        <condense val="0"/>
        <color auto="1"/>
        <extend val="0"/>
        <sz val="7"/>
        <vertAlign val="baseline"/>
      </font>
      <fill>
        <patternFill patternType="solid">
          <fgColor indexed="64"/>
          <bgColor theme="0" tint="-0.249977111117893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2" tint="-0.0499893185216834"/>
        </patternFill>
      </fill>
    </dxf>
    <dxf>
      <fill>
        <patternFill>
          <bgColor theme="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</dxf>
    <dxf>
      <border>
        <vertical style="thick">
          <color theme="0"/>
        </vertical>
      </border>
    </dxf>
  </dxfs>
  <tableStyles count="1" defaultTableStyle="TableStyleMedium2" defaultPivotStyle="PivotStyleMedium2">
    <tableStyle name="Inventario magazzino" pivot="0" count="4">
      <tableStyleElement type="wholeTable" dxfId="26"/>
      <tableStyleElement type="headerRow" dxfId="25"/>
      <tableStyleElement type="lastColumn" dxfId="24"/>
      <tableStyleElement type="secondRowStripe" dxfId="2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ElencoProdotti" displayName="ElencoProdotti" ref="A1:T1709" headerRowCount="1" totalsRowShown="0" headerRowDxfId="22" dataDxfId="20" headerRowBorderDxfId="21">
  <autoFilter ref="A1:T1709"/>
  <sortState ref="A2:T97">
    <sortCondition ref="A1:A97"/>
  </sortState>
  <tableColumns count="20">
    <tableColumn id="1" name="prodotto" dataDxfId="19">
      <calculatedColumnFormula>ric!B2</calculatedColumnFormula>
    </tableColumn>
    <tableColumn id="5" name="Colonna1" dataDxfId="18">
      <calculatedColumnFormula>ric!C2</calculatedColumnFormula>
    </tableColumn>
    <tableColumn id="22" name="Colonna2" dataDxfId="17">
      <calculatedColumnFormula>ric!D2</calculatedColumnFormula>
    </tableColumn>
    <tableColumn id="21" name="Colonna3" dataDxfId="16"/>
    <tableColumn id="19" name="Colonna4" dataDxfId="15"/>
    <tableColumn id="18" name="Colonna5" dataDxfId="14"/>
    <tableColumn id="2" name="Colonna6" dataDxfId="13">
      <calculatedColumnFormula>CONCATENATE(A2, " ",#REF!, " / ",H2)</calculatedColumnFormula>
    </tableColumn>
    <tableColumn id="10" name="Colonna7" dataDxfId="12"/>
    <tableColumn id="11" name="Colonna8" dataDxfId="11">
      <calculatedColumnFormula>CONCATENATE(M2," - ",J2," - Lotto N° ",K2,"")</calculatedColumnFormula>
    </tableColumn>
    <tableColumn id="12" name="Colonna9" dataDxfId="10"/>
    <tableColumn id="14" name="Colonna10" dataDxfId="9">
      <calculatedColumnFormula>VLOOKUP(#REF!,Produzione,7,FALSE)</calculatedColumnFormula>
    </tableColumn>
    <tableColumn id="13" name="Colonna11" dataDxfId="8"/>
    <tableColumn id="15" name="Colonna12" dataDxfId="7"/>
    <tableColumn id="6" name="Colonna13" dataDxfId="6"/>
    <tableColumn id="17" name="Colonna14" dataDxfId="5"/>
    <tableColumn id="16" name="Colonna15" dataDxfId="4"/>
    <tableColumn id="8" name="PRODUZIONE" dataDxfId="3">
      <calculatedColumnFormula>TODAY()</calculatedColumnFormula>
    </tableColumn>
    <tableColumn id="3" name="Scadenza" dataDxfId="2">
      <calculatedColumnFormula>ElencoProdotti[[#This Row],[PRODUZIONE]]+20</calculatedColumnFormula>
    </tableColumn>
    <tableColumn id="7" name="Lotto " dataDxfId="1">
      <calculatedColumnFormula>TODAY()</calculatedColumnFormula>
    </tableColumn>
    <tableColumn id="9" name="etichetta" dataDxfId="0">
      <calculatedColumnFormula>CONCATENATE(A2," - contiene allergni - prodotto il giorno ",TEXT(Q2,"gg/mm/aaaa"),"")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Warehouse Inventory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6DB068"/>
      </a:accent1>
      <a:accent2>
        <a:srgbClr val="E1C049"/>
      </a:accent2>
      <a:accent3>
        <a:srgbClr val="77CACD"/>
      </a:accent3>
      <a:accent4>
        <a:srgbClr val="EB862D"/>
      </a:accent4>
      <a:accent5>
        <a:srgbClr val="9062A7"/>
      </a:accent5>
      <a:accent6>
        <a:srgbClr val="EB8688"/>
      </a:accent6>
      <a:hlink>
        <a:srgbClr val="13CACD"/>
      </a:hlink>
      <a:folHlink>
        <a:srgbClr val="9062A7"/>
      </a:folHlink>
    </a:clrScheme>
    <a:fontScheme name="Warehouse Inventory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Rilievo 10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6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Foglio5">
    <outlinePr summaryBelow="1" summaryRight="1"/>
    <pageSetUpPr/>
  </sheetPr>
  <dimension ref="A1:D34"/>
  <sheetViews>
    <sheetView tabSelected="1" workbookViewId="0">
      <pane xSplit="4" topLeftCell="E1" activePane="topRight" state="frozen"/>
      <selection pane="topRight" activeCell="B8" sqref="B8:C8"/>
    </sheetView>
  </sheetViews>
  <sheetFormatPr baseColWidth="8" defaultColWidth="14.5546875" defaultRowHeight="12.75"/>
  <cols>
    <col width="9" bestFit="1" customWidth="1" style="79" min="1" max="1"/>
    <col width="67.5546875" bestFit="1" customWidth="1" style="90" min="2" max="2"/>
    <col width="9" bestFit="1" customWidth="1" style="79" min="3" max="3"/>
    <col width="81.88671875" bestFit="1" customWidth="1" style="90" min="4" max="4"/>
    <col width="14.5546875" customWidth="1" style="79" min="5" max="16384"/>
  </cols>
  <sheetData>
    <row r="1">
      <c r="A1" s="136" t="inlineStr">
        <is>
          <t xml:space="preserve"> Lotto di Produzione Giornaliera</t>
        </is>
      </c>
      <c r="B1" s="151" t="n"/>
      <c r="C1" s="151" t="n"/>
      <c r="D1" s="152" t="n"/>
    </row>
    <row r="2">
      <c r="A2" s="153" t="n"/>
      <c r="D2" s="154" t="n"/>
    </row>
    <row r="3" ht="13.5" customHeight="1" s="155" thickBot="1">
      <c r="A3" s="156" t="n"/>
      <c r="B3" s="157" t="n"/>
      <c r="C3" s="157" t="n"/>
      <c r="D3" s="158" t="n"/>
    </row>
    <row r="4">
      <c r="A4" s="91" t="n"/>
      <c r="B4" s="92" t="n"/>
      <c r="C4" s="93" t="n"/>
      <c r="D4" s="80" t="n"/>
    </row>
    <row r="5">
      <c r="A5" s="94" t="n"/>
      <c r="D5" s="81" t="n"/>
    </row>
    <row r="6">
      <c r="A6" s="94" t="n"/>
      <c r="D6" s="81" t="n"/>
    </row>
    <row r="7">
      <c r="A7" s="94" t="n"/>
      <c r="D7" s="81" t="n"/>
    </row>
    <row r="8">
      <c r="A8" s="94" t="n"/>
      <c r="B8" s="159" t="inlineStr">
        <is>
          <t>pasticcino limone</t>
        </is>
      </c>
      <c r="C8" s="160" t="n"/>
      <c r="D8" s="161" t="n"/>
    </row>
    <row r="9" ht="13.5" customHeight="1" s="155" thickBot="1">
      <c r="A9" s="95" t="n"/>
      <c r="B9" s="96" t="n"/>
      <c r="C9" s="97" t="n"/>
      <c r="D9" s="83" t="n"/>
    </row>
    <row r="10">
      <c r="A10" s="98" t="n"/>
      <c r="B10" s="99" t="n"/>
      <c r="C10" s="100" t="n"/>
      <c r="D10" s="84" t="n">
        <v>46009</v>
      </c>
    </row>
    <row r="11">
      <c r="A11" s="101" t="n"/>
      <c r="B11" s="162" t="inlineStr">
        <is>
          <t>pasticcino limone</t>
        </is>
      </c>
      <c r="C11" s="103" t="n"/>
      <c r="D11" s="162" t="inlineStr">
        <is>
          <t>pasticcino limone</t>
        </is>
      </c>
    </row>
    <row r="12">
      <c r="A12" s="139" t="inlineStr">
        <is>
          <t>Ingrediente</t>
        </is>
      </c>
      <c r="B12" s="104" t="inlineStr">
        <is>
          <t>FARINA 0/MAN. CAPUTO DA KG.25    contiene allergeni - F.lli Fiorentino Srl n° fatt 1/15176 - 01/12/2025</t>
        </is>
      </c>
      <c r="C12" s="140" t="inlineStr">
        <is>
          <t>Ingrediente</t>
        </is>
      </c>
      <c r="D12" s="104" t="inlineStr">
        <is>
          <t>FARINA 0/MAN. CAPUTO DA KG.25    contiene allergeni - F.lli Fiorentino Srl n° fatt 1/15176 - 01/12/2025</t>
        </is>
      </c>
    </row>
    <row r="13">
      <c r="A13" s="139" t="inlineStr">
        <is>
          <t>Ingrediente</t>
        </is>
      </c>
      <c r="B13" s="104" t="inlineStr">
        <is>
          <t>STRUTTO RAFFINATO I B VERDE    non contiene allergeni - F.lli Fiorentino Srl n° fatt 1/12232 - 30/09/2025</t>
        </is>
      </c>
      <c r="C13" s="140" t="inlineStr">
        <is>
          <t>Ingrediente</t>
        </is>
      </c>
      <c r="D13" s="104" t="inlineStr">
        <is>
          <t>STRUTTO RAFFINATO I B VERDE    non contiene allergeni - F.lli Fiorentino Srl n° fatt 1/12232 - 30/09/2025</t>
        </is>
      </c>
    </row>
    <row r="14">
      <c r="A14" s="139" t="inlineStr">
        <is>
          <t>Ingrediente</t>
        </is>
      </c>
      <c r="B14" s="104" t="inlineStr">
        <is>
          <t>zucchero semolato  non contiene allergeni - f.lli fiorentino srl n° fatt 1/10655 - 26/08/2025</t>
        </is>
      </c>
      <c r="C14" s="140" t="inlineStr">
        <is>
          <t>Ingrediente</t>
        </is>
      </c>
      <c r="D14" s="104" t="inlineStr">
        <is>
          <t>zucchero semolato  non contiene allergeni - f.lli fiorentino srl n° fatt 1/10655 - 26/08/2025</t>
        </is>
      </c>
    </row>
    <row r="15">
      <c r="A15" s="139" t="inlineStr">
        <is>
          <t>Ingrediente</t>
        </is>
      </c>
      <c r="B15" s="104" t="inlineStr">
        <is>
          <t>SALE SACCHI SALTECHNO KG.25    non contiene allergeni - F.lli Fiorentino Srl n° fatt 1/11430 - 12/09/2025</t>
        </is>
      </c>
      <c r="C15" s="140" t="inlineStr">
        <is>
          <t>Ingrediente</t>
        </is>
      </c>
      <c r="D15" s="104" t="inlineStr">
        <is>
          <t>SALE SACCHI SALTECHNO KG.25    non contiene allergeni - F.lli Fiorentino Srl n° fatt 1/11430 - 12/09/2025</t>
        </is>
      </c>
    </row>
    <row r="16">
      <c r="A16" s="139" t="inlineStr">
        <is>
          <t>Ingrediente</t>
        </is>
      </c>
      <c r="B16" s="104" t="inlineStr"/>
      <c r="C16" s="140" t="inlineStr">
        <is>
          <t>Ingrediente</t>
        </is>
      </c>
      <c r="D16" s="104" t="inlineStr"/>
    </row>
    <row r="17">
      <c r="A17" s="139" t="inlineStr">
        <is>
          <t>Ingrediente</t>
        </is>
      </c>
      <c r="B17" s="104" t="inlineStr"/>
      <c r="C17" s="140" t="inlineStr">
        <is>
          <t>Ingrediente</t>
        </is>
      </c>
      <c r="D17" s="104" t="inlineStr"/>
    </row>
    <row r="18">
      <c r="A18" s="139" t="inlineStr">
        <is>
          <t>Ingrediente</t>
        </is>
      </c>
      <c r="B18" s="104" t="n">
        <v>0</v>
      </c>
      <c r="C18" s="140" t="inlineStr">
        <is>
          <t>Ingrediente</t>
        </is>
      </c>
      <c r="D18" s="104" t="n">
        <v>0</v>
      </c>
    </row>
    <row r="19">
      <c r="A19" s="139" t="inlineStr">
        <is>
          <t>Ingrediente</t>
        </is>
      </c>
      <c r="B19" s="104" t="n">
        <v>0</v>
      </c>
      <c r="C19" s="140" t="inlineStr">
        <is>
          <t>Ingrediente</t>
        </is>
      </c>
      <c r="D19" s="104" t="n">
        <v>0</v>
      </c>
    </row>
    <row r="20">
      <c r="A20" s="139" t="inlineStr">
        <is>
          <t>Ingrediente</t>
        </is>
      </c>
      <c r="B20" s="104" t="inlineStr"/>
      <c r="C20" s="140" t="inlineStr">
        <is>
          <t>Ingrediente</t>
        </is>
      </c>
      <c r="D20" s="104" t="inlineStr"/>
    </row>
    <row r="21">
      <c r="A21" s="139" t="inlineStr">
        <is>
          <t>Ingrediente</t>
        </is>
      </c>
      <c r="B21" s="104" t="inlineStr"/>
      <c r="C21" s="140" t="inlineStr">
        <is>
          <t>Ingrediente</t>
        </is>
      </c>
      <c r="D21" s="104" t="inlineStr"/>
    </row>
    <row r="22">
      <c r="A22" s="139" t="inlineStr">
        <is>
          <t>Ingrediente</t>
        </is>
      </c>
      <c r="B22" s="104" t="inlineStr"/>
      <c r="C22" s="140" t="inlineStr">
        <is>
          <t>Ingrediente</t>
        </is>
      </c>
      <c r="D22" s="104" t="inlineStr"/>
    </row>
    <row r="23">
      <c r="A23" s="139" t="inlineStr">
        <is>
          <t>Ingrediente</t>
        </is>
      </c>
      <c r="B23" s="104" t="inlineStr"/>
      <c r="C23" s="140" t="inlineStr">
        <is>
          <t>Ingrediente</t>
        </is>
      </c>
      <c r="D23" s="104" t="inlineStr"/>
    </row>
    <row r="24">
      <c r="A24" s="139" t="inlineStr">
        <is>
          <t>Ingrediente</t>
        </is>
      </c>
      <c r="B24" s="104" t="inlineStr"/>
      <c r="C24" s="140" t="inlineStr">
        <is>
          <t>Ingrediente</t>
        </is>
      </c>
      <c r="D24" s="104" t="inlineStr"/>
    </row>
    <row r="25">
      <c r="A25" s="139" t="inlineStr">
        <is>
          <t>Ingrediente</t>
        </is>
      </c>
      <c r="B25" s="104" t="inlineStr"/>
      <c r="C25" s="140" t="inlineStr">
        <is>
          <t>Ingrediente</t>
        </is>
      </c>
      <c r="D25" s="104" t="inlineStr"/>
    </row>
    <row r="26">
      <c r="A26" s="139" t="inlineStr">
        <is>
          <t>Ingrediente</t>
        </is>
      </c>
      <c r="B26" s="104" t="n">
        <v>0</v>
      </c>
      <c r="C26" s="140" t="inlineStr">
        <is>
          <t>Ingrediente</t>
        </is>
      </c>
      <c r="D26" s="104" t="n">
        <v>0</v>
      </c>
    </row>
    <row r="27">
      <c r="A27" s="139" t="inlineStr">
        <is>
          <t>Data</t>
        </is>
      </c>
      <c r="B27" s="163" t="n">
        <v>46012</v>
      </c>
      <c r="C27" s="139" t="inlineStr">
        <is>
          <t>Data</t>
        </is>
      </c>
      <c r="D27" s="163" t="n">
        <v>46012</v>
      </c>
    </row>
    <row r="28">
      <c r="A28" s="87" t="inlineStr">
        <is>
          <t>Scadenza</t>
        </is>
      </c>
      <c r="B28" s="163" t="n">
        <v>46032</v>
      </c>
      <c r="C28" s="87" t="inlineStr">
        <is>
          <t>Scadenza</t>
        </is>
      </c>
      <c r="D28" s="163" t="n">
        <v>46032</v>
      </c>
    </row>
    <row r="29">
      <c r="A29" s="87" t="inlineStr">
        <is>
          <t>Lotto</t>
        </is>
      </c>
      <c r="B29" s="163" t="n">
        <v>46012</v>
      </c>
      <c r="C29" s="87" t="inlineStr">
        <is>
          <t>Lotto</t>
        </is>
      </c>
      <c r="D29" s="163" t="n">
        <v>46012</v>
      </c>
    </row>
    <row r="30" ht="13.5" customHeight="1" s="155" thickBot="1">
      <c r="A30" s="88" t="inlineStr">
        <is>
          <t>Etichetta</t>
        </is>
      </c>
      <c r="B30" s="106" t="inlineStr">
        <is>
          <t>pasticcino limone - contiene allergeni - prodotto il giorno 21/12/2025</t>
        </is>
      </c>
      <c r="C30" s="88" t="inlineStr">
        <is>
          <t>Etichetta</t>
        </is>
      </c>
      <c r="D30" s="106" t="inlineStr">
        <is>
          <t>pasticcino limone - contiene allergeni - prodotto il giorno 21/12/2025</t>
        </is>
      </c>
    </row>
    <row r="31">
      <c r="A31" s="89" t="n"/>
      <c r="B31" s="89" t="n"/>
      <c r="C31" s="89" t="n"/>
      <c r="D31" s="89" t="n"/>
    </row>
    <row r="32">
      <c r="A32" s="89" t="n"/>
      <c r="B32" s="89" t="n"/>
      <c r="C32" s="89" t="n"/>
      <c r="D32" s="89" t="n"/>
    </row>
    <row r="33">
      <c r="A33" s="89" t="n"/>
      <c r="B33" s="89" t="n"/>
      <c r="C33" s="89" t="n"/>
      <c r="D33" s="89" t="n"/>
    </row>
    <row r="34">
      <c r="A34" s="89" t="n"/>
      <c r="B34" s="89" t="n"/>
      <c r="C34" s="89" t="n"/>
      <c r="D34" s="89" t="n"/>
    </row>
  </sheetData>
  <mergeCells count="2">
    <mergeCell ref="B8:C8"/>
    <mergeCell ref="A1:D3"/>
  </mergeCells>
  <pageMargins left="0" right="0" top="0" bottom="0" header="0" footer="0"/>
  <pageSetup orientation="portrait" paperSize="150" fitToWidth="0" horizontalDpi="203" verticalDpi="20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tBinLookup2">
    <outlinePr summaryBelow="1" summaryRight="1"/>
    <pageSetUpPr autoPageBreaks="0" fitToPage="1"/>
  </sheetPr>
  <dimension ref="A1:T1709"/>
  <sheetViews>
    <sheetView topLeftCell="A70" zoomScale="115" zoomScaleNormal="115" workbookViewId="0">
      <pane xSplit="1" topLeftCell="B1" activePane="topRight" state="frozen"/>
      <selection activeCell="A139" sqref="A139"/>
      <selection pane="topRight" activeCell="B86" sqref="B86"/>
    </sheetView>
  </sheetViews>
  <sheetFormatPr baseColWidth="8" defaultColWidth="44.33203125" defaultRowHeight="15" customHeight="1"/>
  <cols>
    <col width="21.109375" customWidth="1" style="133" min="1" max="1"/>
    <col width="65.33203125" bestFit="1" customWidth="1" style="125" min="2" max="2"/>
    <col width="46.88671875" bestFit="1" customWidth="1" style="125" min="3" max="3"/>
    <col width="57.21875" bestFit="1" customWidth="1" style="125" min="4" max="4"/>
    <col width="49.88671875" bestFit="1" customWidth="1" style="125" min="5" max="5"/>
    <col width="49.44140625" bestFit="1" customWidth="1" style="125" min="6" max="6"/>
    <col width="47.33203125" bestFit="1" customWidth="1" style="125" min="7" max="7"/>
    <col width="46.33203125" bestFit="1" customWidth="1" style="125" min="8" max="8"/>
    <col width="48.5546875" bestFit="1" customWidth="1" style="125" min="9" max="9"/>
    <col width="45.6640625" bestFit="1" customWidth="1" style="125" min="10" max="10"/>
    <col width="33.109375" bestFit="1" customWidth="1" style="125" min="11" max="11"/>
    <col width="8.44140625" bestFit="1" customWidth="1" style="125" min="12" max="12"/>
    <col width="8.6640625" bestFit="1" customWidth="1" style="125" min="13" max="16"/>
    <col width="14" bestFit="1" customWidth="1" style="164" min="17" max="17"/>
    <col width="13" bestFit="1" customWidth="1" style="164" min="18" max="18"/>
    <col width="14" bestFit="1" customWidth="1" style="164" min="19" max="19"/>
    <col width="40.21875" bestFit="1" customWidth="1" style="133" min="20" max="20"/>
    <col width="44.33203125" customWidth="1" style="133" min="21" max="16384"/>
  </cols>
  <sheetData>
    <row r="1" ht="15" customFormat="1" customHeight="1" s="53">
      <c r="A1" s="52" t="inlineStr">
        <is>
          <t>prodotto</t>
        </is>
      </c>
      <c r="B1" s="52" t="inlineStr">
        <is>
          <t>Colonna1</t>
        </is>
      </c>
      <c r="C1" s="52" t="inlineStr">
        <is>
          <t>Colonna2</t>
        </is>
      </c>
      <c r="D1" s="52" t="inlineStr">
        <is>
          <t>Colonna3</t>
        </is>
      </c>
      <c r="E1" s="52" t="inlineStr">
        <is>
          <t>Colonna4</t>
        </is>
      </c>
      <c r="F1" s="52" t="inlineStr">
        <is>
          <t>Colonna5</t>
        </is>
      </c>
      <c r="G1" s="52" t="inlineStr">
        <is>
          <t>Colonna6</t>
        </is>
      </c>
      <c r="H1" s="52" t="inlineStr">
        <is>
          <t>Colonna7</t>
        </is>
      </c>
      <c r="I1" s="52" t="inlineStr">
        <is>
          <t>Colonna8</t>
        </is>
      </c>
      <c r="J1" s="52" t="inlineStr">
        <is>
          <t>Colonna9</t>
        </is>
      </c>
      <c r="K1" s="52" t="inlineStr">
        <is>
          <t>Colonna10</t>
        </is>
      </c>
      <c r="L1" s="52" t="inlineStr">
        <is>
          <t>Colonna11</t>
        </is>
      </c>
      <c r="M1" s="52" t="inlineStr">
        <is>
          <t>Colonna12</t>
        </is>
      </c>
      <c r="N1" s="52" t="inlineStr">
        <is>
          <t>Colonna13</t>
        </is>
      </c>
      <c r="O1" s="52" t="inlineStr">
        <is>
          <t>Colonna14</t>
        </is>
      </c>
      <c r="P1" s="52" t="inlineStr">
        <is>
          <t>Colonna15</t>
        </is>
      </c>
      <c r="Q1" s="52" t="inlineStr">
        <is>
          <t>PRODUZIONE</t>
        </is>
      </c>
      <c r="R1" s="52" t="inlineStr">
        <is>
          <t>Scadenza</t>
        </is>
      </c>
      <c r="S1" s="52" t="inlineStr">
        <is>
          <t xml:space="preserve">Lotto </t>
        </is>
      </c>
      <c r="T1" s="52" t="inlineStr">
        <is>
          <t>etichetta</t>
        </is>
      </c>
    </row>
    <row r="2" ht="15" customHeight="1" s="155">
      <c r="A2" s="133">
        <f>ric!B2</f>
        <v/>
      </c>
      <c r="B2" s="125">
        <f>ric!C2</f>
        <v/>
      </c>
      <c r="C2" s="125">
        <f>ric!D2</f>
        <v/>
      </c>
      <c r="D2" s="125">
        <f>ric!E2</f>
        <v/>
      </c>
      <c r="E2" s="125">
        <f>ric!F2</f>
        <v/>
      </c>
      <c r="F2" s="125">
        <f>ric!G2</f>
        <v/>
      </c>
      <c r="G2" s="125">
        <f>ric!H2</f>
        <v/>
      </c>
      <c r="H2" s="125">
        <f>ric!I2</f>
        <v/>
      </c>
      <c r="I2" s="125">
        <f>ric!J2</f>
        <v/>
      </c>
      <c r="J2" s="125">
        <f>ric!K2</f>
        <v/>
      </c>
      <c r="K2" s="125">
        <f>ric!L2</f>
        <v/>
      </c>
      <c r="L2" s="125">
        <f>ric!M2</f>
        <v/>
      </c>
      <c r="M2" s="125">
        <f>ric!N2</f>
        <v/>
      </c>
      <c r="N2" s="125">
        <f>ric!O2</f>
        <v/>
      </c>
      <c r="O2" s="125">
        <f>ric!P2</f>
        <v/>
      </c>
      <c r="P2" s="125">
        <f>ric!Q2</f>
        <v/>
      </c>
      <c r="Q2" s="165">
        <f>TODAY()</f>
        <v/>
      </c>
      <c r="R2" s="165">
        <f>ElencoProdotti[[#This Row],[PRODUZIONE]]+20</f>
        <v/>
      </c>
      <c r="S2" s="165">
        <f>TODAY()</f>
        <v/>
      </c>
      <c r="T2" s="133">
        <f>CONCATENATE(A2," - contiene allergni - prodotto il giorno ",TEXT(Q2,"gg/mm/aaaa"),"")</f>
        <v/>
      </c>
    </row>
    <row r="3" ht="15" customHeight="1" s="155">
      <c r="A3" s="133">
        <f>ric!B482</f>
        <v/>
      </c>
      <c r="B3" s="125">
        <f>ric!C482</f>
        <v/>
      </c>
      <c r="C3" s="125">
        <f>ric!D482</f>
        <v/>
      </c>
      <c r="D3" s="125">
        <f>ric!E482</f>
        <v/>
      </c>
      <c r="E3" s="125">
        <f>ric!F482</f>
        <v/>
      </c>
      <c r="F3" s="125">
        <f>ric!G482</f>
        <v/>
      </c>
      <c r="G3" s="125">
        <f>ric!H482</f>
        <v/>
      </c>
      <c r="H3" s="125">
        <f>ric!I482</f>
        <v/>
      </c>
      <c r="I3" s="125">
        <f>ric!J482</f>
        <v/>
      </c>
      <c r="J3" s="125">
        <f>ric!K482</f>
        <v/>
      </c>
      <c r="K3" s="125">
        <f>ric!L482</f>
        <v/>
      </c>
      <c r="L3" s="125">
        <f>ric!M482</f>
        <v/>
      </c>
      <c r="M3" s="125">
        <f>ric!N482</f>
        <v/>
      </c>
      <c r="N3" s="125">
        <f>ric!O482</f>
        <v/>
      </c>
      <c r="O3" s="125">
        <f>ric!P482</f>
        <v/>
      </c>
      <c r="P3" s="125">
        <f>ric!Q482</f>
        <v/>
      </c>
      <c r="Q3" s="166">
        <f>TODAY()</f>
        <v/>
      </c>
      <c r="R3" s="165">
        <f>ElencoProdotti[[#This Row],[PRODUZIONE]]+20</f>
        <v/>
      </c>
      <c r="S3" s="165">
        <f>TODAY()</f>
        <v/>
      </c>
      <c r="T3" s="133">
        <f>CONCATENATE(A3," - contiene allergni - prodotto il giorno ",TEXT(Q3,"gg/mm/aaaa"),"")</f>
        <v/>
      </c>
    </row>
    <row r="4" ht="15" customHeight="1" s="155">
      <c r="A4" s="133">
        <f>ric!B498</f>
        <v/>
      </c>
      <c r="B4" s="125">
        <f>ric!C498</f>
        <v/>
      </c>
      <c r="C4" s="125">
        <f>ric!D498</f>
        <v/>
      </c>
      <c r="D4" s="125">
        <f>ric!E498</f>
        <v/>
      </c>
      <c r="E4" s="125">
        <f>ric!F498</f>
        <v/>
      </c>
      <c r="F4" s="125">
        <f>ric!G498</f>
        <v/>
      </c>
      <c r="G4" s="125">
        <f>ric!H498</f>
        <v/>
      </c>
      <c r="H4" s="125">
        <f>ric!I498</f>
        <v/>
      </c>
      <c r="I4" s="125">
        <f>ric!J498</f>
        <v/>
      </c>
      <c r="J4" s="125">
        <f>ric!K498</f>
        <v/>
      </c>
      <c r="K4" s="125">
        <f>ric!L498</f>
        <v/>
      </c>
      <c r="L4" s="125">
        <f>ric!M498</f>
        <v/>
      </c>
      <c r="M4" s="125">
        <f>ric!N498</f>
        <v/>
      </c>
      <c r="N4" s="125">
        <f>ric!O498</f>
        <v/>
      </c>
      <c r="O4" s="125">
        <f>ric!P498</f>
        <v/>
      </c>
      <c r="P4" s="125">
        <f>ric!Q498</f>
        <v/>
      </c>
      <c r="Q4" s="166">
        <f>TODAY()</f>
        <v/>
      </c>
      <c r="R4" s="165">
        <f>ElencoProdotti[[#This Row],[PRODUZIONE]]+20</f>
        <v/>
      </c>
      <c r="S4" s="165">
        <f>TODAY()</f>
        <v/>
      </c>
      <c r="T4" s="133">
        <f>CONCATENATE(A4," - contiene allergni - prodotto il giorno ",TEXT(Q4,"gg/mm/aaaa"),"")</f>
        <v/>
      </c>
    </row>
    <row r="5" ht="15" customHeight="1" s="155">
      <c r="A5" s="133">
        <f>ric!B514</f>
        <v/>
      </c>
      <c r="B5" s="125">
        <f>ric!C514</f>
        <v/>
      </c>
      <c r="C5" s="125">
        <f>ric!D514</f>
        <v/>
      </c>
      <c r="D5" s="125">
        <f>ric!E514</f>
        <v/>
      </c>
      <c r="E5" s="125">
        <f>ric!F514</f>
        <v/>
      </c>
      <c r="F5" s="125">
        <f>ric!G514</f>
        <v/>
      </c>
      <c r="G5" s="125">
        <f>ric!H514</f>
        <v/>
      </c>
      <c r="H5" s="125">
        <f>ric!I514</f>
        <v/>
      </c>
      <c r="I5" s="125">
        <f>ric!J514</f>
        <v/>
      </c>
      <c r="J5" s="125">
        <f>ric!K514</f>
        <v/>
      </c>
      <c r="K5" s="125">
        <f>ric!L514</f>
        <v/>
      </c>
      <c r="L5" s="125">
        <f>ric!M514</f>
        <v/>
      </c>
      <c r="M5" s="125">
        <f>ric!N514</f>
        <v/>
      </c>
      <c r="N5" s="125">
        <f>ric!O514</f>
        <v/>
      </c>
      <c r="O5" s="125">
        <f>ric!P514</f>
        <v/>
      </c>
      <c r="P5" s="125">
        <f>ric!Q514</f>
        <v/>
      </c>
      <c r="Q5" s="166">
        <f>TODAY()</f>
        <v/>
      </c>
      <c r="R5" s="165">
        <f>ElencoProdotti[[#This Row],[PRODUZIONE]]+20</f>
        <v/>
      </c>
      <c r="S5" s="165">
        <f>TODAY()</f>
        <v/>
      </c>
      <c r="T5" s="133">
        <f>CONCATENATE(A5," - contiene allergni - prodotto il giorno ",TEXT(Q5,"gg/mm/aaaa"),"")</f>
        <v/>
      </c>
    </row>
    <row r="6" ht="15" customHeight="1" s="155">
      <c r="A6" s="133">
        <f>ric!B530</f>
        <v/>
      </c>
      <c r="B6" s="125">
        <f>ric!C530</f>
        <v/>
      </c>
      <c r="C6" s="125">
        <f>ric!D530</f>
        <v/>
      </c>
      <c r="D6" s="125">
        <f>ric!E530</f>
        <v/>
      </c>
      <c r="E6" s="125">
        <f>ric!F530</f>
        <v/>
      </c>
      <c r="F6" s="125">
        <f>ric!G530</f>
        <v/>
      </c>
      <c r="G6" s="125">
        <f>ric!H530</f>
        <v/>
      </c>
      <c r="H6" s="125">
        <f>ric!I530</f>
        <v/>
      </c>
      <c r="I6" s="125">
        <f>ric!J530</f>
        <v/>
      </c>
      <c r="J6" s="125">
        <f>ric!K530</f>
        <v/>
      </c>
      <c r="K6" s="125">
        <f>ric!L530</f>
        <v/>
      </c>
      <c r="L6" s="125">
        <f>ric!M530</f>
        <v/>
      </c>
      <c r="M6" s="125">
        <f>ric!N530</f>
        <v/>
      </c>
      <c r="N6" s="125">
        <f>ric!O530</f>
        <v/>
      </c>
      <c r="O6" s="125">
        <f>ric!P530</f>
        <v/>
      </c>
      <c r="P6" s="125">
        <f>ric!Q530</f>
        <v/>
      </c>
      <c r="Q6" s="166">
        <f>TODAY()</f>
        <v/>
      </c>
      <c r="R6" s="165">
        <f>ElencoProdotti[[#This Row],[PRODUZIONE]]+20</f>
        <v/>
      </c>
      <c r="S6" s="165">
        <f>TODAY()</f>
        <v/>
      </c>
      <c r="T6" s="133">
        <f>CONCATENATE(A6," - contiene allergni - prodotto il giorno ",TEXT(Q6,"gg/mm/aaaa"),"")</f>
        <v/>
      </c>
    </row>
    <row r="7" ht="15" customHeight="1" s="155">
      <c r="A7" s="133">
        <f>ric!B546</f>
        <v/>
      </c>
      <c r="B7" s="125">
        <f>ric!C546</f>
        <v/>
      </c>
      <c r="C7" s="125">
        <f>ric!D546</f>
        <v/>
      </c>
      <c r="D7" s="125">
        <f>ric!E546</f>
        <v/>
      </c>
      <c r="E7" s="125">
        <f>ric!F546</f>
        <v/>
      </c>
      <c r="F7" s="125">
        <f>ric!G546</f>
        <v/>
      </c>
      <c r="G7" s="125">
        <f>ric!H546</f>
        <v/>
      </c>
      <c r="H7" s="125">
        <f>ric!I546</f>
        <v/>
      </c>
      <c r="I7" s="125">
        <f>ric!J546</f>
        <v/>
      </c>
      <c r="J7" s="125">
        <f>ric!K546</f>
        <v/>
      </c>
      <c r="K7" s="125">
        <f>ric!L546</f>
        <v/>
      </c>
      <c r="L7" s="125">
        <f>ric!M546</f>
        <v/>
      </c>
      <c r="M7" s="125">
        <f>ric!N546</f>
        <v/>
      </c>
      <c r="N7" s="125">
        <f>ric!O546</f>
        <v/>
      </c>
      <c r="O7" s="125">
        <f>ric!P546</f>
        <v/>
      </c>
      <c r="P7" s="125">
        <f>ric!Q546</f>
        <v/>
      </c>
      <c r="Q7" s="166">
        <f>TODAY()</f>
        <v/>
      </c>
      <c r="R7" s="165">
        <f>ElencoProdotti[[#This Row],[PRODUZIONE]]+20</f>
        <v/>
      </c>
      <c r="S7" s="165">
        <f>TODAY()</f>
        <v/>
      </c>
      <c r="T7" s="133">
        <f>CONCATENATE(A7," - contiene allergni - prodotto il giorno ",TEXT(Q7,"gg/mm/aaaa"),"")</f>
        <v/>
      </c>
    </row>
    <row r="8" ht="15" customHeight="1" s="155">
      <c r="A8" s="133">
        <f>ric!B562</f>
        <v/>
      </c>
      <c r="B8" s="125">
        <f>ric!C562</f>
        <v/>
      </c>
      <c r="C8" s="125">
        <f>ric!D562</f>
        <v/>
      </c>
      <c r="D8" s="125">
        <f>ric!E562</f>
        <v/>
      </c>
      <c r="E8" s="125">
        <f>ric!F562</f>
        <v/>
      </c>
      <c r="F8" s="125">
        <f>ric!G562</f>
        <v/>
      </c>
      <c r="G8" s="125">
        <f>ric!H562</f>
        <v/>
      </c>
      <c r="H8" s="125">
        <f>ric!I562</f>
        <v/>
      </c>
      <c r="I8" s="125">
        <f>ric!J562</f>
        <v/>
      </c>
      <c r="J8" s="125">
        <f>ric!K562</f>
        <v/>
      </c>
      <c r="K8" s="125">
        <f>ric!L562</f>
        <v/>
      </c>
      <c r="L8" s="125">
        <f>ric!M562</f>
        <v/>
      </c>
      <c r="M8" s="125">
        <f>ric!N562</f>
        <v/>
      </c>
      <c r="N8" s="125">
        <f>ric!O562</f>
        <v/>
      </c>
      <c r="O8" s="125">
        <f>ric!P562</f>
        <v/>
      </c>
      <c r="P8" s="125">
        <f>ric!Q562</f>
        <v/>
      </c>
      <c r="Q8" s="166">
        <f>TODAY()</f>
        <v/>
      </c>
      <c r="R8" s="165">
        <f>ElencoProdotti[[#This Row],[PRODUZIONE]]+20</f>
        <v/>
      </c>
      <c r="S8" s="165">
        <f>TODAY()</f>
        <v/>
      </c>
      <c r="T8" s="133">
        <f>CONCATENATE(A8," - contiene allergni - prodotto il giorno ",TEXT(Q8,"gg/mm/aaaa"),"")</f>
        <v/>
      </c>
    </row>
    <row r="9" ht="15" customHeight="1" s="155">
      <c r="A9" s="133">
        <f>ric!B578</f>
        <v/>
      </c>
      <c r="B9" s="125">
        <f>ric!C578</f>
        <v/>
      </c>
      <c r="C9" s="125">
        <f>ric!D578</f>
        <v/>
      </c>
      <c r="D9" s="125">
        <f>ric!E578</f>
        <v/>
      </c>
      <c r="E9" s="125">
        <f>ric!F578</f>
        <v/>
      </c>
      <c r="F9" s="125">
        <f>ric!G578</f>
        <v/>
      </c>
      <c r="G9" s="125">
        <f>ric!H578</f>
        <v/>
      </c>
      <c r="H9" s="125">
        <f>ric!I578</f>
        <v/>
      </c>
      <c r="I9" s="125">
        <f>ric!J578</f>
        <v/>
      </c>
      <c r="J9" s="125">
        <f>ric!K578</f>
        <v/>
      </c>
      <c r="K9" s="125">
        <f>ric!L578</f>
        <v/>
      </c>
      <c r="L9" s="125">
        <f>ric!M578</f>
        <v/>
      </c>
      <c r="M9" s="125">
        <f>ric!N578</f>
        <v/>
      </c>
      <c r="N9" s="125">
        <f>ric!O578</f>
        <v/>
      </c>
      <c r="O9" s="125">
        <f>ric!P578</f>
        <v/>
      </c>
      <c r="P9" s="125">
        <f>ric!Q578</f>
        <v/>
      </c>
      <c r="Q9" s="166">
        <f>TODAY()</f>
        <v/>
      </c>
      <c r="R9" s="165">
        <f>ElencoProdotti[[#This Row],[PRODUZIONE]]+20</f>
        <v/>
      </c>
      <c r="S9" s="165">
        <f>TODAY()</f>
        <v/>
      </c>
      <c r="T9" s="133">
        <f>CONCATENATE(A9," - contiene allergni - prodotto il giorno ",TEXT(Q9,"gg/mm/aaaa"),"")</f>
        <v/>
      </c>
    </row>
    <row r="10" ht="15" customHeight="1" s="155">
      <c r="A10" s="133">
        <f>ric!B594</f>
        <v/>
      </c>
      <c r="B10" s="125">
        <f>ric!C594</f>
        <v/>
      </c>
      <c r="C10" s="125">
        <f>ric!D594</f>
        <v/>
      </c>
      <c r="D10" s="125">
        <f>ric!E594</f>
        <v/>
      </c>
      <c r="E10" s="125">
        <f>ric!F594</f>
        <v/>
      </c>
      <c r="F10" s="125">
        <f>ric!G594</f>
        <v/>
      </c>
      <c r="G10" s="125">
        <f>ric!H594</f>
        <v/>
      </c>
      <c r="H10" s="125">
        <f>ric!I594</f>
        <v/>
      </c>
      <c r="I10" s="125">
        <f>ric!J594</f>
        <v/>
      </c>
      <c r="J10" s="125">
        <f>ric!K594</f>
        <v/>
      </c>
      <c r="K10" s="125">
        <f>ric!L594</f>
        <v/>
      </c>
      <c r="L10" s="125">
        <f>ric!M594</f>
        <v/>
      </c>
      <c r="M10" s="125">
        <f>ric!N594</f>
        <v/>
      </c>
      <c r="N10" s="125">
        <f>ric!O594</f>
        <v/>
      </c>
      <c r="O10" s="125">
        <f>ric!P594</f>
        <v/>
      </c>
      <c r="P10" s="125">
        <f>ric!Q594</f>
        <v/>
      </c>
      <c r="Q10" s="166">
        <f>TODAY()</f>
        <v/>
      </c>
      <c r="R10" s="165">
        <f>ElencoProdotti[[#This Row],[PRODUZIONE]]+20</f>
        <v/>
      </c>
      <c r="S10" s="165">
        <f>TODAY()</f>
        <v/>
      </c>
      <c r="T10" s="133">
        <f>CONCATENATE(A10," - contiene allergni - prodotto il giorno ",TEXT(Q10,"gg/mm/aaaa"),"")</f>
        <v/>
      </c>
    </row>
    <row r="11" ht="15" customHeight="1" s="155">
      <c r="A11" s="133">
        <f>ric!B610</f>
        <v/>
      </c>
      <c r="B11" s="125">
        <f>ric!C610</f>
        <v/>
      </c>
      <c r="C11" s="125">
        <f>ric!D610</f>
        <v/>
      </c>
      <c r="D11" s="125">
        <f>ric!E610</f>
        <v/>
      </c>
      <c r="E11" s="125">
        <f>ric!F610</f>
        <v/>
      </c>
      <c r="F11" s="125">
        <f>ric!G610</f>
        <v/>
      </c>
      <c r="G11" s="125">
        <f>ric!H610</f>
        <v/>
      </c>
      <c r="H11" s="125">
        <f>ric!I610</f>
        <v/>
      </c>
      <c r="I11" s="125">
        <f>ric!J610</f>
        <v/>
      </c>
      <c r="J11" s="125">
        <f>ric!K610</f>
        <v/>
      </c>
      <c r="K11" s="125">
        <f>ric!L610</f>
        <v/>
      </c>
      <c r="L11" s="125">
        <f>ric!M610</f>
        <v/>
      </c>
      <c r="M11" s="125">
        <f>ric!N610</f>
        <v/>
      </c>
      <c r="N11" s="125">
        <f>ric!O610</f>
        <v/>
      </c>
      <c r="O11" s="125">
        <f>ric!P610</f>
        <v/>
      </c>
      <c r="P11" s="125">
        <f>ric!Q610</f>
        <v/>
      </c>
      <c r="Q11" s="166">
        <f>TODAY()</f>
        <v/>
      </c>
      <c r="R11" s="165">
        <f>ElencoProdotti[[#This Row],[PRODUZIONE]]+20</f>
        <v/>
      </c>
      <c r="S11" s="165">
        <f>TODAY()</f>
        <v/>
      </c>
      <c r="T11" s="133">
        <f>CONCATENATE(A11," - contiene allergni - prodotto il giorno ",TEXT(Q11,"gg/mm/aaaa"),"")</f>
        <v/>
      </c>
    </row>
    <row r="12" ht="15" customHeight="1" s="155">
      <c r="A12" s="133">
        <f>ric!B626</f>
        <v/>
      </c>
      <c r="B12" s="125">
        <f>ric!C626</f>
        <v/>
      </c>
      <c r="C12" s="125">
        <f>ric!D626</f>
        <v/>
      </c>
      <c r="D12" s="125">
        <f>ric!E626</f>
        <v/>
      </c>
      <c r="E12" s="125">
        <f>ric!F626</f>
        <v/>
      </c>
      <c r="F12" s="125">
        <f>ric!G626</f>
        <v/>
      </c>
      <c r="G12" s="125">
        <f>ric!H626</f>
        <v/>
      </c>
      <c r="H12" s="125">
        <f>ric!I626</f>
        <v/>
      </c>
      <c r="I12" s="125">
        <f>ric!J626</f>
        <v/>
      </c>
      <c r="J12" s="125">
        <f>ric!K626</f>
        <v/>
      </c>
      <c r="K12" s="125">
        <f>ric!L626</f>
        <v/>
      </c>
      <c r="L12" s="125">
        <f>ric!M626</f>
        <v/>
      </c>
      <c r="M12" s="125">
        <f>ric!N626</f>
        <v/>
      </c>
      <c r="N12" s="125">
        <f>ric!O626</f>
        <v/>
      </c>
      <c r="O12" s="125">
        <f>ric!P626</f>
        <v/>
      </c>
      <c r="P12" s="125">
        <f>ric!Q626</f>
        <v/>
      </c>
      <c r="Q12" s="166">
        <f>TODAY()</f>
        <v/>
      </c>
      <c r="R12" s="165">
        <f>ElencoProdotti[[#This Row],[PRODUZIONE]]+20</f>
        <v/>
      </c>
      <c r="S12" s="165">
        <f>TODAY()</f>
        <v/>
      </c>
      <c r="T12" s="133">
        <f>CONCATENATE(A12," - contiene allergni - prodotto il giorno ",TEXT(Q12,"gg/mm/aaaa"),"")</f>
        <v/>
      </c>
    </row>
    <row r="13" ht="15" customHeight="1" s="155">
      <c r="A13" s="133">
        <f>ric!B642</f>
        <v/>
      </c>
      <c r="B13" s="125">
        <f>ric!C642</f>
        <v/>
      </c>
      <c r="C13" s="125">
        <f>ric!D642</f>
        <v/>
      </c>
      <c r="D13" s="125">
        <f>ric!E642</f>
        <v/>
      </c>
      <c r="E13" s="125">
        <f>ric!F642</f>
        <v/>
      </c>
      <c r="F13" s="125">
        <f>ric!G642</f>
        <v/>
      </c>
      <c r="G13" s="125">
        <f>ric!H642</f>
        <v/>
      </c>
      <c r="H13" s="125">
        <f>ric!I642</f>
        <v/>
      </c>
      <c r="I13" s="125">
        <f>ric!J642</f>
        <v/>
      </c>
      <c r="J13" s="125">
        <f>ric!K642</f>
        <v/>
      </c>
      <c r="K13" s="125">
        <f>ric!L642</f>
        <v/>
      </c>
      <c r="L13" s="125">
        <f>ric!M642</f>
        <v/>
      </c>
      <c r="M13" s="125">
        <f>ric!N642</f>
        <v/>
      </c>
      <c r="N13" s="125">
        <f>ric!O642</f>
        <v/>
      </c>
      <c r="O13" s="125">
        <f>ric!P642</f>
        <v/>
      </c>
      <c r="P13" s="125">
        <f>ric!Q642</f>
        <v/>
      </c>
      <c r="Q13" s="166">
        <f>TODAY()</f>
        <v/>
      </c>
      <c r="R13" s="165">
        <f>ElencoProdotti[[#This Row],[PRODUZIONE]]+20</f>
        <v/>
      </c>
      <c r="S13" s="165">
        <f>TODAY()</f>
        <v/>
      </c>
      <c r="T13" s="133">
        <f>CONCATENATE(A13," - contiene allergni - prodotto il giorno ",TEXT(Q13,"gg/mm/aaaa"),"")</f>
        <v/>
      </c>
    </row>
    <row r="14" ht="15" customHeight="1" s="155">
      <c r="A14" s="133">
        <f>ric!B658</f>
        <v/>
      </c>
      <c r="B14" s="125">
        <f>ric!C658</f>
        <v/>
      </c>
      <c r="C14" s="125">
        <f>ric!D658</f>
        <v/>
      </c>
      <c r="D14" s="125">
        <f>ric!E658</f>
        <v/>
      </c>
      <c r="E14" s="125">
        <f>ric!F658</f>
        <v/>
      </c>
      <c r="F14" s="125">
        <f>ric!G658</f>
        <v/>
      </c>
      <c r="G14" s="125">
        <f>ric!H658</f>
        <v/>
      </c>
      <c r="H14" s="125">
        <f>ric!I658</f>
        <v/>
      </c>
      <c r="I14" s="125">
        <f>ric!J658</f>
        <v/>
      </c>
      <c r="J14" s="125">
        <f>ric!K658</f>
        <v/>
      </c>
      <c r="K14" s="125">
        <f>ric!L658</f>
        <v/>
      </c>
      <c r="L14" s="125">
        <f>ric!M658</f>
        <v/>
      </c>
      <c r="M14" s="125">
        <f>ric!N658</f>
        <v/>
      </c>
      <c r="N14" s="125">
        <f>ric!O658</f>
        <v/>
      </c>
      <c r="O14" s="125">
        <f>ric!P658</f>
        <v/>
      </c>
      <c r="P14" s="125">
        <f>ric!Q658</f>
        <v/>
      </c>
      <c r="Q14" s="166">
        <f>TODAY()</f>
        <v/>
      </c>
      <c r="R14" s="165">
        <f>ElencoProdotti[[#This Row],[PRODUZIONE]]+20</f>
        <v/>
      </c>
      <c r="S14" s="165">
        <f>TODAY()</f>
        <v/>
      </c>
      <c r="T14" s="133">
        <f>CONCATENATE(A14," - contiene allergni - prodotto il giorno ",TEXT(Q14,"gg/mm/aaaa"),"")</f>
        <v/>
      </c>
    </row>
    <row r="15" ht="15" customHeight="1" s="155">
      <c r="A15" s="133">
        <f>ric!B674</f>
        <v/>
      </c>
      <c r="B15" s="125">
        <f>ric!C674</f>
        <v/>
      </c>
      <c r="C15" s="125">
        <f>ric!D674</f>
        <v/>
      </c>
      <c r="D15" s="125">
        <f>ric!E674</f>
        <v/>
      </c>
      <c r="E15" s="125">
        <f>ric!F674</f>
        <v/>
      </c>
      <c r="F15" s="125">
        <f>ric!G674</f>
        <v/>
      </c>
      <c r="G15" s="125">
        <f>ric!H674</f>
        <v/>
      </c>
      <c r="H15" s="125">
        <f>ric!I674</f>
        <v/>
      </c>
      <c r="I15" s="125">
        <f>ric!J674</f>
        <v/>
      </c>
      <c r="J15" s="125">
        <f>ric!K674</f>
        <v/>
      </c>
      <c r="K15" s="125">
        <f>ric!L674</f>
        <v/>
      </c>
      <c r="L15" s="125">
        <f>ric!M674</f>
        <v/>
      </c>
      <c r="M15" s="125">
        <f>ric!N674</f>
        <v/>
      </c>
      <c r="N15" s="125">
        <f>ric!O674</f>
        <v/>
      </c>
      <c r="O15" s="125">
        <f>ric!P674</f>
        <v/>
      </c>
      <c r="P15" s="125">
        <f>ric!Q674</f>
        <v/>
      </c>
      <c r="Q15" s="166">
        <f>TODAY()</f>
        <v/>
      </c>
      <c r="R15" s="165">
        <f>ElencoProdotti[[#This Row],[PRODUZIONE]]+20</f>
        <v/>
      </c>
      <c r="S15" s="165">
        <f>TODAY()</f>
        <v/>
      </c>
      <c r="T15" s="133">
        <f>CONCATENATE(A15," - contiene allergni - prodotto il giorno ",TEXT(Q15,"gg/mm/aaaa"),"")</f>
        <v/>
      </c>
    </row>
    <row r="16" ht="15" customHeight="1" s="155">
      <c r="A16" s="133">
        <f>ric!B690</f>
        <v/>
      </c>
      <c r="B16" s="125">
        <f>ric!C690</f>
        <v/>
      </c>
      <c r="C16" s="125">
        <f>ric!D690</f>
        <v/>
      </c>
      <c r="D16" s="125">
        <f>ric!E690</f>
        <v/>
      </c>
      <c r="E16" s="125">
        <f>ric!F690</f>
        <v/>
      </c>
      <c r="F16" s="125">
        <f>ric!G690</f>
        <v/>
      </c>
      <c r="G16" s="125">
        <f>ric!H690</f>
        <v/>
      </c>
      <c r="H16" s="125">
        <f>ric!I690</f>
        <v/>
      </c>
      <c r="I16" s="125">
        <f>ric!J690</f>
        <v/>
      </c>
      <c r="J16" s="125">
        <f>ric!K690</f>
        <v/>
      </c>
      <c r="K16" s="125">
        <f>ric!L690</f>
        <v/>
      </c>
      <c r="L16" s="125">
        <f>ric!M690</f>
        <v/>
      </c>
      <c r="M16" s="125">
        <f>ric!N690</f>
        <v/>
      </c>
      <c r="N16" s="125">
        <f>ric!O690</f>
        <v/>
      </c>
      <c r="O16" s="125">
        <f>ric!P690</f>
        <v/>
      </c>
      <c r="P16" s="125">
        <f>ric!Q690</f>
        <v/>
      </c>
      <c r="Q16" s="166">
        <f>TODAY()</f>
        <v/>
      </c>
      <c r="R16" s="165">
        <f>ElencoProdotti[[#This Row],[PRODUZIONE]]+20</f>
        <v/>
      </c>
      <c r="S16" s="165">
        <f>TODAY()</f>
        <v/>
      </c>
      <c r="T16" s="133">
        <f>CONCATENATE(A16," - contiene allergni - prodotto il giorno ",TEXT(Q16,"gg/mm/aaaa"),"")</f>
        <v/>
      </c>
    </row>
    <row r="17" ht="15" customHeight="1" s="155">
      <c r="A17" s="133">
        <f>ric!B706</f>
        <v/>
      </c>
      <c r="B17" s="125">
        <f>ric!C706</f>
        <v/>
      </c>
      <c r="C17" s="125">
        <f>ric!D706</f>
        <v/>
      </c>
      <c r="D17" s="125">
        <f>ric!E706</f>
        <v/>
      </c>
      <c r="E17" s="125">
        <f>ric!F706</f>
        <v/>
      </c>
      <c r="F17" s="125">
        <f>ric!G706</f>
        <v/>
      </c>
      <c r="G17" s="125">
        <f>ric!H706</f>
        <v/>
      </c>
      <c r="H17" s="125">
        <f>ric!I706</f>
        <v/>
      </c>
      <c r="I17" s="125">
        <f>ric!J706</f>
        <v/>
      </c>
      <c r="J17" s="125">
        <f>ric!K706</f>
        <v/>
      </c>
      <c r="K17" s="125">
        <f>ric!L706</f>
        <v/>
      </c>
      <c r="L17" s="125">
        <f>ric!M706</f>
        <v/>
      </c>
      <c r="M17" s="125">
        <f>ric!N706</f>
        <v/>
      </c>
      <c r="N17" s="125">
        <f>ric!O706</f>
        <v/>
      </c>
      <c r="O17" s="125">
        <f>ric!P706</f>
        <v/>
      </c>
      <c r="P17" s="125">
        <f>ric!Q706</f>
        <v/>
      </c>
      <c r="Q17" s="166">
        <f>TODAY()</f>
        <v/>
      </c>
      <c r="R17" s="165">
        <f>ElencoProdotti[[#This Row],[PRODUZIONE]]+20</f>
        <v/>
      </c>
      <c r="S17" s="165">
        <f>TODAY()</f>
        <v/>
      </c>
      <c r="T17" s="133">
        <f>CONCATENATE(A17," - contiene allergni - prodotto il giorno ",TEXT(Q17,"gg/mm/aaaa"),"")</f>
        <v/>
      </c>
    </row>
    <row r="18" ht="15" customHeight="1" s="155">
      <c r="A18" s="133">
        <f>ric!B722</f>
        <v/>
      </c>
      <c r="B18" s="125">
        <f>ric!C722</f>
        <v/>
      </c>
      <c r="C18" s="125">
        <f>ric!D722</f>
        <v/>
      </c>
      <c r="D18" s="125">
        <f>ric!E722</f>
        <v/>
      </c>
      <c r="E18" s="125">
        <f>ric!F722</f>
        <v/>
      </c>
      <c r="F18" s="125">
        <f>ric!G722</f>
        <v/>
      </c>
      <c r="G18" s="125">
        <f>ric!H722</f>
        <v/>
      </c>
      <c r="H18" s="125">
        <f>ric!I722</f>
        <v/>
      </c>
      <c r="I18" s="125">
        <f>ric!J722</f>
        <v/>
      </c>
      <c r="J18" s="125">
        <f>ric!K722</f>
        <v/>
      </c>
      <c r="K18" s="59">
        <f>ric!L722</f>
        <v/>
      </c>
      <c r="L18" s="125">
        <f>ric!M722</f>
        <v/>
      </c>
      <c r="M18" s="125">
        <f>ric!N722</f>
        <v/>
      </c>
      <c r="N18" s="125">
        <f>ric!O722</f>
        <v/>
      </c>
      <c r="O18" s="125">
        <f>ric!P722</f>
        <v/>
      </c>
      <c r="P18" s="125">
        <f>ric!Q722</f>
        <v/>
      </c>
      <c r="Q18" s="166">
        <f>TODAY()</f>
        <v/>
      </c>
      <c r="R18" s="165">
        <f>ElencoProdotti[[#This Row],[PRODUZIONE]]+20</f>
        <v/>
      </c>
      <c r="S18" s="165">
        <f>TODAY()</f>
        <v/>
      </c>
      <c r="T18" s="133">
        <f>CONCATENATE(A18," - contiene allergni - prodotto il giorno ",TEXT(Q18,"gg/mm/aaaa"),"")</f>
        <v/>
      </c>
    </row>
    <row r="19" ht="15" customHeight="1" s="155">
      <c r="A19" s="133">
        <f>ric!B738</f>
        <v/>
      </c>
      <c r="B19" s="125">
        <f>ric!C738</f>
        <v/>
      </c>
      <c r="C19" s="125">
        <f>ric!D738</f>
        <v/>
      </c>
      <c r="D19" s="125">
        <f>ric!E738</f>
        <v/>
      </c>
      <c r="E19" s="125">
        <f>ric!F738</f>
        <v/>
      </c>
      <c r="F19" s="125">
        <f>ric!G738</f>
        <v/>
      </c>
      <c r="G19" s="125">
        <f>ric!H738</f>
        <v/>
      </c>
      <c r="H19" s="125">
        <f>ric!I738</f>
        <v/>
      </c>
      <c r="I19" s="125">
        <f>ric!J738</f>
        <v/>
      </c>
      <c r="J19" s="125">
        <f>ric!K738</f>
        <v/>
      </c>
      <c r="K19" s="125">
        <f>ric!L738</f>
        <v/>
      </c>
      <c r="L19" s="125">
        <f>ric!M738</f>
        <v/>
      </c>
      <c r="M19" s="125">
        <f>ric!N738</f>
        <v/>
      </c>
      <c r="N19" s="125">
        <f>ric!O738</f>
        <v/>
      </c>
      <c r="O19" s="125">
        <f>ric!P738</f>
        <v/>
      </c>
      <c r="P19" s="125">
        <f>ric!Q738</f>
        <v/>
      </c>
      <c r="Q19" s="166">
        <f>TODAY()</f>
        <v/>
      </c>
      <c r="R19" s="165">
        <f>ElencoProdotti[[#This Row],[PRODUZIONE]]+20</f>
        <v/>
      </c>
      <c r="S19" s="165">
        <f>TODAY()</f>
        <v/>
      </c>
      <c r="T19" s="133">
        <f>CONCATENATE(A19," - contiene allergni - prodotto il giorno ",TEXT(Q19,"gg/mm/aaaa"),"")</f>
        <v/>
      </c>
    </row>
    <row r="20" ht="15" customHeight="1" s="155">
      <c r="A20" s="133">
        <f>ric!B754</f>
        <v/>
      </c>
      <c r="B20" s="125">
        <f>ric!C754</f>
        <v/>
      </c>
      <c r="C20" s="125">
        <f>ric!D754</f>
        <v/>
      </c>
      <c r="D20" s="125">
        <f>ric!E754</f>
        <v/>
      </c>
      <c r="E20" s="125">
        <f>ric!F754</f>
        <v/>
      </c>
      <c r="F20" s="125">
        <f>ric!G754</f>
        <v/>
      </c>
      <c r="G20" s="125">
        <f>ric!H754</f>
        <v/>
      </c>
      <c r="H20" s="125">
        <f>ric!I754</f>
        <v/>
      </c>
      <c r="I20" s="125">
        <f>ric!J754</f>
        <v/>
      </c>
      <c r="J20" s="125">
        <f>ric!K754</f>
        <v/>
      </c>
      <c r="K20" s="125">
        <f>ric!L754</f>
        <v/>
      </c>
      <c r="L20" s="125">
        <f>ric!M754</f>
        <v/>
      </c>
      <c r="M20" s="125">
        <f>ric!N754</f>
        <v/>
      </c>
      <c r="N20" s="125">
        <f>ric!O754</f>
        <v/>
      </c>
      <c r="O20" s="125">
        <f>ric!P754</f>
        <v/>
      </c>
      <c r="P20" s="125">
        <f>ric!Q754</f>
        <v/>
      </c>
      <c r="Q20" s="166">
        <f>TODAY()</f>
        <v/>
      </c>
      <c r="R20" s="165">
        <f>ElencoProdotti[[#This Row],[PRODUZIONE]]+20</f>
        <v/>
      </c>
      <c r="S20" s="165">
        <f>TODAY()</f>
        <v/>
      </c>
      <c r="T20" s="133">
        <f>CONCATENATE(A20," - contiene allergni - prodotto il giorno ",TEXT(Q20,"gg/mm/aaaa"),"")</f>
        <v/>
      </c>
    </row>
    <row r="21" ht="15" customHeight="1" s="155">
      <c r="A21" s="133">
        <f>ric!B770</f>
        <v/>
      </c>
      <c r="B21" s="125">
        <f>ric!C770</f>
        <v/>
      </c>
      <c r="C21" s="125">
        <f>ric!D770</f>
        <v/>
      </c>
      <c r="D21" s="125">
        <f>ric!E770</f>
        <v/>
      </c>
      <c r="E21" s="125">
        <f>ric!F770</f>
        <v/>
      </c>
      <c r="F21" s="125">
        <f>ric!G770</f>
        <v/>
      </c>
      <c r="G21" s="125">
        <f>ric!H770</f>
        <v/>
      </c>
      <c r="H21" s="125">
        <f>ric!I770</f>
        <v/>
      </c>
      <c r="I21" s="125">
        <f>ric!J770</f>
        <v/>
      </c>
      <c r="J21" s="125">
        <f>ric!K770</f>
        <v/>
      </c>
      <c r="K21" s="125">
        <f>ric!L770</f>
        <v/>
      </c>
      <c r="L21" s="125">
        <f>ric!M770</f>
        <v/>
      </c>
      <c r="M21" s="125">
        <f>ric!N770</f>
        <v/>
      </c>
      <c r="N21" s="125">
        <f>ric!O770</f>
        <v/>
      </c>
      <c r="O21" s="125">
        <f>ric!P770</f>
        <v/>
      </c>
      <c r="P21" s="125">
        <f>ric!Q770</f>
        <v/>
      </c>
      <c r="Q21" s="166">
        <f>TODAY()</f>
        <v/>
      </c>
      <c r="R21" s="165">
        <f>ElencoProdotti[[#This Row],[PRODUZIONE]]+20</f>
        <v/>
      </c>
      <c r="S21" s="165">
        <f>TODAY()</f>
        <v/>
      </c>
      <c r="T21" s="133">
        <f>CONCATENATE(A21," - contiene allergni - prodotto il giorno ",TEXT(Q21,"gg/mm/aaaa"),"")</f>
        <v/>
      </c>
    </row>
    <row r="22" ht="15" customHeight="1" s="155">
      <c r="A22" s="133">
        <f>ric!B466</f>
        <v/>
      </c>
      <c r="B22" s="125">
        <f>ric!C466</f>
        <v/>
      </c>
      <c r="C22" s="125">
        <f>ric!D466</f>
        <v/>
      </c>
      <c r="D22" s="125">
        <f>ric!E466</f>
        <v/>
      </c>
      <c r="E22" s="125">
        <f>ric!F466</f>
        <v/>
      </c>
      <c r="F22" s="125">
        <f>ric!G466</f>
        <v/>
      </c>
      <c r="G22" s="125">
        <f>ric!H466</f>
        <v/>
      </c>
      <c r="H22" s="125">
        <f>ric!I466</f>
        <v/>
      </c>
      <c r="I22" s="125">
        <f>ric!J466</f>
        <v/>
      </c>
      <c r="J22" s="125">
        <f>ric!K466</f>
        <v/>
      </c>
      <c r="K22" s="125">
        <f>ric!L466</f>
        <v/>
      </c>
      <c r="L22" s="125">
        <f>ric!M466</f>
        <v/>
      </c>
      <c r="M22" s="125">
        <f>ric!N466</f>
        <v/>
      </c>
      <c r="N22" s="125">
        <f>ric!O466</f>
        <v/>
      </c>
      <c r="O22" s="125">
        <f>ric!P466</f>
        <v/>
      </c>
      <c r="P22" s="125">
        <f>ric!Q466</f>
        <v/>
      </c>
      <c r="Q22" s="166">
        <f>TODAY()</f>
        <v/>
      </c>
      <c r="R22" s="165">
        <f>ElencoProdotti[[#This Row],[PRODUZIONE]]+20</f>
        <v/>
      </c>
      <c r="S22" s="165">
        <f>TODAY()</f>
        <v/>
      </c>
      <c r="T22" s="133">
        <f>CONCATENATE(A22," - contiene allergni - prodotto il giorno ",TEXT(Q22,"gg/mm/aaaa"),"")</f>
        <v/>
      </c>
    </row>
    <row r="23" ht="15" customHeight="1" s="155">
      <c r="A23" s="133">
        <f>ric!B18</f>
        <v/>
      </c>
      <c r="B23" s="125">
        <f>ric!C18</f>
        <v/>
      </c>
      <c r="C23" s="125">
        <f>ric!D18</f>
        <v/>
      </c>
      <c r="D23" s="125">
        <f>ric!E18</f>
        <v/>
      </c>
      <c r="E23" s="125">
        <f>ric!F18</f>
        <v/>
      </c>
      <c r="F23" s="125">
        <f>ric!G18</f>
        <v/>
      </c>
      <c r="G23" s="125">
        <f>ric!H18</f>
        <v/>
      </c>
      <c r="H23" s="125">
        <f>ric!I18</f>
        <v/>
      </c>
      <c r="I23" s="125">
        <f>ric!J18</f>
        <v/>
      </c>
      <c r="J23" s="125">
        <f>ric!K18</f>
        <v/>
      </c>
      <c r="K23" s="125">
        <f>ric!L18</f>
        <v/>
      </c>
      <c r="L23" s="125">
        <f>ric!M18</f>
        <v/>
      </c>
      <c r="M23" s="125">
        <f>ric!N18</f>
        <v/>
      </c>
      <c r="N23" s="125">
        <f>ric!O18</f>
        <v/>
      </c>
      <c r="O23" s="125">
        <f>ric!P18</f>
        <v/>
      </c>
      <c r="P23" s="125">
        <f>ric!Q18</f>
        <v/>
      </c>
      <c r="Q23" s="166">
        <f>TODAY()</f>
        <v/>
      </c>
      <c r="R23" s="165">
        <f>ElencoProdotti[[#This Row],[PRODUZIONE]]+20</f>
        <v/>
      </c>
      <c r="S23" s="165">
        <f>TODAY()</f>
        <v/>
      </c>
      <c r="T23" s="133">
        <f>CONCATENATE(A23," - contiene allergni - prodotto il giorno ",TEXT(Q23,"gg/mm/aaaa"),"")</f>
        <v/>
      </c>
    </row>
    <row r="24" ht="15" customHeight="1" s="155">
      <c r="A24" s="133">
        <f>ric!B786</f>
        <v/>
      </c>
      <c r="B24" s="125">
        <f>ric!C786</f>
        <v/>
      </c>
      <c r="C24" s="125">
        <f>ric!D786</f>
        <v/>
      </c>
      <c r="D24" s="125">
        <f>ric!E786</f>
        <v/>
      </c>
      <c r="E24" s="125">
        <f>ric!F786</f>
        <v/>
      </c>
      <c r="F24" s="125">
        <f>ric!G786</f>
        <v/>
      </c>
      <c r="G24" s="125">
        <f>ric!H786</f>
        <v/>
      </c>
      <c r="H24" s="125">
        <f>ric!I786</f>
        <v/>
      </c>
      <c r="I24" s="125">
        <f>ric!J786</f>
        <v/>
      </c>
      <c r="J24" s="125">
        <f>ric!K786</f>
        <v/>
      </c>
      <c r="K24" s="125">
        <f>ric!L786</f>
        <v/>
      </c>
      <c r="L24" s="125">
        <f>ric!M786</f>
        <v/>
      </c>
      <c r="M24" s="125">
        <f>ric!N786</f>
        <v/>
      </c>
      <c r="N24" s="125">
        <f>ric!O786</f>
        <v/>
      </c>
      <c r="O24" s="125">
        <f>ric!P786</f>
        <v/>
      </c>
      <c r="P24" s="125">
        <f>ric!Q786</f>
        <v/>
      </c>
      <c r="Q24" s="166">
        <f>TODAY()</f>
        <v/>
      </c>
      <c r="R24" s="165">
        <f>ElencoProdotti[[#This Row],[PRODUZIONE]]+20</f>
        <v/>
      </c>
      <c r="S24" s="165">
        <f>TODAY()</f>
        <v/>
      </c>
      <c r="T24" s="133">
        <f>CONCATENATE(A24," - contiene allergni - prodotto il giorno ",TEXT(Q24,"gg/mm/aaaa"),"")</f>
        <v/>
      </c>
    </row>
    <row r="25" ht="15" customHeight="1" s="155">
      <c r="A25" s="133">
        <f>ric!B802</f>
        <v/>
      </c>
      <c r="B25" s="125">
        <f>ric!C802</f>
        <v/>
      </c>
      <c r="C25" s="125">
        <f>ric!D802</f>
        <v/>
      </c>
      <c r="D25" s="125">
        <f>ric!E802</f>
        <v/>
      </c>
      <c r="E25" s="125">
        <f>ric!F802</f>
        <v/>
      </c>
      <c r="F25" s="125">
        <f>ric!G802</f>
        <v/>
      </c>
      <c r="G25" s="125">
        <f>ric!H802</f>
        <v/>
      </c>
      <c r="H25" s="125">
        <f>ric!I802</f>
        <v/>
      </c>
      <c r="I25" s="125">
        <f>ric!J802</f>
        <v/>
      </c>
      <c r="J25" s="125">
        <f>ric!K802</f>
        <v/>
      </c>
      <c r="K25" s="125">
        <f>ric!L802</f>
        <v/>
      </c>
      <c r="L25" s="125">
        <f>ric!M802</f>
        <v/>
      </c>
      <c r="M25" s="125">
        <f>ric!N802</f>
        <v/>
      </c>
      <c r="N25" s="125">
        <f>ric!O802</f>
        <v/>
      </c>
      <c r="O25" s="125">
        <f>ric!P802</f>
        <v/>
      </c>
      <c r="P25" s="125">
        <f>ric!Q802</f>
        <v/>
      </c>
      <c r="Q25" s="166">
        <f>TODAY()</f>
        <v/>
      </c>
      <c r="R25" s="165">
        <f>ElencoProdotti[[#This Row],[PRODUZIONE]]+20</f>
        <v/>
      </c>
      <c r="S25" s="165">
        <f>TODAY()</f>
        <v/>
      </c>
      <c r="T25" s="133">
        <f>CONCATENATE(A25," - contiene allergni - prodotto il giorno ",TEXT(Q25,"gg/mm/aaaa"),"")</f>
        <v/>
      </c>
    </row>
    <row r="26" ht="15" customHeight="1" s="155">
      <c r="A26" s="133">
        <f>ric!B162</f>
        <v/>
      </c>
      <c r="B26" s="125">
        <f>ric!C162</f>
        <v/>
      </c>
      <c r="C26" s="125">
        <f>ric!D162</f>
        <v/>
      </c>
      <c r="D26" s="125">
        <f>ric!E162</f>
        <v/>
      </c>
      <c r="E26" s="125">
        <f>ric!F162</f>
        <v/>
      </c>
      <c r="F26" s="125">
        <f>ric!G162</f>
        <v/>
      </c>
      <c r="G26" s="125">
        <f>ric!H162</f>
        <v/>
      </c>
      <c r="H26" s="125">
        <f>ric!I162</f>
        <v/>
      </c>
      <c r="I26" s="125">
        <f>ric!J162</f>
        <v/>
      </c>
      <c r="J26" s="125">
        <f>ric!K162</f>
        <v/>
      </c>
      <c r="K26" s="125">
        <f>ric!L162</f>
        <v/>
      </c>
      <c r="L26" s="125">
        <f>ric!M162</f>
        <v/>
      </c>
      <c r="M26" s="125">
        <f>ric!N162</f>
        <v/>
      </c>
      <c r="N26" s="125">
        <f>ric!O162</f>
        <v/>
      </c>
      <c r="O26" s="125">
        <f>ric!P162</f>
        <v/>
      </c>
      <c r="P26" s="125">
        <f>ric!Q162</f>
        <v/>
      </c>
      <c r="Q26" s="166">
        <f>TODAY()</f>
        <v/>
      </c>
      <c r="R26" s="165">
        <f>ElencoProdotti[[#This Row],[PRODUZIONE]]+20</f>
        <v/>
      </c>
      <c r="S26" s="165">
        <f>TODAY()</f>
        <v/>
      </c>
      <c r="T26" s="133">
        <f>CONCATENATE(A26," - contiene allergni - prodotto il giorno ",TEXT(Q26,"gg/mm/aaaa"),"")</f>
        <v/>
      </c>
    </row>
    <row r="27" ht="15" customHeight="1" s="155">
      <c r="A27" s="133">
        <f>ric!B818</f>
        <v/>
      </c>
      <c r="B27" s="125">
        <f>ric!C818</f>
        <v/>
      </c>
      <c r="C27" s="125">
        <f>ric!D818</f>
        <v/>
      </c>
      <c r="D27" s="125">
        <f>ric!E818</f>
        <v/>
      </c>
      <c r="E27" s="125">
        <f>ric!F818</f>
        <v/>
      </c>
      <c r="F27" s="125">
        <f>ric!G818</f>
        <v/>
      </c>
      <c r="G27" s="125">
        <f>ric!H818</f>
        <v/>
      </c>
      <c r="H27" s="125">
        <f>ric!I818</f>
        <v/>
      </c>
      <c r="I27" s="125">
        <f>ric!J818</f>
        <v/>
      </c>
      <c r="J27" s="125">
        <f>ric!K818</f>
        <v/>
      </c>
      <c r="K27" s="125">
        <f>ric!L818</f>
        <v/>
      </c>
      <c r="L27" s="125">
        <f>ric!M818</f>
        <v/>
      </c>
      <c r="M27" s="125">
        <f>ric!N818</f>
        <v/>
      </c>
      <c r="N27" s="125">
        <f>ric!O818</f>
        <v/>
      </c>
      <c r="O27" s="125">
        <f>ric!P818</f>
        <v/>
      </c>
      <c r="P27" s="125">
        <f>ric!Q818</f>
        <v/>
      </c>
      <c r="Q27" s="166">
        <f>TODAY()</f>
        <v/>
      </c>
      <c r="R27" s="165">
        <f>ElencoProdotti[[#This Row],[PRODUZIONE]]+20</f>
        <v/>
      </c>
      <c r="S27" s="165">
        <f>TODAY()</f>
        <v/>
      </c>
      <c r="T27" s="133">
        <f>CONCATENATE(A27," - contiene allergni - prodotto il giorno ",TEXT(Q27,"gg/mm/aaaa"),"")</f>
        <v/>
      </c>
    </row>
    <row r="28" ht="15" customHeight="1" s="155">
      <c r="A28" s="133">
        <f>ric!B834</f>
        <v/>
      </c>
      <c r="B28" s="125">
        <f>ric!C834</f>
        <v/>
      </c>
      <c r="C28" s="125">
        <f>ric!D834</f>
        <v/>
      </c>
      <c r="D28" s="125">
        <f>ric!E834</f>
        <v/>
      </c>
      <c r="E28" s="125">
        <f>ric!F834</f>
        <v/>
      </c>
      <c r="F28" s="125">
        <f>ric!G834</f>
        <v/>
      </c>
      <c r="G28" s="125">
        <f>ric!H834</f>
        <v/>
      </c>
      <c r="H28" s="125">
        <f>ric!I834</f>
        <v/>
      </c>
      <c r="I28" s="125">
        <f>ric!J834</f>
        <v/>
      </c>
      <c r="J28" s="125">
        <f>ric!K834</f>
        <v/>
      </c>
      <c r="K28" s="125">
        <f>ric!L834</f>
        <v/>
      </c>
      <c r="L28" s="125">
        <f>ric!M834</f>
        <v/>
      </c>
      <c r="M28" s="125">
        <f>ric!N834</f>
        <v/>
      </c>
      <c r="N28" s="125">
        <f>ric!O834</f>
        <v/>
      </c>
      <c r="O28" s="125">
        <f>ric!P834</f>
        <v/>
      </c>
      <c r="P28" s="125">
        <f>ric!Q834</f>
        <v/>
      </c>
      <c r="Q28" s="166">
        <f>TODAY()</f>
        <v/>
      </c>
      <c r="R28" s="165">
        <f>ElencoProdotti[[#This Row],[PRODUZIONE]]+20</f>
        <v/>
      </c>
      <c r="S28" s="165">
        <f>TODAY()</f>
        <v/>
      </c>
      <c r="T28" s="133">
        <f>CONCATENATE(A28," - contiene allergni - prodotto il giorno ",TEXT(Q28,"gg/mm/aaaa"),"")</f>
        <v/>
      </c>
    </row>
    <row r="29" ht="15" customHeight="1" s="155">
      <c r="A29" s="133">
        <f>ric!B850</f>
        <v/>
      </c>
      <c r="B29" s="125">
        <f>ric!C850</f>
        <v/>
      </c>
      <c r="C29" s="125">
        <f>ric!D850</f>
        <v/>
      </c>
      <c r="D29" s="125">
        <f>ric!E850</f>
        <v/>
      </c>
      <c r="E29" s="125">
        <f>ric!F850</f>
        <v/>
      </c>
      <c r="F29" s="125">
        <f>ric!G850</f>
        <v/>
      </c>
      <c r="G29" s="125">
        <f>ric!H850</f>
        <v/>
      </c>
      <c r="H29" s="125">
        <f>ric!I850</f>
        <v/>
      </c>
      <c r="I29" s="125">
        <f>ric!J850</f>
        <v/>
      </c>
      <c r="J29" s="125">
        <f>ric!K850</f>
        <v/>
      </c>
      <c r="K29" s="125">
        <f>ric!L850</f>
        <v/>
      </c>
      <c r="L29" s="125">
        <f>ric!M850</f>
        <v/>
      </c>
      <c r="M29" s="125">
        <f>ric!N850</f>
        <v/>
      </c>
      <c r="N29" s="125">
        <f>ric!O850</f>
        <v/>
      </c>
      <c r="O29" s="125">
        <f>ric!P850</f>
        <v/>
      </c>
      <c r="P29" s="125">
        <f>ric!Q850</f>
        <v/>
      </c>
      <c r="Q29" s="166">
        <f>TODAY()</f>
        <v/>
      </c>
      <c r="R29" s="165">
        <f>ElencoProdotti[[#This Row],[PRODUZIONE]]+20</f>
        <v/>
      </c>
      <c r="S29" s="165">
        <f>TODAY()</f>
        <v/>
      </c>
      <c r="T29" s="133">
        <f>CONCATENATE(A29," - contiene allergni - prodotto il giorno ",TEXT(Q29,"gg/mm/aaaa"),"")</f>
        <v/>
      </c>
    </row>
    <row r="30" ht="15" customHeight="1" s="155">
      <c r="A30" s="133">
        <f>ric!B226</f>
        <v/>
      </c>
      <c r="B30" s="125">
        <f>ric!C226</f>
        <v/>
      </c>
      <c r="C30" s="125">
        <f>ric!D226</f>
        <v/>
      </c>
      <c r="D30" s="125">
        <f>ric!E226</f>
        <v/>
      </c>
      <c r="E30" s="125">
        <f>ric!F226</f>
        <v/>
      </c>
      <c r="F30" s="125">
        <f>ric!G226</f>
        <v/>
      </c>
      <c r="G30" s="125">
        <f>ric!H226</f>
        <v/>
      </c>
      <c r="H30" s="125">
        <f>ric!I226</f>
        <v/>
      </c>
      <c r="I30" s="125">
        <f>ric!J226</f>
        <v/>
      </c>
      <c r="J30" s="125">
        <f>ric!K226</f>
        <v/>
      </c>
      <c r="K30" s="125">
        <f>ric!L226</f>
        <v/>
      </c>
      <c r="L30" s="125">
        <f>ric!M226</f>
        <v/>
      </c>
      <c r="M30" s="125">
        <f>ric!N226</f>
        <v/>
      </c>
      <c r="N30" s="125">
        <f>ric!O226</f>
        <v/>
      </c>
      <c r="O30" s="125">
        <f>ric!P226</f>
        <v/>
      </c>
      <c r="P30" s="125">
        <f>ric!Q226</f>
        <v/>
      </c>
      <c r="Q30" s="166">
        <f>TODAY()</f>
        <v/>
      </c>
      <c r="R30" s="165">
        <f>ElencoProdotti[[#This Row],[PRODUZIONE]]+20</f>
        <v/>
      </c>
      <c r="S30" s="165">
        <f>TODAY()</f>
        <v/>
      </c>
      <c r="T30" s="133">
        <f>CONCATENATE(A30," - contiene allergni - prodotto il giorno ",TEXT(Q30,"gg/mm/aaaa"),"")</f>
        <v/>
      </c>
    </row>
    <row r="31" ht="15" customHeight="1" s="155">
      <c r="A31" s="133">
        <f>ric!B242</f>
        <v/>
      </c>
      <c r="B31" s="125">
        <f>ric!C242</f>
        <v/>
      </c>
      <c r="C31" s="125">
        <f>ric!D242</f>
        <v/>
      </c>
      <c r="D31" s="125">
        <f>ric!E242</f>
        <v/>
      </c>
      <c r="E31" s="125">
        <f>ric!F242</f>
        <v/>
      </c>
      <c r="F31" s="125">
        <f>ric!G242</f>
        <v/>
      </c>
      <c r="G31" s="125">
        <f>ric!H242</f>
        <v/>
      </c>
      <c r="H31" s="125">
        <f>ric!I242</f>
        <v/>
      </c>
      <c r="I31" s="125">
        <f>ric!J242</f>
        <v/>
      </c>
      <c r="J31" s="125">
        <f>ric!K242</f>
        <v/>
      </c>
      <c r="K31" s="125">
        <f>ric!L242</f>
        <v/>
      </c>
      <c r="L31" s="125">
        <f>ric!M242</f>
        <v/>
      </c>
      <c r="M31" s="125">
        <f>ric!N242</f>
        <v/>
      </c>
      <c r="N31" s="125">
        <f>ric!O242</f>
        <v/>
      </c>
      <c r="O31" s="125">
        <f>ric!P242</f>
        <v/>
      </c>
      <c r="P31" s="125">
        <f>ric!Q242</f>
        <v/>
      </c>
      <c r="Q31" s="166">
        <f>TODAY()</f>
        <v/>
      </c>
      <c r="R31" s="165">
        <f>ElencoProdotti[[#This Row],[PRODUZIONE]]+20</f>
        <v/>
      </c>
      <c r="S31" s="165">
        <f>TODAY()</f>
        <v/>
      </c>
      <c r="T31" s="133">
        <f>CONCATENATE(A31," - contiene allergni - prodotto il giorno ",TEXT(Q31,"gg/mm/aaaa"),"")</f>
        <v/>
      </c>
    </row>
    <row r="32" ht="15" customHeight="1" s="155">
      <c r="A32" s="133">
        <f>ric!B866</f>
        <v/>
      </c>
      <c r="B32" s="125">
        <f>ric!C866</f>
        <v/>
      </c>
      <c r="C32" s="125">
        <f>ric!D866</f>
        <v/>
      </c>
      <c r="D32" s="125">
        <f>ric!E866</f>
        <v/>
      </c>
      <c r="E32" s="125">
        <f>ric!F866</f>
        <v/>
      </c>
      <c r="F32" s="125">
        <f>ric!G866</f>
        <v/>
      </c>
      <c r="G32" s="125">
        <f>ric!H866</f>
        <v/>
      </c>
      <c r="H32" s="125">
        <f>ric!I866</f>
        <v/>
      </c>
      <c r="I32" s="125">
        <f>ric!J866</f>
        <v/>
      </c>
      <c r="J32" s="125">
        <f>ric!K866</f>
        <v/>
      </c>
      <c r="K32" s="125">
        <f>ric!L866</f>
        <v/>
      </c>
      <c r="L32" s="125">
        <f>ric!M866</f>
        <v/>
      </c>
      <c r="M32" s="125">
        <f>ric!N866</f>
        <v/>
      </c>
      <c r="N32" s="125">
        <f>ric!O866</f>
        <v/>
      </c>
      <c r="O32" s="125">
        <f>ric!P866</f>
        <v/>
      </c>
      <c r="P32" s="125">
        <f>ric!Q866</f>
        <v/>
      </c>
      <c r="Q32" s="166">
        <f>TODAY()</f>
        <v/>
      </c>
      <c r="R32" s="165">
        <f>ElencoProdotti[[#This Row],[PRODUZIONE]]+20</f>
        <v/>
      </c>
      <c r="S32" s="165">
        <f>TODAY()</f>
        <v/>
      </c>
      <c r="T32" s="133">
        <f>CONCATENATE(A32," - contiene allergni - prodotto il giorno ",TEXT(Q32,"gg/mm/aaaa"),"")</f>
        <v/>
      </c>
    </row>
    <row r="33" ht="15" customHeight="1" s="155">
      <c r="A33" s="133">
        <f>ric!B882</f>
        <v/>
      </c>
      <c r="B33" s="125">
        <f>ric!C882</f>
        <v/>
      </c>
      <c r="C33" s="125">
        <f>ric!D882</f>
        <v/>
      </c>
      <c r="D33" s="125">
        <f>ric!E882</f>
        <v/>
      </c>
      <c r="E33" s="125">
        <f>ric!F882</f>
        <v/>
      </c>
      <c r="F33" s="125">
        <f>ric!G882</f>
        <v/>
      </c>
      <c r="G33" s="125">
        <f>ric!H882</f>
        <v/>
      </c>
      <c r="H33" s="125">
        <f>ric!I882</f>
        <v/>
      </c>
      <c r="I33" s="125">
        <f>ric!J882</f>
        <v/>
      </c>
      <c r="J33" s="125">
        <f>ric!K882</f>
        <v/>
      </c>
      <c r="K33" s="125">
        <f>ric!L882</f>
        <v/>
      </c>
      <c r="L33" s="125">
        <f>ric!M882</f>
        <v/>
      </c>
      <c r="M33" s="125">
        <f>ric!N882</f>
        <v/>
      </c>
      <c r="N33" s="125">
        <f>ric!O882</f>
        <v/>
      </c>
      <c r="O33" s="125">
        <f>ric!P882</f>
        <v/>
      </c>
      <c r="P33" s="125">
        <f>ric!Q882</f>
        <v/>
      </c>
      <c r="Q33" s="166">
        <f>TODAY()</f>
        <v/>
      </c>
      <c r="R33" s="165">
        <f>ElencoProdotti[[#This Row],[PRODUZIONE]]+20</f>
        <v/>
      </c>
      <c r="S33" s="165">
        <f>TODAY()</f>
        <v/>
      </c>
      <c r="T33" s="133">
        <f>CONCATENATE(A33," - contiene allergni - prodotto il giorno ",TEXT(Q33,"gg/mm/aaaa"),"")</f>
        <v/>
      </c>
    </row>
    <row r="34" ht="15" customHeight="1" s="155">
      <c r="A34" s="133">
        <f>ric!B50</f>
        <v/>
      </c>
      <c r="B34" s="125">
        <f>ric!C50</f>
        <v/>
      </c>
      <c r="C34" s="125">
        <f>ric!D50</f>
        <v/>
      </c>
      <c r="D34" s="125">
        <f>ric!E50</f>
        <v/>
      </c>
      <c r="E34" s="125">
        <f>ric!F50</f>
        <v/>
      </c>
      <c r="F34" s="125">
        <f>ric!G50</f>
        <v/>
      </c>
      <c r="G34" s="125">
        <f>ric!H50</f>
        <v/>
      </c>
      <c r="H34" s="125">
        <f>ric!I50</f>
        <v/>
      </c>
      <c r="I34" s="125">
        <f>ric!J50</f>
        <v/>
      </c>
      <c r="J34" s="125">
        <f>ric!K50</f>
        <v/>
      </c>
      <c r="K34" s="125">
        <f>ric!L50</f>
        <v/>
      </c>
      <c r="L34" s="125">
        <f>ric!M50</f>
        <v/>
      </c>
      <c r="M34" s="125">
        <f>ric!N50</f>
        <v/>
      </c>
      <c r="N34" s="125">
        <f>ric!O50</f>
        <v/>
      </c>
      <c r="O34" s="125">
        <f>ric!P50</f>
        <v/>
      </c>
      <c r="P34" s="125">
        <f>ric!Q50</f>
        <v/>
      </c>
      <c r="Q34" s="166">
        <f>TODAY()</f>
        <v/>
      </c>
      <c r="R34" s="165">
        <f>ElencoProdotti[[#This Row],[PRODUZIONE]]+20</f>
        <v/>
      </c>
      <c r="S34" s="165">
        <f>TODAY()</f>
        <v/>
      </c>
      <c r="T34" s="133">
        <f>CONCATENATE(A34," - contiene allergni - prodotto il giorno ",TEXT(Q34,"gg/mm/aaaa"),"")</f>
        <v/>
      </c>
    </row>
    <row r="35" ht="15" customHeight="1" s="155">
      <c r="A35" s="133">
        <f>ric!B34</f>
        <v/>
      </c>
      <c r="B35" s="125">
        <f>ric!C34</f>
        <v/>
      </c>
      <c r="C35" s="125">
        <f>ric!D34</f>
        <v/>
      </c>
      <c r="D35" s="125">
        <f>ric!E34</f>
        <v/>
      </c>
      <c r="E35" s="125">
        <f>ric!F34</f>
        <v/>
      </c>
      <c r="F35" s="125">
        <f>ric!G34</f>
        <v/>
      </c>
      <c r="G35" s="125">
        <f>ric!H34</f>
        <v/>
      </c>
      <c r="H35" s="125">
        <f>ric!I34</f>
        <v/>
      </c>
      <c r="I35" s="125">
        <f>ric!J34</f>
        <v/>
      </c>
      <c r="J35" s="125">
        <f>ric!K34</f>
        <v/>
      </c>
      <c r="K35" s="125">
        <f>ric!L34</f>
        <v/>
      </c>
      <c r="L35" s="125">
        <f>ric!M34</f>
        <v/>
      </c>
      <c r="M35" s="125">
        <f>ric!N34</f>
        <v/>
      </c>
      <c r="N35" s="125">
        <f>ric!O34</f>
        <v/>
      </c>
      <c r="O35" s="125">
        <f>ric!P34</f>
        <v/>
      </c>
      <c r="P35" s="125">
        <f>ric!Q34</f>
        <v/>
      </c>
      <c r="Q35" s="166">
        <f>TODAY()</f>
        <v/>
      </c>
      <c r="R35" s="165">
        <f>ElencoProdotti[[#This Row],[PRODUZIONE]]+20</f>
        <v/>
      </c>
      <c r="S35" s="165">
        <f>TODAY()</f>
        <v/>
      </c>
      <c r="T35" s="133">
        <f>CONCATENATE(A35," - contiene allergni - prodotto il giorno ",TEXT(Q35,"gg/mm/aaaa"),"")</f>
        <v/>
      </c>
    </row>
    <row r="36" ht="15" customHeight="1" s="155">
      <c r="A36" s="133">
        <f>ric!B434</f>
        <v/>
      </c>
      <c r="B36" s="125">
        <f>ric!C434</f>
        <v/>
      </c>
      <c r="C36" s="125">
        <f>ric!D434</f>
        <v/>
      </c>
      <c r="D36" s="125">
        <f>ric!E434</f>
        <v/>
      </c>
      <c r="E36" s="125">
        <f>ric!F434</f>
        <v/>
      </c>
      <c r="F36" s="125">
        <f>ric!G434</f>
        <v/>
      </c>
      <c r="G36" s="125">
        <f>ric!H434</f>
        <v/>
      </c>
      <c r="H36" s="125">
        <f>ric!I434</f>
        <v/>
      </c>
      <c r="I36" s="125">
        <f>ric!J434</f>
        <v/>
      </c>
      <c r="J36" s="125">
        <f>ric!K434</f>
        <v/>
      </c>
      <c r="K36" s="125">
        <f>ric!L434</f>
        <v/>
      </c>
      <c r="L36" s="125">
        <f>ric!M434</f>
        <v/>
      </c>
      <c r="M36" s="125">
        <f>ric!N434</f>
        <v/>
      </c>
      <c r="N36" s="125">
        <f>ric!O434</f>
        <v/>
      </c>
      <c r="O36" s="125">
        <f>ric!P434</f>
        <v/>
      </c>
      <c r="P36" s="125">
        <f>ric!Q434</f>
        <v/>
      </c>
      <c r="Q36" s="166">
        <f>TODAY()</f>
        <v/>
      </c>
      <c r="R36" s="165">
        <f>ElencoProdotti[[#This Row],[PRODUZIONE]]+20</f>
        <v/>
      </c>
      <c r="S36" s="165">
        <f>TODAY()</f>
        <v/>
      </c>
      <c r="T36" s="133">
        <f>CONCATENATE(A36," - contiene allergni - prodotto il giorno ",TEXT(Q36,"gg/mm/aaaa"),"")</f>
        <v/>
      </c>
    </row>
    <row r="37" ht="15" customHeight="1" s="155">
      <c r="A37" s="133">
        <f>ric!B898</f>
        <v/>
      </c>
      <c r="B37" s="125">
        <f>ric!C898</f>
        <v/>
      </c>
      <c r="C37" s="125">
        <f>ric!D898</f>
        <v/>
      </c>
      <c r="D37" s="125">
        <f>ric!E898</f>
        <v/>
      </c>
      <c r="E37" s="125">
        <f>ric!F898</f>
        <v/>
      </c>
      <c r="F37" s="125">
        <f>ric!G898</f>
        <v/>
      </c>
      <c r="G37" s="125">
        <f>ric!H898</f>
        <v/>
      </c>
      <c r="H37" s="125">
        <f>ric!I898</f>
        <v/>
      </c>
      <c r="I37" s="125">
        <f>ric!J898</f>
        <v/>
      </c>
      <c r="J37" s="125">
        <f>ric!K898</f>
        <v/>
      </c>
      <c r="K37" s="125">
        <f>ric!L898</f>
        <v/>
      </c>
      <c r="L37" s="125">
        <f>ric!M898</f>
        <v/>
      </c>
      <c r="M37" s="125">
        <f>ric!N898</f>
        <v/>
      </c>
      <c r="N37" s="125">
        <f>ric!O898</f>
        <v/>
      </c>
      <c r="O37" s="125">
        <f>ric!P898</f>
        <v/>
      </c>
      <c r="P37" s="125">
        <f>ric!Q898</f>
        <v/>
      </c>
      <c r="Q37" s="166">
        <f>TODAY()</f>
        <v/>
      </c>
      <c r="R37" s="165">
        <f>ElencoProdotti[[#This Row],[PRODUZIONE]]+20</f>
        <v/>
      </c>
      <c r="S37" s="165">
        <f>TODAY()</f>
        <v/>
      </c>
      <c r="T37" s="133">
        <f>CONCATENATE(A37," - contiene allergni - prodotto il giorno ",TEXT(Q37,"gg/mm/aaaa"),"")</f>
        <v/>
      </c>
    </row>
    <row r="38" ht="15" customHeight="1" s="155">
      <c r="A38" s="133">
        <f>ric!B914</f>
        <v/>
      </c>
      <c r="B38" s="125">
        <f>ric!C914</f>
        <v/>
      </c>
      <c r="C38" s="125">
        <f>ric!D914</f>
        <v/>
      </c>
      <c r="D38" s="125">
        <f>ric!E914</f>
        <v/>
      </c>
      <c r="E38" s="125">
        <f>ric!F914</f>
        <v/>
      </c>
      <c r="F38" s="125">
        <f>ric!G914</f>
        <v/>
      </c>
      <c r="G38" s="125">
        <f>ric!H914</f>
        <v/>
      </c>
      <c r="H38" s="125">
        <f>ric!I914</f>
        <v/>
      </c>
      <c r="I38" s="125">
        <f>ric!J914</f>
        <v/>
      </c>
      <c r="J38" s="125">
        <f>ric!K914</f>
        <v/>
      </c>
      <c r="K38" s="125">
        <f>ric!L914</f>
        <v/>
      </c>
      <c r="L38" s="125">
        <f>ric!M914</f>
        <v/>
      </c>
      <c r="M38" s="125">
        <f>ric!N914</f>
        <v/>
      </c>
      <c r="N38" s="125">
        <f>ric!O914</f>
        <v/>
      </c>
      <c r="O38" s="125">
        <f>ric!P914</f>
        <v/>
      </c>
      <c r="P38" s="125">
        <f>ric!Q914</f>
        <v/>
      </c>
      <c r="Q38" s="166">
        <f>TODAY()</f>
        <v/>
      </c>
      <c r="R38" s="165">
        <f>ElencoProdotti[[#This Row],[PRODUZIONE]]+20</f>
        <v/>
      </c>
      <c r="S38" s="165">
        <f>TODAY()</f>
        <v/>
      </c>
      <c r="T38" s="133">
        <f>CONCATENATE(A38," - contiene allergni - prodotto il giorno ",TEXT(Q38,"gg/mm/aaaa"),"")</f>
        <v/>
      </c>
    </row>
    <row r="39" ht="15" customHeight="1" s="155">
      <c r="A39" s="133">
        <f>ric!B402</f>
        <v/>
      </c>
      <c r="B39" s="125">
        <f>ric!C402</f>
        <v/>
      </c>
      <c r="C39" s="125">
        <f>ric!D402</f>
        <v/>
      </c>
      <c r="D39" s="125">
        <f>ric!E402</f>
        <v/>
      </c>
      <c r="E39" s="125">
        <f>ric!F402</f>
        <v/>
      </c>
      <c r="F39" s="125">
        <f>ric!G402</f>
        <v/>
      </c>
      <c r="G39" s="125">
        <f>ric!H402</f>
        <v/>
      </c>
      <c r="H39" s="125">
        <f>ric!I402</f>
        <v/>
      </c>
      <c r="I39" s="125">
        <f>ric!J402</f>
        <v/>
      </c>
      <c r="J39" s="125">
        <f>ric!K402</f>
        <v/>
      </c>
      <c r="K39" s="125">
        <f>ric!L402</f>
        <v/>
      </c>
      <c r="L39" s="125">
        <f>ric!M402</f>
        <v/>
      </c>
      <c r="M39" s="125">
        <f>ric!N402</f>
        <v/>
      </c>
      <c r="N39" s="125">
        <f>ric!O402</f>
        <v/>
      </c>
      <c r="O39" s="125">
        <f>ric!P402</f>
        <v/>
      </c>
      <c r="P39" s="125">
        <f>ric!Q402</f>
        <v/>
      </c>
      <c r="Q39" s="166">
        <f>TODAY()</f>
        <v/>
      </c>
      <c r="R39" s="165">
        <f>ElencoProdotti[[#This Row],[PRODUZIONE]]+20</f>
        <v/>
      </c>
      <c r="S39" s="165">
        <f>TODAY()</f>
        <v/>
      </c>
      <c r="T39" s="133">
        <f>CONCATENATE(A39," - contiene allergni - prodotto il giorno ",TEXT(Q39,"gg/mm/aaaa"),"")</f>
        <v/>
      </c>
    </row>
    <row r="40" ht="15" customHeight="1" s="155">
      <c r="A40" s="133">
        <f>ric!B386</f>
        <v/>
      </c>
      <c r="B40" s="125">
        <f>ric!C386</f>
        <v/>
      </c>
      <c r="C40" s="125">
        <f>ric!D386</f>
        <v/>
      </c>
      <c r="D40" s="125">
        <f>ric!E386</f>
        <v/>
      </c>
      <c r="E40" s="125">
        <f>ric!F386</f>
        <v/>
      </c>
      <c r="F40" s="125">
        <f>ric!G386</f>
        <v/>
      </c>
      <c r="G40" s="125">
        <f>ric!H386</f>
        <v/>
      </c>
      <c r="H40" s="125">
        <f>ric!I386</f>
        <v/>
      </c>
      <c r="I40" s="125">
        <f>ric!J386</f>
        <v/>
      </c>
      <c r="J40" s="125">
        <f>ric!K386</f>
        <v/>
      </c>
      <c r="K40" s="125">
        <f>ric!L386</f>
        <v/>
      </c>
      <c r="L40" s="125">
        <f>ric!M386</f>
        <v/>
      </c>
      <c r="M40" s="125">
        <f>ric!N386</f>
        <v/>
      </c>
      <c r="N40" s="125">
        <f>ric!O386</f>
        <v/>
      </c>
      <c r="O40" s="125">
        <f>ric!P386</f>
        <v/>
      </c>
      <c r="P40" s="125">
        <f>ric!Q386</f>
        <v/>
      </c>
      <c r="Q40" s="166">
        <f>TODAY()</f>
        <v/>
      </c>
      <c r="R40" s="165">
        <f>ElencoProdotti[[#This Row],[PRODUZIONE]]+20</f>
        <v/>
      </c>
      <c r="S40" s="165">
        <f>TODAY()</f>
        <v/>
      </c>
      <c r="T40" s="133">
        <f>CONCATENATE(A40," - contiene allergni - prodotto il giorno ",TEXT(Q40,"gg/mm/aaaa"),"")</f>
        <v/>
      </c>
    </row>
    <row r="41" ht="15" customHeight="1" s="155">
      <c r="A41" s="133">
        <f>ric!B82</f>
        <v/>
      </c>
      <c r="B41" s="125">
        <f>ric!C82</f>
        <v/>
      </c>
      <c r="C41" s="125">
        <f>ric!D82</f>
        <v/>
      </c>
      <c r="D41" s="125">
        <f>ric!E82</f>
        <v/>
      </c>
      <c r="E41" s="125">
        <f>ric!F82</f>
        <v/>
      </c>
      <c r="F41" s="125">
        <f>ric!G82</f>
        <v/>
      </c>
      <c r="G41" s="125">
        <f>ric!H82</f>
        <v/>
      </c>
      <c r="H41" s="125">
        <f>ric!I82</f>
        <v/>
      </c>
      <c r="I41" s="125">
        <f>ric!J82</f>
        <v/>
      </c>
      <c r="J41" s="125">
        <f>ric!K82</f>
        <v/>
      </c>
      <c r="K41" s="125">
        <f>ric!L82</f>
        <v/>
      </c>
      <c r="L41" s="125">
        <f>ric!M82</f>
        <v/>
      </c>
      <c r="M41" s="125">
        <f>ric!N82</f>
        <v/>
      </c>
      <c r="N41" s="125">
        <f>ric!O82</f>
        <v/>
      </c>
      <c r="O41" s="125">
        <f>ric!P82</f>
        <v/>
      </c>
      <c r="P41" s="125">
        <f>ric!Q82</f>
        <v/>
      </c>
      <c r="Q41" s="166">
        <f>TODAY()</f>
        <v/>
      </c>
      <c r="R41" s="165">
        <f>ElencoProdotti[[#This Row],[PRODUZIONE]]+20</f>
        <v/>
      </c>
      <c r="S41" s="165">
        <f>TODAY()</f>
        <v/>
      </c>
      <c r="T41" s="133">
        <f>CONCATENATE(A41," - contiene allergni - prodotto il giorno ",TEXT(Q41,"gg/mm/aaaa"),"")</f>
        <v/>
      </c>
    </row>
    <row r="42" ht="15" customHeight="1" s="155">
      <c r="A42" s="133">
        <f>ric!B930</f>
        <v/>
      </c>
      <c r="B42" s="125">
        <f>ric!C930</f>
        <v/>
      </c>
      <c r="C42" s="125">
        <f>ric!D930</f>
        <v/>
      </c>
      <c r="D42" s="125">
        <f>ric!E930</f>
        <v/>
      </c>
      <c r="E42" s="125">
        <f>ric!F930</f>
        <v/>
      </c>
      <c r="F42" s="125">
        <f>ric!G930</f>
        <v/>
      </c>
      <c r="G42" s="125">
        <f>ric!H930</f>
        <v/>
      </c>
      <c r="H42" s="125">
        <f>ric!I930</f>
        <v/>
      </c>
      <c r="I42" s="125">
        <f>ric!J930</f>
        <v/>
      </c>
      <c r="J42" s="125">
        <f>ric!K930</f>
        <v/>
      </c>
      <c r="K42" s="125">
        <f>ric!L930</f>
        <v/>
      </c>
      <c r="L42" s="125">
        <f>ric!M930</f>
        <v/>
      </c>
      <c r="M42" s="125">
        <f>ric!N930</f>
        <v/>
      </c>
      <c r="N42" s="125">
        <f>ric!O930</f>
        <v/>
      </c>
      <c r="O42" s="125">
        <f>ric!P930</f>
        <v/>
      </c>
      <c r="P42" s="125">
        <f>ric!Q930</f>
        <v/>
      </c>
      <c r="Q42" s="166">
        <f>TODAY()</f>
        <v/>
      </c>
      <c r="R42" s="165">
        <f>ElencoProdotti[[#This Row],[PRODUZIONE]]+20</f>
        <v/>
      </c>
      <c r="S42" s="165">
        <f>TODAY()</f>
        <v/>
      </c>
      <c r="T42" s="133">
        <f>CONCATENATE(A42," - contiene allergni - prodotto il giorno ",TEXT(Q42,"gg/mm/aaaa"),"")</f>
        <v/>
      </c>
    </row>
    <row r="43" ht="15" customHeight="1" s="155">
      <c r="A43" s="133" t="inlineStr">
        <is>
          <t xml:space="preserve">panettone </t>
        </is>
      </c>
      <c r="B43" s="125">
        <f>ric!C131</f>
        <v/>
      </c>
      <c r="C43" s="125">
        <f>ric!D131</f>
        <v/>
      </c>
      <c r="D43" s="125">
        <f>ric!E131</f>
        <v/>
      </c>
      <c r="E43" s="125">
        <f>ric!F131</f>
        <v/>
      </c>
      <c r="F43" s="125">
        <f>ric!G131</f>
        <v/>
      </c>
      <c r="G43" s="125">
        <f>ric!H131</f>
        <v/>
      </c>
      <c r="H43" s="125">
        <f>ric!I131</f>
        <v/>
      </c>
      <c r="I43" s="125">
        <f>ric!J131</f>
        <v/>
      </c>
      <c r="J43" s="125">
        <f>ric!K131</f>
        <v/>
      </c>
      <c r="K43" s="125">
        <f>ric!L131</f>
        <v/>
      </c>
      <c r="L43" s="125">
        <f>ric!M131</f>
        <v/>
      </c>
      <c r="M43" s="125">
        <f>ric!N131</f>
        <v/>
      </c>
      <c r="N43" s="125">
        <f>ric!O131</f>
        <v/>
      </c>
      <c r="O43" s="125">
        <f>ric!P131</f>
        <v/>
      </c>
      <c r="P43" s="125">
        <f>ric!Q131</f>
        <v/>
      </c>
      <c r="Q43" s="166">
        <f>TODAY()</f>
        <v/>
      </c>
      <c r="R43" s="165">
        <f>ElencoProdotti[[#This Row],[PRODUZIONE]]+20</f>
        <v/>
      </c>
      <c r="S43" s="165">
        <f>TODAY()</f>
        <v/>
      </c>
      <c r="T43" s="133">
        <f>CONCATENATE(A43," - contiene allergni - prodotto il giorno ",TEXT(Q43,"gg/mm/aaaa"),"")</f>
        <v/>
      </c>
    </row>
    <row r="44" ht="15" customHeight="1" s="155">
      <c r="A44" s="133">
        <f>ric!B946</f>
        <v/>
      </c>
      <c r="B44" s="125">
        <f>ric!C946</f>
        <v/>
      </c>
      <c r="C44" s="125">
        <f>ric!D946</f>
        <v/>
      </c>
      <c r="D44" s="125">
        <f>ric!E946</f>
        <v/>
      </c>
      <c r="E44" s="125">
        <f>ric!F946</f>
        <v/>
      </c>
      <c r="F44" s="125">
        <f>ric!G946</f>
        <v/>
      </c>
      <c r="G44" s="125">
        <f>ric!H946</f>
        <v/>
      </c>
      <c r="H44" s="125">
        <f>ric!I946</f>
        <v/>
      </c>
      <c r="I44" s="125">
        <f>ric!J946</f>
        <v/>
      </c>
      <c r="J44" s="125">
        <f>ric!K946</f>
        <v/>
      </c>
      <c r="K44" s="125">
        <f>ric!L946</f>
        <v/>
      </c>
      <c r="L44" s="125">
        <f>ric!M946</f>
        <v/>
      </c>
      <c r="M44" s="125">
        <f>ric!N946</f>
        <v/>
      </c>
      <c r="N44" s="125">
        <f>ric!O946</f>
        <v/>
      </c>
      <c r="O44" s="125">
        <f>ric!P946</f>
        <v/>
      </c>
      <c r="P44" s="125">
        <f>ric!Q946</f>
        <v/>
      </c>
      <c r="Q44" s="166">
        <f>TODAY()</f>
        <v/>
      </c>
      <c r="R44" s="165">
        <f>ElencoProdotti[[#This Row],[PRODUZIONE]]+20</f>
        <v/>
      </c>
      <c r="S44" s="165">
        <f>TODAY()</f>
        <v/>
      </c>
      <c r="T44" s="133">
        <f>CONCATENATE(A44," - contiene allergni - prodotto il giorno ",TEXT(Q44,"gg/mm/aaaa"),"")</f>
        <v/>
      </c>
    </row>
    <row r="45" ht="15" customHeight="1" s="155">
      <c r="A45" s="133">
        <f>ric!B962</f>
        <v/>
      </c>
      <c r="B45" s="125">
        <f>ric!C962</f>
        <v/>
      </c>
      <c r="C45" s="125">
        <f>ric!D962</f>
        <v/>
      </c>
      <c r="D45" s="125">
        <f>ric!E962</f>
        <v/>
      </c>
      <c r="E45" s="125">
        <f>ric!F962</f>
        <v/>
      </c>
      <c r="F45" s="125">
        <f>ric!G962</f>
        <v/>
      </c>
      <c r="G45" s="125">
        <f>ric!H962</f>
        <v/>
      </c>
      <c r="H45" s="125">
        <f>ric!I962</f>
        <v/>
      </c>
      <c r="I45" s="125">
        <f>ric!J962</f>
        <v/>
      </c>
      <c r="J45" s="125">
        <f>ric!K962</f>
        <v/>
      </c>
      <c r="K45" s="125">
        <f>ric!L962</f>
        <v/>
      </c>
      <c r="L45" s="125">
        <f>ric!M962</f>
        <v/>
      </c>
      <c r="M45" s="125">
        <f>ric!N962</f>
        <v/>
      </c>
      <c r="N45" s="125">
        <f>ric!O962</f>
        <v/>
      </c>
      <c r="O45" s="125">
        <f>ric!P962</f>
        <v/>
      </c>
      <c r="P45" s="125">
        <f>ric!Q962</f>
        <v/>
      </c>
      <c r="Q45" s="166">
        <f>TODAY()</f>
        <v/>
      </c>
      <c r="R45" s="165">
        <f>ElencoProdotti[[#This Row],[PRODUZIONE]]+20</f>
        <v/>
      </c>
      <c r="S45" s="165">
        <f>TODAY()</f>
        <v/>
      </c>
      <c r="T45" s="133">
        <f>CONCATENATE(A45," - contiene allergni - prodotto il giorno ",TEXT(Q45,"gg/mm/aaaa"),"")</f>
        <v/>
      </c>
    </row>
    <row r="46" ht="15" customHeight="1" s="155">
      <c r="A46" s="133">
        <f>ric!B978</f>
        <v/>
      </c>
      <c r="B46" s="125">
        <f>ric!C978</f>
        <v/>
      </c>
      <c r="C46" s="125">
        <f>ric!D978</f>
        <v/>
      </c>
      <c r="D46" s="125">
        <f>ric!E978</f>
        <v/>
      </c>
      <c r="E46" s="125">
        <f>ric!F978</f>
        <v/>
      </c>
      <c r="F46" s="125">
        <f>ric!G978</f>
        <v/>
      </c>
      <c r="G46" s="125">
        <f>ric!H978</f>
        <v/>
      </c>
      <c r="H46" s="125">
        <f>ric!I978</f>
        <v/>
      </c>
      <c r="I46" s="125">
        <f>ric!J978</f>
        <v/>
      </c>
      <c r="J46" s="125">
        <f>ric!K978</f>
        <v/>
      </c>
      <c r="K46" s="125">
        <f>ric!L978</f>
        <v/>
      </c>
      <c r="L46" s="125">
        <f>ric!M978</f>
        <v/>
      </c>
      <c r="M46" s="125">
        <f>ric!N978</f>
        <v/>
      </c>
      <c r="N46" s="125">
        <f>ric!O978</f>
        <v/>
      </c>
      <c r="O46" s="125">
        <f>ric!P978</f>
        <v/>
      </c>
      <c r="P46" s="125">
        <f>ric!Q978</f>
        <v/>
      </c>
      <c r="Q46" s="166">
        <f>TODAY()</f>
        <v/>
      </c>
      <c r="R46" s="165">
        <f>ElencoProdotti[[#This Row],[PRODUZIONE]]+20</f>
        <v/>
      </c>
      <c r="S46" s="165">
        <f>TODAY()</f>
        <v/>
      </c>
      <c r="T46" s="133">
        <f>CONCATENATE(A46," - contiene allergni - prodotto il giorno ",TEXT(Q46,"gg/mm/aaaa"),"")</f>
        <v/>
      </c>
    </row>
    <row r="47" ht="15" customHeight="1" s="155">
      <c r="A47" s="133">
        <f>ric!B994</f>
        <v/>
      </c>
      <c r="B47" s="125">
        <f>ric!C994</f>
        <v/>
      </c>
      <c r="C47" s="125">
        <f>ric!D994</f>
        <v/>
      </c>
      <c r="D47" s="125">
        <f>ric!E994</f>
        <v/>
      </c>
      <c r="E47" s="125">
        <f>ric!F994</f>
        <v/>
      </c>
      <c r="F47" s="125">
        <f>ric!G994</f>
        <v/>
      </c>
      <c r="G47" s="125">
        <f>ric!H994</f>
        <v/>
      </c>
      <c r="H47" s="125">
        <f>ric!I994</f>
        <v/>
      </c>
      <c r="I47" s="125">
        <f>ric!J994</f>
        <v/>
      </c>
      <c r="J47" s="125">
        <f>ric!K994</f>
        <v/>
      </c>
      <c r="K47" s="125">
        <f>ric!L994</f>
        <v/>
      </c>
      <c r="L47" s="125">
        <f>ric!M994</f>
        <v/>
      </c>
      <c r="M47" s="125">
        <f>ric!N994</f>
        <v/>
      </c>
      <c r="N47" s="125">
        <f>ric!O994</f>
        <v/>
      </c>
      <c r="O47" s="125">
        <f>ric!P994</f>
        <v/>
      </c>
      <c r="P47" s="125">
        <f>ric!Q994</f>
        <v/>
      </c>
      <c r="Q47" s="166">
        <f>TODAY()</f>
        <v/>
      </c>
      <c r="R47" s="165">
        <f>ElencoProdotti[[#This Row],[PRODUZIONE]]+20</f>
        <v/>
      </c>
      <c r="S47" s="165">
        <f>TODAY()</f>
        <v/>
      </c>
      <c r="T47" s="133">
        <f>CONCATENATE(A47," - contiene allergni - prodotto il giorno ",TEXT(Q47,"gg/mm/aaaa"),"")</f>
        <v/>
      </c>
    </row>
    <row r="48" ht="15" customHeight="1" s="155">
      <c r="A48" s="133">
        <f>ric!B1010</f>
        <v/>
      </c>
      <c r="B48" s="125">
        <f>ric!C1010</f>
        <v/>
      </c>
      <c r="C48" s="125">
        <f>ric!D1010</f>
        <v/>
      </c>
      <c r="D48" s="125">
        <f>ric!E1010</f>
        <v/>
      </c>
      <c r="E48" s="125">
        <f>ric!F1010</f>
        <v/>
      </c>
      <c r="F48" s="125">
        <f>ric!G1010</f>
        <v/>
      </c>
      <c r="G48" s="125">
        <f>ric!H1010</f>
        <v/>
      </c>
      <c r="H48" s="125">
        <f>ric!I1010</f>
        <v/>
      </c>
      <c r="I48" s="125">
        <f>ric!J1010</f>
        <v/>
      </c>
      <c r="J48" s="125">
        <f>ric!K1010</f>
        <v/>
      </c>
      <c r="K48" s="125">
        <f>ric!L1010</f>
        <v/>
      </c>
      <c r="L48" s="125">
        <f>ric!M1010</f>
        <v/>
      </c>
      <c r="M48" s="125">
        <f>ric!N1010</f>
        <v/>
      </c>
      <c r="N48" s="125">
        <f>ric!O1010</f>
        <v/>
      </c>
      <c r="O48" s="125">
        <f>ric!P1010</f>
        <v/>
      </c>
      <c r="P48" s="125">
        <f>ric!Q1010</f>
        <v/>
      </c>
      <c r="Q48" s="166">
        <f>TODAY()</f>
        <v/>
      </c>
      <c r="R48" s="165">
        <f>ElencoProdotti[[#This Row],[PRODUZIONE]]+20</f>
        <v/>
      </c>
      <c r="S48" s="165">
        <f>TODAY()</f>
        <v/>
      </c>
      <c r="T48" s="133">
        <f>CONCATENATE(A48," - contiene allergni - prodotto il giorno ",TEXT(Q48,"gg/mm/aaaa"),"")</f>
        <v/>
      </c>
    </row>
    <row r="49" ht="15" customHeight="1" s="155">
      <c r="A49" s="133">
        <f>ric!B1042</f>
        <v/>
      </c>
      <c r="B49" s="125">
        <f>ric!C1042</f>
        <v/>
      </c>
      <c r="C49" s="125">
        <f>ric!D1042</f>
        <v/>
      </c>
      <c r="D49" s="125">
        <f>ric!E1042</f>
        <v/>
      </c>
      <c r="E49" s="125">
        <f>ric!F1042</f>
        <v/>
      </c>
      <c r="F49" s="125">
        <f>ric!G1042</f>
        <v/>
      </c>
      <c r="G49" s="125">
        <f>ric!H1042</f>
        <v/>
      </c>
      <c r="H49" s="125">
        <f>ric!I1042</f>
        <v/>
      </c>
      <c r="I49" s="125">
        <f>ric!J1042</f>
        <v/>
      </c>
      <c r="J49" s="125">
        <f>ric!K1042</f>
        <v/>
      </c>
      <c r="K49" s="125">
        <f>ric!L1042</f>
        <v/>
      </c>
      <c r="L49" s="125">
        <f>ric!M1042</f>
        <v/>
      </c>
      <c r="M49" s="125">
        <f>ric!N1042</f>
        <v/>
      </c>
      <c r="N49" s="125">
        <f>ric!O1042</f>
        <v/>
      </c>
      <c r="O49" s="125">
        <f>ric!P1042</f>
        <v/>
      </c>
      <c r="P49" s="125">
        <f>ric!Q1042</f>
        <v/>
      </c>
      <c r="Q49" s="166">
        <f>TODAY()</f>
        <v/>
      </c>
      <c r="R49" s="165">
        <f>ElencoProdotti[[#This Row],[PRODUZIONE]]+20</f>
        <v/>
      </c>
      <c r="S49" s="165">
        <f>TODAY()</f>
        <v/>
      </c>
      <c r="T49" s="133">
        <f>CONCATENATE(A49," - contiene allergni - prodotto il giorno ",TEXT(Q49,"gg/mm/aaaa"),"")</f>
        <v/>
      </c>
    </row>
    <row r="50" ht="15" customHeight="1" s="155">
      <c r="A50" s="133">
        <f>ric!B1058</f>
        <v/>
      </c>
      <c r="B50" s="125">
        <f>ric!C1058</f>
        <v/>
      </c>
      <c r="C50" s="125">
        <f>ric!D1058</f>
        <v/>
      </c>
      <c r="D50" s="125">
        <f>ric!E1058</f>
        <v/>
      </c>
      <c r="E50" s="125">
        <f>ric!F1058</f>
        <v/>
      </c>
      <c r="F50" s="125">
        <f>ric!G1058</f>
        <v/>
      </c>
      <c r="G50" s="125">
        <f>ric!H1058</f>
        <v/>
      </c>
      <c r="H50" s="125">
        <f>ric!I1058</f>
        <v/>
      </c>
      <c r="I50" s="125">
        <f>ric!J1058</f>
        <v/>
      </c>
      <c r="J50" s="125">
        <f>ric!K1058</f>
        <v/>
      </c>
      <c r="K50" s="125">
        <f>ric!L1058</f>
        <v/>
      </c>
      <c r="L50" s="125">
        <f>ric!M1058</f>
        <v/>
      </c>
      <c r="M50" s="125">
        <f>ric!N1058</f>
        <v/>
      </c>
      <c r="N50" s="125">
        <f>ric!O1058</f>
        <v/>
      </c>
      <c r="O50" s="125">
        <f>ric!P1058</f>
        <v/>
      </c>
      <c r="P50" s="125">
        <f>ric!Q1058</f>
        <v/>
      </c>
      <c r="Q50" s="166">
        <f>TODAY()</f>
        <v/>
      </c>
      <c r="R50" s="165">
        <f>ElencoProdotti[[#This Row],[PRODUZIONE]]+20</f>
        <v/>
      </c>
      <c r="S50" s="165">
        <f>TODAY()</f>
        <v/>
      </c>
      <c r="T50" s="133">
        <f>CONCATENATE(A50," - contiene allergni - prodotto il giorno ",TEXT(Q50,"gg/mm/aaaa"),"")</f>
        <v/>
      </c>
    </row>
    <row r="51" ht="15" customHeight="1" s="155">
      <c r="A51" s="133">
        <f>ric!B1074</f>
        <v/>
      </c>
      <c r="B51" s="125">
        <f>ric!C1074</f>
        <v/>
      </c>
      <c r="C51" s="125">
        <f>ric!D1074</f>
        <v/>
      </c>
      <c r="D51" s="125">
        <f>ric!E1074</f>
        <v/>
      </c>
      <c r="E51" s="125">
        <f>ric!F1074</f>
        <v/>
      </c>
      <c r="F51" s="125">
        <f>ric!G1074</f>
        <v/>
      </c>
      <c r="G51" s="125">
        <f>ric!H1074</f>
        <v/>
      </c>
      <c r="H51" s="125">
        <f>ric!I1074</f>
        <v/>
      </c>
      <c r="I51" s="125">
        <f>ric!J1074</f>
        <v/>
      </c>
      <c r="J51" s="125">
        <f>ric!K1074</f>
        <v/>
      </c>
      <c r="K51" s="125">
        <f>ric!L1074</f>
        <v/>
      </c>
      <c r="L51" s="125">
        <f>ric!M1074</f>
        <v/>
      </c>
      <c r="M51" s="125">
        <f>ric!N1074</f>
        <v/>
      </c>
      <c r="N51" s="125">
        <f>ric!O1074</f>
        <v/>
      </c>
      <c r="O51" s="125">
        <f>ric!P1074</f>
        <v/>
      </c>
      <c r="P51" s="125">
        <f>ric!Q1074</f>
        <v/>
      </c>
      <c r="Q51" s="166">
        <f>TODAY()</f>
        <v/>
      </c>
      <c r="R51" s="165">
        <f>ElencoProdotti[[#This Row],[PRODUZIONE]]+20</f>
        <v/>
      </c>
      <c r="S51" s="165">
        <f>TODAY()</f>
        <v/>
      </c>
      <c r="T51" s="133">
        <f>CONCATENATE(A51," - contiene allergni - prodotto il giorno ",TEXT(Q51,"gg/mm/aaaa"),"")</f>
        <v/>
      </c>
    </row>
    <row r="52" ht="15" customHeight="1" s="155">
      <c r="A52" s="133">
        <f>ric!B1090</f>
        <v/>
      </c>
      <c r="B52" s="125">
        <f>ric!C1090</f>
        <v/>
      </c>
      <c r="C52" s="125">
        <f>ric!D1090</f>
        <v/>
      </c>
      <c r="D52" s="125">
        <f>ric!E1090</f>
        <v/>
      </c>
      <c r="E52" s="125">
        <f>ric!F1090</f>
        <v/>
      </c>
      <c r="F52" s="125">
        <f>ric!G1090</f>
        <v/>
      </c>
      <c r="G52" s="125">
        <f>ric!H1090</f>
        <v/>
      </c>
      <c r="H52" s="125">
        <f>ric!I1090</f>
        <v/>
      </c>
      <c r="I52" s="125">
        <f>ric!J1090</f>
        <v/>
      </c>
      <c r="J52" s="125">
        <f>ric!K1090</f>
        <v/>
      </c>
      <c r="K52" s="125">
        <f>ric!L1090</f>
        <v/>
      </c>
      <c r="L52" s="125">
        <f>ric!M1090</f>
        <v/>
      </c>
      <c r="M52" s="125">
        <f>ric!N1090</f>
        <v/>
      </c>
      <c r="N52" s="125">
        <f>ric!O1090</f>
        <v/>
      </c>
      <c r="O52" s="125">
        <f>ric!P1090</f>
        <v/>
      </c>
      <c r="P52" s="125">
        <f>ric!Q1090</f>
        <v/>
      </c>
      <c r="Q52" s="166">
        <f>TODAY()</f>
        <v/>
      </c>
      <c r="R52" s="165">
        <f>ElencoProdotti[[#This Row],[PRODUZIONE]]+20</f>
        <v/>
      </c>
      <c r="S52" s="165">
        <f>TODAY()</f>
        <v/>
      </c>
      <c r="T52" s="133">
        <f>CONCATENATE(A52," - contiene allergni - prodotto il giorno ",TEXT(Q52,"gg/mm/aaaa"),"")</f>
        <v/>
      </c>
    </row>
    <row r="53" ht="15" customHeight="1" s="155">
      <c r="A53" s="133">
        <f>ric!B1106</f>
        <v/>
      </c>
      <c r="B53" s="125">
        <f>ric!C1106</f>
        <v/>
      </c>
      <c r="C53" s="125">
        <f>ric!D1106</f>
        <v/>
      </c>
      <c r="D53" s="125">
        <f>ric!E1106</f>
        <v/>
      </c>
      <c r="E53" s="125">
        <f>ric!F1106</f>
        <v/>
      </c>
      <c r="F53" s="125">
        <f>ric!G1106</f>
        <v/>
      </c>
      <c r="G53" s="125">
        <f>ric!H1106</f>
        <v/>
      </c>
      <c r="H53" s="125">
        <f>ric!I1106</f>
        <v/>
      </c>
      <c r="I53" s="125">
        <f>ric!J1106</f>
        <v/>
      </c>
      <c r="J53" s="125">
        <f>ric!K1106</f>
        <v/>
      </c>
      <c r="K53" s="125">
        <f>ric!L1106</f>
        <v/>
      </c>
      <c r="L53" s="125">
        <f>ric!M1106</f>
        <v/>
      </c>
      <c r="M53" s="125">
        <f>ric!N1106</f>
        <v/>
      </c>
      <c r="N53" s="125">
        <f>ric!O1106</f>
        <v/>
      </c>
      <c r="O53" s="125">
        <f>ric!P1106</f>
        <v/>
      </c>
      <c r="P53" s="125">
        <f>ric!Q1106</f>
        <v/>
      </c>
      <c r="Q53" s="166">
        <f>TODAY()</f>
        <v/>
      </c>
      <c r="R53" s="165">
        <f>ElencoProdotti[[#This Row],[PRODUZIONE]]+20</f>
        <v/>
      </c>
      <c r="S53" s="165">
        <f>TODAY()</f>
        <v/>
      </c>
      <c r="T53" s="133">
        <f>CONCATENATE(A53," - contiene allergni - prodotto il giorno ",TEXT(Q53,"gg/mm/aaaa"),"")</f>
        <v/>
      </c>
    </row>
    <row r="54" ht="15" customHeight="1" s="155">
      <c r="A54" s="133" t="inlineStr">
        <is>
          <t>peperoni in padella</t>
        </is>
      </c>
      <c r="B54" s="125">
        <f>ric!C1026</f>
        <v/>
      </c>
      <c r="C54" s="125">
        <f>ric!D1026</f>
        <v/>
      </c>
      <c r="D54" s="125">
        <f>ric!E1026</f>
        <v/>
      </c>
      <c r="E54" s="125">
        <f>ric!F1026</f>
        <v/>
      </c>
      <c r="F54" s="125">
        <f>ric!G1026</f>
        <v/>
      </c>
      <c r="G54" s="125">
        <f>ric!H1026</f>
        <v/>
      </c>
      <c r="H54" s="125">
        <f>ric!I1026</f>
        <v/>
      </c>
      <c r="I54" s="125">
        <f>ric!J1026</f>
        <v/>
      </c>
      <c r="J54" s="125">
        <f>ric!K1026</f>
        <v/>
      </c>
      <c r="K54" s="125">
        <f>ric!L1026</f>
        <v/>
      </c>
      <c r="L54" s="125">
        <f>ric!M1026</f>
        <v/>
      </c>
      <c r="M54" s="125">
        <f>ric!N1026</f>
        <v/>
      </c>
      <c r="N54" s="125">
        <f>ric!O1026</f>
        <v/>
      </c>
      <c r="O54" s="125">
        <f>ric!P1026</f>
        <v/>
      </c>
      <c r="P54" s="125">
        <f>ric!Q1026</f>
        <v/>
      </c>
      <c r="Q54" s="166">
        <f>TODAY()</f>
        <v/>
      </c>
      <c r="R54" s="165">
        <f>ElencoProdotti[[#This Row],[PRODUZIONE]]+20</f>
        <v/>
      </c>
      <c r="S54" s="165">
        <f>TODAY()</f>
        <v/>
      </c>
      <c r="T54" s="133">
        <f>CONCATENATE(A54," - contiene allergni - prodotto il giorno ",TEXT(Q54,"gg/mm/aaaa"),"")</f>
        <v/>
      </c>
    </row>
    <row r="55" ht="15" customHeight="1" s="155">
      <c r="A55" s="133">
        <f>ric!B66</f>
        <v/>
      </c>
      <c r="B55" s="125">
        <f>ric!C66</f>
        <v/>
      </c>
      <c r="C55" s="125">
        <f>ric!D66</f>
        <v/>
      </c>
      <c r="D55" s="125">
        <f>ric!E66</f>
        <v/>
      </c>
      <c r="E55" s="125">
        <f>ric!F66</f>
        <v/>
      </c>
      <c r="F55" s="125">
        <f>ric!G66</f>
        <v/>
      </c>
      <c r="G55" s="125">
        <f>ric!H66</f>
        <v/>
      </c>
      <c r="H55" s="125">
        <f>ric!I66</f>
        <v/>
      </c>
      <c r="I55" s="125">
        <f>ric!J66</f>
        <v/>
      </c>
      <c r="J55" s="125">
        <f>ric!K66</f>
        <v/>
      </c>
      <c r="K55" s="125">
        <f>ric!L66</f>
        <v/>
      </c>
      <c r="L55" s="125">
        <f>ric!M66</f>
        <v/>
      </c>
      <c r="M55" s="125">
        <f>ric!N66</f>
        <v/>
      </c>
      <c r="N55" s="125">
        <f>ric!O66</f>
        <v/>
      </c>
      <c r="O55" s="125">
        <f>ric!P66</f>
        <v/>
      </c>
      <c r="P55" s="125">
        <f>ric!Q66</f>
        <v/>
      </c>
      <c r="Q55" s="166">
        <f>TODAY()</f>
        <v/>
      </c>
      <c r="R55" s="165">
        <f>ElencoProdotti[[#This Row],[PRODUZIONE]]+20</f>
        <v/>
      </c>
      <c r="S55" s="165">
        <f>TODAY()</f>
        <v/>
      </c>
      <c r="T55" s="133">
        <f>CONCATENATE(A55," - contiene allergni - prodotto il giorno ",TEXT(Q55,"gg/mm/aaaa"),"")</f>
        <v/>
      </c>
    </row>
    <row r="56" ht="15" customHeight="1" s="155">
      <c r="A56" s="133">
        <f>ric!B210</f>
        <v/>
      </c>
      <c r="B56" s="125">
        <f>ric!C210</f>
        <v/>
      </c>
      <c r="C56" s="125">
        <f>ric!D210</f>
        <v/>
      </c>
      <c r="D56" s="125">
        <f>ric!E210</f>
        <v/>
      </c>
      <c r="E56" s="125">
        <f>ric!F210</f>
        <v/>
      </c>
      <c r="F56" s="125">
        <f>ric!G210</f>
        <v/>
      </c>
      <c r="G56" s="125">
        <f>ric!H210</f>
        <v/>
      </c>
      <c r="H56" s="125">
        <f>ric!I210</f>
        <v/>
      </c>
      <c r="I56" s="125">
        <f>ric!J210</f>
        <v/>
      </c>
      <c r="J56" s="125">
        <f>ric!K210</f>
        <v/>
      </c>
      <c r="K56" s="125">
        <f>ric!L210</f>
        <v/>
      </c>
      <c r="L56" s="125">
        <f>ric!M210</f>
        <v/>
      </c>
      <c r="M56" s="125">
        <f>ric!N210</f>
        <v/>
      </c>
      <c r="N56" s="125">
        <f>ric!O210</f>
        <v/>
      </c>
      <c r="O56" s="125">
        <f>ric!P210</f>
        <v/>
      </c>
      <c r="P56" s="125">
        <f>ric!Q210</f>
        <v/>
      </c>
      <c r="Q56" s="166">
        <f>TODAY()</f>
        <v/>
      </c>
      <c r="R56" s="165">
        <f>ElencoProdotti[[#This Row],[PRODUZIONE]]+20</f>
        <v/>
      </c>
      <c r="S56" s="165">
        <f>TODAY()</f>
        <v/>
      </c>
      <c r="T56" s="133">
        <f>CONCATENATE(A56," - contiene allergni - prodotto il giorno ",TEXT(Q56,"gg/mm/aaaa"),"")</f>
        <v/>
      </c>
    </row>
    <row r="57" ht="15" customHeight="1" s="155">
      <c r="A57" s="133">
        <f>ric!B194</f>
        <v/>
      </c>
      <c r="B57" s="125">
        <f>ric!C194</f>
        <v/>
      </c>
      <c r="C57" s="125">
        <f>ric!D194</f>
        <v/>
      </c>
      <c r="D57" s="125">
        <f>ric!E194</f>
        <v/>
      </c>
      <c r="E57" s="125">
        <f>ric!F194</f>
        <v/>
      </c>
      <c r="F57" s="125">
        <f>ric!G194</f>
        <v/>
      </c>
      <c r="G57" s="125">
        <f>ric!H194</f>
        <v/>
      </c>
      <c r="H57" s="125">
        <f>ric!I194</f>
        <v/>
      </c>
      <c r="I57" s="125">
        <f>ric!J194</f>
        <v/>
      </c>
      <c r="J57" s="125">
        <f>ric!K194</f>
        <v/>
      </c>
      <c r="K57" s="125">
        <f>ric!L194</f>
        <v/>
      </c>
      <c r="L57" s="125">
        <f>ric!M194</f>
        <v/>
      </c>
      <c r="M57" s="125">
        <f>ric!N194</f>
        <v/>
      </c>
      <c r="N57" s="125">
        <f>ric!O194</f>
        <v/>
      </c>
      <c r="O57" s="125">
        <f>ric!P194</f>
        <v/>
      </c>
      <c r="P57" s="125">
        <f>ric!Q194</f>
        <v/>
      </c>
      <c r="Q57" s="166">
        <f>TODAY()</f>
        <v/>
      </c>
      <c r="R57" s="165">
        <f>ElencoProdotti[[#This Row],[PRODUZIONE]]+20</f>
        <v/>
      </c>
      <c r="S57" s="165">
        <f>TODAY()</f>
        <v/>
      </c>
      <c r="T57" s="133">
        <f>CONCATENATE(A57," - contiene allergni - prodotto il giorno ",TEXT(Q57,"gg/mm/aaaa"),"")</f>
        <v/>
      </c>
    </row>
    <row r="58" ht="15" customHeight="1" s="155">
      <c r="A58" s="133">
        <f>ric!B178</f>
        <v/>
      </c>
      <c r="B58" s="125">
        <f>ric!C178</f>
        <v/>
      </c>
      <c r="C58" s="125">
        <f>ric!D178</f>
        <v/>
      </c>
      <c r="D58" s="125">
        <f>ric!E178</f>
        <v/>
      </c>
      <c r="E58" s="125">
        <f>ric!F178</f>
        <v/>
      </c>
      <c r="F58" s="125">
        <f>ric!G178</f>
        <v/>
      </c>
      <c r="G58" s="125">
        <f>ric!H178</f>
        <v/>
      </c>
      <c r="H58" s="125">
        <f>ric!I178</f>
        <v/>
      </c>
      <c r="I58" s="125">
        <f>ric!J178</f>
        <v/>
      </c>
      <c r="J58" s="125">
        <f>ric!K178</f>
        <v/>
      </c>
      <c r="K58" s="125">
        <f>ric!L178</f>
        <v/>
      </c>
      <c r="L58" s="125">
        <f>ric!M178</f>
        <v/>
      </c>
      <c r="M58" s="125">
        <f>ric!N178</f>
        <v/>
      </c>
      <c r="N58" s="125">
        <f>ric!O178</f>
        <v/>
      </c>
      <c r="O58" s="125">
        <f>ric!P178</f>
        <v/>
      </c>
      <c r="P58" s="125">
        <f>ric!Q178</f>
        <v/>
      </c>
      <c r="Q58" s="166">
        <f>TODAY()</f>
        <v/>
      </c>
      <c r="R58" s="165">
        <f>ElencoProdotti[[#This Row],[PRODUZIONE]]+20</f>
        <v/>
      </c>
      <c r="S58" s="165">
        <f>TODAY()</f>
        <v/>
      </c>
      <c r="T58" s="133">
        <f>CONCATENATE(A58," - contiene allergni - prodotto il giorno ",TEXT(Q58,"gg/mm/aaaa"),"")</f>
        <v/>
      </c>
    </row>
    <row r="59" ht="15" customHeight="1" s="155">
      <c r="A59" s="133">
        <f>ric!B98</f>
        <v/>
      </c>
      <c r="B59" s="125">
        <f>ric!C98</f>
        <v/>
      </c>
      <c r="C59" s="125">
        <f>ric!D98</f>
        <v/>
      </c>
      <c r="D59" s="125">
        <f>ric!E98</f>
        <v/>
      </c>
      <c r="E59" s="125">
        <f>ric!F98</f>
        <v/>
      </c>
      <c r="F59" s="125">
        <f>ric!G98</f>
        <v/>
      </c>
      <c r="G59" s="125">
        <f>ric!H98</f>
        <v/>
      </c>
      <c r="H59" s="125">
        <f>ric!I98</f>
        <v/>
      </c>
      <c r="I59" s="125">
        <f>ric!J98</f>
        <v/>
      </c>
      <c r="J59" s="125">
        <f>ric!K98</f>
        <v/>
      </c>
      <c r="K59" s="125">
        <f>ric!L98</f>
        <v/>
      </c>
      <c r="L59" s="125">
        <f>ric!M98</f>
        <v/>
      </c>
      <c r="M59" s="125">
        <f>ric!N98</f>
        <v/>
      </c>
      <c r="N59" s="125">
        <f>ric!O98</f>
        <v/>
      </c>
      <c r="O59" s="125">
        <f>ric!P98</f>
        <v/>
      </c>
      <c r="P59" s="125">
        <f>ric!Q98</f>
        <v/>
      </c>
      <c r="Q59" s="166">
        <f>TODAY()</f>
        <v/>
      </c>
      <c r="R59" s="165">
        <f>ElencoProdotti[[#This Row],[PRODUZIONE]]+20</f>
        <v/>
      </c>
      <c r="S59" s="165">
        <f>TODAY()</f>
        <v/>
      </c>
      <c r="T59" s="133">
        <f>CONCATENATE(A59," - contiene allergni - prodotto il giorno ",TEXT(Q59,"gg/mm/aaaa"),"")</f>
        <v/>
      </c>
    </row>
    <row r="60" ht="15" customHeight="1" s="155">
      <c r="A60" s="133">
        <f>ric!B322</f>
        <v/>
      </c>
      <c r="B60" s="125">
        <f>ric!C322</f>
        <v/>
      </c>
      <c r="C60" s="125">
        <f>ric!D322</f>
        <v/>
      </c>
      <c r="D60" s="125">
        <f>ric!E322</f>
        <v/>
      </c>
      <c r="E60" s="125">
        <f>ric!F322</f>
        <v/>
      </c>
      <c r="F60" s="125">
        <f>ric!G322</f>
        <v/>
      </c>
      <c r="G60" s="125">
        <f>ric!H322</f>
        <v/>
      </c>
      <c r="H60" s="125">
        <f>ric!I322</f>
        <v/>
      </c>
      <c r="I60" s="125">
        <f>ric!J322</f>
        <v/>
      </c>
      <c r="J60" s="125">
        <f>ric!K322</f>
        <v/>
      </c>
      <c r="K60" s="125">
        <f>ric!L322</f>
        <v/>
      </c>
      <c r="L60" s="125">
        <f>ric!M322</f>
        <v/>
      </c>
      <c r="M60" s="125">
        <f>ric!N322</f>
        <v/>
      </c>
      <c r="N60" s="125">
        <f>ric!O322</f>
        <v/>
      </c>
      <c r="O60" s="125">
        <f>ric!P322</f>
        <v/>
      </c>
      <c r="P60" s="125">
        <f>ric!Q322</f>
        <v/>
      </c>
      <c r="Q60" s="166">
        <f>TODAY()</f>
        <v/>
      </c>
      <c r="R60" s="165">
        <f>ElencoProdotti[[#This Row],[PRODUZIONE]]+20</f>
        <v/>
      </c>
      <c r="S60" s="165">
        <f>TODAY()</f>
        <v/>
      </c>
      <c r="T60" s="133">
        <f>CONCATENATE(A60," - contiene allergni - prodotto il giorno ",TEXT(Q60,"gg/mm/aaaa"),"")</f>
        <v/>
      </c>
    </row>
    <row r="61" ht="15" customHeight="1" s="155">
      <c r="A61" s="133">
        <f>ric!B290</f>
        <v/>
      </c>
      <c r="B61" s="125">
        <f>ric!C290</f>
        <v/>
      </c>
      <c r="C61" s="125">
        <f>ric!D290</f>
        <v/>
      </c>
      <c r="D61" s="125">
        <f>ric!E290</f>
        <v/>
      </c>
      <c r="E61" s="125">
        <f>ric!F290</f>
        <v/>
      </c>
      <c r="F61" s="125">
        <f>ric!G290</f>
        <v/>
      </c>
      <c r="G61" s="125">
        <f>ric!H290</f>
        <v/>
      </c>
      <c r="H61" s="125">
        <f>ric!I290</f>
        <v/>
      </c>
      <c r="I61" s="125">
        <f>ric!J290</f>
        <v/>
      </c>
      <c r="J61" s="125">
        <f>ric!K290</f>
        <v/>
      </c>
      <c r="K61" s="125">
        <f>ric!L290</f>
        <v/>
      </c>
      <c r="L61" s="125">
        <f>ric!M290</f>
        <v/>
      </c>
      <c r="M61" s="125">
        <f>ric!N290</f>
        <v/>
      </c>
      <c r="N61" s="125">
        <f>ric!O290</f>
        <v/>
      </c>
      <c r="O61" s="125">
        <f>ric!P290</f>
        <v/>
      </c>
      <c r="P61" s="125">
        <f>ric!Q290</f>
        <v/>
      </c>
      <c r="Q61" s="166">
        <f>TODAY()</f>
        <v/>
      </c>
      <c r="R61" s="165">
        <f>ElencoProdotti[[#This Row],[PRODUZIONE]]+20</f>
        <v/>
      </c>
      <c r="S61" s="165">
        <f>TODAY()</f>
        <v/>
      </c>
      <c r="T61" s="133">
        <f>CONCATENATE(A61," - contiene allergni - prodotto il giorno ",TEXT(Q61,"gg/mm/aaaa"),"")</f>
        <v/>
      </c>
    </row>
    <row r="62" ht="15" customHeight="1" s="155">
      <c r="A62" s="133">
        <f>ric!B306</f>
        <v/>
      </c>
      <c r="B62" s="125">
        <f>ric!C306</f>
        <v/>
      </c>
      <c r="C62" s="125">
        <f>ric!D306</f>
        <v/>
      </c>
      <c r="D62" s="125">
        <f>ric!E306</f>
        <v/>
      </c>
      <c r="E62" s="125">
        <f>ric!F306</f>
        <v/>
      </c>
      <c r="F62" s="125">
        <f>ric!G306</f>
        <v/>
      </c>
      <c r="G62" s="125">
        <f>ric!H306</f>
        <v/>
      </c>
      <c r="H62" s="125">
        <f>ric!I306</f>
        <v/>
      </c>
      <c r="I62" s="125">
        <f>ric!J306</f>
        <v/>
      </c>
      <c r="J62" s="125">
        <f>ric!K306</f>
        <v/>
      </c>
      <c r="K62" s="125">
        <f>ric!L306</f>
        <v/>
      </c>
      <c r="L62" s="125">
        <f>ric!M306</f>
        <v/>
      </c>
      <c r="M62" s="125">
        <f>ric!N306</f>
        <v/>
      </c>
      <c r="N62" s="125">
        <f>ric!O306</f>
        <v/>
      </c>
      <c r="O62" s="125">
        <f>ric!P306</f>
        <v/>
      </c>
      <c r="P62" s="125">
        <f>ric!Q306</f>
        <v/>
      </c>
      <c r="Q62" s="166">
        <f>TODAY()</f>
        <v/>
      </c>
      <c r="R62" s="165">
        <f>ElencoProdotti[[#This Row],[PRODUZIONE]]+20</f>
        <v/>
      </c>
      <c r="S62" s="165">
        <f>TODAY()</f>
        <v/>
      </c>
      <c r="T62" s="133">
        <f>CONCATENATE(A62," - contiene allergni - prodotto il giorno ",TEXT(Q62,"gg/mm/aaaa"),"")</f>
        <v/>
      </c>
    </row>
    <row r="63" ht="15" customHeight="1" s="155">
      <c r="A63" s="133">
        <f>ric!B1122</f>
        <v/>
      </c>
      <c r="B63" s="125">
        <f>ric!C1122</f>
        <v/>
      </c>
      <c r="C63" s="125">
        <f>ric!D1122</f>
        <v/>
      </c>
      <c r="D63" s="125">
        <f>ric!E1122</f>
        <v/>
      </c>
      <c r="E63" s="125">
        <f>ric!F1122</f>
        <v/>
      </c>
      <c r="F63" s="125">
        <f>ric!G1122</f>
        <v/>
      </c>
      <c r="G63" s="125">
        <f>ric!H1122</f>
        <v/>
      </c>
      <c r="H63" s="125">
        <f>ric!I1122</f>
        <v/>
      </c>
      <c r="I63" s="125">
        <f>ric!J1122</f>
        <v/>
      </c>
      <c r="J63" s="125">
        <f>ric!K1122</f>
        <v/>
      </c>
      <c r="K63" s="125">
        <f>ric!L1122</f>
        <v/>
      </c>
      <c r="L63" s="125">
        <f>ric!M1122</f>
        <v/>
      </c>
      <c r="M63" s="125">
        <f>ric!N1122</f>
        <v/>
      </c>
      <c r="N63" s="125">
        <f>ric!O1122</f>
        <v/>
      </c>
      <c r="O63" s="125">
        <f>ric!P1122</f>
        <v/>
      </c>
      <c r="P63" s="125">
        <f>ric!Q1122</f>
        <v/>
      </c>
      <c r="Q63" s="166">
        <f>TODAY()</f>
        <v/>
      </c>
      <c r="R63" s="165">
        <f>ElencoProdotti[[#This Row],[PRODUZIONE]]+20</f>
        <v/>
      </c>
      <c r="S63" s="165">
        <f>TODAY()</f>
        <v/>
      </c>
      <c r="T63" s="133">
        <f>CONCATENATE(A63," - contiene allergni - prodotto il giorno ",TEXT(Q63,"gg/mm/aaaa"),"")</f>
        <v/>
      </c>
    </row>
    <row r="64" ht="15" customHeight="1" s="155">
      <c r="A64" s="133">
        <f>ric!B258</f>
        <v/>
      </c>
      <c r="B64" s="125">
        <f>ric!C258</f>
        <v/>
      </c>
      <c r="C64" s="125">
        <f>ric!D258</f>
        <v/>
      </c>
      <c r="D64" s="125">
        <f>ric!E258</f>
        <v/>
      </c>
      <c r="E64" s="125">
        <f>ric!F258</f>
        <v/>
      </c>
      <c r="F64" s="125">
        <f>ric!G258</f>
        <v/>
      </c>
      <c r="G64" s="125">
        <f>ric!H258</f>
        <v/>
      </c>
      <c r="H64" s="125">
        <f>ric!I258</f>
        <v/>
      </c>
      <c r="I64" s="125">
        <f>ric!J258</f>
        <v/>
      </c>
      <c r="J64" s="125">
        <f>ric!K258</f>
        <v/>
      </c>
      <c r="K64" s="125">
        <f>ric!L258</f>
        <v/>
      </c>
      <c r="L64" s="125">
        <f>ric!M258</f>
        <v/>
      </c>
      <c r="M64" s="125">
        <f>ric!N258</f>
        <v/>
      </c>
      <c r="N64" s="125">
        <f>ric!O258</f>
        <v/>
      </c>
      <c r="O64" s="125">
        <f>ric!P258</f>
        <v/>
      </c>
      <c r="P64" s="125">
        <f>ric!Q258</f>
        <v/>
      </c>
      <c r="Q64" s="166">
        <f>TODAY()</f>
        <v/>
      </c>
      <c r="R64" s="165">
        <f>ElencoProdotti[[#This Row],[PRODUZIONE]]+20</f>
        <v/>
      </c>
      <c r="S64" s="165">
        <f>TODAY()</f>
        <v/>
      </c>
      <c r="T64" s="133">
        <f>CONCATENATE(A64," - contiene allergni - prodotto il giorno ",TEXT(Q64,"gg/mm/aaaa"),"")</f>
        <v/>
      </c>
    </row>
    <row r="65" ht="15" customHeight="1" s="155">
      <c r="A65" s="133">
        <f>ric!B1138</f>
        <v/>
      </c>
      <c r="B65" s="125">
        <f>ric!C1138</f>
        <v/>
      </c>
      <c r="C65" s="125">
        <f>ric!D1138</f>
        <v/>
      </c>
      <c r="D65" s="125">
        <f>ric!E1138</f>
        <v/>
      </c>
      <c r="E65" s="125">
        <f>ric!F1138</f>
        <v/>
      </c>
      <c r="F65" s="125">
        <f>ric!G1138</f>
        <v/>
      </c>
      <c r="G65" s="125">
        <f>ric!H1138</f>
        <v/>
      </c>
      <c r="H65" s="125">
        <f>ric!I1138</f>
        <v/>
      </c>
      <c r="I65" s="125">
        <f>ric!J1138</f>
        <v/>
      </c>
      <c r="J65" s="125">
        <f>ric!K1138</f>
        <v/>
      </c>
      <c r="K65" s="125">
        <f>ric!L1138</f>
        <v/>
      </c>
      <c r="L65" s="125">
        <f>ric!M1138</f>
        <v/>
      </c>
      <c r="M65" s="125">
        <f>ric!N1138</f>
        <v/>
      </c>
      <c r="N65" s="125">
        <f>ric!O1138</f>
        <v/>
      </c>
      <c r="O65" s="125">
        <f>ric!P1138</f>
        <v/>
      </c>
      <c r="P65" s="125">
        <f>ric!Q1138</f>
        <v/>
      </c>
      <c r="Q65" s="166">
        <f>TODAY()</f>
        <v/>
      </c>
      <c r="R65" s="165">
        <f>ElencoProdotti[[#This Row],[PRODUZIONE]]+20</f>
        <v/>
      </c>
      <c r="S65" s="165">
        <f>TODAY()</f>
        <v/>
      </c>
      <c r="T65" s="133">
        <f>CONCATENATE(A65," - contiene allergni - prodotto il giorno ",TEXT(Q65,"gg/mm/aaaa"),"")</f>
        <v/>
      </c>
    </row>
    <row r="66" ht="15" customHeight="1" s="155">
      <c r="A66" s="133">
        <f>ric!B1154</f>
        <v/>
      </c>
      <c r="B66" s="125">
        <f>ric!C1154</f>
        <v/>
      </c>
      <c r="C66" s="125">
        <f>ric!D1154</f>
        <v/>
      </c>
      <c r="D66" s="125">
        <f>ric!E1154</f>
        <v/>
      </c>
      <c r="E66" s="125">
        <f>ric!F1154</f>
        <v/>
      </c>
      <c r="F66" s="125">
        <f>ric!G1154</f>
        <v/>
      </c>
      <c r="G66" s="125">
        <f>ric!H1154</f>
        <v/>
      </c>
      <c r="H66" s="125">
        <f>ric!I1154</f>
        <v/>
      </c>
      <c r="I66" s="125">
        <f>ric!J1154</f>
        <v/>
      </c>
      <c r="J66" s="125">
        <f>ric!K1154</f>
        <v/>
      </c>
      <c r="K66" s="125">
        <f>ric!L1154</f>
        <v/>
      </c>
      <c r="L66" s="125">
        <f>ric!M1154</f>
        <v/>
      </c>
      <c r="M66" s="125">
        <f>ric!N1154</f>
        <v/>
      </c>
      <c r="N66" s="125">
        <f>ric!O1154</f>
        <v/>
      </c>
      <c r="O66" s="125">
        <f>ric!P1154</f>
        <v/>
      </c>
      <c r="P66" s="125">
        <f>ric!Q1154</f>
        <v/>
      </c>
      <c r="Q66" s="166">
        <f>TODAY()</f>
        <v/>
      </c>
      <c r="R66" s="165">
        <f>ElencoProdotti[[#This Row],[PRODUZIONE]]+20</f>
        <v/>
      </c>
      <c r="S66" s="165">
        <f>TODAY()</f>
        <v/>
      </c>
      <c r="T66" s="133">
        <f>CONCATENATE(A66," - contiene allergni - prodotto il giorno ",TEXT(Q66,"gg/mm/aaaa"),"")</f>
        <v/>
      </c>
    </row>
    <row r="67" ht="15" customHeight="1" s="155">
      <c r="A67" s="133">
        <f>ric!B354</f>
        <v/>
      </c>
      <c r="B67" s="125">
        <f>ric!C354</f>
        <v/>
      </c>
      <c r="C67" s="125">
        <f>ric!D354</f>
        <v/>
      </c>
      <c r="D67" s="125">
        <f>ric!E354</f>
        <v/>
      </c>
      <c r="E67" s="125">
        <f>ric!F354</f>
        <v/>
      </c>
      <c r="F67" s="125">
        <f>ric!G354</f>
        <v/>
      </c>
      <c r="G67" s="125">
        <f>ric!H354</f>
        <v/>
      </c>
      <c r="H67" s="125">
        <f>ric!I354</f>
        <v/>
      </c>
      <c r="I67" s="125">
        <f>ric!J354</f>
        <v/>
      </c>
      <c r="J67" s="125">
        <f>ric!K354</f>
        <v/>
      </c>
      <c r="K67" s="125">
        <f>ric!L354</f>
        <v/>
      </c>
      <c r="L67" s="125">
        <f>ric!M354</f>
        <v/>
      </c>
      <c r="M67" s="125">
        <f>ric!N354</f>
        <v/>
      </c>
      <c r="N67" s="125">
        <f>ric!O354</f>
        <v/>
      </c>
      <c r="O67" s="125">
        <f>ric!P354</f>
        <v/>
      </c>
      <c r="P67" s="125">
        <f>ric!Q354</f>
        <v/>
      </c>
      <c r="Q67" s="166">
        <f>TODAY()</f>
        <v/>
      </c>
      <c r="R67" s="165">
        <f>ElencoProdotti[[#This Row],[PRODUZIONE]]+20</f>
        <v/>
      </c>
      <c r="S67" s="165">
        <f>TODAY()</f>
        <v/>
      </c>
      <c r="T67" s="133">
        <f>CONCATENATE(A67," - contiene allergni - prodotto il giorno ",TEXT(Q67,"gg/mm/aaaa"),"")</f>
        <v/>
      </c>
    </row>
    <row r="68" ht="15" customHeight="1" s="155">
      <c r="A68" s="133">
        <f>ric!B338</f>
        <v/>
      </c>
      <c r="B68" s="125">
        <f>ric!C338</f>
        <v/>
      </c>
      <c r="C68" s="125">
        <f>ric!D338</f>
        <v/>
      </c>
      <c r="D68" s="125">
        <f>ric!E338</f>
        <v/>
      </c>
      <c r="E68" s="125">
        <f>ric!F338</f>
        <v/>
      </c>
      <c r="F68" s="125">
        <f>ric!G338</f>
        <v/>
      </c>
      <c r="G68" s="125">
        <f>ric!H338</f>
        <v/>
      </c>
      <c r="H68" s="125">
        <f>ric!I338</f>
        <v/>
      </c>
      <c r="I68" s="125">
        <f>ric!J338</f>
        <v/>
      </c>
      <c r="J68" s="125">
        <f>ric!K338</f>
        <v/>
      </c>
      <c r="K68" s="125">
        <f>ric!L338</f>
        <v/>
      </c>
      <c r="L68" s="125">
        <f>ric!M338</f>
        <v/>
      </c>
      <c r="M68" s="125">
        <f>ric!N338</f>
        <v/>
      </c>
      <c r="N68" s="125">
        <f>ric!O338</f>
        <v/>
      </c>
      <c r="O68" s="125">
        <f>ric!P338</f>
        <v/>
      </c>
      <c r="P68" s="125">
        <f>ric!Q338</f>
        <v/>
      </c>
      <c r="Q68" s="166">
        <f>TODAY()</f>
        <v/>
      </c>
      <c r="R68" s="165">
        <f>ElencoProdotti[[#This Row],[PRODUZIONE]]+20</f>
        <v/>
      </c>
      <c r="S68" s="165">
        <f>TODAY()</f>
        <v/>
      </c>
      <c r="T68" s="133">
        <f>CONCATENATE(A68," - contiene allergni - prodotto il giorno ",TEXT(Q68,"gg/mm/aaaa"),"")</f>
        <v/>
      </c>
    </row>
    <row r="69" ht="15" customHeight="1" s="155">
      <c r="A69" s="133">
        <f>ric!B274</f>
        <v/>
      </c>
      <c r="B69" s="125">
        <f>ric!C274</f>
        <v/>
      </c>
      <c r="C69" s="125">
        <f>ric!D274</f>
        <v/>
      </c>
      <c r="D69" s="125">
        <f>ric!E274</f>
        <v/>
      </c>
      <c r="E69" s="125">
        <f>ric!F274</f>
        <v/>
      </c>
      <c r="F69" s="125">
        <f>ric!G274</f>
        <v/>
      </c>
      <c r="G69" s="125">
        <f>ric!H274</f>
        <v/>
      </c>
      <c r="H69" s="125">
        <f>ric!I274</f>
        <v/>
      </c>
      <c r="I69" s="125">
        <f>ric!J274</f>
        <v/>
      </c>
      <c r="J69" s="125">
        <f>ric!K274</f>
        <v/>
      </c>
      <c r="K69" s="125">
        <f>ric!L274</f>
        <v/>
      </c>
      <c r="L69" s="125">
        <f>ric!M274</f>
        <v/>
      </c>
      <c r="M69" s="125">
        <f>ric!N274</f>
        <v/>
      </c>
      <c r="N69" s="125">
        <f>ric!O274</f>
        <v/>
      </c>
      <c r="O69" s="125">
        <f>ric!P274</f>
        <v/>
      </c>
      <c r="P69" s="125">
        <f>ric!Q274</f>
        <v/>
      </c>
      <c r="Q69" s="166">
        <f>TODAY()</f>
        <v/>
      </c>
      <c r="R69" s="165">
        <f>ElencoProdotti[[#This Row],[PRODUZIONE]]+20</f>
        <v/>
      </c>
      <c r="S69" s="165">
        <f>TODAY()</f>
        <v/>
      </c>
      <c r="T69" s="133">
        <f>CONCATENATE(A69," - contiene allergni - prodotto il giorno ",TEXT(Q69,"gg/mm/aaaa"),"")</f>
        <v/>
      </c>
    </row>
    <row r="70" ht="15" customHeight="1" s="155">
      <c r="A70" s="133">
        <f>ric!B370</f>
        <v/>
      </c>
      <c r="B70" s="125">
        <f>ric!C370</f>
        <v/>
      </c>
      <c r="C70" s="125">
        <f>ric!D370</f>
        <v/>
      </c>
      <c r="D70" s="125">
        <f>ric!E370</f>
        <v/>
      </c>
      <c r="E70" s="125">
        <f>ric!F370</f>
        <v/>
      </c>
      <c r="F70" s="125">
        <f>ric!G370</f>
        <v/>
      </c>
      <c r="G70" s="125">
        <f>ric!H370</f>
        <v/>
      </c>
      <c r="H70" s="125">
        <f>ric!I370</f>
        <v/>
      </c>
      <c r="I70" s="125">
        <f>ric!J370</f>
        <v/>
      </c>
      <c r="J70" s="125">
        <f>ric!K370</f>
        <v/>
      </c>
      <c r="K70" s="125">
        <f>ric!L370</f>
        <v/>
      </c>
      <c r="L70" s="125">
        <f>ric!M370</f>
        <v/>
      </c>
      <c r="M70" s="125">
        <f>ric!N370</f>
        <v/>
      </c>
      <c r="N70" s="125">
        <f>ric!O370</f>
        <v/>
      </c>
      <c r="O70" s="125">
        <f>ric!P370</f>
        <v/>
      </c>
      <c r="P70" s="125">
        <f>ric!Q370</f>
        <v/>
      </c>
      <c r="Q70" s="166">
        <f>TODAY()</f>
        <v/>
      </c>
      <c r="R70" s="165">
        <f>ElencoProdotti[[#This Row],[PRODUZIONE]]+20</f>
        <v/>
      </c>
      <c r="S70" s="165">
        <f>TODAY()</f>
        <v/>
      </c>
      <c r="T70" s="133">
        <f>CONCATENATE(A70," - contiene allergni - prodotto il giorno ",TEXT(Q70,"gg/mm/aaaa"),"")</f>
        <v/>
      </c>
    </row>
    <row r="71" ht="15" customHeight="1" s="155">
      <c r="A71" s="133">
        <f>ric!B1170</f>
        <v/>
      </c>
      <c r="B71" s="125">
        <f>ric!C1170</f>
        <v/>
      </c>
      <c r="C71" s="125">
        <f>ric!D1170</f>
        <v/>
      </c>
      <c r="D71" s="125">
        <f>ric!E1170</f>
        <v/>
      </c>
      <c r="E71" s="125">
        <f>ric!F1170</f>
        <v/>
      </c>
      <c r="F71" s="125">
        <f>ric!G1170</f>
        <v/>
      </c>
      <c r="G71" s="125">
        <f>ric!H1170</f>
        <v/>
      </c>
      <c r="H71" s="125">
        <f>ric!I1170</f>
        <v/>
      </c>
      <c r="I71" s="125">
        <f>ric!J1170</f>
        <v/>
      </c>
      <c r="J71" s="125">
        <f>ric!K1170</f>
        <v/>
      </c>
      <c r="K71" s="125">
        <f>ric!L1170</f>
        <v/>
      </c>
      <c r="L71" s="125">
        <f>ric!M1170</f>
        <v/>
      </c>
      <c r="M71" s="125">
        <f>ric!N1170</f>
        <v/>
      </c>
      <c r="N71" s="125">
        <f>ric!O1170</f>
        <v/>
      </c>
      <c r="O71" s="125">
        <f>ric!P1170</f>
        <v/>
      </c>
      <c r="P71" s="125">
        <f>ric!Q1170</f>
        <v/>
      </c>
      <c r="Q71" s="166">
        <f>TODAY()</f>
        <v/>
      </c>
      <c r="R71" s="165">
        <f>ElencoProdotti[[#This Row],[PRODUZIONE]]+20</f>
        <v/>
      </c>
      <c r="S71" s="165">
        <f>TODAY()</f>
        <v/>
      </c>
      <c r="T71" s="133">
        <f>CONCATENATE(A71," - contiene allergni - prodotto il giorno ",TEXT(Q71,"gg/mm/aaaa"),"")</f>
        <v/>
      </c>
    </row>
    <row r="72" ht="15" customHeight="1" s="155">
      <c r="A72" s="133">
        <f>ric!B1186</f>
        <v/>
      </c>
      <c r="B72" s="125">
        <f>ric!C1186</f>
        <v/>
      </c>
      <c r="C72" s="125">
        <f>ric!D1186</f>
        <v/>
      </c>
      <c r="D72" s="125">
        <f>ric!E1186</f>
        <v/>
      </c>
      <c r="E72" s="125">
        <f>ric!F1186</f>
        <v/>
      </c>
      <c r="F72" s="125">
        <f>ric!G1186</f>
        <v/>
      </c>
      <c r="G72" s="125">
        <f>ric!H1186</f>
        <v/>
      </c>
      <c r="H72" s="125">
        <f>ric!I1186</f>
        <v/>
      </c>
      <c r="I72" s="125">
        <f>ric!J1186</f>
        <v/>
      </c>
      <c r="J72" s="125">
        <f>ric!K1186</f>
        <v/>
      </c>
      <c r="K72" s="125">
        <f>ric!L1186</f>
        <v/>
      </c>
      <c r="L72" s="125">
        <f>ric!M1186</f>
        <v/>
      </c>
      <c r="M72" s="125">
        <f>ric!N1186</f>
        <v/>
      </c>
      <c r="N72" s="125">
        <f>ric!O1186</f>
        <v/>
      </c>
      <c r="O72" s="125">
        <f>ric!P1186</f>
        <v/>
      </c>
      <c r="P72" s="125">
        <f>ric!Q1186</f>
        <v/>
      </c>
      <c r="Q72" s="166">
        <f>TODAY()</f>
        <v/>
      </c>
      <c r="R72" s="165">
        <f>ElencoProdotti[[#This Row],[PRODUZIONE]]+20</f>
        <v/>
      </c>
      <c r="S72" s="165">
        <f>TODAY()</f>
        <v/>
      </c>
      <c r="T72" s="133">
        <f>CONCATENATE(A72," - contiene allergni - prodotto il giorno ",TEXT(Q72,"gg/mm/aaaa"),"")</f>
        <v/>
      </c>
    </row>
    <row r="73" ht="15" customHeight="1" s="155">
      <c r="A73" s="133">
        <f>ric!B146</f>
        <v/>
      </c>
      <c r="B73" s="125">
        <f>ric!C146</f>
        <v/>
      </c>
      <c r="C73" s="125">
        <f>ric!D146</f>
        <v/>
      </c>
      <c r="D73" s="125">
        <f>ric!E146</f>
        <v/>
      </c>
      <c r="E73" s="125">
        <f>ric!F146</f>
        <v/>
      </c>
      <c r="F73" s="125">
        <f>ric!G146</f>
        <v/>
      </c>
      <c r="G73" s="125">
        <f>ric!H146</f>
        <v/>
      </c>
      <c r="H73" s="125">
        <f>ric!I146</f>
        <v/>
      </c>
      <c r="I73" s="125">
        <f>ric!J146</f>
        <v/>
      </c>
      <c r="J73" s="125">
        <f>ric!K146</f>
        <v/>
      </c>
      <c r="K73" s="125">
        <f>ric!L146</f>
        <v/>
      </c>
      <c r="L73" s="125">
        <f>ric!M146</f>
        <v/>
      </c>
      <c r="M73" s="125">
        <f>ric!N146</f>
        <v/>
      </c>
      <c r="N73" s="125">
        <f>ric!O146</f>
        <v/>
      </c>
      <c r="O73" s="125">
        <f>ric!P146</f>
        <v/>
      </c>
      <c r="P73" s="125">
        <f>ric!Q146</f>
        <v/>
      </c>
      <c r="Q73" s="166">
        <f>TODAY()</f>
        <v/>
      </c>
      <c r="R73" s="165">
        <f>ElencoProdotti[[#This Row],[PRODUZIONE]]+20</f>
        <v/>
      </c>
      <c r="S73" s="165">
        <f>TODAY()</f>
        <v/>
      </c>
      <c r="T73" s="133">
        <f>CONCATENATE(A73," - contiene allergni - prodotto il giorno ",TEXT(Q73,"gg/mm/aaaa"),"")</f>
        <v/>
      </c>
    </row>
    <row r="74" ht="15" customHeight="1" s="155">
      <c r="A74" s="133">
        <f>ric!B1202</f>
        <v/>
      </c>
      <c r="B74" s="125">
        <f>ric!C1202</f>
        <v/>
      </c>
      <c r="C74" s="125">
        <f>ric!D1202</f>
        <v/>
      </c>
      <c r="D74" s="125">
        <f>ric!E1202</f>
        <v/>
      </c>
      <c r="E74" s="125">
        <f>ric!F1202</f>
        <v/>
      </c>
      <c r="F74" s="125">
        <f>ric!G1202</f>
        <v/>
      </c>
      <c r="G74" s="125">
        <f>ric!H1202</f>
        <v/>
      </c>
      <c r="H74" s="125">
        <f>ric!I1202</f>
        <v/>
      </c>
      <c r="I74" s="125">
        <f>ric!J1202</f>
        <v/>
      </c>
      <c r="J74" s="125">
        <f>ric!K1202</f>
        <v/>
      </c>
      <c r="K74" s="125">
        <f>ric!L1202</f>
        <v/>
      </c>
      <c r="L74" s="125">
        <f>ric!M1202</f>
        <v/>
      </c>
      <c r="M74" s="125">
        <f>ric!N1202</f>
        <v/>
      </c>
      <c r="N74" s="125">
        <f>ric!O1202</f>
        <v/>
      </c>
      <c r="O74" s="125">
        <f>ric!P1202</f>
        <v/>
      </c>
      <c r="P74" s="125">
        <f>ric!Q1202</f>
        <v/>
      </c>
      <c r="Q74" s="166">
        <f>TODAY()</f>
        <v/>
      </c>
      <c r="R74" s="165">
        <f>ElencoProdotti[[#This Row],[PRODUZIONE]]+20</f>
        <v/>
      </c>
      <c r="S74" s="165">
        <f>TODAY()</f>
        <v/>
      </c>
      <c r="T74" s="133">
        <f>CONCATENATE(A74," - contiene allergni - prodotto il giorno ",TEXT(Q74,"gg/mm/aaaa"),"")</f>
        <v/>
      </c>
    </row>
    <row r="75" ht="15" customHeight="1" s="155">
      <c r="A75" s="133">
        <f>ric!B1218</f>
        <v/>
      </c>
      <c r="B75" s="125">
        <f>ric!C1218</f>
        <v/>
      </c>
      <c r="C75" s="125">
        <f>ric!D1218</f>
        <v/>
      </c>
      <c r="D75" s="125">
        <f>ric!E1218</f>
        <v/>
      </c>
      <c r="E75" s="125">
        <f>ric!F1218</f>
        <v/>
      </c>
      <c r="F75" s="125">
        <f>ric!G1218</f>
        <v/>
      </c>
      <c r="G75" s="125">
        <f>ric!H1218</f>
        <v/>
      </c>
      <c r="H75" s="125">
        <f>ric!I1218</f>
        <v/>
      </c>
      <c r="I75" s="125">
        <f>ric!J1218</f>
        <v/>
      </c>
      <c r="J75" s="125">
        <f>ric!K1218</f>
        <v/>
      </c>
      <c r="K75" s="125">
        <f>ric!L1218</f>
        <v/>
      </c>
      <c r="L75" s="125">
        <f>ric!M1218</f>
        <v/>
      </c>
      <c r="M75" s="125">
        <f>ric!N1218</f>
        <v/>
      </c>
      <c r="N75" s="125">
        <f>ric!O1218</f>
        <v/>
      </c>
      <c r="O75" s="125">
        <f>ric!P1218</f>
        <v/>
      </c>
      <c r="P75" s="125">
        <f>ric!Q1218</f>
        <v/>
      </c>
      <c r="Q75" s="166">
        <f>TODAY()</f>
        <v/>
      </c>
      <c r="R75" s="165">
        <f>ElencoProdotti[[#This Row],[PRODUZIONE]]+20</f>
        <v/>
      </c>
      <c r="S75" s="165">
        <f>TODAY()</f>
        <v/>
      </c>
      <c r="T75" s="133">
        <f>CONCATENATE(A75," - contiene allergni - prodotto il giorno ",TEXT(Q75,"gg/mm/aaaa"),"")</f>
        <v/>
      </c>
    </row>
    <row r="76" ht="15" customHeight="1" s="155">
      <c r="A76" s="133">
        <f>ric!B1234</f>
        <v/>
      </c>
      <c r="B76" s="125">
        <f>ric!C1234</f>
        <v/>
      </c>
      <c r="C76" s="125">
        <f>ric!D1234</f>
        <v/>
      </c>
      <c r="D76" s="125">
        <f>ric!E1234</f>
        <v/>
      </c>
      <c r="E76" s="125">
        <f>ric!F1234</f>
        <v/>
      </c>
      <c r="F76" s="125">
        <f>ric!G1234</f>
        <v/>
      </c>
      <c r="G76" s="125">
        <f>ric!H1234</f>
        <v/>
      </c>
      <c r="H76" s="125">
        <f>ric!I1234</f>
        <v/>
      </c>
      <c r="I76" s="125">
        <f>ric!J1234</f>
        <v/>
      </c>
      <c r="J76" s="125">
        <f>ric!K1234</f>
        <v/>
      </c>
      <c r="K76" s="125">
        <f>ric!L1234</f>
        <v/>
      </c>
      <c r="L76" s="125">
        <f>ric!M1234</f>
        <v/>
      </c>
      <c r="M76" s="125">
        <f>ric!N1234</f>
        <v/>
      </c>
      <c r="N76" s="125">
        <f>ric!O1234</f>
        <v/>
      </c>
      <c r="O76" s="125">
        <f>ric!P1234</f>
        <v/>
      </c>
      <c r="P76" s="125">
        <f>ric!Q1234</f>
        <v/>
      </c>
      <c r="Q76" s="166">
        <f>TODAY()</f>
        <v/>
      </c>
      <c r="R76" s="165">
        <f>ElencoProdotti[[#This Row],[PRODUZIONE]]+20</f>
        <v/>
      </c>
      <c r="S76" s="165">
        <f>TODAY()</f>
        <v/>
      </c>
      <c r="T76" s="133">
        <f>CONCATENATE(A76," - contiene allergni - prodotto il giorno ",TEXT(Q76,"gg/mm/aaaa"),"")</f>
        <v/>
      </c>
    </row>
    <row r="77" ht="15" customHeight="1" s="155">
      <c r="A77" s="133">
        <f>ric!B1250</f>
        <v/>
      </c>
      <c r="B77" s="125">
        <f>ric!C1250</f>
        <v/>
      </c>
      <c r="C77" s="125">
        <f>ric!D1250</f>
        <v/>
      </c>
      <c r="D77" s="125">
        <f>ric!E1250</f>
        <v/>
      </c>
      <c r="E77" s="125">
        <f>ric!F1250</f>
        <v/>
      </c>
      <c r="F77" s="125">
        <f>ric!G1250</f>
        <v/>
      </c>
      <c r="G77" s="125">
        <f>ric!H1250</f>
        <v/>
      </c>
      <c r="H77" s="125">
        <f>ric!I1250</f>
        <v/>
      </c>
      <c r="I77" s="125">
        <f>ric!J1250</f>
        <v/>
      </c>
      <c r="J77" s="125">
        <f>ric!K1250</f>
        <v/>
      </c>
      <c r="K77" s="125">
        <f>ric!L1250</f>
        <v/>
      </c>
      <c r="L77" s="125">
        <f>ric!M1250</f>
        <v/>
      </c>
      <c r="M77" s="125">
        <f>ric!N1250</f>
        <v/>
      </c>
      <c r="N77" s="125">
        <f>ric!O1250</f>
        <v/>
      </c>
      <c r="O77" s="125">
        <f>ric!P1250</f>
        <v/>
      </c>
      <c r="P77" s="125">
        <f>ric!Q1250</f>
        <v/>
      </c>
      <c r="Q77" s="166">
        <f>TODAY()</f>
        <v/>
      </c>
      <c r="R77" s="165">
        <f>ElencoProdotti[[#This Row],[PRODUZIONE]]+20</f>
        <v/>
      </c>
      <c r="S77" s="165">
        <f>TODAY()</f>
        <v/>
      </c>
      <c r="T77" s="133">
        <f>CONCATENATE(A77," - contiene allergni - prodotto il giorno ",TEXT(Q77,"gg/mm/aaaa"),"")</f>
        <v/>
      </c>
    </row>
    <row r="78" ht="15" customHeight="1" s="155">
      <c r="A78" s="133">
        <f>ric!B1266</f>
        <v/>
      </c>
      <c r="B78" s="125">
        <f>ric!C1266</f>
        <v/>
      </c>
      <c r="C78" s="125">
        <f>ric!D1266</f>
        <v/>
      </c>
      <c r="D78" s="125">
        <f>ric!E1266</f>
        <v/>
      </c>
      <c r="E78" s="125">
        <f>ric!F1266</f>
        <v/>
      </c>
      <c r="F78" s="125">
        <f>ric!G1266</f>
        <v/>
      </c>
      <c r="G78" s="125">
        <f>ric!H1266</f>
        <v/>
      </c>
      <c r="H78" s="125">
        <f>ric!I1266</f>
        <v/>
      </c>
      <c r="I78" s="125">
        <f>ric!J1266</f>
        <v/>
      </c>
      <c r="J78" s="125">
        <f>ric!K1266</f>
        <v/>
      </c>
      <c r="K78" s="125">
        <f>ric!L1266</f>
        <v/>
      </c>
      <c r="L78" s="125">
        <f>ric!M1266</f>
        <v/>
      </c>
      <c r="M78" s="125">
        <f>ric!N1266</f>
        <v/>
      </c>
      <c r="N78" s="125">
        <f>ric!O1266</f>
        <v/>
      </c>
      <c r="O78" s="125">
        <f>ric!P1266</f>
        <v/>
      </c>
      <c r="P78" s="125">
        <f>ric!Q1266</f>
        <v/>
      </c>
      <c r="Q78" s="166">
        <f>TODAY()</f>
        <v/>
      </c>
      <c r="R78" s="165">
        <f>ElencoProdotti[[#This Row],[PRODUZIONE]]+20</f>
        <v/>
      </c>
      <c r="S78" s="165">
        <f>TODAY()</f>
        <v/>
      </c>
      <c r="T78" s="133">
        <f>CONCATENATE(A78," - contiene allergni - prodotto il giorno ",TEXT(Q78,"gg/mm/aaaa"),"")</f>
        <v/>
      </c>
    </row>
    <row r="79" ht="15" customHeight="1" s="155">
      <c r="A79" s="133">
        <f>ric!B1282</f>
        <v/>
      </c>
      <c r="B79" s="125">
        <f>ric!C1282</f>
        <v/>
      </c>
      <c r="C79" s="125">
        <f>ric!D1282</f>
        <v/>
      </c>
      <c r="D79" s="125">
        <f>ric!E1282</f>
        <v/>
      </c>
      <c r="E79" s="125">
        <f>ric!F1282</f>
        <v/>
      </c>
      <c r="F79" s="125">
        <f>ric!G1282</f>
        <v/>
      </c>
      <c r="G79" s="125">
        <f>ric!H1282</f>
        <v/>
      </c>
      <c r="H79" s="125">
        <f>ric!I1282</f>
        <v/>
      </c>
      <c r="I79" s="125">
        <f>ric!J1282</f>
        <v/>
      </c>
      <c r="J79" s="125">
        <f>ric!K1282</f>
        <v/>
      </c>
      <c r="K79" s="125">
        <f>ric!L1282</f>
        <v/>
      </c>
      <c r="L79" s="125">
        <f>ric!M1282</f>
        <v/>
      </c>
      <c r="M79" s="125">
        <f>ric!N1282</f>
        <v/>
      </c>
      <c r="N79" s="125">
        <f>ric!O1282</f>
        <v/>
      </c>
      <c r="O79" s="125">
        <f>ric!P1282</f>
        <v/>
      </c>
      <c r="P79" s="125">
        <f>ric!Q1282</f>
        <v/>
      </c>
      <c r="Q79" s="166">
        <f>TODAY()</f>
        <v/>
      </c>
      <c r="R79" s="165">
        <f>ElencoProdotti[[#This Row],[PRODUZIONE]]+20</f>
        <v/>
      </c>
      <c r="S79" s="165">
        <f>TODAY()</f>
        <v/>
      </c>
      <c r="T79" s="133">
        <f>CONCATENATE(A79," - contiene allergni - prodotto il giorno ",TEXT(Q79,"gg/mm/aaaa"),"")</f>
        <v/>
      </c>
    </row>
    <row r="80" ht="15" customHeight="1" s="155">
      <c r="A80" s="133">
        <f>ric!B1298</f>
        <v/>
      </c>
      <c r="B80" s="125">
        <f>ric!C1298</f>
        <v/>
      </c>
      <c r="C80" s="125">
        <f>ric!D1298</f>
        <v/>
      </c>
      <c r="D80" s="125">
        <f>ric!E1298</f>
        <v/>
      </c>
      <c r="E80" s="125">
        <f>ric!F1298</f>
        <v/>
      </c>
      <c r="F80" s="125">
        <f>ric!G1298</f>
        <v/>
      </c>
      <c r="G80" s="125">
        <f>ric!H1298</f>
        <v/>
      </c>
      <c r="H80" s="125">
        <f>ric!I1298</f>
        <v/>
      </c>
      <c r="I80" s="125">
        <f>ric!J1298</f>
        <v/>
      </c>
      <c r="J80" s="125">
        <f>ric!K1298</f>
        <v/>
      </c>
      <c r="K80" s="125">
        <f>ric!L1298</f>
        <v/>
      </c>
      <c r="L80" s="125">
        <f>ric!M1298</f>
        <v/>
      </c>
      <c r="M80" s="125">
        <f>ric!N1298</f>
        <v/>
      </c>
      <c r="N80" s="125">
        <f>ric!O1298</f>
        <v/>
      </c>
      <c r="O80" s="125">
        <f>ric!P1298</f>
        <v/>
      </c>
      <c r="P80" s="125">
        <f>ric!Q1298</f>
        <v/>
      </c>
      <c r="Q80" s="166">
        <f>TODAY()</f>
        <v/>
      </c>
      <c r="R80" s="165">
        <f>ElencoProdotti[[#This Row],[PRODUZIONE]]+20</f>
        <v/>
      </c>
      <c r="S80" s="165">
        <f>TODAY()</f>
        <v/>
      </c>
      <c r="T80" s="133">
        <f>CONCATENATE(A80," - contiene allergni - prodotto il giorno ",TEXT(Q80,"gg/mm/aaaa"),"")</f>
        <v/>
      </c>
    </row>
    <row r="81" ht="15" customHeight="1" s="155">
      <c r="A81" s="133">
        <f>ric!B450</f>
        <v/>
      </c>
      <c r="B81" s="125">
        <f>ric!C450</f>
        <v/>
      </c>
      <c r="C81" s="125">
        <f>ric!D450</f>
        <v/>
      </c>
      <c r="D81" s="125">
        <f>ric!E450</f>
        <v/>
      </c>
      <c r="E81" s="125">
        <f>ric!F450</f>
        <v/>
      </c>
      <c r="F81" s="125">
        <f>ric!G450</f>
        <v/>
      </c>
      <c r="G81" s="125">
        <f>ric!H450</f>
        <v/>
      </c>
      <c r="H81" s="125">
        <f>ric!I450</f>
        <v/>
      </c>
      <c r="I81" s="125">
        <f>ric!J450</f>
        <v/>
      </c>
      <c r="J81" s="125">
        <f>ric!K450</f>
        <v/>
      </c>
      <c r="K81" s="125">
        <f>ric!L450</f>
        <v/>
      </c>
      <c r="L81" s="125">
        <f>ric!M450</f>
        <v/>
      </c>
      <c r="M81" s="125">
        <f>ric!N450</f>
        <v/>
      </c>
      <c r="N81" s="125">
        <f>ric!O450</f>
        <v/>
      </c>
      <c r="O81" s="125">
        <f>ric!P450</f>
        <v/>
      </c>
      <c r="P81" s="125">
        <f>ric!Q450</f>
        <v/>
      </c>
      <c r="Q81" s="166">
        <f>TODAY()</f>
        <v/>
      </c>
      <c r="R81" s="165">
        <f>ElencoProdotti[[#This Row],[PRODUZIONE]]+20</f>
        <v/>
      </c>
      <c r="S81" s="165">
        <f>TODAY()</f>
        <v/>
      </c>
      <c r="T81" s="133">
        <f>CONCATENATE(A81," - contiene allergni - prodotto il giorno ",TEXT(Q81,"gg/mm/aaaa"),"")</f>
        <v/>
      </c>
    </row>
    <row r="82" ht="15" customHeight="1" s="155">
      <c r="A82" s="133">
        <f>ric!B418</f>
        <v/>
      </c>
      <c r="B82" s="125">
        <f>ric!C418</f>
        <v/>
      </c>
      <c r="C82" s="125">
        <f>ric!D418</f>
        <v/>
      </c>
      <c r="D82" s="125">
        <f>ric!E418</f>
        <v/>
      </c>
      <c r="E82" s="125">
        <f>ric!F418</f>
        <v/>
      </c>
      <c r="F82" s="125">
        <f>ric!G418</f>
        <v/>
      </c>
      <c r="G82" s="125">
        <f>ric!H418</f>
        <v/>
      </c>
      <c r="H82" s="125">
        <f>ric!I418</f>
        <v/>
      </c>
      <c r="I82" s="125">
        <f>ric!J418</f>
        <v/>
      </c>
      <c r="J82" s="125">
        <f>ric!K418</f>
        <v/>
      </c>
      <c r="K82" s="125">
        <f>ric!L418</f>
        <v/>
      </c>
      <c r="L82" s="125">
        <f>ric!M418</f>
        <v/>
      </c>
      <c r="M82" s="125">
        <f>ric!N418</f>
        <v/>
      </c>
      <c r="N82" s="125">
        <f>ric!O418</f>
        <v/>
      </c>
      <c r="O82" s="125">
        <f>ric!P418</f>
        <v/>
      </c>
      <c r="P82" s="125">
        <f>ric!Q418</f>
        <v/>
      </c>
      <c r="Q82" s="166">
        <f>TODAY()</f>
        <v/>
      </c>
      <c r="R82" s="165">
        <f>ElencoProdotti[[#This Row],[PRODUZIONE]]+20</f>
        <v/>
      </c>
      <c r="S82" s="165">
        <f>TODAY()</f>
        <v/>
      </c>
      <c r="T82" s="133">
        <f>CONCATENATE(A82," - contiene allergni - prodotto il giorno ",TEXT(Q82,"gg/mm/aaaa"),"")</f>
        <v/>
      </c>
    </row>
    <row r="83" ht="15" customHeight="1" s="155">
      <c r="A83" s="133">
        <f>ric!B114</f>
        <v/>
      </c>
      <c r="B83" s="125">
        <f>ric!C114</f>
        <v/>
      </c>
      <c r="C83" s="125">
        <f>ric!D114</f>
        <v/>
      </c>
      <c r="D83" s="125">
        <f>ric!E114</f>
        <v/>
      </c>
      <c r="E83" s="125">
        <f>ric!F114</f>
        <v/>
      </c>
      <c r="F83" s="125">
        <f>ric!G114</f>
        <v/>
      </c>
      <c r="G83" s="125">
        <f>ric!H114</f>
        <v/>
      </c>
      <c r="H83" s="125">
        <f>ric!I114</f>
        <v/>
      </c>
      <c r="I83" s="125">
        <f>ric!J114</f>
        <v/>
      </c>
      <c r="J83" s="125">
        <f>ric!K114</f>
        <v/>
      </c>
      <c r="K83" s="125">
        <f>ric!L114</f>
        <v/>
      </c>
      <c r="L83" s="125">
        <f>ric!M114</f>
        <v/>
      </c>
      <c r="M83" s="125">
        <f>ric!N114</f>
        <v/>
      </c>
      <c r="N83" s="125">
        <f>ric!O114</f>
        <v/>
      </c>
      <c r="O83" s="125">
        <f>ric!P114</f>
        <v/>
      </c>
      <c r="P83" s="125">
        <f>ric!Q114</f>
        <v/>
      </c>
      <c r="Q83" s="166">
        <f>TODAY()</f>
        <v/>
      </c>
      <c r="R83" s="165">
        <f>ElencoProdotti[[#This Row],[PRODUZIONE]]+20</f>
        <v/>
      </c>
      <c r="S83" s="165">
        <f>TODAY()</f>
        <v/>
      </c>
      <c r="T83" s="133">
        <f>CONCATENATE(A83," - contiene allergni - prodotto il giorno ",TEXT(Q83,"gg/mm/aaaa"),"")</f>
        <v/>
      </c>
    </row>
    <row r="84" ht="15" customHeight="1" s="155">
      <c r="A84" s="133">
        <f>ric!B130</f>
        <v/>
      </c>
      <c r="B84" s="125">
        <f>ric!C130</f>
        <v/>
      </c>
      <c r="C84" s="125">
        <f>ric!D130</f>
        <v/>
      </c>
      <c r="D84" s="125">
        <f>ric!E130</f>
        <v/>
      </c>
      <c r="E84" s="125">
        <f>ric!F130</f>
        <v/>
      </c>
      <c r="F84" s="125">
        <f>ric!G130</f>
        <v/>
      </c>
      <c r="G84" s="125">
        <f>ric!H130</f>
        <v/>
      </c>
      <c r="H84" s="125">
        <f>ric!I130</f>
        <v/>
      </c>
      <c r="I84" s="125">
        <f>ric!J130</f>
        <v/>
      </c>
      <c r="J84" s="125">
        <f>ric!K130</f>
        <v/>
      </c>
      <c r="K84" s="125">
        <f>ric!L130</f>
        <v/>
      </c>
      <c r="L84" s="125">
        <f>ric!M130</f>
        <v/>
      </c>
      <c r="M84" s="125">
        <f>ric!N130</f>
        <v/>
      </c>
      <c r="N84" s="125">
        <f>ric!O130</f>
        <v/>
      </c>
      <c r="O84" s="125">
        <f>ric!P130</f>
        <v/>
      </c>
      <c r="P84" s="125">
        <f>ric!Q130</f>
        <v/>
      </c>
      <c r="Q84" s="166">
        <f>TODAY()</f>
        <v/>
      </c>
      <c r="R84" s="165">
        <f>ElencoProdotti[[#This Row],[PRODUZIONE]]+20</f>
        <v/>
      </c>
      <c r="S84" s="165">
        <f>TODAY()</f>
        <v/>
      </c>
      <c r="T84" s="133">
        <f>CONCATENATE(A84," - contiene allergni - prodotto il giorno ",TEXT(Q84,"gg/mm/aaaa"),"")</f>
        <v/>
      </c>
    </row>
    <row r="85" ht="15" customHeight="1" s="155">
      <c r="A85" s="133">
        <f>ric!B1330</f>
        <v/>
      </c>
      <c r="B85" s="125" t="inlineStr">
        <is>
          <t>=ric!C1331</t>
        </is>
      </c>
      <c r="C85" s="125">
        <f>ric!D131</f>
        <v/>
      </c>
      <c r="D85" s="125">
        <f>ric!E131</f>
        <v/>
      </c>
      <c r="E85" s="125">
        <f>ric!F131</f>
        <v/>
      </c>
      <c r="F85" s="125">
        <f>ric!G131</f>
        <v/>
      </c>
      <c r="G85" s="125">
        <f>ric!H131</f>
        <v/>
      </c>
      <c r="H85" s="125">
        <f>ric!I131</f>
        <v/>
      </c>
      <c r="I85" s="125">
        <f>ric!J131</f>
        <v/>
      </c>
      <c r="J85" s="125">
        <f>ric!K131</f>
        <v/>
      </c>
      <c r="K85" s="125">
        <f>ric!L131</f>
        <v/>
      </c>
      <c r="L85" s="125">
        <f>ric!M131</f>
        <v/>
      </c>
      <c r="M85" s="125">
        <f>ric!N131</f>
        <v/>
      </c>
      <c r="N85" s="125">
        <f>ric!O131</f>
        <v/>
      </c>
      <c r="O85" s="125">
        <f>ric!P131</f>
        <v/>
      </c>
      <c r="P85" s="125">
        <f>ric!Q131</f>
        <v/>
      </c>
      <c r="Q85" s="166">
        <f>TODAY()</f>
        <v/>
      </c>
      <c r="R85" s="165">
        <f>ElencoProdotti[[#This Row],[PRODUZIONE]]+20</f>
        <v/>
      </c>
      <c r="S85" s="165">
        <f>TODAY()</f>
        <v/>
      </c>
      <c r="T85" s="133">
        <f>CONCATENATE(A85," - contiene allergni - prodotto il giorno ",TEXT(Q85,"gg/mm/aaaa"),"")</f>
        <v/>
      </c>
    </row>
    <row r="86" ht="15" customHeight="1" s="155">
      <c r="A86" s="133">
        <f>ric!B1340</f>
        <v/>
      </c>
      <c r="Q86" s="166" t="n"/>
      <c r="R86" s="165" t="n"/>
      <c r="S86" s="165" t="n"/>
    </row>
    <row r="87" ht="15" customHeight="1" s="155">
      <c r="A87" s="133">
        <f>ric!B1350</f>
        <v/>
      </c>
      <c r="Q87" s="166" t="n"/>
      <c r="R87" s="165" t="n"/>
      <c r="S87" s="165" t="n"/>
    </row>
    <row r="88" ht="15" customHeight="1" s="155">
      <c r="A88" s="133">
        <f>ric!B1360</f>
        <v/>
      </c>
      <c r="Q88" s="166" t="n"/>
      <c r="R88" s="165" t="n"/>
      <c r="S88" s="165" t="n"/>
    </row>
    <row r="89" ht="15" customHeight="1" s="155">
      <c r="A89" s="133" t="n"/>
      <c r="Q89" s="166" t="n"/>
      <c r="R89" s="165" t="n"/>
      <c r="S89" s="165" t="n"/>
    </row>
    <row r="90" ht="15" customHeight="1" s="155">
      <c r="A90" s="133" t="n"/>
      <c r="Q90" s="166" t="n"/>
      <c r="R90" s="165" t="n"/>
      <c r="S90" s="165" t="n"/>
    </row>
    <row r="91" ht="15" customHeight="1" s="155">
      <c r="A91" s="133" t="n"/>
      <c r="Q91" s="166" t="n"/>
      <c r="R91" s="165" t="n"/>
      <c r="S91" s="165" t="n"/>
    </row>
    <row r="92" ht="15" customHeight="1" s="155">
      <c r="A92" s="133" t="n"/>
      <c r="Q92" s="166" t="n"/>
      <c r="R92" s="165" t="n"/>
      <c r="S92" s="165" t="n"/>
    </row>
    <row r="93" ht="15" customHeight="1" s="155">
      <c r="A93" s="133" t="n"/>
      <c r="Q93" s="166" t="n"/>
      <c r="R93" s="165" t="n"/>
      <c r="S93" s="165" t="n"/>
    </row>
    <row r="94" ht="15" customHeight="1" s="155">
      <c r="A94" s="133" t="n"/>
      <c r="Q94" s="166" t="n"/>
      <c r="R94" s="165" t="n"/>
      <c r="S94" s="165" t="n"/>
    </row>
    <row r="95" ht="15" customHeight="1" s="155">
      <c r="A95" s="133" t="n"/>
      <c r="Q95" s="166" t="n"/>
      <c r="R95" s="165" t="n"/>
      <c r="S95" s="165" t="n"/>
    </row>
    <row r="96" ht="15" customHeight="1" s="155">
      <c r="A96" s="133" t="n"/>
      <c r="Q96" s="166" t="n"/>
      <c r="R96" s="165" t="n"/>
      <c r="S96" s="165" t="n"/>
    </row>
    <row r="97" ht="15" customHeight="1" s="155">
      <c r="A97" s="133" t="n"/>
      <c r="Q97" s="166" t="n"/>
      <c r="R97" s="165" t="n"/>
      <c r="S97" s="165" t="n"/>
    </row>
    <row r="98" ht="15" customHeight="1" s="155">
      <c r="A98" s="134">
        <f>ric!B98</f>
        <v/>
      </c>
      <c r="B98" s="118">
        <f>ric!C98</f>
        <v/>
      </c>
      <c r="C98" s="125">
        <f>ric!D98</f>
        <v/>
      </c>
      <c r="D98" s="125" t="n"/>
      <c r="E98" s="125" t="n"/>
      <c r="F98" s="125" t="n"/>
      <c r="G98" s="118">
        <f>CONCATENATE(A98, " ",#REF!, " / ",H98)</f>
        <v/>
      </c>
      <c r="H98" s="118" t="n"/>
      <c r="I98" s="119">
        <f>CONCATENATE(M98," - ",J98," - Lotto N° ",K98,"")</f>
        <v/>
      </c>
      <c r="J98" s="118" t="n"/>
      <c r="K98" s="118">
        <f>VLOOKUP(#REF!,Produzione,7,FALSE)</f>
        <v/>
      </c>
      <c r="L98" s="120" t="n"/>
      <c r="M98" s="120" t="n"/>
      <c r="N98" s="118" t="n"/>
      <c r="O98" s="121" t="n"/>
      <c r="P98" s="121" t="n"/>
      <c r="Q98" s="166">
        <f>TODAY()</f>
        <v/>
      </c>
      <c r="R98" s="165">
        <f>ElencoProdotti[[#This Row],[PRODUZIONE]]+20</f>
        <v/>
      </c>
      <c r="S98" s="165">
        <f>TODAY()</f>
        <v/>
      </c>
      <c r="T98" s="133">
        <f>CONCATENATE(A98," - contiene allergni - prodotto il giorno ",TEXT(Q98,"gg/mm/aaaa"),"")</f>
        <v/>
      </c>
    </row>
    <row r="99" ht="15" customHeight="1" s="155">
      <c r="A99" s="134">
        <f>ric!B99</f>
        <v/>
      </c>
      <c r="B99" s="118">
        <f>ric!C99</f>
        <v/>
      </c>
      <c r="C99" s="125">
        <f>ric!D99</f>
        <v/>
      </c>
      <c r="D99" s="125" t="n"/>
      <c r="E99" s="125" t="n"/>
      <c r="F99" s="125" t="n"/>
      <c r="G99" s="118">
        <f>CONCATENATE(A99, " ",#REF!, " / ",H99)</f>
        <v/>
      </c>
      <c r="H99" s="118" t="n"/>
      <c r="I99" s="119">
        <f>CONCATENATE(M99," - ",J99," - Lotto N° ",K99,"")</f>
        <v/>
      </c>
      <c r="J99" s="118" t="n"/>
      <c r="K99" s="118">
        <f>VLOOKUP(#REF!,Produzione,7,FALSE)</f>
        <v/>
      </c>
      <c r="L99" s="120" t="n"/>
      <c r="M99" s="120" t="n"/>
      <c r="N99" s="118" t="n"/>
      <c r="O99" s="121" t="n"/>
      <c r="P99" s="121" t="n"/>
      <c r="Q99" s="166">
        <f>TODAY()</f>
        <v/>
      </c>
      <c r="R99" s="165">
        <f>ElencoProdotti[[#This Row],[PRODUZIONE]]+20</f>
        <v/>
      </c>
      <c r="S99" s="165">
        <f>TODAY()</f>
        <v/>
      </c>
      <c r="T99" s="133">
        <f>CONCATENATE(A99," - contiene allergni - prodotto il giorno ",TEXT(Q99,"gg/mm/aaaa"),"")</f>
        <v/>
      </c>
    </row>
    <row r="100" ht="15" customHeight="1" s="155">
      <c r="A100" s="135">
        <f>ric!B100</f>
        <v/>
      </c>
      <c r="B100" s="126">
        <f>ric!C100</f>
        <v/>
      </c>
      <c r="C100" s="125">
        <f>ric!D100</f>
        <v/>
      </c>
      <c r="D100" s="125" t="n"/>
      <c r="E100" s="125" t="n"/>
      <c r="F100" s="125" t="n"/>
      <c r="G100" s="126">
        <f>CONCATENATE(A100, " ",#REF!, " / ",H100)</f>
        <v/>
      </c>
      <c r="H100" s="126" t="n"/>
      <c r="I100" s="127">
        <f>CONCATENATE(M100," - ",J100," - Lotto N° ",K100,"")</f>
        <v/>
      </c>
      <c r="J100" s="126" t="n"/>
      <c r="K100" s="126">
        <f>VLOOKUP(#REF!,Produzione,7,FALSE)</f>
        <v/>
      </c>
      <c r="L100" s="128" t="n"/>
      <c r="M100" s="128" t="n"/>
      <c r="N100" s="126" t="n"/>
      <c r="O100" s="129" t="n"/>
      <c r="P100" s="129" t="n"/>
      <c r="Q100" s="167">
        <f>TODAY()</f>
        <v/>
      </c>
      <c r="R100" s="168">
        <f>ElencoProdotti[[#This Row],[PRODUZIONE]]+20</f>
        <v/>
      </c>
      <c r="S100" s="168">
        <f>TODAY()</f>
        <v/>
      </c>
      <c r="T100" s="133">
        <f>CONCATENATE(A100," - contiene allergni - prodotto il giorno ",TEXT(Q100,"gg/mm/aaaa"),"")</f>
        <v/>
      </c>
    </row>
    <row r="101" ht="15" customHeight="1" s="155">
      <c r="A101" s="134">
        <f>ric!B101</f>
        <v/>
      </c>
      <c r="B101" s="118">
        <f>ric!C101</f>
        <v/>
      </c>
      <c r="C101" s="125">
        <f>ric!D101</f>
        <v/>
      </c>
      <c r="D101" s="125" t="n"/>
      <c r="E101" s="125" t="n"/>
      <c r="F101" s="125" t="n"/>
      <c r="G101" s="118">
        <f>CONCATENATE(A101, " ",#REF!, " / ",H101)</f>
        <v/>
      </c>
      <c r="H101" s="118" t="n"/>
      <c r="I101" s="119">
        <f>CONCATENATE(M101," - ",J101," - Lotto N° ",K101,"")</f>
        <v/>
      </c>
      <c r="J101" s="118" t="n"/>
      <c r="K101" s="118">
        <f>VLOOKUP(#REF!,Produzione,7,FALSE)</f>
        <v/>
      </c>
      <c r="L101" s="120" t="n"/>
      <c r="M101" s="120" t="n"/>
      <c r="N101" s="118" t="n"/>
      <c r="O101" s="121" t="n"/>
      <c r="P101" s="121" t="n"/>
      <c r="Q101" s="166">
        <f>TODAY()</f>
        <v/>
      </c>
      <c r="R101" s="165">
        <f>ElencoProdotti[[#This Row],[PRODUZIONE]]+20</f>
        <v/>
      </c>
      <c r="S101" s="165">
        <f>TODAY()</f>
        <v/>
      </c>
      <c r="T101" s="133">
        <f>CONCATENATE(A101," - contiene allergni - prodotto il giorno ",TEXT(Q101,"gg/mm/aaaa"),"")</f>
        <v/>
      </c>
    </row>
    <row r="102" ht="15" customHeight="1" s="155">
      <c r="A102" s="134">
        <f>ric!B102</f>
        <v/>
      </c>
      <c r="B102" s="118">
        <f>ric!C102</f>
        <v/>
      </c>
      <c r="C102" s="125">
        <f>ric!D102</f>
        <v/>
      </c>
      <c r="D102" s="125" t="n"/>
      <c r="E102" s="125" t="n"/>
      <c r="F102" s="125" t="n"/>
      <c r="G102" s="118">
        <f>CONCATENATE(A102, " ",#REF!, " / ",H102)</f>
        <v/>
      </c>
      <c r="H102" s="118" t="n"/>
      <c r="I102" s="119">
        <f>CONCATENATE(M102," - ",J102," - Lotto N° ",K102,"")</f>
        <v/>
      </c>
      <c r="J102" s="118" t="n"/>
      <c r="K102" s="118">
        <f>VLOOKUP(#REF!,Produzione,7,FALSE)</f>
        <v/>
      </c>
      <c r="L102" s="120" t="n"/>
      <c r="M102" s="120" t="n"/>
      <c r="N102" s="118" t="n"/>
      <c r="O102" s="121" t="n"/>
      <c r="P102" s="121" t="n"/>
      <c r="Q102" s="166">
        <f>TODAY()</f>
        <v/>
      </c>
      <c r="R102" s="165">
        <f>ElencoProdotti[[#This Row],[PRODUZIONE]]+20</f>
        <v/>
      </c>
      <c r="S102" s="165">
        <f>TODAY()</f>
        <v/>
      </c>
      <c r="T102" s="133">
        <f>CONCATENATE(A102," - contiene allergni - prodotto il giorno ",TEXT(Q102,"gg/mm/aaaa"),"")</f>
        <v/>
      </c>
    </row>
    <row r="103" ht="15" customHeight="1" s="155">
      <c r="A103" s="134">
        <f>ric!B103</f>
        <v/>
      </c>
      <c r="B103" s="118">
        <f>ric!C103</f>
        <v/>
      </c>
      <c r="C103" s="125">
        <f>ric!D103</f>
        <v/>
      </c>
      <c r="D103" s="125" t="n"/>
      <c r="E103" s="125" t="n"/>
      <c r="F103" s="125" t="n"/>
      <c r="G103" s="118">
        <f>CONCATENATE(A103, " ",#REF!, " / ",H103)</f>
        <v/>
      </c>
      <c r="H103" s="118" t="n"/>
      <c r="I103" s="119">
        <f>CONCATENATE(M103," - ",J103," - Lotto N° ",K103,"")</f>
        <v/>
      </c>
      <c r="J103" s="118" t="n"/>
      <c r="K103" s="118">
        <f>VLOOKUP(#REF!,Produzione,7,FALSE)</f>
        <v/>
      </c>
      <c r="L103" s="120" t="n"/>
      <c r="M103" s="120" t="n"/>
      <c r="N103" s="118" t="n"/>
      <c r="O103" s="121" t="n"/>
      <c r="P103" s="121" t="n"/>
      <c r="Q103" s="166">
        <f>TODAY()</f>
        <v/>
      </c>
      <c r="R103" s="165">
        <f>ElencoProdotti[[#This Row],[PRODUZIONE]]+20</f>
        <v/>
      </c>
      <c r="S103" s="165">
        <f>TODAY()</f>
        <v/>
      </c>
      <c r="T103" s="133">
        <f>CONCATENATE(A103," - contiene allergni - prodotto il giorno ",TEXT(Q103,"gg/mm/aaaa"),"")</f>
        <v/>
      </c>
    </row>
    <row r="104" ht="15" customHeight="1" s="155">
      <c r="A104" s="134">
        <f>ric!B104</f>
        <v/>
      </c>
      <c r="B104" s="118">
        <f>ric!C104</f>
        <v/>
      </c>
      <c r="C104" s="125">
        <f>ric!D104</f>
        <v/>
      </c>
      <c r="D104" s="125" t="n"/>
      <c r="E104" s="125" t="n"/>
      <c r="F104" s="125" t="n"/>
      <c r="G104" s="118">
        <f>CONCATENATE(A104, " ",#REF!, " / ",H104)</f>
        <v/>
      </c>
      <c r="H104" s="118" t="n"/>
      <c r="I104" s="119">
        <f>CONCATENATE(M104," - ",J104," - Lotto N° ",K104,"")</f>
        <v/>
      </c>
      <c r="J104" s="118" t="n"/>
      <c r="K104" s="118">
        <f>VLOOKUP(#REF!,Produzione,7,FALSE)</f>
        <v/>
      </c>
      <c r="L104" s="120" t="n"/>
      <c r="M104" s="120" t="n"/>
      <c r="N104" s="118" t="n"/>
      <c r="O104" s="121" t="n"/>
      <c r="P104" s="121" t="n"/>
      <c r="Q104" s="166">
        <f>TODAY()</f>
        <v/>
      </c>
      <c r="R104" s="165">
        <f>ElencoProdotti[[#This Row],[PRODUZIONE]]+20</f>
        <v/>
      </c>
      <c r="S104" s="165">
        <f>TODAY()</f>
        <v/>
      </c>
      <c r="T104" s="133">
        <f>CONCATENATE(A104," - contiene allergni - prodotto il giorno ",TEXT(Q104,"gg/mm/aaaa"),"")</f>
        <v/>
      </c>
    </row>
    <row r="105" ht="15" customHeight="1" s="155">
      <c r="A105" s="134">
        <f>ric!B105</f>
        <v/>
      </c>
      <c r="B105" s="118">
        <f>ric!C105</f>
        <v/>
      </c>
      <c r="C105" s="125">
        <f>ric!D105</f>
        <v/>
      </c>
      <c r="D105" s="125" t="n"/>
      <c r="E105" s="125" t="n"/>
      <c r="F105" s="125" t="n"/>
      <c r="G105" s="118">
        <f>CONCATENATE(A105, " ",#REF!, " / ",H105)</f>
        <v/>
      </c>
      <c r="H105" s="118" t="n"/>
      <c r="I105" s="119">
        <f>CONCATENATE(M105," - ",J105," - Lotto N° ",K105,"")</f>
        <v/>
      </c>
      <c r="J105" s="118" t="n"/>
      <c r="K105" s="118">
        <f>VLOOKUP(#REF!,Produzione,7,FALSE)</f>
        <v/>
      </c>
      <c r="L105" s="120" t="n"/>
      <c r="M105" s="120" t="n"/>
      <c r="N105" s="118" t="n"/>
      <c r="O105" s="121" t="n"/>
      <c r="P105" s="121" t="n"/>
      <c r="Q105" s="166">
        <f>TODAY()</f>
        <v/>
      </c>
      <c r="R105" s="165">
        <f>ElencoProdotti[[#This Row],[PRODUZIONE]]+20</f>
        <v/>
      </c>
      <c r="S105" s="165">
        <f>TODAY()</f>
        <v/>
      </c>
      <c r="T105" s="133">
        <f>CONCATENATE(A105," - contiene allergni - prodotto il giorno ",TEXT(Q105,"gg/mm/aaaa"),"")</f>
        <v/>
      </c>
    </row>
    <row r="106" ht="15" customHeight="1" s="155">
      <c r="A106" s="134">
        <f>ric!B106</f>
        <v/>
      </c>
      <c r="B106" s="118">
        <f>ric!C106</f>
        <v/>
      </c>
      <c r="C106" s="125">
        <f>ric!D106</f>
        <v/>
      </c>
      <c r="D106" s="125" t="n"/>
      <c r="E106" s="125" t="n"/>
      <c r="F106" s="125" t="n"/>
      <c r="G106" s="118">
        <f>CONCATENATE(A106, " ",#REF!, " / ",H106)</f>
        <v/>
      </c>
      <c r="H106" s="118" t="n"/>
      <c r="I106" s="119">
        <f>CONCATENATE(M106," - ",J106," - Lotto N° ",K106,"")</f>
        <v/>
      </c>
      <c r="J106" s="118" t="n"/>
      <c r="K106" s="118">
        <f>VLOOKUP(#REF!,Produzione,7,FALSE)</f>
        <v/>
      </c>
      <c r="L106" s="120" t="n"/>
      <c r="M106" s="120" t="n"/>
      <c r="N106" s="118" t="n"/>
      <c r="O106" s="121" t="n"/>
      <c r="P106" s="121" t="n"/>
      <c r="Q106" s="166">
        <f>TODAY()</f>
        <v/>
      </c>
      <c r="R106" s="165">
        <f>ElencoProdotti[[#This Row],[PRODUZIONE]]+20</f>
        <v/>
      </c>
      <c r="S106" s="165">
        <f>TODAY()</f>
        <v/>
      </c>
      <c r="T106" s="133">
        <f>CONCATENATE(A106," - contiene allergni - prodotto il giorno ",TEXT(Q106,"gg/mm/aaaa"),"")</f>
        <v/>
      </c>
    </row>
    <row r="107" ht="15" customHeight="1" s="155">
      <c r="A107" s="134">
        <f>ric!B107</f>
        <v/>
      </c>
      <c r="B107" s="118">
        <f>ric!C107</f>
        <v/>
      </c>
      <c r="C107" s="125">
        <f>ric!D107</f>
        <v/>
      </c>
      <c r="D107" s="125" t="n"/>
      <c r="E107" s="125" t="n"/>
      <c r="F107" s="125" t="n"/>
      <c r="G107" s="118">
        <f>CONCATENATE(A107, " ",#REF!, " / ",H107)</f>
        <v/>
      </c>
      <c r="H107" s="118" t="n"/>
      <c r="I107" s="119">
        <f>CONCATENATE(M107," - ",J107," - Lotto N° ",K107,"")</f>
        <v/>
      </c>
      <c r="J107" s="118" t="n"/>
      <c r="K107" s="118">
        <f>VLOOKUP(#REF!,Produzione,7,FALSE)</f>
        <v/>
      </c>
      <c r="L107" s="120" t="n"/>
      <c r="M107" s="120" t="n"/>
      <c r="N107" s="118" t="n"/>
      <c r="O107" s="121" t="n"/>
      <c r="P107" s="121" t="n"/>
      <c r="Q107" s="166">
        <f>TODAY()</f>
        <v/>
      </c>
      <c r="R107" s="165">
        <f>ElencoProdotti[[#This Row],[PRODUZIONE]]+20</f>
        <v/>
      </c>
      <c r="S107" s="165">
        <f>TODAY()</f>
        <v/>
      </c>
      <c r="T107" s="133">
        <f>CONCATENATE(A107," - contiene allergni - prodotto il giorno ",TEXT(Q107,"gg/mm/aaaa"),"")</f>
        <v/>
      </c>
    </row>
    <row r="108" ht="15" customHeight="1" s="155">
      <c r="A108" s="134">
        <f>ric!B108</f>
        <v/>
      </c>
      <c r="B108" s="118">
        <f>ric!C108</f>
        <v/>
      </c>
      <c r="C108" s="125">
        <f>ric!D108</f>
        <v/>
      </c>
      <c r="D108" s="125" t="n"/>
      <c r="E108" s="125" t="n"/>
      <c r="F108" s="125" t="n"/>
      <c r="G108" s="118">
        <f>CONCATENATE(A108, " ",#REF!, " / ",H108)</f>
        <v/>
      </c>
      <c r="H108" s="118" t="n"/>
      <c r="I108" s="119">
        <f>CONCATENATE(M108," - ",J108," - Lotto N° ",K108,"")</f>
        <v/>
      </c>
      <c r="J108" s="118" t="n"/>
      <c r="K108" s="118">
        <f>VLOOKUP(#REF!,Produzione,7,FALSE)</f>
        <v/>
      </c>
      <c r="L108" s="120" t="n"/>
      <c r="M108" s="120" t="n"/>
      <c r="N108" s="118" t="n"/>
      <c r="O108" s="121" t="n"/>
      <c r="P108" s="121" t="n"/>
      <c r="Q108" s="166">
        <f>TODAY()</f>
        <v/>
      </c>
      <c r="R108" s="165">
        <f>ElencoProdotti[[#This Row],[PRODUZIONE]]+20</f>
        <v/>
      </c>
      <c r="S108" s="165">
        <f>TODAY()</f>
        <v/>
      </c>
      <c r="T108" s="133">
        <f>CONCATENATE(A108," - contiene allergni - prodotto il giorno ",TEXT(Q108,"gg/mm/aaaa"),"")</f>
        <v/>
      </c>
    </row>
    <row r="109" ht="15" customHeight="1" s="155">
      <c r="A109" s="134">
        <f>ric!B109</f>
        <v/>
      </c>
      <c r="B109" s="118">
        <f>ric!C109</f>
        <v/>
      </c>
      <c r="C109" s="125">
        <f>ric!D109</f>
        <v/>
      </c>
      <c r="D109" s="125" t="n"/>
      <c r="E109" s="125" t="n"/>
      <c r="F109" s="125" t="n"/>
      <c r="G109" s="118">
        <f>CONCATENATE(A109, " ",#REF!, " / ",H109)</f>
        <v/>
      </c>
      <c r="H109" s="118" t="n"/>
      <c r="I109" s="119">
        <f>CONCATENATE(M109," - ",J109," - Lotto N° ",K109,"")</f>
        <v/>
      </c>
      <c r="J109" s="118" t="n"/>
      <c r="K109" s="118">
        <f>VLOOKUP(#REF!,Produzione,7,FALSE)</f>
        <v/>
      </c>
      <c r="L109" s="120" t="n"/>
      <c r="M109" s="120" t="n"/>
      <c r="N109" s="118" t="n"/>
      <c r="O109" s="121" t="n"/>
      <c r="P109" s="121" t="n"/>
      <c r="Q109" s="166">
        <f>TODAY()</f>
        <v/>
      </c>
      <c r="R109" s="165">
        <f>ElencoProdotti[[#This Row],[PRODUZIONE]]+20</f>
        <v/>
      </c>
      <c r="S109" s="165">
        <f>TODAY()</f>
        <v/>
      </c>
      <c r="T109" s="133">
        <f>CONCATENATE(A109," - contiene allergni - prodotto il giorno ",TEXT(Q109,"gg/mm/aaaa"),"")</f>
        <v/>
      </c>
    </row>
    <row r="110" ht="15" customHeight="1" s="155">
      <c r="A110" s="134">
        <f>ric!B110</f>
        <v/>
      </c>
      <c r="B110" s="118">
        <f>ric!C110</f>
        <v/>
      </c>
      <c r="C110" s="125">
        <f>ric!D110</f>
        <v/>
      </c>
      <c r="D110" s="125" t="n"/>
      <c r="E110" s="125" t="n"/>
      <c r="F110" s="125" t="n"/>
      <c r="G110" s="118">
        <f>CONCATENATE(A110, " ",#REF!, " / ",H110)</f>
        <v/>
      </c>
      <c r="H110" s="118" t="n"/>
      <c r="I110" s="119">
        <f>CONCATENATE(M110," - ",J110," - Lotto N° ",K110,"")</f>
        <v/>
      </c>
      <c r="J110" s="118" t="n"/>
      <c r="K110" s="118">
        <f>VLOOKUP(#REF!,Produzione,7,FALSE)</f>
        <v/>
      </c>
      <c r="L110" s="120" t="n"/>
      <c r="M110" s="120" t="n"/>
      <c r="N110" s="118" t="n"/>
      <c r="O110" s="121" t="n"/>
      <c r="P110" s="121" t="n"/>
      <c r="Q110" s="166">
        <f>TODAY()</f>
        <v/>
      </c>
      <c r="R110" s="165">
        <f>ElencoProdotti[[#This Row],[PRODUZIONE]]+20</f>
        <v/>
      </c>
      <c r="S110" s="165">
        <f>TODAY()</f>
        <v/>
      </c>
      <c r="T110" s="133">
        <f>CONCATENATE(A110," - contiene allergni - prodotto il giorno ",TEXT(Q110,"gg/mm/aaaa"),"")</f>
        <v/>
      </c>
    </row>
    <row r="111" ht="15" customHeight="1" s="155">
      <c r="A111" s="134">
        <f>ric!B111</f>
        <v/>
      </c>
      <c r="B111" s="118">
        <f>ric!C111</f>
        <v/>
      </c>
      <c r="C111" s="125">
        <f>ric!D111</f>
        <v/>
      </c>
      <c r="D111" s="125" t="n"/>
      <c r="E111" s="125" t="n"/>
      <c r="F111" s="125" t="n"/>
      <c r="G111" s="118">
        <f>CONCATENATE(A111, " ",#REF!, " / ",H111)</f>
        <v/>
      </c>
      <c r="H111" s="118" t="n"/>
      <c r="I111" s="119">
        <f>CONCATENATE(M111," - ",J111," - Lotto N° ",K111,"")</f>
        <v/>
      </c>
      <c r="J111" s="118" t="n"/>
      <c r="K111" s="118">
        <f>VLOOKUP(#REF!,Produzione,7,FALSE)</f>
        <v/>
      </c>
      <c r="L111" s="120" t="n"/>
      <c r="M111" s="120" t="n"/>
      <c r="N111" s="118" t="n"/>
      <c r="O111" s="121" t="n"/>
      <c r="P111" s="121" t="n"/>
      <c r="Q111" s="166">
        <f>TODAY()</f>
        <v/>
      </c>
      <c r="R111" s="165">
        <f>ElencoProdotti[[#This Row],[PRODUZIONE]]+20</f>
        <v/>
      </c>
      <c r="S111" s="165">
        <f>TODAY()</f>
        <v/>
      </c>
      <c r="T111" s="133">
        <f>CONCATENATE(A111," - contiene allergni - prodotto il giorno ",TEXT(Q111,"gg/mm/aaaa"),"")</f>
        <v/>
      </c>
    </row>
    <row r="112" ht="15" customHeight="1" s="155">
      <c r="A112" s="134">
        <f>ric!B112</f>
        <v/>
      </c>
      <c r="B112" s="118">
        <f>ric!C112</f>
        <v/>
      </c>
      <c r="C112" s="125">
        <f>ric!D112</f>
        <v/>
      </c>
      <c r="D112" s="125" t="n"/>
      <c r="E112" s="125" t="n"/>
      <c r="F112" s="125" t="n"/>
      <c r="G112" s="118">
        <f>CONCATENATE(A112, " ",#REF!, " / ",H112)</f>
        <v/>
      </c>
      <c r="H112" s="118" t="n"/>
      <c r="I112" s="119">
        <f>CONCATENATE(M112," - ",J112," - Lotto N° ",K112,"")</f>
        <v/>
      </c>
      <c r="J112" s="118" t="n"/>
      <c r="K112" s="118">
        <f>VLOOKUP(#REF!,Produzione,7,FALSE)</f>
        <v/>
      </c>
      <c r="L112" s="120" t="n"/>
      <c r="M112" s="120" t="n"/>
      <c r="N112" s="118" t="n"/>
      <c r="O112" s="121" t="n"/>
      <c r="P112" s="121" t="n"/>
      <c r="Q112" s="166">
        <f>TODAY()</f>
        <v/>
      </c>
      <c r="R112" s="165">
        <f>ElencoProdotti[[#This Row],[PRODUZIONE]]+20</f>
        <v/>
      </c>
      <c r="S112" s="165">
        <f>TODAY()</f>
        <v/>
      </c>
      <c r="T112" s="133">
        <f>CONCATENATE(A112," - contiene allergni - prodotto il giorno ",TEXT(Q112,"gg/mm/aaaa"),"")</f>
        <v/>
      </c>
    </row>
    <row r="113" ht="15" customHeight="1" s="155">
      <c r="A113" s="134">
        <f>ric!B113</f>
        <v/>
      </c>
      <c r="B113" s="118">
        <f>ric!C113</f>
        <v/>
      </c>
      <c r="C113" s="125">
        <f>ric!D113</f>
        <v/>
      </c>
      <c r="D113" s="125" t="n"/>
      <c r="E113" s="125" t="n"/>
      <c r="F113" s="125" t="n"/>
      <c r="G113" s="118">
        <f>CONCATENATE(A113, " ",#REF!, " / ",H113)</f>
        <v/>
      </c>
      <c r="H113" s="118" t="n"/>
      <c r="I113" s="119">
        <f>CONCATENATE(M113," - ",J113," - Lotto N° ",K113,"")</f>
        <v/>
      </c>
      <c r="J113" s="118" t="n"/>
      <c r="K113" s="118">
        <f>VLOOKUP(#REF!,Produzione,7,FALSE)</f>
        <v/>
      </c>
      <c r="L113" s="120" t="n"/>
      <c r="M113" s="120" t="n"/>
      <c r="N113" s="118" t="n"/>
      <c r="O113" s="121" t="n"/>
      <c r="P113" s="121" t="n"/>
      <c r="Q113" s="166">
        <f>TODAY()</f>
        <v/>
      </c>
      <c r="R113" s="165">
        <f>ElencoProdotti[[#This Row],[PRODUZIONE]]+20</f>
        <v/>
      </c>
      <c r="S113" s="165">
        <f>TODAY()</f>
        <v/>
      </c>
      <c r="T113" s="133">
        <f>CONCATENATE(A113," - contiene allergni - prodotto il giorno ",TEXT(Q113,"gg/mm/aaaa"),"")</f>
        <v/>
      </c>
    </row>
    <row r="114" ht="15" customHeight="1" s="155">
      <c r="A114" s="134">
        <f>ric!B114</f>
        <v/>
      </c>
      <c r="B114" s="118">
        <f>ric!C114</f>
        <v/>
      </c>
      <c r="C114" s="125">
        <f>ric!D114</f>
        <v/>
      </c>
      <c r="D114" s="125" t="n"/>
      <c r="E114" s="125" t="n"/>
      <c r="F114" s="125" t="n"/>
      <c r="G114" s="118">
        <f>CONCATENATE(A114, " ",#REF!, " / ",H114)</f>
        <v/>
      </c>
      <c r="H114" s="118" t="n"/>
      <c r="I114" s="119">
        <f>CONCATENATE(M114," - ",J114," - Lotto N° ",K114,"")</f>
        <v/>
      </c>
      <c r="J114" s="118" t="n"/>
      <c r="K114" s="118">
        <f>VLOOKUP(#REF!,Produzione,7,FALSE)</f>
        <v/>
      </c>
      <c r="L114" s="120" t="n"/>
      <c r="M114" s="120" t="n"/>
      <c r="N114" s="118" t="n"/>
      <c r="O114" s="121" t="n"/>
      <c r="P114" s="121" t="n"/>
      <c r="Q114" s="166">
        <f>TODAY()</f>
        <v/>
      </c>
      <c r="R114" s="165">
        <f>ElencoProdotti[[#This Row],[PRODUZIONE]]+20</f>
        <v/>
      </c>
      <c r="S114" s="165">
        <f>TODAY()</f>
        <v/>
      </c>
      <c r="T114" s="133">
        <f>CONCATENATE(A114," - contiene allergni - prodotto il giorno ",TEXT(Q114,"gg/mm/aaaa"),"")</f>
        <v/>
      </c>
    </row>
    <row r="115" ht="15" customHeight="1" s="155">
      <c r="A115" s="134">
        <f>ric!B115</f>
        <v/>
      </c>
      <c r="B115" s="118">
        <f>ric!C115</f>
        <v/>
      </c>
      <c r="C115" s="125">
        <f>ric!D115</f>
        <v/>
      </c>
      <c r="D115" s="125" t="n"/>
      <c r="E115" s="125" t="n"/>
      <c r="F115" s="125" t="n"/>
      <c r="G115" s="118">
        <f>CONCATENATE(A115, " ",#REF!, " / ",H115)</f>
        <v/>
      </c>
      <c r="H115" s="118" t="n"/>
      <c r="I115" s="119">
        <f>CONCATENATE(M115," - ",J115," - Lotto N° ",K115,"")</f>
        <v/>
      </c>
      <c r="J115" s="118" t="n"/>
      <c r="K115" s="118">
        <f>VLOOKUP(#REF!,Produzione,7,FALSE)</f>
        <v/>
      </c>
      <c r="L115" s="120" t="n"/>
      <c r="M115" s="120" t="n"/>
      <c r="N115" s="118" t="n"/>
      <c r="O115" s="121" t="n"/>
      <c r="P115" s="121" t="n"/>
      <c r="Q115" s="166">
        <f>TODAY()</f>
        <v/>
      </c>
      <c r="R115" s="165">
        <f>ElencoProdotti[[#This Row],[PRODUZIONE]]+20</f>
        <v/>
      </c>
      <c r="S115" s="165">
        <f>TODAY()</f>
        <v/>
      </c>
      <c r="T115" s="133">
        <f>CONCATENATE(A115," - contiene allergni - prodotto il giorno ",TEXT(Q115,"gg/mm/aaaa"),"")</f>
        <v/>
      </c>
    </row>
    <row r="116" ht="15" customHeight="1" s="155">
      <c r="A116" s="134">
        <f>ric!B116</f>
        <v/>
      </c>
      <c r="B116" s="118">
        <f>ric!C116</f>
        <v/>
      </c>
      <c r="C116" s="125">
        <f>ric!D116</f>
        <v/>
      </c>
      <c r="D116" s="125" t="n"/>
      <c r="E116" s="125" t="n"/>
      <c r="F116" s="125" t="n"/>
      <c r="G116" s="118">
        <f>CONCATENATE(A116, " ",#REF!, " / ",H116)</f>
        <v/>
      </c>
      <c r="H116" s="118" t="n"/>
      <c r="I116" s="119">
        <f>CONCATENATE(M116," - ",J116," - Lotto N° ",K116,"")</f>
        <v/>
      </c>
      <c r="J116" s="118" t="n"/>
      <c r="K116" s="118">
        <f>VLOOKUP(#REF!,Produzione,7,FALSE)</f>
        <v/>
      </c>
      <c r="L116" s="120" t="n"/>
      <c r="M116" s="120" t="n"/>
      <c r="N116" s="118" t="n"/>
      <c r="O116" s="121" t="n"/>
      <c r="P116" s="121" t="n"/>
      <c r="Q116" s="166">
        <f>TODAY()</f>
        <v/>
      </c>
      <c r="R116" s="165">
        <f>ElencoProdotti[[#This Row],[PRODUZIONE]]+20</f>
        <v/>
      </c>
      <c r="S116" s="165">
        <f>TODAY()</f>
        <v/>
      </c>
      <c r="T116" s="133">
        <f>CONCATENATE(A116," - contiene allergni - prodotto il giorno ",TEXT(Q116,"gg/mm/aaaa"),"")</f>
        <v/>
      </c>
    </row>
    <row r="117" ht="15" customHeight="1" s="155">
      <c r="A117" s="134">
        <f>ric!B117</f>
        <v/>
      </c>
      <c r="B117" s="118">
        <f>ric!C117</f>
        <v/>
      </c>
      <c r="C117" s="125">
        <f>ric!D117</f>
        <v/>
      </c>
      <c r="D117" s="125" t="n"/>
      <c r="E117" s="125" t="n"/>
      <c r="F117" s="125" t="n"/>
      <c r="G117" s="118">
        <f>CONCATENATE(A117, " ",#REF!, " / ",H117)</f>
        <v/>
      </c>
      <c r="H117" s="118" t="n"/>
      <c r="I117" s="119">
        <f>CONCATENATE(M117," - ",J117," - Lotto N° ",K117,"")</f>
        <v/>
      </c>
      <c r="J117" s="118" t="n"/>
      <c r="K117" s="118">
        <f>VLOOKUP(#REF!,Produzione,7,FALSE)</f>
        <v/>
      </c>
      <c r="L117" s="120" t="n"/>
      <c r="M117" s="120" t="n"/>
      <c r="N117" s="118" t="n"/>
      <c r="O117" s="121" t="n"/>
      <c r="P117" s="121" t="n"/>
      <c r="Q117" s="166">
        <f>TODAY()</f>
        <v/>
      </c>
      <c r="R117" s="165">
        <f>ElencoProdotti[[#This Row],[PRODUZIONE]]+20</f>
        <v/>
      </c>
      <c r="S117" s="165">
        <f>TODAY()</f>
        <v/>
      </c>
      <c r="T117" s="133">
        <f>CONCATENATE(A117," - contiene allergni - prodotto il giorno ",TEXT(Q117,"gg/mm/aaaa"),"")</f>
        <v/>
      </c>
    </row>
    <row r="118" ht="15" customHeight="1" s="155">
      <c r="A118" s="134">
        <f>ric!B118</f>
        <v/>
      </c>
      <c r="B118" s="118">
        <f>ric!C118</f>
        <v/>
      </c>
      <c r="C118" s="125">
        <f>ric!D118</f>
        <v/>
      </c>
      <c r="D118" s="125" t="n"/>
      <c r="E118" s="125" t="n"/>
      <c r="F118" s="125" t="n"/>
      <c r="G118" s="118">
        <f>CONCATENATE(A118, " ",#REF!, " / ",H118)</f>
        <v/>
      </c>
      <c r="H118" s="118" t="n"/>
      <c r="I118" s="119">
        <f>CONCATENATE(M118," - ",J118," - Lotto N° ",K118,"")</f>
        <v/>
      </c>
      <c r="J118" s="118" t="n"/>
      <c r="K118" s="118">
        <f>VLOOKUP(#REF!,Produzione,7,FALSE)</f>
        <v/>
      </c>
      <c r="L118" s="120" t="n"/>
      <c r="M118" s="120" t="n"/>
      <c r="N118" s="118" t="n"/>
      <c r="O118" s="121" t="n"/>
      <c r="P118" s="121" t="n"/>
      <c r="Q118" s="166">
        <f>TODAY()</f>
        <v/>
      </c>
      <c r="R118" s="165">
        <f>ElencoProdotti[[#This Row],[PRODUZIONE]]+20</f>
        <v/>
      </c>
      <c r="S118" s="165">
        <f>TODAY()</f>
        <v/>
      </c>
      <c r="T118" s="133">
        <f>CONCATENATE(A118," - contiene allergni - prodotto il giorno ",TEXT(Q118,"gg/mm/aaaa"),"")</f>
        <v/>
      </c>
    </row>
    <row r="119" ht="15" customHeight="1" s="155">
      <c r="A119" s="134">
        <f>ric!B119</f>
        <v/>
      </c>
      <c r="B119" s="118">
        <f>ric!C119</f>
        <v/>
      </c>
      <c r="C119" s="125">
        <f>ric!D119</f>
        <v/>
      </c>
      <c r="D119" s="125" t="n"/>
      <c r="E119" s="125" t="n"/>
      <c r="F119" s="125" t="n"/>
      <c r="G119" s="118">
        <f>CONCATENATE(A119, " ",#REF!, " / ",H119)</f>
        <v/>
      </c>
      <c r="H119" s="118" t="n"/>
      <c r="I119" s="119">
        <f>CONCATENATE(M119," - ",J119," - Lotto N° ",K119,"")</f>
        <v/>
      </c>
      <c r="J119" s="118" t="n"/>
      <c r="K119" s="118">
        <f>VLOOKUP(#REF!,Produzione,7,FALSE)</f>
        <v/>
      </c>
      <c r="L119" s="120" t="n"/>
      <c r="M119" s="120" t="n"/>
      <c r="N119" s="118" t="n"/>
      <c r="O119" s="121" t="n"/>
      <c r="P119" s="121" t="n"/>
      <c r="Q119" s="166">
        <f>TODAY()</f>
        <v/>
      </c>
      <c r="R119" s="165">
        <f>ElencoProdotti[[#This Row],[PRODUZIONE]]+20</f>
        <v/>
      </c>
      <c r="S119" s="165">
        <f>TODAY()</f>
        <v/>
      </c>
      <c r="T119" s="133">
        <f>CONCATENATE(A119," - contiene allergni - prodotto il giorno ",TEXT(Q119,"gg/mm/aaaa"),"")</f>
        <v/>
      </c>
    </row>
    <row r="120" ht="15" customHeight="1" s="155">
      <c r="A120" s="134">
        <f>ric!B120</f>
        <v/>
      </c>
      <c r="B120" s="118">
        <f>ric!C120</f>
        <v/>
      </c>
      <c r="C120" s="125">
        <f>ric!D120</f>
        <v/>
      </c>
      <c r="D120" s="125" t="n"/>
      <c r="E120" s="125" t="n"/>
      <c r="F120" s="125" t="n"/>
      <c r="G120" s="118">
        <f>CONCATENATE(A120, " ",#REF!, " / ",H120)</f>
        <v/>
      </c>
      <c r="H120" s="118" t="n"/>
      <c r="I120" s="119">
        <f>CONCATENATE(M120," - ",J120," - Lotto N° ",K120,"")</f>
        <v/>
      </c>
      <c r="J120" s="118" t="n"/>
      <c r="K120" s="118">
        <f>VLOOKUP(#REF!,Produzione,7,FALSE)</f>
        <v/>
      </c>
      <c r="L120" s="120" t="n"/>
      <c r="M120" s="120" t="n"/>
      <c r="N120" s="118" t="n"/>
      <c r="O120" s="121" t="n"/>
      <c r="P120" s="121" t="n"/>
      <c r="Q120" s="166">
        <f>TODAY()</f>
        <v/>
      </c>
      <c r="R120" s="165">
        <f>ElencoProdotti[[#This Row],[PRODUZIONE]]+20</f>
        <v/>
      </c>
      <c r="S120" s="165">
        <f>TODAY()</f>
        <v/>
      </c>
      <c r="T120" s="133">
        <f>CONCATENATE(A120," - contiene allergni - prodotto il giorno ",TEXT(Q120,"gg/mm/aaaa"),"")</f>
        <v/>
      </c>
    </row>
    <row r="121" ht="15" customHeight="1" s="155">
      <c r="A121" s="134">
        <f>ric!B121</f>
        <v/>
      </c>
      <c r="B121" s="118">
        <f>ric!C121</f>
        <v/>
      </c>
      <c r="C121" s="125">
        <f>ric!D121</f>
        <v/>
      </c>
      <c r="D121" s="125" t="n"/>
      <c r="E121" s="125" t="n"/>
      <c r="F121" s="125" t="n"/>
      <c r="G121" s="118">
        <f>CONCATENATE(A121, " ",#REF!, " / ",H121)</f>
        <v/>
      </c>
      <c r="H121" s="118" t="n"/>
      <c r="I121" s="119">
        <f>CONCATENATE(M121," - ",J121," - Lotto N° ",K121,"")</f>
        <v/>
      </c>
      <c r="J121" s="118" t="n"/>
      <c r="K121" s="118">
        <f>VLOOKUP(#REF!,Produzione,7,FALSE)</f>
        <v/>
      </c>
      <c r="L121" s="120" t="n"/>
      <c r="M121" s="120" t="n"/>
      <c r="N121" s="118" t="n"/>
      <c r="O121" s="121" t="n"/>
      <c r="P121" s="121" t="n"/>
      <c r="Q121" s="166">
        <f>TODAY()</f>
        <v/>
      </c>
      <c r="R121" s="165">
        <f>ElencoProdotti[[#This Row],[PRODUZIONE]]+20</f>
        <v/>
      </c>
      <c r="S121" s="165">
        <f>TODAY()</f>
        <v/>
      </c>
      <c r="T121" s="133">
        <f>CONCATENATE(A121," - contiene allergni - prodotto il giorno ",TEXT(Q121,"gg/mm/aaaa"),"")</f>
        <v/>
      </c>
    </row>
    <row r="122" ht="15" customHeight="1" s="155">
      <c r="A122" s="134">
        <f>ric!B122</f>
        <v/>
      </c>
      <c r="B122" s="118">
        <f>ric!C122</f>
        <v/>
      </c>
      <c r="C122" s="125">
        <f>ric!D122</f>
        <v/>
      </c>
      <c r="D122" s="125" t="n"/>
      <c r="E122" s="125" t="n"/>
      <c r="F122" s="125" t="n"/>
      <c r="G122" s="118">
        <f>CONCATENATE(A122, " ",#REF!, " / ",H122)</f>
        <v/>
      </c>
      <c r="H122" s="118" t="n"/>
      <c r="I122" s="119">
        <f>CONCATENATE(M122," - ",J122," - Lotto N° ",K122,"")</f>
        <v/>
      </c>
      <c r="J122" s="118" t="n"/>
      <c r="K122" s="118">
        <f>VLOOKUP(#REF!,Produzione,7,FALSE)</f>
        <v/>
      </c>
      <c r="L122" s="120" t="n"/>
      <c r="M122" s="120" t="n"/>
      <c r="N122" s="118" t="n"/>
      <c r="O122" s="121" t="n"/>
      <c r="P122" s="121" t="n"/>
      <c r="Q122" s="166">
        <f>TODAY()</f>
        <v/>
      </c>
      <c r="R122" s="165">
        <f>ElencoProdotti[[#This Row],[PRODUZIONE]]+20</f>
        <v/>
      </c>
      <c r="S122" s="165">
        <f>TODAY()</f>
        <v/>
      </c>
      <c r="T122" s="133">
        <f>CONCATENATE(A122," - contiene allergni - prodotto il giorno ",TEXT(Q122,"gg/mm/aaaa"),"")</f>
        <v/>
      </c>
    </row>
    <row r="123" ht="15" customHeight="1" s="155">
      <c r="A123" s="134">
        <f>ric!B123</f>
        <v/>
      </c>
      <c r="B123" s="118">
        <f>ric!C123</f>
        <v/>
      </c>
      <c r="C123" s="125">
        <f>ric!D123</f>
        <v/>
      </c>
      <c r="D123" s="125" t="n"/>
      <c r="E123" s="125" t="n"/>
      <c r="F123" s="125" t="n"/>
      <c r="G123" s="118">
        <f>CONCATENATE(A123, " ",#REF!, " / ",H123)</f>
        <v/>
      </c>
      <c r="H123" s="118" t="n"/>
      <c r="I123" s="119">
        <f>CONCATENATE(M123," - ",J123," - Lotto N° ",K123,"")</f>
        <v/>
      </c>
      <c r="J123" s="118" t="n"/>
      <c r="K123" s="118">
        <f>VLOOKUP(#REF!,Produzione,7,FALSE)</f>
        <v/>
      </c>
      <c r="L123" s="120" t="n"/>
      <c r="M123" s="120" t="n"/>
      <c r="N123" s="118" t="n"/>
      <c r="O123" s="121" t="n"/>
      <c r="P123" s="121" t="n"/>
      <c r="Q123" s="166">
        <f>TODAY()</f>
        <v/>
      </c>
      <c r="R123" s="165">
        <f>ElencoProdotti[[#This Row],[PRODUZIONE]]+20</f>
        <v/>
      </c>
      <c r="S123" s="165">
        <f>TODAY()</f>
        <v/>
      </c>
      <c r="T123" s="133">
        <f>CONCATENATE(A123," - contiene allergni - prodotto il giorno ",TEXT(Q123,"gg/mm/aaaa"),"")</f>
        <v/>
      </c>
    </row>
    <row r="124" ht="15" customHeight="1" s="155">
      <c r="A124" s="134">
        <f>ric!B124</f>
        <v/>
      </c>
      <c r="B124" s="118">
        <f>ric!C124</f>
        <v/>
      </c>
      <c r="C124" s="125">
        <f>ric!D124</f>
        <v/>
      </c>
      <c r="D124" s="125" t="n"/>
      <c r="E124" s="125" t="n"/>
      <c r="F124" s="125" t="n"/>
      <c r="G124" s="118">
        <f>CONCATENATE(A124, " ",#REF!, " / ",H124)</f>
        <v/>
      </c>
      <c r="H124" s="118" t="n"/>
      <c r="I124" s="119">
        <f>CONCATENATE(M124," - ",J124," - Lotto N° ",K124,"")</f>
        <v/>
      </c>
      <c r="J124" s="118" t="n"/>
      <c r="K124" s="118">
        <f>VLOOKUP(#REF!,Produzione,7,FALSE)</f>
        <v/>
      </c>
      <c r="L124" s="120" t="n"/>
      <c r="M124" s="120" t="n"/>
      <c r="N124" s="118" t="n"/>
      <c r="O124" s="121" t="n"/>
      <c r="P124" s="121" t="n"/>
      <c r="Q124" s="166">
        <f>TODAY()</f>
        <v/>
      </c>
      <c r="R124" s="165">
        <f>ElencoProdotti[[#This Row],[PRODUZIONE]]+20</f>
        <v/>
      </c>
      <c r="S124" s="165">
        <f>TODAY()</f>
        <v/>
      </c>
      <c r="T124" s="133">
        <f>CONCATENATE(A124," - contiene allergni - prodotto il giorno ",TEXT(Q124,"gg/mm/aaaa"),"")</f>
        <v/>
      </c>
    </row>
    <row r="125" ht="15" customHeight="1" s="155">
      <c r="A125" s="134">
        <f>ric!B125</f>
        <v/>
      </c>
      <c r="B125" s="118">
        <f>ric!C125</f>
        <v/>
      </c>
      <c r="C125" s="125">
        <f>ric!D125</f>
        <v/>
      </c>
      <c r="D125" s="125" t="n"/>
      <c r="E125" s="125" t="n"/>
      <c r="F125" s="125" t="n"/>
      <c r="G125" s="118">
        <f>CONCATENATE(A125, " ",#REF!, " / ",H125)</f>
        <v/>
      </c>
      <c r="H125" s="118" t="n"/>
      <c r="I125" s="119">
        <f>CONCATENATE(M125," - ",J125," - Lotto N° ",K125,"")</f>
        <v/>
      </c>
      <c r="J125" s="118" t="n"/>
      <c r="K125" s="118">
        <f>VLOOKUP(#REF!,Produzione,7,FALSE)</f>
        <v/>
      </c>
      <c r="L125" s="120" t="n"/>
      <c r="M125" s="120" t="n"/>
      <c r="N125" s="118" t="n"/>
      <c r="O125" s="121" t="n"/>
      <c r="P125" s="121" t="n"/>
      <c r="Q125" s="166">
        <f>TODAY()</f>
        <v/>
      </c>
      <c r="R125" s="165">
        <f>ElencoProdotti[[#This Row],[PRODUZIONE]]+20</f>
        <v/>
      </c>
      <c r="S125" s="165">
        <f>TODAY()</f>
        <v/>
      </c>
      <c r="T125" s="133">
        <f>CONCATENATE(A125," - contiene allergni - prodotto il giorno ",TEXT(Q125,"gg/mm/aaaa"),"")</f>
        <v/>
      </c>
    </row>
    <row r="126" ht="15" customHeight="1" s="155">
      <c r="A126" s="134">
        <f>ric!B126</f>
        <v/>
      </c>
      <c r="B126" s="118">
        <f>ric!C126</f>
        <v/>
      </c>
      <c r="C126" s="125">
        <f>ric!D126</f>
        <v/>
      </c>
      <c r="D126" s="125" t="n"/>
      <c r="E126" s="125" t="n"/>
      <c r="F126" s="125" t="n"/>
      <c r="G126" s="118">
        <f>CONCATENATE(A126, " ",#REF!, " / ",H126)</f>
        <v/>
      </c>
      <c r="H126" s="118" t="n"/>
      <c r="I126" s="119">
        <f>CONCATENATE(M126," - ",J126," - Lotto N° ",K126,"")</f>
        <v/>
      </c>
      <c r="J126" s="118" t="n"/>
      <c r="K126" s="118">
        <f>VLOOKUP(#REF!,Produzione,7,FALSE)</f>
        <v/>
      </c>
      <c r="L126" s="120" t="n"/>
      <c r="M126" s="120" t="n"/>
      <c r="N126" s="118" t="n"/>
      <c r="O126" s="121" t="n"/>
      <c r="P126" s="121" t="n"/>
      <c r="Q126" s="166">
        <f>TODAY()</f>
        <v/>
      </c>
      <c r="R126" s="165">
        <f>ElencoProdotti[[#This Row],[PRODUZIONE]]+20</f>
        <v/>
      </c>
      <c r="S126" s="165">
        <f>TODAY()</f>
        <v/>
      </c>
      <c r="T126" s="133">
        <f>CONCATENATE(A126," - contiene allergni - prodotto il giorno ",TEXT(Q126,"gg/mm/aaaa"),"")</f>
        <v/>
      </c>
    </row>
    <row r="127" ht="15" customHeight="1" s="155">
      <c r="A127" s="134">
        <f>ric!B127</f>
        <v/>
      </c>
      <c r="B127" s="118">
        <f>ric!C127</f>
        <v/>
      </c>
      <c r="C127" s="125">
        <f>ric!D127</f>
        <v/>
      </c>
      <c r="D127" s="125" t="n"/>
      <c r="E127" s="125" t="n"/>
      <c r="F127" s="125" t="n"/>
      <c r="G127" s="118">
        <f>CONCATENATE(A127, " ",#REF!, " / ",H127)</f>
        <v/>
      </c>
      <c r="H127" s="118" t="n"/>
      <c r="I127" s="119">
        <f>CONCATENATE(M127," - ",J127," - Lotto N° ",K127,"")</f>
        <v/>
      </c>
      <c r="J127" s="118" t="n"/>
      <c r="K127" s="118">
        <f>VLOOKUP(#REF!,Produzione,7,FALSE)</f>
        <v/>
      </c>
      <c r="L127" s="120" t="n"/>
      <c r="M127" s="120" t="n"/>
      <c r="N127" s="118" t="n"/>
      <c r="O127" s="121" t="n"/>
      <c r="P127" s="121" t="n"/>
      <c r="Q127" s="166">
        <f>TODAY()</f>
        <v/>
      </c>
      <c r="R127" s="165">
        <f>ElencoProdotti[[#This Row],[PRODUZIONE]]+20</f>
        <v/>
      </c>
      <c r="S127" s="165">
        <f>TODAY()</f>
        <v/>
      </c>
      <c r="T127" s="133">
        <f>CONCATENATE(A127," - contiene allergni - prodotto il giorno ",TEXT(Q127,"gg/mm/aaaa"),"")</f>
        <v/>
      </c>
    </row>
    <row r="128" ht="15" customHeight="1" s="155">
      <c r="A128" s="134">
        <f>ric!B128</f>
        <v/>
      </c>
      <c r="B128" s="118">
        <f>ric!C128</f>
        <v/>
      </c>
      <c r="C128" s="125">
        <f>ric!D128</f>
        <v/>
      </c>
      <c r="D128" s="125" t="n"/>
      <c r="E128" s="125" t="n"/>
      <c r="F128" s="125" t="n"/>
      <c r="G128" s="118">
        <f>CONCATENATE(A128, " ",#REF!, " / ",H128)</f>
        <v/>
      </c>
      <c r="H128" s="118" t="n"/>
      <c r="I128" s="119">
        <f>CONCATENATE(M128," - ",J128," - Lotto N° ",K128,"")</f>
        <v/>
      </c>
      <c r="J128" s="118" t="n"/>
      <c r="K128" s="118">
        <f>VLOOKUP(#REF!,Produzione,7,FALSE)</f>
        <v/>
      </c>
      <c r="L128" s="120" t="n"/>
      <c r="M128" s="120" t="n"/>
      <c r="N128" s="118" t="n"/>
      <c r="O128" s="121" t="n"/>
      <c r="P128" s="121" t="n"/>
      <c r="Q128" s="166">
        <f>TODAY()</f>
        <v/>
      </c>
      <c r="R128" s="165">
        <f>ElencoProdotti[[#This Row],[PRODUZIONE]]+20</f>
        <v/>
      </c>
      <c r="S128" s="165">
        <f>TODAY()</f>
        <v/>
      </c>
      <c r="T128" s="133">
        <f>CONCATENATE(A128," - contiene allergni - prodotto il giorno ",TEXT(Q128,"gg/mm/aaaa"),"")</f>
        <v/>
      </c>
    </row>
    <row r="129" ht="15" customHeight="1" s="155">
      <c r="A129" s="134">
        <f>ric!B129</f>
        <v/>
      </c>
      <c r="B129" s="118">
        <f>ric!C129</f>
        <v/>
      </c>
      <c r="C129" s="125">
        <f>ric!D129</f>
        <v/>
      </c>
      <c r="D129" s="125" t="n"/>
      <c r="E129" s="125" t="n"/>
      <c r="F129" s="125" t="n"/>
      <c r="G129" s="118">
        <f>CONCATENATE(A129, " ",#REF!, " / ",H129)</f>
        <v/>
      </c>
      <c r="H129" s="118" t="n"/>
      <c r="I129" s="119">
        <f>CONCATENATE(M129," - ",J129," - Lotto N° ",K129,"")</f>
        <v/>
      </c>
      <c r="J129" s="118" t="n"/>
      <c r="K129" s="118">
        <f>VLOOKUP(#REF!,Produzione,7,FALSE)</f>
        <v/>
      </c>
      <c r="L129" s="120" t="n"/>
      <c r="M129" s="120" t="n"/>
      <c r="N129" s="118" t="n"/>
      <c r="O129" s="121" t="n"/>
      <c r="P129" s="121" t="n"/>
      <c r="Q129" s="166">
        <f>TODAY()</f>
        <v/>
      </c>
      <c r="R129" s="165">
        <f>ElencoProdotti[[#This Row],[PRODUZIONE]]+20</f>
        <v/>
      </c>
      <c r="S129" s="165">
        <f>TODAY()</f>
        <v/>
      </c>
      <c r="T129" s="133">
        <f>CONCATENATE(A129," - contiene allergni - prodotto il giorno ",TEXT(Q129,"gg/mm/aaaa"),"")</f>
        <v/>
      </c>
    </row>
    <row r="130" ht="15" customHeight="1" s="155">
      <c r="A130" s="134">
        <f>ric!B130</f>
        <v/>
      </c>
      <c r="B130" s="118">
        <f>ric!C130</f>
        <v/>
      </c>
      <c r="C130" s="125">
        <f>ric!D130</f>
        <v/>
      </c>
      <c r="D130" s="125" t="n"/>
      <c r="E130" s="125" t="n"/>
      <c r="F130" s="125" t="n"/>
      <c r="G130" s="118">
        <f>CONCATENATE(A130, " ",#REF!, " / ",H130)</f>
        <v/>
      </c>
      <c r="H130" s="118" t="n"/>
      <c r="I130" s="119">
        <f>CONCATENATE(M130," - ",J130," - Lotto N° ",K130,"")</f>
        <v/>
      </c>
      <c r="J130" s="118" t="n"/>
      <c r="K130" s="118">
        <f>VLOOKUP(#REF!,Produzione,7,FALSE)</f>
        <v/>
      </c>
      <c r="L130" s="120" t="n"/>
      <c r="M130" s="120" t="n"/>
      <c r="N130" s="118" t="n"/>
      <c r="O130" s="121" t="n"/>
      <c r="P130" s="121" t="n"/>
      <c r="Q130" s="166">
        <f>TODAY()</f>
        <v/>
      </c>
      <c r="R130" s="165">
        <f>ElencoProdotti[[#This Row],[PRODUZIONE]]+20</f>
        <v/>
      </c>
      <c r="S130" s="165">
        <f>TODAY()</f>
        <v/>
      </c>
      <c r="T130" s="133">
        <f>CONCATENATE(A130," - contiene allergni - prodotto il giorno ",TEXT(Q130,"gg/mm/aaaa"),"")</f>
        <v/>
      </c>
    </row>
    <row r="131" ht="15" customHeight="1" s="155">
      <c r="A131" s="134">
        <f>ric!B131</f>
        <v/>
      </c>
      <c r="B131" s="118">
        <f>ric!C131</f>
        <v/>
      </c>
      <c r="C131" s="125">
        <f>ric!D131</f>
        <v/>
      </c>
      <c r="D131" s="125" t="n"/>
      <c r="E131" s="125" t="n"/>
      <c r="F131" s="125" t="n"/>
      <c r="G131" s="118">
        <f>CONCATENATE(A131, " ",#REF!, " / ",H131)</f>
        <v/>
      </c>
      <c r="H131" s="118" t="n"/>
      <c r="I131" s="119">
        <f>CONCATENATE(M131," - ",J131," - Lotto N° ",K131,"")</f>
        <v/>
      </c>
      <c r="J131" s="118" t="n"/>
      <c r="K131" s="118">
        <f>VLOOKUP(#REF!,Produzione,7,FALSE)</f>
        <v/>
      </c>
      <c r="L131" s="120" t="n"/>
      <c r="M131" s="120" t="n"/>
      <c r="N131" s="118" t="n"/>
      <c r="O131" s="121" t="n"/>
      <c r="P131" s="121" t="n"/>
      <c r="Q131" s="166">
        <f>TODAY()</f>
        <v/>
      </c>
      <c r="R131" s="165">
        <f>ElencoProdotti[[#This Row],[PRODUZIONE]]+20</f>
        <v/>
      </c>
      <c r="S131" s="165">
        <f>TODAY()</f>
        <v/>
      </c>
      <c r="T131" s="133">
        <f>CONCATENATE(A131," - contiene allergni - prodotto il giorno ",TEXT(Q131,"gg/mm/aaaa"),"")</f>
        <v/>
      </c>
    </row>
    <row r="132" ht="15" customHeight="1" s="155">
      <c r="A132" s="134">
        <f>ric!B132</f>
        <v/>
      </c>
      <c r="B132" s="118">
        <f>ric!C132</f>
        <v/>
      </c>
      <c r="C132" s="125">
        <f>ric!D132</f>
        <v/>
      </c>
      <c r="D132" s="125" t="n"/>
      <c r="E132" s="125" t="n"/>
      <c r="F132" s="125" t="n"/>
      <c r="G132" s="118">
        <f>CONCATENATE(A132, " ",#REF!, " / ",H132)</f>
        <v/>
      </c>
      <c r="H132" s="118" t="n"/>
      <c r="I132" s="119">
        <f>CONCATENATE(M132," - ",J132," - Lotto N° ",K132,"")</f>
        <v/>
      </c>
      <c r="J132" s="118" t="n"/>
      <c r="K132" s="118">
        <f>VLOOKUP(#REF!,Produzione,7,FALSE)</f>
        <v/>
      </c>
      <c r="L132" s="120" t="n"/>
      <c r="M132" s="120" t="n"/>
      <c r="N132" s="118" t="n"/>
      <c r="O132" s="121" t="n"/>
      <c r="P132" s="121" t="n"/>
      <c r="Q132" s="166">
        <f>TODAY()</f>
        <v/>
      </c>
      <c r="R132" s="165">
        <f>ElencoProdotti[[#This Row],[PRODUZIONE]]+20</f>
        <v/>
      </c>
      <c r="S132" s="165">
        <f>TODAY()</f>
        <v/>
      </c>
      <c r="T132" s="133">
        <f>CONCATENATE(A132," - contiene allergni - prodotto il giorno ",TEXT(Q132,"gg/mm/aaaa"),"")</f>
        <v/>
      </c>
    </row>
    <row r="133" ht="15" customHeight="1" s="155">
      <c r="A133" s="134">
        <f>ric!B133</f>
        <v/>
      </c>
      <c r="B133" s="118">
        <f>ric!C133</f>
        <v/>
      </c>
      <c r="C133" s="125">
        <f>ric!D133</f>
        <v/>
      </c>
      <c r="D133" s="125" t="n"/>
      <c r="E133" s="125" t="n"/>
      <c r="F133" s="125" t="n"/>
      <c r="G133" s="118">
        <f>CONCATENATE(A133, " ",#REF!, " / ",H133)</f>
        <v/>
      </c>
      <c r="H133" s="118" t="n"/>
      <c r="I133" s="119">
        <f>CONCATENATE(M133," - ",J133," - Lotto N° ",K133,"")</f>
        <v/>
      </c>
      <c r="J133" s="118" t="n"/>
      <c r="K133" s="118">
        <f>VLOOKUP(#REF!,Produzione,7,FALSE)</f>
        <v/>
      </c>
      <c r="L133" s="120" t="n"/>
      <c r="M133" s="120" t="n"/>
      <c r="N133" s="118" t="n"/>
      <c r="O133" s="121" t="n"/>
      <c r="P133" s="121" t="n"/>
      <c r="Q133" s="166">
        <f>TODAY()</f>
        <v/>
      </c>
      <c r="R133" s="165">
        <f>ElencoProdotti[[#This Row],[PRODUZIONE]]+20</f>
        <v/>
      </c>
      <c r="S133" s="165">
        <f>TODAY()</f>
        <v/>
      </c>
      <c r="T133" s="133">
        <f>CONCATENATE(A133," - contiene allergni - prodotto il giorno ",TEXT(Q133,"gg/mm/aaaa"),"")</f>
        <v/>
      </c>
    </row>
    <row r="134" ht="15" customHeight="1" s="155">
      <c r="A134" s="134">
        <f>ric!B134</f>
        <v/>
      </c>
      <c r="B134" s="118">
        <f>ric!C134</f>
        <v/>
      </c>
      <c r="C134" s="125">
        <f>ric!D134</f>
        <v/>
      </c>
      <c r="D134" s="125" t="n"/>
      <c r="E134" s="125" t="n"/>
      <c r="F134" s="125" t="n"/>
      <c r="G134" s="118">
        <f>CONCATENATE(A134, " ",#REF!, " / ",H134)</f>
        <v/>
      </c>
      <c r="H134" s="118" t="n"/>
      <c r="I134" s="119">
        <f>CONCATENATE(M134," - ",J134," - Lotto N° ",K134,"")</f>
        <v/>
      </c>
      <c r="J134" s="118" t="n"/>
      <c r="K134" s="118">
        <f>VLOOKUP(#REF!,Produzione,7,FALSE)</f>
        <v/>
      </c>
      <c r="L134" s="120" t="n"/>
      <c r="M134" s="120" t="n"/>
      <c r="N134" s="118" t="n"/>
      <c r="O134" s="121" t="n"/>
      <c r="P134" s="121" t="n"/>
      <c r="Q134" s="166">
        <f>TODAY()</f>
        <v/>
      </c>
      <c r="R134" s="165">
        <f>ElencoProdotti[[#This Row],[PRODUZIONE]]+20</f>
        <v/>
      </c>
      <c r="S134" s="165">
        <f>TODAY()</f>
        <v/>
      </c>
      <c r="T134" s="133">
        <f>CONCATENATE(A134," - contiene allergni - prodotto il giorno ",TEXT(Q134,"gg/mm/aaaa"),"")</f>
        <v/>
      </c>
    </row>
    <row r="135" ht="15" customHeight="1" s="155">
      <c r="A135" s="134">
        <f>ric!B135</f>
        <v/>
      </c>
      <c r="B135" s="118">
        <f>ric!C135</f>
        <v/>
      </c>
      <c r="C135" s="125">
        <f>ric!D135</f>
        <v/>
      </c>
      <c r="D135" s="125" t="n"/>
      <c r="E135" s="125" t="n"/>
      <c r="F135" s="125" t="n"/>
      <c r="G135" s="118">
        <f>CONCATENATE(A135, " ",#REF!, " / ",H135)</f>
        <v/>
      </c>
      <c r="H135" s="118" t="n"/>
      <c r="I135" s="119">
        <f>CONCATENATE(M135," - ",J135," - Lotto N° ",K135,"")</f>
        <v/>
      </c>
      <c r="J135" s="118" t="n"/>
      <c r="K135" s="118">
        <f>VLOOKUP(#REF!,Produzione,7,FALSE)</f>
        <v/>
      </c>
      <c r="L135" s="120" t="n"/>
      <c r="M135" s="120" t="n"/>
      <c r="N135" s="118" t="n"/>
      <c r="O135" s="121" t="n"/>
      <c r="P135" s="121" t="n"/>
      <c r="Q135" s="166">
        <f>TODAY()</f>
        <v/>
      </c>
      <c r="R135" s="165">
        <f>ElencoProdotti[[#This Row],[PRODUZIONE]]+20</f>
        <v/>
      </c>
      <c r="S135" s="165">
        <f>TODAY()</f>
        <v/>
      </c>
      <c r="T135" s="133">
        <f>CONCATENATE(A135," - contiene allergni - prodotto il giorno ",TEXT(Q135,"gg/mm/aaaa"),"")</f>
        <v/>
      </c>
    </row>
    <row r="136" ht="15" customHeight="1" s="155">
      <c r="A136" s="134">
        <f>ric!B136</f>
        <v/>
      </c>
      <c r="B136" s="118">
        <f>ric!C136</f>
        <v/>
      </c>
      <c r="C136" s="125">
        <f>ric!D136</f>
        <v/>
      </c>
      <c r="D136" s="125" t="n"/>
      <c r="E136" s="125" t="n"/>
      <c r="F136" s="125" t="n"/>
      <c r="G136" s="118">
        <f>CONCATENATE(A136, " ",#REF!, " / ",H136)</f>
        <v/>
      </c>
      <c r="H136" s="118" t="n"/>
      <c r="I136" s="119">
        <f>CONCATENATE(M136," - ",J136," - Lotto N° ",K136,"")</f>
        <v/>
      </c>
      <c r="J136" s="118" t="n"/>
      <c r="K136" s="118">
        <f>VLOOKUP(#REF!,Produzione,7,FALSE)</f>
        <v/>
      </c>
      <c r="L136" s="120" t="n"/>
      <c r="M136" s="120" t="n"/>
      <c r="N136" s="118" t="n"/>
      <c r="O136" s="121" t="n"/>
      <c r="P136" s="121" t="n"/>
      <c r="Q136" s="166">
        <f>TODAY()</f>
        <v/>
      </c>
      <c r="R136" s="165">
        <f>ElencoProdotti[[#This Row],[PRODUZIONE]]+20</f>
        <v/>
      </c>
      <c r="S136" s="165">
        <f>TODAY()</f>
        <v/>
      </c>
      <c r="T136" s="133">
        <f>CONCATENATE(A136," - contiene allergni - prodotto il giorno ",TEXT(Q136,"gg/mm/aaaa"),"")</f>
        <v/>
      </c>
    </row>
    <row r="137" ht="15" customHeight="1" s="155">
      <c r="A137" s="134">
        <f>ric!B137</f>
        <v/>
      </c>
      <c r="B137" s="118">
        <f>ric!C137</f>
        <v/>
      </c>
      <c r="C137" s="125">
        <f>ric!D137</f>
        <v/>
      </c>
      <c r="D137" s="125" t="n"/>
      <c r="E137" s="125" t="n"/>
      <c r="F137" s="125" t="n"/>
      <c r="G137" s="118">
        <f>CONCATENATE(A137, " ",#REF!, " / ",H137)</f>
        <v/>
      </c>
      <c r="H137" s="118" t="n"/>
      <c r="I137" s="119">
        <f>CONCATENATE(M137," - ",J137," - Lotto N° ",K137,"")</f>
        <v/>
      </c>
      <c r="J137" s="118" t="n"/>
      <c r="K137" s="118">
        <f>VLOOKUP(#REF!,Produzione,7,FALSE)</f>
        <v/>
      </c>
      <c r="L137" s="120" t="n"/>
      <c r="M137" s="120" t="n"/>
      <c r="N137" s="118" t="n"/>
      <c r="O137" s="121" t="n"/>
      <c r="P137" s="121" t="n"/>
      <c r="Q137" s="166">
        <f>TODAY()</f>
        <v/>
      </c>
      <c r="R137" s="165">
        <f>ElencoProdotti[[#This Row],[PRODUZIONE]]+20</f>
        <v/>
      </c>
      <c r="S137" s="165">
        <f>TODAY()</f>
        <v/>
      </c>
      <c r="T137" s="133">
        <f>CONCATENATE(A137," - contiene allergni - prodotto il giorno ",TEXT(Q137,"gg/mm/aaaa"),"")</f>
        <v/>
      </c>
    </row>
    <row r="138" ht="15" customHeight="1" s="155">
      <c r="A138" s="134">
        <f>ric!B138</f>
        <v/>
      </c>
      <c r="B138" s="118">
        <f>ric!C138</f>
        <v/>
      </c>
      <c r="C138" s="125">
        <f>ric!D138</f>
        <v/>
      </c>
      <c r="D138" s="125" t="n"/>
      <c r="E138" s="125" t="n"/>
      <c r="F138" s="125" t="n"/>
      <c r="G138" s="118">
        <f>CONCATENATE(A138, " ",#REF!, " / ",H138)</f>
        <v/>
      </c>
      <c r="H138" s="118" t="n"/>
      <c r="I138" s="119">
        <f>CONCATENATE(M138," - ",J138," - Lotto N° ",K138,"")</f>
        <v/>
      </c>
      <c r="J138" s="118" t="n"/>
      <c r="K138" s="118">
        <f>VLOOKUP(#REF!,Produzione,7,FALSE)</f>
        <v/>
      </c>
      <c r="L138" s="120" t="n"/>
      <c r="M138" s="120" t="n"/>
      <c r="N138" s="118" t="n"/>
      <c r="O138" s="121" t="n"/>
      <c r="P138" s="121" t="n"/>
      <c r="Q138" s="166">
        <f>TODAY()</f>
        <v/>
      </c>
      <c r="R138" s="165">
        <f>ElencoProdotti[[#This Row],[PRODUZIONE]]+20</f>
        <v/>
      </c>
      <c r="S138" s="165">
        <f>TODAY()</f>
        <v/>
      </c>
      <c r="T138" s="133">
        <f>CONCATENATE(A138," - contiene allergni - prodotto il giorno ",TEXT(Q138,"gg/mm/aaaa"),"")</f>
        <v/>
      </c>
    </row>
    <row r="139" ht="15" customHeight="1" s="155">
      <c r="A139" s="134">
        <f>ric!B139</f>
        <v/>
      </c>
      <c r="B139" s="118">
        <f>ric!C139</f>
        <v/>
      </c>
      <c r="C139" s="125">
        <f>ric!D139</f>
        <v/>
      </c>
      <c r="D139" s="125" t="n"/>
      <c r="E139" s="125" t="n"/>
      <c r="F139" s="125" t="n"/>
      <c r="G139" s="118">
        <f>CONCATENATE(A139, " ",#REF!, " / ",H139)</f>
        <v/>
      </c>
      <c r="H139" s="118" t="n"/>
      <c r="I139" s="119">
        <f>CONCATENATE(M139," - ",J139," - Lotto N° ",K139,"")</f>
        <v/>
      </c>
      <c r="J139" s="118" t="n"/>
      <c r="K139" s="118">
        <f>VLOOKUP(#REF!,Produzione,7,FALSE)</f>
        <v/>
      </c>
      <c r="L139" s="120" t="n"/>
      <c r="M139" s="120" t="n"/>
      <c r="N139" s="118" t="n"/>
      <c r="O139" s="121" t="n"/>
      <c r="P139" s="121" t="n"/>
      <c r="Q139" s="166">
        <f>TODAY()</f>
        <v/>
      </c>
      <c r="R139" s="165">
        <f>ElencoProdotti[[#This Row],[PRODUZIONE]]+20</f>
        <v/>
      </c>
      <c r="S139" s="165">
        <f>TODAY()</f>
        <v/>
      </c>
      <c r="T139" s="133">
        <f>CONCATENATE(A139," - contiene allergni - prodotto il giorno ",TEXT(Q139,"gg/mm/aaaa"),"")</f>
        <v/>
      </c>
    </row>
    <row r="140" ht="15" customHeight="1" s="155">
      <c r="A140" s="134">
        <f>ric!B140</f>
        <v/>
      </c>
      <c r="B140" s="118">
        <f>ric!C140</f>
        <v/>
      </c>
      <c r="C140" s="125">
        <f>ric!D140</f>
        <v/>
      </c>
      <c r="D140" s="125" t="n"/>
      <c r="E140" s="125" t="n"/>
      <c r="F140" s="125" t="n"/>
      <c r="G140" s="118">
        <f>CONCATENATE(A140, " ",#REF!, " / ",H140)</f>
        <v/>
      </c>
      <c r="H140" s="118" t="n"/>
      <c r="I140" s="119">
        <f>CONCATENATE(M140," - ",J140," - Lotto N° ",K140,"")</f>
        <v/>
      </c>
      <c r="J140" s="118" t="n"/>
      <c r="K140" s="118">
        <f>VLOOKUP(#REF!,Produzione,7,FALSE)</f>
        <v/>
      </c>
      <c r="L140" s="120" t="n"/>
      <c r="M140" s="120" t="n"/>
      <c r="N140" s="118" t="n"/>
      <c r="O140" s="121" t="n"/>
      <c r="P140" s="121" t="n"/>
      <c r="Q140" s="166">
        <f>TODAY()</f>
        <v/>
      </c>
      <c r="R140" s="165">
        <f>ElencoProdotti[[#This Row],[PRODUZIONE]]+20</f>
        <v/>
      </c>
      <c r="S140" s="165">
        <f>TODAY()</f>
        <v/>
      </c>
      <c r="T140" s="133">
        <f>CONCATENATE(A140," - contiene allergni - prodotto il giorno ",TEXT(Q140,"gg/mm/aaaa"),"")</f>
        <v/>
      </c>
    </row>
    <row r="141" ht="15" customHeight="1" s="155">
      <c r="A141" s="134">
        <f>ric!B141</f>
        <v/>
      </c>
      <c r="B141" s="118">
        <f>ric!C141</f>
        <v/>
      </c>
      <c r="C141" s="125">
        <f>ric!D141</f>
        <v/>
      </c>
      <c r="D141" s="125" t="n"/>
      <c r="E141" s="125" t="n"/>
      <c r="F141" s="125" t="n"/>
      <c r="G141" s="118">
        <f>CONCATENATE(A141, " ",#REF!, " / ",H141)</f>
        <v/>
      </c>
      <c r="H141" s="118" t="n"/>
      <c r="I141" s="119">
        <f>CONCATENATE(M141," - ",J141," - Lotto N° ",K141,"")</f>
        <v/>
      </c>
      <c r="J141" s="118" t="n"/>
      <c r="K141" s="118">
        <f>VLOOKUP(#REF!,Produzione,7,FALSE)</f>
        <v/>
      </c>
      <c r="L141" s="120" t="n"/>
      <c r="M141" s="120" t="n"/>
      <c r="N141" s="118" t="n"/>
      <c r="O141" s="121" t="n"/>
      <c r="P141" s="121" t="n"/>
      <c r="Q141" s="166">
        <f>TODAY()</f>
        <v/>
      </c>
      <c r="R141" s="165">
        <f>ElencoProdotti[[#This Row],[PRODUZIONE]]+20</f>
        <v/>
      </c>
      <c r="S141" s="165">
        <f>TODAY()</f>
        <v/>
      </c>
      <c r="T141" s="133">
        <f>CONCATENATE(A141," - contiene allergni - prodotto il giorno ",TEXT(Q141,"gg/mm/aaaa"),"")</f>
        <v/>
      </c>
    </row>
    <row r="142" ht="15" customHeight="1" s="155">
      <c r="A142" s="134">
        <f>ric!B142</f>
        <v/>
      </c>
      <c r="B142" s="118">
        <f>ric!C142</f>
        <v/>
      </c>
      <c r="C142" s="125">
        <f>ric!D142</f>
        <v/>
      </c>
      <c r="D142" s="125" t="n"/>
      <c r="E142" s="125" t="n"/>
      <c r="F142" s="125" t="n"/>
      <c r="G142" s="118">
        <f>CONCATENATE(A142, " ",#REF!, " / ",H142)</f>
        <v/>
      </c>
      <c r="H142" s="118" t="n"/>
      <c r="I142" s="119">
        <f>CONCATENATE(M142," - ",J142," - Lotto N° ",K142,"")</f>
        <v/>
      </c>
      <c r="J142" s="118" t="n"/>
      <c r="K142" s="118">
        <f>VLOOKUP(#REF!,Produzione,7,FALSE)</f>
        <v/>
      </c>
      <c r="L142" s="120" t="n"/>
      <c r="M142" s="120" t="n"/>
      <c r="N142" s="118" t="n"/>
      <c r="O142" s="121" t="n"/>
      <c r="P142" s="121" t="n"/>
      <c r="Q142" s="166">
        <f>TODAY()</f>
        <v/>
      </c>
      <c r="R142" s="165">
        <f>ElencoProdotti[[#This Row],[PRODUZIONE]]+20</f>
        <v/>
      </c>
      <c r="S142" s="165">
        <f>TODAY()</f>
        <v/>
      </c>
      <c r="T142" s="133">
        <f>CONCATENATE(A142," - contiene allergni - prodotto il giorno ",TEXT(Q142,"gg/mm/aaaa"),"")</f>
        <v/>
      </c>
    </row>
    <row r="143" ht="15" customHeight="1" s="155">
      <c r="A143" s="134">
        <f>ric!B143</f>
        <v/>
      </c>
      <c r="B143" s="118">
        <f>ric!C143</f>
        <v/>
      </c>
      <c r="C143" s="125">
        <f>ric!D143</f>
        <v/>
      </c>
      <c r="D143" s="125" t="n"/>
      <c r="E143" s="125" t="n"/>
      <c r="F143" s="125" t="n"/>
      <c r="G143" s="118">
        <f>CONCATENATE(A143, " ",#REF!, " / ",H143)</f>
        <v/>
      </c>
      <c r="H143" s="118" t="n"/>
      <c r="I143" s="119">
        <f>CONCATENATE(M143," - ",J143," - Lotto N° ",K143,"")</f>
        <v/>
      </c>
      <c r="J143" s="118" t="n"/>
      <c r="K143" s="118">
        <f>VLOOKUP(#REF!,Produzione,7,FALSE)</f>
        <v/>
      </c>
      <c r="L143" s="120" t="n"/>
      <c r="M143" s="120" t="n"/>
      <c r="N143" s="118" t="n"/>
      <c r="O143" s="121" t="n"/>
      <c r="P143" s="121" t="n"/>
      <c r="Q143" s="166">
        <f>TODAY()</f>
        <v/>
      </c>
      <c r="R143" s="165">
        <f>ElencoProdotti[[#This Row],[PRODUZIONE]]+20</f>
        <v/>
      </c>
      <c r="S143" s="165">
        <f>TODAY()</f>
        <v/>
      </c>
      <c r="T143" s="133">
        <f>CONCATENATE(A143," - contiene allergni - prodotto il giorno ",TEXT(Q143,"gg/mm/aaaa"),"")</f>
        <v/>
      </c>
    </row>
    <row r="144" ht="15" customHeight="1" s="155">
      <c r="A144" s="134">
        <f>ric!B144</f>
        <v/>
      </c>
      <c r="B144" s="118">
        <f>ric!C144</f>
        <v/>
      </c>
      <c r="C144" s="125">
        <f>ric!D144</f>
        <v/>
      </c>
      <c r="D144" s="125" t="n"/>
      <c r="E144" s="125" t="n"/>
      <c r="F144" s="125" t="n"/>
      <c r="G144" s="118">
        <f>CONCATENATE(A144, " ",#REF!, " / ",H144)</f>
        <v/>
      </c>
      <c r="H144" s="118" t="n"/>
      <c r="I144" s="119">
        <f>CONCATENATE(M144," - ",J144," - Lotto N° ",K144,"")</f>
        <v/>
      </c>
      <c r="J144" s="118" t="n"/>
      <c r="K144" s="118">
        <f>VLOOKUP(#REF!,Produzione,7,FALSE)</f>
        <v/>
      </c>
      <c r="L144" s="120" t="n"/>
      <c r="M144" s="120" t="n"/>
      <c r="N144" s="118" t="n"/>
      <c r="O144" s="121" t="n"/>
      <c r="P144" s="121" t="n"/>
      <c r="Q144" s="166">
        <f>TODAY()</f>
        <v/>
      </c>
      <c r="R144" s="165">
        <f>ElencoProdotti[[#This Row],[PRODUZIONE]]+20</f>
        <v/>
      </c>
      <c r="S144" s="165">
        <f>TODAY()</f>
        <v/>
      </c>
      <c r="T144" s="133">
        <f>CONCATENATE(A144," - contiene allergni - prodotto il giorno ",TEXT(Q144,"gg/mm/aaaa"),"")</f>
        <v/>
      </c>
    </row>
    <row r="145" ht="15" customHeight="1" s="155">
      <c r="A145" s="134">
        <f>ric!B145</f>
        <v/>
      </c>
      <c r="B145" s="118">
        <f>ric!C145</f>
        <v/>
      </c>
      <c r="C145" s="125">
        <f>ric!D145</f>
        <v/>
      </c>
      <c r="D145" s="125" t="n"/>
      <c r="E145" s="125" t="n"/>
      <c r="F145" s="125" t="n"/>
      <c r="G145" s="118">
        <f>CONCATENATE(A145, " ",#REF!, " / ",H145)</f>
        <v/>
      </c>
      <c r="H145" s="118" t="n"/>
      <c r="I145" s="119">
        <f>CONCATENATE(M145," - ",J145," - Lotto N° ",K145,"")</f>
        <v/>
      </c>
      <c r="J145" s="118" t="n"/>
      <c r="K145" s="118">
        <f>VLOOKUP(#REF!,Produzione,7,FALSE)</f>
        <v/>
      </c>
      <c r="L145" s="120" t="n"/>
      <c r="M145" s="120" t="n"/>
      <c r="N145" s="118" t="n"/>
      <c r="O145" s="121" t="n"/>
      <c r="P145" s="121" t="n"/>
      <c r="Q145" s="166">
        <f>TODAY()</f>
        <v/>
      </c>
      <c r="R145" s="165">
        <f>ElencoProdotti[[#This Row],[PRODUZIONE]]+20</f>
        <v/>
      </c>
      <c r="S145" s="165">
        <f>TODAY()</f>
        <v/>
      </c>
      <c r="T145" s="133">
        <f>CONCATENATE(A145," - contiene allergni - prodotto il giorno ",TEXT(Q145,"gg/mm/aaaa"),"")</f>
        <v/>
      </c>
    </row>
    <row r="146" ht="15" customHeight="1" s="155">
      <c r="A146" s="134">
        <f>ric!B146</f>
        <v/>
      </c>
      <c r="B146" s="118">
        <f>ric!C146</f>
        <v/>
      </c>
      <c r="C146" s="125">
        <f>ric!D146</f>
        <v/>
      </c>
      <c r="D146" s="125" t="n"/>
      <c r="E146" s="125" t="n"/>
      <c r="F146" s="125" t="n"/>
      <c r="G146" s="118">
        <f>CONCATENATE(A146, " ",#REF!, " / ",H146)</f>
        <v/>
      </c>
      <c r="H146" s="118" t="n"/>
      <c r="I146" s="119">
        <f>CONCATENATE(M146," - ",J146," - Lotto N° ",K146,"")</f>
        <v/>
      </c>
      <c r="J146" s="118" t="n"/>
      <c r="K146" s="118">
        <f>VLOOKUP(#REF!,Produzione,7,FALSE)</f>
        <v/>
      </c>
      <c r="L146" s="120" t="n"/>
      <c r="M146" s="120" t="n"/>
      <c r="N146" s="118" t="n"/>
      <c r="O146" s="121" t="n"/>
      <c r="P146" s="121" t="n"/>
      <c r="Q146" s="166">
        <f>TODAY()</f>
        <v/>
      </c>
      <c r="R146" s="165">
        <f>ElencoProdotti[[#This Row],[PRODUZIONE]]+20</f>
        <v/>
      </c>
      <c r="S146" s="165">
        <f>TODAY()</f>
        <v/>
      </c>
      <c r="T146" s="133">
        <f>CONCATENATE(A146," - contiene allergni - prodotto il giorno ",TEXT(Q146,"gg/mm/aaaa"),"")</f>
        <v/>
      </c>
    </row>
    <row r="147" ht="15" customHeight="1" s="155">
      <c r="A147" s="134">
        <f>ric!B147</f>
        <v/>
      </c>
      <c r="B147" s="118">
        <f>ric!C147</f>
        <v/>
      </c>
      <c r="C147" s="125">
        <f>ric!D147</f>
        <v/>
      </c>
      <c r="D147" s="125" t="n"/>
      <c r="E147" s="125" t="n"/>
      <c r="F147" s="125" t="n"/>
      <c r="G147" s="118">
        <f>CONCATENATE(A147, " ",#REF!, " / ",H147)</f>
        <v/>
      </c>
      <c r="H147" s="118" t="n"/>
      <c r="I147" s="119">
        <f>CONCATENATE(M147," - ",J147," - Lotto N° ",K147,"")</f>
        <v/>
      </c>
      <c r="J147" s="118" t="n"/>
      <c r="K147" s="118">
        <f>VLOOKUP(#REF!,Produzione,7,FALSE)</f>
        <v/>
      </c>
      <c r="L147" s="120" t="n"/>
      <c r="M147" s="120" t="n"/>
      <c r="N147" s="118" t="n"/>
      <c r="O147" s="121" t="n"/>
      <c r="P147" s="121" t="n"/>
      <c r="Q147" s="166">
        <f>TODAY()</f>
        <v/>
      </c>
      <c r="R147" s="165">
        <f>ElencoProdotti[[#This Row],[PRODUZIONE]]+20</f>
        <v/>
      </c>
      <c r="S147" s="165">
        <f>TODAY()</f>
        <v/>
      </c>
      <c r="T147" s="133">
        <f>CONCATENATE(A147," - contiene allergni - prodotto il giorno ",TEXT(Q147,"gg/mm/aaaa"),"")</f>
        <v/>
      </c>
    </row>
    <row r="148" ht="15" customHeight="1" s="155">
      <c r="A148" s="134">
        <f>ric!B148</f>
        <v/>
      </c>
      <c r="B148" s="118">
        <f>ric!C148</f>
        <v/>
      </c>
      <c r="C148" s="125">
        <f>ric!D148</f>
        <v/>
      </c>
      <c r="D148" s="125" t="n"/>
      <c r="E148" s="125" t="n"/>
      <c r="F148" s="125" t="n"/>
      <c r="G148" s="118">
        <f>CONCATENATE(A148, " ",#REF!, " / ",H148)</f>
        <v/>
      </c>
      <c r="H148" s="118" t="n"/>
      <c r="I148" s="119">
        <f>CONCATENATE(M148," - ",J148," - Lotto N° ",K148,"")</f>
        <v/>
      </c>
      <c r="J148" s="118" t="n"/>
      <c r="K148" s="118">
        <f>VLOOKUP(#REF!,Produzione,7,FALSE)</f>
        <v/>
      </c>
      <c r="L148" s="120" t="n"/>
      <c r="M148" s="120" t="n"/>
      <c r="N148" s="118" t="n"/>
      <c r="O148" s="121" t="n"/>
      <c r="P148" s="121" t="n"/>
      <c r="Q148" s="166">
        <f>TODAY()</f>
        <v/>
      </c>
      <c r="R148" s="165">
        <f>ElencoProdotti[[#This Row],[PRODUZIONE]]+20</f>
        <v/>
      </c>
      <c r="S148" s="165">
        <f>TODAY()</f>
        <v/>
      </c>
      <c r="T148" s="133">
        <f>CONCATENATE(A148," - contiene allergni - prodotto il giorno ",TEXT(Q148,"gg/mm/aaaa"),"")</f>
        <v/>
      </c>
    </row>
    <row r="149" ht="15" customHeight="1" s="155">
      <c r="A149" s="134">
        <f>ric!B149</f>
        <v/>
      </c>
      <c r="B149" s="118">
        <f>ric!C149</f>
        <v/>
      </c>
      <c r="C149" s="125">
        <f>ric!D149</f>
        <v/>
      </c>
      <c r="D149" s="125" t="n"/>
      <c r="E149" s="125" t="n"/>
      <c r="F149" s="125" t="n"/>
      <c r="G149" s="118">
        <f>CONCATENATE(A149, " ",#REF!, " / ",H149)</f>
        <v/>
      </c>
      <c r="H149" s="118" t="n"/>
      <c r="I149" s="119">
        <f>CONCATENATE(M149," - ",J149," - Lotto N° ",K149,"")</f>
        <v/>
      </c>
      <c r="J149" s="118" t="n"/>
      <c r="K149" s="118">
        <f>VLOOKUP(#REF!,Produzione,7,FALSE)</f>
        <v/>
      </c>
      <c r="L149" s="120" t="n"/>
      <c r="M149" s="120" t="n"/>
      <c r="N149" s="118" t="n"/>
      <c r="O149" s="121" t="n"/>
      <c r="P149" s="121" t="n"/>
      <c r="Q149" s="166">
        <f>TODAY()</f>
        <v/>
      </c>
      <c r="R149" s="165">
        <f>ElencoProdotti[[#This Row],[PRODUZIONE]]+20</f>
        <v/>
      </c>
      <c r="S149" s="165">
        <f>TODAY()</f>
        <v/>
      </c>
      <c r="T149" s="133">
        <f>CONCATENATE(A149," - contiene allergni - prodotto il giorno ",TEXT(Q149,"gg/mm/aaaa"),"")</f>
        <v/>
      </c>
    </row>
    <row r="150" ht="15" customHeight="1" s="155">
      <c r="A150" s="134">
        <f>ric!B150</f>
        <v/>
      </c>
      <c r="B150" s="118">
        <f>ric!C150</f>
        <v/>
      </c>
      <c r="C150" s="125">
        <f>ric!D150</f>
        <v/>
      </c>
      <c r="D150" s="125" t="n"/>
      <c r="E150" s="125" t="n"/>
      <c r="F150" s="125" t="n"/>
      <c r="G150" s="118">
        <f>CONCATENATE(A150, " ",#REF!, " / ",H150)</f>
        <v/>
      </c>
      <c r="H150" s="118" t="n"/>
      <c r="I150" s="119">
        <f>CONCATENATE(M150," - ",J150," - Lotto N° ",K150,"")</f>
        <v/>
      </c>
      <c r="J150" s="118" t="n"/>
      <c r="K150" s="118">
        <f>VLOOKUP(#REF!,Produzione,7,FALSE)</f>
        <v/>
      </c>
      <c r="L150" s="120" t="n"/>
      <c r="M150" s="120" t="n"/>
      <c r="N150" s="118" t="n"/>
      <c r="O150" s="121" t="n"/>
      <c r="P150" s="121" t="n"/>
      <c r="Q150" s="166">
        <f>TODAY()</f>
        <v/>
      </c>
      <c r="R150" s="165">
        <f>ElencoProdotti[[#This Row],[PRODUZIONE]]+20</f>
        <v/>
      </c>
      <c r="S150" s="165">
        <f>TODAY()</f>
        <v/>
      </c>
      <c r="T150" s="133">
        <f>CONCATENATE(A150," - contiene allergni - prodotto il giorno ",TEXT(Q150,"gg/mm/aaaa"),"")</f>
        <v/>
      </c>
    </row>
    <row r="151" ht="15" customHeight="1" s="155">
      <c r="A151" s="134">
        <f>ric!B151</f>
        <v/>
      </c>
      <c r="B151" s="118">
        <f>ric!C151</f>
        <v/>
      </c>
      <c r="C151" s="125">
        <f>ric!D151</f>
        <v/>
      </c>
      <c r="D151" s="125" t="n"/>
      <c r="E151" s="125" t="n"/>
      <c r="F151" s="125" t="n"/>
      <c r="G151" s="118">
        <f>CONCATENATE(A151, " ",#REF!, " / ",H151)</f>
        <v/>
      </c>
      <c r="H151" s="118" t="n"/>
      <c r="I151" s="119">
        <f>CONCATENATE(M151," - ",J151," - Lotto N° ",K151,"")</f>
        <v/>
      </c>
      <c r="J151" s="118" t="n"/>
      <c r="K151" s="118">
        <f>VLOOKUP(#REF!,Produzione,7,FALSE)</f>
        <v/>
      </c>
      <c r="L151" s="120" t="n"/>
      <c r="M151" s="120" t="n"/>
      <c r="N151" s="118" t="n"/>
      <c r="O151" s="121" t="n"/>
      <c r="P151" s="121" t="n"/>
      <c r="Q151" s="166">
        <f>TODAY()</f>
        <v/>
      </c>
      <c r="R151" s="165">
        <f>ElencoProdotti[[#This Row],[PRODUZIONE]]+20</f>
        <v/>
      </c>
      <c r="S151" s="165">
        <f>TODAY()</f>
        <v/>
      </c>
      <c r="T151" s="133">
        <f>CONCATENATE(A151," - contiene allergni - prodotto il giorno ",TEXT(Q151,"gg/mm/aaaa"),"")</f>
        <v/>
      </c>
    </row>
    <row r="152" ht="15" customHeight="1" s="155">
      <c r="A152" s="134">
        <f>ric!B152</f>
        <v/>
      </c>
      <c r="B152" s="118">
        <f>ric!C152</f>
        <v/>
      </c>
      <c r="C152" s="125">
        <f>ric!D152</f>
        <v/>
      </c>
      <c r="D152" s="125" t="n"/>
      <c r="E152" s="125" t="n"/>
      <c r="F152" s="125" t="n"/>
      <c r="G152" s="118">
        <f>CONCATENATE(A152, " ",#REF!, " / ",H152)</f>
        <v/>
      </c>
      <c r="H152" s="118" t="n"/>
      <c r="I152" s="119">
        <f>CONCATENATE(M152," - ",J152," - Lotto N° ",K152,"")</f>
        <v/>
      </c>
      <c r="J152" s="118" t="n"/>
      <c r="K152" s="118">
        <f>VLOOKUP(#REF!,Produzione,7,FALSE)</f>
        <v/>
      </c>
      <c r="L152" s="120" t="n"/>
      <c r="M152" s="120" t="n"/>
      <c r="N152" s="118" t="n"/>
      <c r="O152" s="121" t="n"/>
      <c r="P152" s="121" t="n"/>
      <c r="Q152" s="166">
        <f>TODAY()</f>
        <v/>
      </c>
      <c r="R152" s="165">
        <f>ElencoProdotti[[#This Row],[PRODUZIONE]]+20</f>
        <v/>
      </c>
      <c r="S152" s="165">
        <f>TODAY()</f>
        <v/>
      </c>
      <c r="T152" s="133">
        <f>CONCATENATE(A152," - contiene allergni - prodotto il giorno ",TEXT(Q152,"gg/mm/aaaa"),"")</f>
        <v/>
      </c>
    </row>
    <row r="153" ht="15" customHeight="1" s="155">
      <c r="A153" s="134">
        <f>ric!B153</f>
        <v/>
      </c>
      <c r="B153" s="118">
        <f>ric!C153</f>
        <v/>
      </c>
      <c r="C153" s="125">
        <f>ric!D153</f>
        <v/>
      </c>
      <c r="D153" s="125" t="n"/>
      <c r="E153" s="125" t="n"/>
      <c r="F153" s="125" t="n"/>
      <c r="G153" s="118">
        <f>CONCATENATE(A153, " ",#REF!, " / ",H153)</f>
        <v/>
      </c>
      <c r="H153" s="118" t="n"/>
      <c r="I153" s="119">
        <f>CONCATENATE(M153," - ",J153," - Lotto N° ",K153,"")</f>
        <v/>
      </c>
      <c r="J153" s="118" t="n"/>
      <c r="K153" s="118">
        <f>VLOOKUP(#REF!,Produzione,7,FALSE)</f>
        <v/>
      </c>
      <c r="L153" s="120" t="n"/>
      <c r="M153" s="120" t="n"/>
      <c r="N153" s="118" t="n"/>
      <c r="O153" s="121" t="n"/>
      <c r="P153" s="121" t="n"/>
      <c r="Q153" s="166">
        <f>TODAY()</f>
        <v/>
      </c>
      <c r="R153" s="165">
        <f>ElencoProdotti[[#This Row],[PRODUZIONE]]+20</f>
        <v/>
      </c>
      <c r="S153" s="165">
        <f>TODAY()</f>
        <v/>
      </c>
      <c r="T153" s="133">
        <f>CONCATENATE(A153," - contiene allergni - prodotto il giorno ",TEXT(Q153,"gg/mm/aaaa"),"")</f>
        <v/>
      </c>
    </row>
    <row r="154" ht="15" customHeight="1" s="155">
      <c r="A154" s="134">
        <f>ric!B154</f>
        <v/>
      </c>
      <c r="B154" s="118">
        <f>ric!C154</f>
        <v/>
      </c>
      <c r="C154" s="125">
        <f>ric!D154</f>
        <v/>
      </c>
      <c r="D154" s="125" t="n"/>
      <c r="E154" s="125" t="n"/>
      <c r="F154" s="125" t="n"/>
      <c r="G154" s="118">
        <f>CONCATENATE(A154, " ",#REF!, " / ",H154)</f>
        <v/>
      </c>
      <c r="H154" s="118" t="n"/>
      <c r="I154" s="119">
        <f>CONCATENATE(M154," - ",J154," - Lotto N° ",K154,"")</f>
        <v/>
      </c>
      <c r="J154" s="118" t="n"/>
      <c r="K154" s="118">
        <f>VLOOKUP(#REF!,Produzione,7,FALSE)</f>
        <v/>
      </c>
      <c r="L154" s="120" t="n"/>
      <c r="M154" s="120" t="n"/>
      <c r="N154" s="118" t="n"/>
      <c r="O154" s="121" t="n"/>
      <c r="P154" s="121" t="n"/>
      <c r="Q154" s="166">
        <f>TODAY()</f>
        <v/>
      </c>
      <c r="R154" s="165">
        <f>ElencoProdotti[[#This Row],[PRODUZIONE]]+20</f>
        <v/>
      </c>
      <c r="S154" s="165">
        <f>TODAY()</f>
        <v/>
      </c>
      <c r="T154" s="133">
        <f>CONCATENATE(A154," - contiene allergni - prodotto il giorno ",TEXT(Q154,"gg/mm/aaaa"),"")</f>
        <v/>
      </c>
    </row>
    <row r="155" ht="15" customHeight="1" s="155">
      <c r="A155" s="134">
        <f>ric!B155</f>
        <v/>
      </c>
      <c r="B155" s="118">
        <f>ric!C155</f>
        <v/>
      </c>
      <c r="C155" s="125">
        <f>ric!D155</f>
        <v/>
      </c>
      <c r="D155" s="125" t="n"/>
      <c r="E155" s="125" t="n"/>
      <c r="F155" s="125" t="n"/>
      <c r="G155" s="118">
        <f>CONCATENATE(A155, " ",#REF!, " / ",H155)</f>
        <v/>
      </c>
      <c r="H155" s="118" t="n"/>
      <c r="I155" s="119">
        <f>CONCATENATE(M155," - ",J155," - Lotto N° ",K155,"")</f>
        <v/>
      </c>
      <c r="J155" s="118" t="n"/>
      <c r="K155" s="118">
        <f>VLOOKUP(#REF!,Produzione,7,FALSE)</f>
        <v/>
      </c>
      <c r="L155" s="120" t="n"/>
      <c r="M155" s="120" t="n"/>
      <c r="N155" s="118" t="n"/>
      <c r="O155" s="121" t="n"/>
      <c r="P155" s="121" t="n"/>
      <c r="Q155" s="166">
        <f>TODAY()</f>
        <v/>
      </c>
      <c r="R155" s="165">
        <f>ElencoProdotti[[#This Row],[PRODUZIONE]]+20</f>
        <v/>
      </c>
      <c r="S155" s="165">
        <f>TODAY()</f>
        <v/>
      </c>
      <c r="T155" s="133">
        <f>CONCATENATE(A155," - contiene allergni - prodotto il giorno ",TEXT(Q155,"gg/mm/aaaa"),"")</f>
        <v/>
      </c>
    </row>
    <row r="156" ht="15" customHeight="1" s="155">
      <c r="A156" s="134">
        <f>ric!B156</f>
        <v/>
      </c>
      <c r="B156" s="118">
        <f>ric!C156</f>
        <v/>
      </c>
      <c r="C156" s="125">
        <f>ric!D156</f>
        <v/>
      </c>
      <c r="D156" s="125" t="n"/>
      <c r="E156" s="125" t="n"/>
      <c r="F156" s="125" t="n"/>
      <c r="G156" s="118">
        <f>CONCATENATE(A156, " ",#REF!, " / ",H156)</f>
        <v/>
      </c>
      <c r="H156" s="118" t="n"/>
      <c r="I156" s="119">
        <f>CONCATENATE(M156," - ",J156," - Lotto N° ",K156,"")</f>
        <v/>
      </c>
      <c r="J156" s="118" t="n"/>
      <c r="K156" s="118">
        <f>VLOOKUP(#REF!,Produzione,7,FALSE)</f>
        <v/>
      </c>
      <c r="L156" s="120" t="n"/>
      <c r="M156" s="120" t="n"/>
      <c r="N156" s="118" t="n"/>
      <c r="O156" s="121" t="n"/>
      <c r="P156" s="121" t="n"/>
      <c r="Q156" s="166">
        <f>TODAY()</f>
        <v/>
      </c>
      <c r="R156" s="165">
        <f>ElencoProdotti[[#This Row],[PRODUZIONE]]+20</f>
        <v/>
      </c>
      <c r="S156" s="165">
        <f>TODAY()</f>
        <v/>
      </c>
      <c r="T156" s="133">
        <f>CONCATENATE(A156," - contiene allergni - prodotto il giorno ",TEXT(Q156,"gg/mm/aaaa"),"")</f>
        <v/>
      </c>
    </row>
    <row r="157" ht="15" customHeight="1" s="155">
      <c r="A157" s="134">
        <f>ric!B157</f>
        <v/>
      </c>
      <c r="B157" s="118">
        <f>ric!C157</f>
        <v/>
      </c>
      <c r="C157" s="125">
        <f>ric!D157</f>
        <v/>
      </c>
      <c r="D157" s="125" t="n"/>
      <c r="E157" s="125" t="n"/>
      <c r="F157" s="125" t="n"/>
      <c r="G157" s="118">
        <f>CONCATENATE(A157, " ",#REF!, " / ",H157)</f>
        <v/>
      </c>
      <c r="H157" s="118" t="n"/>
      <c r="I157" s="119">
        <f>CONCATENATE(M157," - ",J157," - Lotto N° ",K157,"")</f>
        <v/>
      </c>
      <c r="J157" s="118" t="n"/>
      <c r="K157" s="118">
        <f>VLOOKUP(#REF!,Produzione,7,FALSE)</f>
        <v/>
      </c>
      <c r="L157" s="120" t="n"/>
      <c r="M157" s="120" t="n"/>
      <c r="N157" s="118" t="n"/>
      <c r="O157" s="121" t="n"/>
      <c r="P157" s="121" t="n"/>
      <c r="Q157" s="166">
        <f>TODAY()</f>
        <v/>
      </c>
      <c r="R157" s="165">
        <f>ElencoProdotti[[#This Row],[PRODUZIONE]]+20</f>
        <v/>
      </c>
      <c r="S157" s="165">
        <f>TODAY()</f>
        <v/>
      </c>
      <c r="T157" s="133">
        <f>CONCATENATE(A157," - contiene allergni - prodotto il giorno ",TEXT(Q157,"gg/mm/aaaa"),"")</f>
        <v/>
      </c>
    </row>
    <row r="158" ht="15" customHeight="1" s="155">
      <c r="A158" s="134">
        <f>ric!B158</f>
        <v/>
      </c>
      <c r="B158" s="118">
        <f>ric!C158</f>
        <v/>
      </c>
      <c r="C158" s="125">
        <f>ric!D158</f>
        <v/>
      </c>
      <c r="D158" s="125" t="n"/>
      <c r="E158" s="125" t="n"/>
      <c r="F158" s="125" t="n"/>
      <c r="G158" s="118">
        <f>CONCATENATE(A158, " ",#REF!, " / ",H158)</f>
        <v/>
      </c>
      <c r="H158" s="118" t="n"/>
      <c r="I158" s="119">
        <f>CONCATENATE(M158," - ",J158," - Lotto N° ",K158,"")</f>
        <v/>
      </c>
      <c r="J158" s="118" t="n"/>
      <c r="K158" s="118">
        <f>VLOOKUP(#REF!,Produzione,7,FALSE)</f>
        <v/>
      </c>
      <c r="L158" s="120" t="n"/>
      <c r="M158" s="120" t="n"/>
      <c r="N158" s="118" t="n"/>
      <c r="O158" s="121" t="n"/>
      <c r="P158" s="121" t="n"/>
      <c r="Q158" s="166">
        <f>TODAY()</f>
        <v/>
      </c>
      <c r="R158" s="165">
        <f>ElencoProdotti[[#This Row],[PRODUZIONE]]+20</f>
        <v/>
      </c>
      <c r="S158" s="165">
        <f>TODAY()</f>
        <v/>
      </c>
      <c r="T158" s="133">
        <f>CONCATENATE(A158," - contiene allergni - prodotto il giorno ",TEXT(Q158,"gg/mm/aaaa"),"")</f>
        <v/>
      </c>
    </row>
    <row r="159" ht="15" customHeight="1" s="155">
      <c r="A159" s="134">
        <f>ric!B159</f>
        <v/>
      </c>
      <c r="B159" s="118">
        <f>ric!C159</f>
        <v/>
      </c>
      <c r="C159" s="125">
        <f>ric!D159</f>
        <v/>
      </c>
      <c r="D159" s="125" t="n"/>
      <c r="E159" s="125" t="n"/>
      <c r="F159" s="125" t="n"/>
      <c r="G159" s="118">
        <f>CONCATENATE(A159, " ",#REF!, " / ",H159)</f>
        <v/>
      </c>
      <c r="H159" s="118" t="n"/>
      <c r="I159" s="119">
        <f>CONCATENATE(M159," - ",J159," - Lotto N° ",K159,"")</f>
        <v/>
      </c>
      <c r="J159" s="118" t="n"/>
      <c r="K159" s="118">
        <f>VLOOKUP(#REF!,Produzione,7,FALSE)</f>
        <v/>
      </c>
      <c r="L159" s="120" t="n"/>
      <c r="M159" s="120" t="n"/>
      <c r="N159" s="118" t="n"/>
      <c r="O159" s="121" t="n"/>
      <c r="P159" s="121" t="n"/>
      <c r="Q159" s="166">
        <f>TODAY()</f>
        <v/>
      </c>
      <c r="R159" s="165">
        <f>ElencoProdotti[[#This Row],[PRODUZIONE]]+20</f>
        <v/>
      </c>
      <c r="S159" s="165">
        <f>TODAY()</f>
        <v/>
      </c>
      <c r="T159" s="133">
        <f>CONCATENATE(A159," - contiene allergni - prodotto il giorno ",TEXT(Q159,"gg/mm/aaaa"),"")</f>
        <v/>
      </c>
    </row>
    <row r="160" ht="15" customHeight="1" s="155">
      <c r="A160" s="134">
        <f>ric!B160</f>
        <v/>
      </c>
      <c r="B160" s="118">
        <f>ric!C160</f>
        <v/>
      </c>
      <c r="C160" s="125">
        <f>ric!D160</f>
        <v/>
      </c>
      <c r="D160" s="125" t="n"/>
      <c r="E160" s="125" t="n"/>
      <c r="F160" s="125" t="n"/>
      <c r="G160" s="118">
        <f>CONCATENATE(A160, " ",#REF!, " / ",H160)</f>
        <v/>
      </c>
      <c r="H160" s="118" t="n"/>
      <c r="I160" s="119">
        <f>CONCATENATE(M160," - ",J160," - Lotto N° ",K160,"")</f>
        <v/>
      </c>
      <c r="J160" s="118" t="n"/>
      <c r="K160" s="118">
        <f>VLOOKUP(#REF!,Produzione,7,FALSE)</f>
        <v/>
      </c>
      <c r="L160" s="120" t="n"/>
      <c r="M160" s="120" t="n"/>
      <c r="N160" s="118" t="n"/>
      <c r="O160" s="121" t="n"/>
      <c r="P160" s="121" t="n"/>
      <c r="Q160" s="166">
        <f>TODAY()</f>
        <v/>
      </c>
      <c r="R160" s="165">
        <f>ElencoProdotti[[#This Row],[PRODUZIONE]]+20</f>
        <v/>
      </c>
      <c r="S160" s="165">
        <f>TODAY()</f>
        <v/>
      </c>
      <c r="T160" s="133">
        <f>CONCATENATE(A160," - contiene allergni - prodotto il giorno ",TEXT(Q160,"gg/mm/aaaa"),"")</f>
        <v/>
      </c>
    </row>
    <row r="161" ht="15" customHeight="1" s="155">
      <c r="A161" s="134">
        <f>ric!B161</f>
        <v/>
      </c>
      <c r="B161" s="118">
        <f>ric!C161</f>
        <v/>
      </c>
      <c r="C161" s="125">
        <f>ric!D161</f>
        <v/>
      </c>
      <c r="D161" s="125" t="n"/>
      <c r="E161" s="125" t="n"/>
      <c r="F161" s="125" t="n"/>
      <c r="G161" s="118">
        <f>CONCATENATE(A161, " ",#REF!, " / ",H161)</f>
        <v/>
      </c>
      <c r="H161" s="118" t="n"/>
      <c r="I161" s="119">
        <f>CONCATENATE(M161," - ",J161," - Lotto N° ",K161,"")</f>
        <v/>
      </c>
      <c r="J161" s="118" t="n"/>
      <c r="K161" s="118">
        <f>VLOOKUP(#REF!,Produzione,7,FALSE)</f>
        <v/>
      </c>
      <c r="L161" s="120" t="n"/>
      <c r="M161" s="120" t="n"/>
      <c r="N161" s="118" t="n"/>
      <c r="O161" s="121" t="n"/>
      <c r="P161" s="121" t="n"/>
      <c r="Q161" s="166">
        <f>TODAY()</f>
        <v/>
      </c>
      <c r="R161" s="165">
        <f>ElencoProdotti[[#This Row],[PRODUZIONE]]+20</f>
        <v/>
      </c>
      <c r="S161" s="165">
        <f>TODAY()</f>
        <v/>
      </c>
      <c r="T161" s="133">
        <f>CONCATENATE(A161," - contiene allergni - prodotto il giorno ",TEXT(Q161,"gg/mm/aaaa"),"")</f>
        <v/>
      </c>
    </row>
    <row r="162" ht="15" customHeight="1" s="155">
      <c r="A162" s="134">
        <f>ric!B162</f>
        <v/>
      </c>
      <c r="B162" s="118">
        <f>ric!C162</f>
        <v/>
      </c>
      <c r="C162" s="125">
        <f>ric!D162</f>
        <v/>
      </c>
      <c r="D162" s="125" t="n"/>
      <c r="E162" s="125" t="n"/>
      <c r="F162" s="125" t="n"/>
      <c r="G162" s="118">
        <f>CONCATENATE(A162, " ",#REF!, " / ",H162)</f>
        <v/>
      </c>
      <c r="H162" s="118" t="n"/>
      <c r="I162" s="119">
        <f>CONCATENATE(M162," - ",J162," - Lotto N° ",K162,"")</f>
        <v/>
      </c>
      <c r="J162" s="118" t="n"/>
      <c r="K162" s="118">
        <f>VLOOKUP(#REF!,Produzione,7,FALSE)</f>
        <v/>
      </c>
      <c r="L162" s="120" t="n"/>
      <c r="M162" s="120" t="n"/>
      <c r="N162" s="118" t="n"/>
      <c r="O162" s="121" t="n"/>
      <c r="P162" s="121" t="n"/>
      <c r="Q162" s="166">
        <f>TODAY()</f>
        <v/>
      </c>
      <c r="R162" s="165">
        <f>ElencoProdotti[[#This Row],[PRODUZIONE]]+20</f>
        <v/>
      </c>
      <c r="S162" s="165">
        <f>TODAY()</f>
        <v/>
      </c>
      <c r="T162" s="133">
        <f>CONCATENATE(A162," - contiene allergni - prodotto il giorno ",TEXT(Q162,"gg/mm/aaaa"),"")</f>
        <v/>
      </c>
    </row>
    <row r="163" ht="15" customHeight="1" s="155">
      <c r="A163" s="135">
        <f>ric!B163</f>
        <v/>
      </c>
      <c r="B163" s="126">
        <f>ric!C163</f>
        <v/>
      </c>
      <c r="C163" s="125">
        <f>ric!D163</f>
        <v/>
      </c>
      <c r="D163" s="125" t="n"/>
      <c r="E163" s="125" t="n"/>
      <c r="F163" s="125" t="n"/>
      <c r="G163" s="126">
        <f>CONCATENATE(A163, " ",#REF!, " / ",H163)</f>
        <v/>
      </c>
      <c r="H163" s="126" t="n"/>
      <c r="I163" s="127">
        <f>CONCATENATE(M163," - ",J163," - Lotto N° ",K163,"")</f>
        <v/>
      </c>
      <c r="J163" s="126" t="n"/>
      <c r="K163" s="126">
        <f>VLOOKUP(#REF!,Produzione,7,FALSE)</f>
        <v/>
      </c>
      <c r="L163" s="128" t="n"/>
      <c r="M163" s="128" t="n"/>
      <c r="N163" s="126" t="n"/>
      <c r="O163" s="129" t="n"/>
      <c r="P163" s="129" t="n"/>
      <c r="Q163" s="167">
        <f>TODAY()</f>
        <v/>
      </c>
      <c r="R163" s="168">
        <f>ElencoProdotti[[#This Row],[PRODUZIONE]]+20</f>
        <v/>
      </c>
      <c r="S163" s="168">
        <f>TODAY()</f>
        <v/>
      </c>
      <c r="T163" s="133">
        <f>CONCATENATE(A163," - contiene allergni - prodotto il giorno ",TEXT(Q163,"gg/mm/aaaa"),"")</f>
        <v/>
      </c>
    </row>
    <row r="164" ht="15" customHeight="1" s="155">
      <c r="A164" s="134">
        <f>ric!B164</f>
        <v/>
      </c>
      <c r="B164" s="118">
        <f>ric!C164</f>
        <v/>
      </c>
      <c r="C164" s="125">
        <f>ric!D164</f>
        <v/>
      </c>
      <c r="D164" s="125" t="n"/>
      <c r="E164" s="125" t="n"/>
      <c r="F164" s="125" t="n"/>
      <c r="G164" s="118">
        <f>CONCATENATE(A164, " ",#REF!, " / ",H164)</f>
        <v/>
      </c>
      <c r="H164" s="118" t="n"/>
      <c r="I164" s="119">
        <f>CONCATENATE(M164," - ",J164," - Lotto N° ",K164,"")</f>
        <v/>
      </c>
      <c r="J164" s="118" t="n"/>
      <c r="K164" s="118">
        <f>VLOOKUP(#REF!,Produzione,7,FALSE)</f>
        <v/>
      </c>
      <c r="L164" s="120" t="n"/>
      <c r="M164" s="120" t="n"/>
      <c r="N164" s="118" t="n"/>
      <c r="O164" s="121" t="n"/>
      <c r="P164" s="121" t="n"/>
      <c r="Q164" s="166">
        <f>TODAY()</f>
        <v/>
      </c>
      <c r="R164" s="165">
        <f>ElencoProdotti[[#This Row],[PRODUZIONE]]+20</f>
        <v/>
      </c>
      <c r="S164" s="165">
        <f>TODAY()</f>
        <v/>
      </c>
      <c r="T164" s="133">
        <f>CONCATENATE(A164," - contiene allergni - prodotto il giorno ",TEXT(Q164,"gg/mm/aaaa"),"")</f>
        <v/>
      </c>
    </row>
    <row r="165" ht="15" customHeight="1" s="155">
      <c r="A165" s="134">
        <f>ric!B165</f>
        <v/>
      </c>
      <c r="B165" s="118">
        <f>ric!C165</f>
        <v/>
      </c>
      <c r="C165" s="125">
        <f>ric!D165</f>
        <v/>
      </c>
      <c r="D165" s="125" t="n"/>
      <c r="E165" s="125" t="n"/>
      <c r="F165" s="125" t="n"/>
      <c r="G165" s="118">
        <f>CONCATENATE(A165, " ",#REF!, " / ",H165)</f>
        <v/>
      </c>
      <c r="H165" s="118" t="n"/>
      <c r="I165" s="119">
        <f>CONCATENATE(M165," - ",J165," - Lotto N° ",K165,"")</f>
        <v/>
      </c>
      <c r="J165" s="118" t="n"/>
      <c r="K165" s="118">
        <f>VLOOKUP(#REF!,Produzione,7,FALSE)</f>
        <v/>
      </c>
      <c r="L165" s="120" t="n"/>
      <c r="M165" s="120" t="n"/>
      <c r="N165" s="118" t="n"/>
      <c r="O165" s="121" t="n"/>
      <c r="P165" s="121" t="n"/>
      <c r="Q165" s="166">
        <f>TODAY()</f>
        <v/>
      </c>
      <c r="R165" s="165">
        <f>ElencoProdotti[[#This Row],[PRODUZIONE]]+20</f>
        <v/>
      </c>
      <c r="S165" s="165">
        <f>TODAY()</f>
        <v/>
      </c>
      <c r="T165" s="133">
        <f>CONCATENATE(A165," - contiene allergni - prodotto il giorno ",TEXT(Q165,"gg/mm/aaaa"),"")</f>
        <v/>
      </c>
    </row>
    <row r="166" ht="15" customHeight="1" s="155">
      <c r="A166" s="134">
        <f>ric!B166</f>
        <v/>
      </c>
      <c r="B166" s="118">
        <f>ric!C166</f>
        <v/>
      </c>
      <c r="C166" s="125">
        <f>ric!D166</f>
        <v/>
      </c>
      <c r="D166" s="125" t="n"/>
      <c r="E166" s="125" t="n"/>
      <c r="F166" s="125" t="n"/>
      <c r="G166" s="118">
        <f>CONCATENATE(A166, " ",#REF!, " / ",H166)</f>
        <v/>
      </c>
      <c r="H166" s="118" t="n"/>
      <c r="I166" s="119">
        <f>CONCATENATE(M166," - ",J166," - Lotto N° ",K166,"")</f>
        <v/>
      </c>
      <c r="J166" s="118" t="n"/>
      <c r="K166" s="118">
        <f>VLOOKUP(#REF!,Produzione,7,FALSE)</f>
        <v/>
      </c>
      <c r="L166" s="120" t="n"/>
      <c r="M166" s="120" t="n"/>
      <c r="N166" s="118" t="n"/>
      <c r="O166" s="121" t="n"/>
      <c r="P166" s="121" t="n"/>
      <c r="Q166" s="166">
        <f>TODAY()</f>
        <v/>
      </c>
      <c r="R166" s="165">
        <f>ElencoProdotti[[#This Row],[PRODUZIONE]]+20</f>
        <v/>
      </c>
      <c r="S166" s="165">
        <f>TODAY()</f>
        <v/>
      </c>
      <c r="T166" s="133">
        <f>CONCATENATE(A166," - contiene allergni - prodotto il giorno ",TEXT(Q166,"gg/mm/aaaa"),"")</f>
        <v/>
      </c>
    </row>
    <row r="167" ht="15" customHeight="1" s="155">
      <c r="A167" s="134">
        <f>ric!B167</f>
        <v/>
      </c>
      <c r="B167" s="118">
        <f>ric!C167</f>
        <v/>
      </c>
      <c r="C167" s="125">
        <f>ric!D167</f>
        <v/>
      </c>
      <c r="D167" s="125" t="n"/>
      <c r="E167" s="125" t="n"/>
      <c r="F167" s="125" t="n"/>
      <c r="G167" s="118">
        <f>CONCATENATE(A167, " ",#REF!, " / ",H167)</f>
        <v/>
      </c>
      <c r="H167" s="118" t="n"/>
      <c r="I167" s="119">
        <f>CONCATENATE(M167," - ",J167," - Lotto N° ",K167,"")</f>
        <v/>
      </c>
      <c r="J167" s="118" t="n"/>
      <c r="K167" s="118">
        <f>VLOOKUP(#REF!,Produzione,7,FALSE)</f>
        <v/>
      </c>
      <c r="L167" s="120" t="n"/>
      <c r="M167" s="120" t="n"/>
      <c r="N167" s="118" t="n"/>
      <c r="O167" s="121" t="n"/>
      <c r="P167" s="121" t="n"/>
      <c r="Q167" s="166">
        <f>TODAY()</f>
        <v/>
      </c>
      <c r="R167" s="165">
        <f>ElencoProdotti[[#This Row],[PRODUZIONE]]+20</f>
        <v/>
      </c>
      <c r="S167" s="165">
        <f>TODAY()</f>
        <v/>
      </c>
      <c r="T167" s="133">
        <f>CONCATENATE(A167," - contiene allergni - prodotto il giorno ",TEXT(Q167,"gg/mm/aaaa"),"")</f>
        <v/>
      </c>
    </row>
    <row r="168" ht="15" customHeight="1" s="155">
      <c r="A168" s="134">
        <f>ric!B168</f>
        <v/>
      </c>
      <c r="B168" s="118">
        <f>ric!C168</f>
        <v/>
      </c>
      <c r="C168" s="125">
        <f>ric!D168</f>
        <v/>
      </c>
      <c r="D168" s="125" t="n"/>
      <c r="E168" s="125" t="n"/>
      <c r="F168" s="125" t="n"/>
      <c r="G168" s="118">
        <f>CONCATENATE(A168, " ",#REF!, " / ",H168)</f>
        <v/>
      </c>
      <c r="H168" s="118" t="n"/>
      <c r="I168" s="119">
        <f>CONCATENATE(M168," - ",J168," - Lotto N° ",K168,"")</f>
        <v/>
      </c>
      <c r="J168" s="118" t="n"/>
      <c r="K168" s="118">
        <f>VLOOKUP(#REF!,Produzione,7,FALSE)</f>
        <v/>
      </c>
      <c r="L168" s="120" t="n"/>
      <c r="M168" s="120" t="n"/>
      <c r="N168" s="118" t="n"/>
      <c r="O168" s="121" t="n"/>
      <c r="P168" s="121" t="n"/>
      <c r="Q168" s="166">
        <f>TODAY()</f>
        <v/>
      </c>
      <c r="R168" s="165">
        <f>ElencoProdotti[[#This Row],[PRODUZIONE]]+20</f>
        <v/>
      </c>
      <c r="S168" s="165">
        <f>TODAY()</f>
        <v/>
      </c>
      <c r="T168" s="133">
        <f>CONCATENATE(A168," - contiene allergni - prodotto il giorno ",TEXT(Q168,"gg/mm/aaaa"),"")</f>
        <v/>
      </c>
    </row>
    <row r="169" ht="15" customHeight="1" s="155">
      <c r="A169" s="134">
        <f>ric!B169</f>
        <v/>
      </c>
      <c r="B169" s="118">
        <f>ric!C169</f>
        <v/>
      </c>
      <c r="C169" s="125">
        <f>ric!D169</f>
        <v/>
      </c>
      <c r="D169" s="125" t="n"/>
      <c r="E169" s="125" t="n"/>
      <c r="F169" s="125" t="n"/>
      <c r="G169" s="118">
        <f>CONCATENATE(A169, " ",#REF!, " / ",H169)</f>
        <v/>
      </c>
      <c r="H169" s="118" t="n"/>
      <c r="I169" s="119">
        <f>CONCATENATE(M169," - ",J169," - Lotto N° ",K169,"")</f>
        <v/>
      </c>
      <c r="J169" s="118" t="n"/>
      <c r="K169" s="118">
        <f>VLOOKUP(#REF!,Produzione,7,FALSE)</f>
        <v/>
      </c>
      <c r="L169" s="120" t="n"/>
      <c r="M169" s="120" t="n"/>
      <c r="N169" s="118" t="n"/>
      <c r="O169" s="121" t="n"/>
      <c r="P169" s="121" t="n"/>
      <c r="Q169" s="166">
        <f>TODAY()</f>
        <v/>
      </c>
      <c r="R169" s="165">
        <f>ElencoProdotti[[#This Row],[PRODUZIONE]]+20</f>
        <v/>
      </c>
      <c r="S169" s="165">
        <f>TODAY()</f>
        <v/>
      </c>
      <c r="T169" s="133">
        <f>CONCATENATE(A169," - contiene allergni - prodotto il giorno ",TEXT(Q169,"gg/mm/aaaa"),"")</f>
        <v/>
      </c>
    </row>
    <row r="170" ht="15" customHeight="1" s="155">
      <c r="A170" s="134">
        <f>ric!B170</f>
        <v/>
      </c>
      <c r="B170" s="118">
        <f>ric!C170</f>
        <v/>
      </c>
      <c r="C170" s="125">
        <f>ric!D170</f>
        <v/>
      </c>
      <c r="D170" s="125" t="n"/>
      <c r="E170" s="125" t="n"/>
      <c r="F170" s="125" t="n"/>
      <c r="G170" s="118">
        <f>CONCATENATE(A170, " ",#REF!, " / ",H170)</f>
        <v/>
      </c>
      <c r="H170" s="118" t="n"/>
      <c r="I170" s="119">
        <f>CONCATENATE(M170," - ",J170," - Lotto N° ",K170,"")</f>
        <v/>
      </c>
      <c r="J170" s="118" t="n"/>
      <c r="K170" s="118">
        <f>VLOOKUP(#REF!,Produzione,7,FALSE)</f>
        <v/>
      </c>
      <c r="L170" s="120" t="n"/>
      <c r="M170" s="120" t="n"/>
      <c r="N170" s="118" t="n"/>
      <c r="O170" s="121" t="n"/>
      <c r="P170" s="121" t="n"/>
      <c r="Q170" s="166">
        <f>TODAY()</f>
        <v/>
      </c>
      <c r="R170" s="165">
        <f>ElencoProdotti[[#This Row],[PRODUZIONE]]+20</f>
        <v/>
      </c>
      <c r="S170" s="165">
        <f>TODAY()</f>
        <v/>
      </c>
      <c r="T170" s="133">
        <f>CONCATENATE(A170," - contiene allergni - prodotto il giorno ",TEXT(Q170,"gg/mm/aaaa"),"")</f>
        <v/>
      </c>
    </row>
    <row r="171" ht="15" customHeight="1" s="155">
      <c r="A171" s="134">
        <f>ric!B171</f>
        <v/>
      </c>
      <c r="B171" s="118">
        <f>ric!C171</f>
        <v/>
      </c>
      <c r="C171" s="125">
        <f>ric!D171</f>
        <v/>
      </c>
      <c r="D171" s="125" t="n"/>
      <c r="E171" s="125" t="n"/>
      <c r="F171" s="125" t="n"/>
      <c r="G171" s="118">
        <f>CONCATENATE(A171, " ",#REF!, " / ",H171)</f>
        <v/>
      </c>
      <c r="H171" s="118" t="n"/>
      <c r="I171" s="119">
        <f>CONCATENATE(M171," - ",J171," - Lotto N° ",K171,"")</f>
        <v/>
      </c>
      <c r="J171" s="118" t="n"/>
      <c r="K171" s="118">
        <f>VLOOKUP(#REF!,Produzione,7,FALSE)</f>
        <v/>
      </c>
      <c r="L171" s="120" t="n"/>
      <c r="M171" s="120" t="n"/>
      <c r="N171" s="118" t="n"/>
      <c r="O171" s="121" t="n"/>
      <c r="P171" s="121" t="n"/>
      <c r="Q171" s="166">
        <f>TODAY()</f>
        <v/>
      </c>
      <c r="R171" s="165">
        <f>ElencoProdotti[[#This Row],[PRODUZIONE]]+20</f>
        <v/>
      </c>
      <c r="S171" s="165">
        <f>TODAY()</f>
        <v/>
      </c>
      <c r="T171" s="133">
        <f>CONCATENATE(A171," - contiene allergni - prodotto il giorno ",TEXT(Q171,"gg/mm/aaaa"),"")</f>
        <v/>
      </c>
    </row>
    <row r="172" ht="15" customHeight="1" s="155">
      <c r="A172" s="134">
        <f>ric!B172</f>
        <v/>
      </c>
      <c r="B172" s="118">
        <f>ric!C172</f>
        <v/>
      </c>
      <c r="C172" s="125">
        <f>ric!D172</f>
        <v/>
      </c>
      <c r="D172" s="125" t="n"/>
      <c r="E172" s="125" t="n"/>
      <c r="F172" s="125" t="n"/>
      <c r="G172" s="118">
        <f>CONCATENATE(A172, " ",#REF!, " / ",H172)</f>
        <v/>
      </c>
      <c r="H172" s="118" t="n"/>
      <c r="I172" s="119">
        <f>CONCATENATE(M172," - ",J172," - Lotto N° ",K172,"")</f>
        <v/>
      </c>
      <c r="J172" s="118" t="n"/>
      <c r="K172" s="118">
        <f>VLOOKUP(#REF!,Produzione,7,FALSE)</f>
        <v/>
      </c>
      <c r="L172" s="120" t="n"/>
      <c r="M172" s="120" t="n"/>
      <c r="N172" s="118" t="n"/>
      <c r="O172" s="121" t="n"/>
      <c r="P172" s="121" t="n"/>
      <c r="Q172" s="166">
        <f>TODAY()</f>
        <v/>
      </c>
      <c r="R172" s="165">
        <f>ElencoProdotti[[#This Row],[PRODUZIONE]]+20</f>
        <v/>
      </c>
      <c r="S172" s="165">
        <f>TODAY()</f>
        <v/>
      </c>
      <c r="T172" s="133">
        <f>CONCATENATE(A172," - contiene allergni - prodotto il giorno ",TEXT(Q172,"gg/mm/aaaa"),"")</f>
        <v/>
      </c>
    </row>
    <row r="173" ht="15" customHeight="1" s="155">
      <c r="A173" s="134">
        <f>ric!B173</f>
        <v/>
      </c>
      <c r="B173" s="118">
        <f>ric!C173</f>
        <v/>
      </c>
      <c r="C173" s="125">
        <f>ric!D173</f>
        <v/>
      </c>
      <c r="D173" s="125" t="n"/>
      <c r="E173" s="125" t="n"/>
      <c r="F173" s="125" t="n"/>
      <c r="G173" s="118">
        <f>CONCATENATE(A173, " ",#REF!, " / ",H173)</f>
        <v/>
      </c>
      <c r="H173" s="118" t="n"/>
      <c r="I173" s="119">
        <f>CONCATENATE(M173," - ",J173," - Lotto N° ",K173,"")</f>
        <v/>
      </c>
      <c r="J173" s="118" t="n"/>
      <c r="K173" s="118">
        <f>VLOOKUP(#REF!,Produzione,7,FALSE)</f>
        <v/>
      </c>
      <c r="L173" s="120" t="n"/>
      <c r="M173" s="120" t="n"/>
      <c r="N173" s="118" t="n"/>
      <c r="O173" s="121" t="n"/>
      <c r="P173" s="121" t="n"/>
      <c r="Q173" s="166">
        <f>TODAY()</f>
        <v/>
      </c>
      <c r="R173" s="165">
        <f>ElencoProdotti[[#This Row],[PRODUZIONE]]+20</f>
        <v/>
      </c>
      <c r="S173" s="165">
        <f>TODAY()</f>
        <v/>
      </c>
      <c r="T173" s="133">
        <f>CONCATENATE(A173," - contiene allergni - prodotto il giorno ",TEXT(Q173,"gg/mm/aaaa"),"")</f>
        <v/>
      </c>
    </row>
    <row r="174" ht="15" customHeight="1" s="155">
      <c r="A174" s="134">
        <f>ric!B174</f>
        <v/>
      </c>
      <c r="B174" s="118">
        <f>ric!C174</f>
        <v/>
      </c>
      <c r="C174" s="125">
        <f>ric!D174</f>
        <v/>
      </c>
      <c r="D174" s="125" t="n"/>
      <c r="E174" s="125" t="n"/>
      <c r="F174" s="125" t="n"/>
      <c r="G174" s="118">
        <f>CONCATENATE(A174, " ",#REF!, " / ",H174)</f>
        <v/>
      </c>
      <c r="H174" s="118" t="n"/>
      <c r="I174" s="119">
        <f>CONCATENATE(M174," - ",J174," - Lotto N° ",K174,"")</f>
        <v/>
      </c>
      <c r="J174" s="118" t="n"/>
      <c r="K174" s="118">
        <f>VLOOKUP(#REF!,Produzione,7,FALSE)</f>
        <v/>
      </c>
      <c r="L174" s="120" t="n"/>
      <c r="M174" s="120" t="n"/>
      <c r="N174" s="118" t="n"/>
      <c r="O174" s="121" t="n"/>
      <c r="P174" s="121" t="n"/>
      <c r="Q174" s="166">
        <f>TODAY()</f>
        <v/>
      </c>
      <c r="R174" s="165">
        <f>ElencoProdotti[[#This Row],[PRODUZIONE]]+20</f>
        <v/>
      </c>
      <c r="S174" s="165">
        <f>TODAY()</f>
        <v/>
      </c>
      <c r="T174" s="133">
        <f>CONCATENATE(A174," - contiene allergni - prodotto il giorno ",TEXT(Q174,"gg/mm/aaaa"),"")</f>
        <v/>
      </c>
    </row>
    <row r="175" ht="15" customHeight="1" s="155">
      <c r="A175" s="134">
        <f>ric!B175</f>
        <v/>
      </c>
      <c r="B175" s="118">
        <f>ric!C175</f>
        <v/>
      </c>
      <c r="C175" s="125">
        <f>ric!D175</f>
        <v/>
      </c>
      <c r="D175" s="125" t="n"/>
      <c r="E175" s="125" t="n"/>
      <c r="F175" s="125" t="n"/>
      <c r="G175" s="118">
        <f>CONCATENATE(A175, " ",#REF!, " / ",H175)</f>
        <v/>
      </c>
      <c r="H175" s="118" t="n"/>
      <c r="I175" s="119">
        <f>CONCATENATE(M175," - ",J175," - Lotto N° ",K175,"")</f>
        <v/>
      </c>
      <c r="J175" s="118" t="n"/>
      <c r="K175" s="118">
        <f>VLOOKUP(#REF!,Produzione,7,FALSE)</f>
        <v/>
      </c>
      <c r="L175" s="120" t="n"/>
      <c r="M175" s="120" t="n"/>
      <c r="N175" s="118" t="n"/>
      <c r="O175" s="121" t="n"/>
      <c r="P175" s="121" t="n"/>
      <c r="Q175" s="166">
        <f>TODAY()</f>
        <v/>
      </c>
      <c r="R175" s="165">
        <f>ElencoProdotti[[#This Row],[PRODUZIONE]]+20</f>
        <v/>
      </c>
      <c r="S175" s="165">
        <f>TODAY()</f>
        <v/>
      </c>
      <c r="T175" s="133">
        <f>CONCATENATE(A175," - contiene allergni - prodotto il giorno ",TEXT(Q175,"gg/mm/aaaa"),"")</f>
        <v/>
      </c>
    </row>
    <row r="176" ht="15" customHeight="1" s="155">
      <c r="A176" s="134">
        <f>ric!B176</f>
        <v/>
      </c>
      <c r="B176" s="118">
        <f>ric!C176</f>
        <v/>
      </c>
      <c r="C176" s="125">
        <f>ric!D176</f>
        <v/>
      </c>
      <c r="D176" s="125" t="n"/>
      <c r="E176" s="125" t="n"/>
      <c r="F176" s="125" t="n"/>
      <c r="G176" s="118">
        <f>CONCATENATE(A176, " ",#REF!, " / ",H176)</f>
        <v/>
      </c>
      <c r="H176" s="118" t="n"/>
      <c r="I176" s="119">
        <f>CONCATENATE(M176," - ",J176," - Lotto N° ",K176,"")</f>
        <v/>
      </c>
      <c r="J176" s="118" t="n"/>
      <c r="K176" s="118">
        <f>VLOOKUP(#REF!,Produzione,7,FALSE)</f>
        <v/>
      </c>
      <c r="L176" s="120" t="n"/>
      <c r="M176" s="120" t="n"/>
      <c r="N176" s="118" t="n"/>
      <c r="O176" s="121" t="n"/>
      <c r="P176" s="121" t="n"/>
      <c r="Q176" s="166">
        <f>TODAY()</f>
        <v/>
      </c>
      <c r="R176" s="165">
        <f>ElencoProdotti[[#This Row],[PRODUZIONE]]+20</f>
        <v/>
      </c>
      <c r="S176" s="165">
        <f>TODAY()</f>
        <v/>
      </c>
      <c r="T176" s="133">
        <f>CONCATENATE(A176," - contiene allergni - prodotto il giorno ",TEXT(Q176,"gg/mm/aaaa"),"")</f>
        <v/>
      </c>
    </row>
    <row r="177" ht="15" customHeight="1" s="155">
      <c r="A177" s="134">
        <f>ric!B177</f>
        <v/>
      </c>
      <c r="B177" s="118">
        <f>ric!C177</f>
        <v/>
      </c>
      <c r="C177" s="125">
        <f>ric!D177</f>
        <v/>
      </c>
      <c r="D177" s="125" t="n"/>
      <c r="E177" s="125" t="n"/>
      <c r="F177" s="125" t="n"/>
      <c r="G177" s="118">
        <f>CONCATENATE(A177, " ",#REF!, " / ",H177)</f>
        <v/>
      </c>
      <c r="H177" s="118" t="n"/>
      <c r="I177" s="119">
        <f>CONCATENATE(M177," - ",J177," - Lotto N° ",K177,"")</f>
        <v/>
      </c>
      <c r="J177" s="118" t="n"/>
      <c r="K177" s="118">
        <f>VLOOKUP(#REF!,Produzione,7,FALSE)</f>
        <v/>
      </c>
      <c r="L177" s="120" t="n"/>
      <c r="M177" s="120" t="n"/>
      <c r="N177" s="118" t="n"/>
      <c r="O177" s="121" t="n"/>
      <c r="P177" s="121" t="n"/>
      <c r="Q177" s="166">
        <f>TODAY()</f>
        <v/>
      </c>
      <c r="R177" s="165">
        <f>ElencoProdotti[[#This Row],[PRODUZIONE]]+20</f>
        <v/>
      </c>
      <c r="S177" s="165">
        <f>TODAY()</f>
        <v/>
      </c>
      <c r="T177" s="133">
        <f>CONCATENATE(A177," - contiene allergni - prodotto il giorno ",TEXT(Q177,"gg/mm/aaaa"),"")</f>
        <v/>
      </c>
    </row>
    <row r="178" ht="15" customHeight="1" s="155">
      <c r="A178" s="134">
        <f>ric!B178</f>
        <v/>
      </c>
      <c r="B178" s="118">
        <f>ric!C178</f>
        <v/>
      </c>
      <c r="C178" s="125">
        <f>ric!D178</f>
        <v/>
      </c>
      <c r="D178" s="125" t="n"/>
      <c r="E178" s="125" t="n"/>
      <c r="F178" s="125" t="n"/>
      <c r="G178" s="118">
        <f>CONCATENATE(A178, " ",#REF!, " / ",H178)</f>
        <v/>
      </c>
      <c r="H178" s="118" t="n"/>
      <c r="I178" s="119">
        <f>CONCATENATE(M178," - ",J178," - Lotto N° ",K178,"")</f>
        <v/>
      </c>
      <c r="J178" s="118" t="n"/>
      <c r="K178" s="118">
        <f>VLOOKUP(#REF!,Produzione,7,FALSE)</f>
        <v/>
      </c>
      <c r="L178" s="120" t="n"/>
      <c r="M178" s="120" t="n"/>
      <c r="N178" s="118" t="n"/>
      <c r="O178" s="121" t="n"/>
      <c r="P178" s="121" t="n"/>
      <c r="Q178" s="166">
        <f>TODAY()</f>
        <v/>
      </c>
      <c r="R178" s="165">
        <f>ElencoProdotti[[#This Row],[PRODUZIONE]]+20</f>
        <v/>
      </c>
      <c r="S178" s="165">
        <f>TODAY()</f>
        <v/>
      </c>
      <c r="T178" s="133">
        <f>CONCATENATE(A178," - contiene allergni - prodotto il giorno ",TEXT(Q178,"gg/mm/aaaa"),"")</f>
        <v/>
      </c>
    </row>
    <row r="179" ht="15" customHeight="1" s="155">
      <c r="A179" s="134">
        <f>ric!B179</f>
        <v/>
      </c>
      <c r="B179" s="118">
        <f>ric!C179</f>
        <v/>
      </c>
      <c r="C179" s="125">
        <f>ric!D179</f>
        <v/>
      </c>
      <c r="D179" s="125" t="n"/>
      <c r="E179" s="125" t="n"/>
      <c r="F179" s="125" t="n"/>
      <c r="G179" s="118">
        <f>CONCATENATE(A179, " ",#REF!, " / ",H179)</f>
        <v/>
      </c>
      <c r="H179" s="118" t="n"/>
      <c r="I179" s="119">
        <f>CONCATENATE(M179," - ",J179," - Lotto N° ",K179,"")</f>
        <v/>
      </c>
      <c r="J179" s="118" t="n"/>
      <c r="K179" s="118">
        <f>VLOOKUP(#REF!,Produzione,7,FALSE)</f>
        <v/>
      </c>
      <c r="L179" s="120" t="n"/>
      <c r="M179" s="120" t="n"/>
      <c r="N179" s="118" t="n"/>
      <c r="O179" s="121" t="n"/>
      <c r="P179" s="121" t="n"/>
      <c r="Q179" s="166">
        <f>TODAY()</f>
        <v/>
      </c>
      <c r="R179" s="165">
        <f>ElencoProdotti[[#This Row],[PRODUZIONE]]+20</f>
        <v/>
      </c>
      <c r="S179" s="165">
        <f>TODAY()</f>
        <v/>
      </c>
      <c r="T179" s="133">
        <f>CONCATENATE(A179," - contiene allergni - prodotto il giorno ",TEXT(Q179,"gg/mm/aaaa"),"")</f>
        <v/>
      </c>
    </row>
    <row r="180" ht="15" customHeight="1" s="155">
      <c r="A180" s="134">
        <f>ric!B180</f>
        <v/>
      </c>
      <c r="B180" s="118">
        <f>ric!C180</f>
        <v/>
      </c>
      <c r="C180" s="125">
        <f>ric!D180</f>
        <v/>
      </c>
      <c r="D180" s="125" t="n"/>
      <c r="E180" s="125" t="n"/>
      <c r="F180" s="125" t="n"/>
      <c r="G180" s="118">
        <f>CONCATENATE(A180, " ",#REF!, " / ",H180)</f>
        <v/>
      </c>
      <c r="H180" s="118" t="n"/>
      <c r="I180" s="119">
        <f>CONCATENATE(M180," - ",J180," - Lotto N° ",K180,"")</f>
        <v/>
      </c>
      <c r="J180" s="118" t="n"/>
      <c r="K180" s="118">
        <f>VLOOKUP(#REF!,Produzione,7,FALSE)</f>
        <v/>
      </c>
      <c r="L180" s="120" t="n"/>
      <c r="M180" s="120" t="n"/>
      <c r="N180" s="118" t="n"/>
      <c r="O180" s="121" t="n"/>
      <c r="P180" s="121" t="n"/>
      <c r="Q180" s="166">
        <f>TODAY()</f>
        <v/>
      </c>
      <c r="R180" s="165">
        <f>ElencoProdotti[[#This Row],[PRODUZIONE]]+20</f>
        <v/>
      </c>
      <c r="S180" s="165">
        <f>TODAY()</f>
        <v/>
      </c>
      <c r="T180" s="133">
        <f>CONCATENATE(A180," - contiene allergni - prodotto il giorno ",TEXT(Q180,"gg/mm/aaaa"),"")</f>
        <v/>
      </c>
    </row>
    <row r="181" ht="15" customHeight="1" s="155">
      <c r="A181" s="134">
        <f>ric!B181</f>
        <v/>
      </c>
      <c r="B181" s="118">
        <f>ric!C181</f>
        <v/>
      </c>
      <c r="C181" s="125">
        <f>ric!D181</f>
        <v/>
      </c>
      <c r="D181" s="125" t="n"/>
      <c r="E181" s="125" t="n"/>
      <c r="F181" s="125" t="n"/>
      <c r="G181" s="118">
        <f>CONCATENATE(A181, " ",#REF!, " / ",H181)</f>
        <v/>
      </c>
      <c r="H181" s="118" t="n"/>
      <c r="I181" s="119">
        <f>CONCATENATE(M181," - ",J181," - Lotto N° ",K181,"")</f>
        <v/>
      </c>
      <c r="J181" s="118" t="n"/>
      <c r="K181" s="118">
        <f>VLOOKUP(#REF!,Produzione,7,FALSE)</f>
        <v/>
      </c>
      <c r="L181" s="120" t="n"/>
      <c r="M181" s="120" t="n"/>
      <c r="N181" s="118" t="n"/>
      <c r="O181" s="121" t="n"/>
      <c r="P181" s="121" t="n"/>
      <c r="Q181" s="166">
        <f>TODAY()</f>
        <v/>
      </c>
      <c r="R181" s="165">
        <f>ElencoProdotti[[#This Row],[PRODUZIONE]]+20</f>
        <v/>
      </c>
      <c r="S181" s="165">
        <f>TODAY()</f>
        <v/>
      </c>
      <c r="T181" s="133">
        <f>CONCATENATE(A181," - contiene allergni - prodotto il giorno ",TEXT(Q181,"gg/mm/aaaa"),"")</f>
        <v/>
      </c>
    </row>
    <row r="182" ht="15" customHeight="1" s="155">
      <c r="A182" s="134">
        <f>ric!B182</f>
        <v/>
      </c>
      <c r="B182" s="118">
        <f>ric!C182</f>
        <v/>
      </c>
      <c r="C182" s="125">
        <f>ric!D182</f>
        <v/>
      </c>
      <c r="D182" s="125" t="n"/>
      <c r="E182" s="125" t="n"/>
      <c r="F182" s="125" t="n"/>
      <c r="G182" s="118">
        <f>CONCATENATE(A182, " ",#REF!, " / ",H182)</f>
        <v/>
      </c>
      <c r="H182" s="118" t="n"/>
      <c r="I182" s="119">
        <f>CONCATENATE(M182," - ",J182," - Lotto N° ",K182,"")</f>
        <v/>
      </c>
      <c r="J182" s="118" t="n"/>
      <c r="K182" s="118">
        <f>VLOOKUP(#REF!,Produzione,7,FALSE)</f>
        <v/>
      </c>
      <c r="L182" s="120" t="n"/>
      <c r="M182" s="120" t="n"/>
      <c r="N182" s="118" t="n"/>
      <c r="O182" s="121" t="n"/>
      <c r="P182" s="121" t="n"/>
      <c r="Q182" s="166">
        <f>TODAY()</f>
        <v/>
      </c>
      <c r="R182" s="165">
        <f>ElencoProdotti[[#This Row],[PRODUZIONE]]+20</f>
        <v/>
      </c>
      <c r="S182" s="165">
        <f>TODAY()</f>
        <v/>
      </c>
      <c r="T182" s="133">
        <f>CONCATENATE(A182," - contiene allergni - prodotto il giorno ",TEXT(Q182,"gg/mm/aaaa"),"")</f>
        <v/>
      </c>
    </row>
    <row r="183" ht="15" customHeight="1" s="155">
      <c r="A183" s="134">
        <f>ric!B183</f>
        <v/>
      </c>
      <c r="B183" s="118">
        <f>ric!C183</f>
        <v/>
      </c>
      <c r="C183" s="125">
        <f>ric!D183</f>
        <v/>
      </c>
      <c r="D183" s="125" t="n"/>
      <c r="E183" s="125" t="n"/>
      <c r="F183" s="125" t="n"/>
      <c r="G183" s="118">
        <f>CONCATENATE(A183, " ",#REF!, " / ",H183)</f>
        <v/>
      </c>
      <c r="H183" s="118" t="n"/>
      <c r="I183" s="119">
        <f>CONCATENATE(M183," - ",J183," - Lotto N° ",K183,"")</f>
        <v/>
      </c>
      <c r="J183" s="118" t="n"/>
      <c r="K183" s="118">
        <f>VLOOKUP(#REF!,Produzione,7,FALSE)</f>
        <v/>
      </c>
      <c r="L183" s="120" t="n"/>
      <c r="M183" s="120" t="n"/>
      <c r="N183" s="118" t="n"/>
      <c r="O183" s="121" t="n"/>
      <c r="P183" s="121" t="n"/>
      <c r="Q183" s="166">
        <f>TODAY()</f>
        <v/>
      </c>
      <c r="R183" s="165">
        <f>ElencoProdotti[[#This Row],[PRODUZIONE]]+20</f>
        <v/>
      </c>
      <c r="S183" s="165">
        <f>TODAY()</f>
        <v/>
      </c>
      <c r="T183" s="133">
        <f>CONCATENATE(A183," - contiene allergni - prodotto il giorno ",TEXT(Q183,"gg/mm/aaaa"),"")</f>
        <v/>
      </c>
    </row>
    <row r="184" ht="15" customHeight="1" s="155">
      <c r="A184" s="134">
        <f>ric!B184</f>
        <v/>
      </c>
      <c r="B184" s="118">
        <f>ric!C184</f>
        <v/>
      </c>
      <c r="C184" s="125">
        <f>ric!D184</f>
        <v/>
      </c>
      <c r="D184" s="125" t="n"/>
      <c r="E184" s="125" t="n"/>
      <c r="F184" s="125" t="n"/>
      <c r="G184" s="118">
        <f>CONCATENATE(A184, " ",#REF!, " / ",H184)</f>
        <v/>
      </c>
      <c r="H184" s="118" t="n"/>
      <c r="I184" s="119">
        <f>CONCATENATE(M184," - ",J184," - Lotto N° ",K184,"")</f>
        <v/>
      </c>
      <c r="J184" s="118" t="n"/>
      <c r="K184" s="118">
        <f>VLOOKUP(#REF!,Produzione,7,FALSE)</f>
        <v/>
      </c>
      <c r="L184" s="120" t="n"/>
      <c r="M184" s="120" t="n"/>
      <c r="N184" s="118" t="n"/>
      <c r="O184" s="121" t="n"/>
      <c r="P184" s="121" t="n"/>
      <c r="Q184" s="166">
        <f>TODAY()</f>
        <v/>
      </c>
      <c r="R184" s="165">
        <f>ElencoProdotti[[#This Row],[PRODUZIONE]]+20</f>
        <v/>
      </c>
      <c r="S184" s="165">
        <f>TODAY()</f>
        <v/>
      </c>
      <c r="T184" s="133">
        <f>CONCATENATE(A184," - contiene allergni - prodotto il giorno ",TEXT(Q184,"gg/mm/aaaa"),"")</f>
        <v/>
      </c>
    </row>
    <row r="185" ht="15" customHeight="1" s="155">
      <c r="A185" s="134">
        <f>ric!B185</f>
        <v/>
      </c>
      <c r="B185" s="118">
        <f>ric!C185</f>
        <v/>
      </c>
      <c r="C185" s="125">
        <f>ric!D185</f>
        <v/>
      </c>
      <c r="D185" s="125" t="n"/>
      <c r="E185" s="125" t="n"/>
      <c r="F185" s="125" t="n"/>
      <c r="G185" s="118">
        <f>CONCATENATE(A185, " ",#REF!, " / ",H185)</f>
        <v/>
      </c>
      <c r="H185" s="118" t="n"/>
      <c r="I185" s="119">
        <f>CONCATENATE(M185," - ",J185," - Lotto N° ",K185,"")</f>
        <v/>
      </c>
      <c r="J185" s="118" t="n"/>
      <c r="K185" s="118">
        <f>VLOOKUP(#REF!,Produzione,7,FALSE)</f>
        <v/>
      </c>
      <c r="L185" s="120" t="n"/>
      <c r="M185" s="120" t="n"/>
      <c r="N185" s="118" t="n"/>
      <c r="O185" s="121" t="n"/>
      <c r="P185" s="121" t="n"/>
      <c r="Q185" s="166">
        <f>TODAY()</f>
        <v/>
      </c>
      <c r="R185" s="165">
        <f>ElencoProdotti[[#This Row],[PRODUZIONE]]+20</f>
        <v/>
      </c>
      <c r="S185" s="165">
        <f>TODAY()</f>
        <v/>
      </c>
      <c r="T185" s="133">
        <f>CONCATENATE(A185," - contiene allergni - prodotto il giorno ",TEXT(Q185,"gg/mm/aaaa"),"")</f>
        <v/>
      </c>
    </row>
    <row r="186" ht="15" customHeight="1" s="155">
      <c r="A186" s="134">
        <f>ric!B186</f>
        <v/>
      </c>
      <c r="B186" s="118">
        <f>ric!C186</f>
        <v/>
      </c>
      <c r="C186" s="125">
        <f>ric!D186</f>
        <v/>
      </c>
      <c r="D186" s="125" t="n"/>
      <c r="E186" s="125" t="n"/>
      <c r="F186" s="125" t="n"/>
      <c r="G186" s="118">
        <f>CONCATENATE(A186, " ",#REF!, " / ",H186)</f>
        <v/>
      </c>
      <c r="H186" s="118" t="n"/>
      <c r="I186" s="119">
        <f>CONCATENATE(M186," - ",J186," - Lotto N° ",K186,"")</f>
        <v/>
      </c>
      <c r="J186" s="118" t="n"/>
      <c r="K186" s="118">
        <f>VLOOKUP(#REF!,Produzione,7,FALSE)</f>
        <v/>
      </c>
      <c r="L186" s="120" t="n"/>
      <c r="M186" s="120" t="n"/>
      <c r="N186" s="118" t="n"/>
      <c r="O186" s="121" t="n"/>
      <c r="P186" s="121" t="n"/>
      <c r="Q186" s="166">
        <f>TODAY()</f>
        <v/>
      </c>
      <c r="R186" s="165">
        <f>ElencoProdotti[[#This Row],[PRODUZIONE]]+20</f>
        <v/>
      </c>
      <c r="S186" s="165">
        <f>TODAY()</f>
        <v/>
      </c>
      <c r="T186" s="133">
        <f>CONCATENATE(A186," - contiene allergni - prodotto il giorno ",TEXT(Q186,"gg/mm/aaaa"),"")</f>
        <v/>
      </c>
    </row>
    <row r="187" ht="15" customHeight="1" s="155">
      <c r="A187" s="134">
        <f>ric!B187</f>
        <v/>
      </c>
      <c r="B187" s="118">
        <f>ric!C187</f>
        <v/>
      </c>
      <c r="C187" s="125">
        <f>ric!D187</f>
        <v/>
      </c>
      <c r="D187" s="125" t="n"/>
      <c r="E187" s="125" t="n"/>
      <c r="F187" s="125" t="n"/>
      <c r="G187" s="118">
        <f>CONCATENATE(A187, " ",#REF!, " / ",H187)</f>
        <v/>
      </c>
      <c r="H187" s="118" t="n"/>
      <c r="I187" s="119">
        <f>CONCATENATE(M187," - ",J187," - Lotto N° ",K187,"")</f>
        <v/>
      </c>
      <c r="J187" s="118" t="n"/>
      <c r="K187" s="118">
        <f>VLOOKUP(#REF!,Produzione,7,FALSE)</f>
        <v/>
      </c>
      <c r="L187" s="120" t="n"/>
      <c r="M187" s="120" t="n"/>
      <c r="N187" s="118" t="n"/>
      <c r="O187" s="121" t="n"/>
      <c r="P187" s="121" t="n"/>
      <c r="Q187" s="166">
        <f>TODAY()</f>
        <v/>
      </c>
      <c r="R187" s="165">
        <f>ElencoProdotti[[#This Row],[PRODUZIONE]]+20</f>
        <v/>
      </c>
      <c r="S187" s="165">
        <f>TODAY()</f>
        <v/>
      </c>
      <c r="T187" s="133">
        <f>CONCATENATE(A187," - contiene allergni - prodotto il giorno ",TEXT(Q187,"gg/mm/aaaa"),"")</f>
        <v/>
      </c>
    </row>
    <row r="188" ht="15" customHeight="1" s="155">
      <c r="A188" s="134">
        <f>ric!B188</f>
        <v/>
      </c>
      <c r="B188" s="118">
        <f>ric!C188</f>
        <v/>
      </c>
      <c r="C188" s="125">
        <f>ric!D188</f>
        <v/>
      </c>
      <c r="D188" s="125" t="n"/>
      <c r="E188" s="125" t="n"/>
      <c r="F188" s="125" t="n"/>
      <c r="G188" s="118">
        <f>CONCATENATE(A188, " ",#REF!, " / ",H188)</f>
        <v/>
      </c>
      <c r="H188" s="118" t="n"/>
      <c r="I188" s="119">
        <f>CONCATENATE(M188," - ",J188," - Lotto N° ",K188,"")</f>
        <v/>
      </c>
      <c r="J188" s="118" t="n"/>
      <c r="K188" s="118">
        <f>VLOOKUP(#REF!,Produzione,7,FALSE)</f>
        <v/>
      </c>
      <c r="L188" s="120" t="n"/>
      <c r="M188" s="120" t="n"/>
      <c r="N188" s="118" t="n"/>
      <c r="O188" s="121" t="n"/>
      <c r="P188" s="121" t="n"/>
      <c r="Q188" s="166">
        <f>TODAY()</f>
        <v/>
      </c>
      <c r="R188" s="165">
        <f>ElencoProdotti[[#This Row],[PRODUZIONE]]+20</f>
        <v/>
      </c>
      <c r="S188" s="165">
        <f>TODAY()</f>
        <v/>
      </c>
      <c r="T188" s="133">
        <f>CONCATENATE(A188," - contiene allergni - prodotto il giorno ",TEXT(Q188,"gg/mm/aaaa"),"")</f>
        <v/>
      </c>
    </row>
    <row r="189" ht="15" customHeight="1" s="155">
      <c r="A189" s="134">
        <f>ric!B189</f>
        <v/>
      </c>
      <c r="B189" s="118">
        <f>ric!C189</f>
        <v/>
      </c>
      <c r="C189" s="125">
        <f>ric!D189</f>
        <v/>
      </c>
      <c r="D189" s="125" t="n"/>
      <c r="E189" s="125" t="n"/>
      <c r="F189" s="125" t="n"/>
      <c r="G189" s="118">
        <f>CONCATENATE(A189, " ",#REF!, " / ",H189)</f>
        <v/>
      </c>
      <c r="H189" s="118" t="n"/>
      <c r="I189" s="119">
        <f>CONCATENATE(M189," - ",J189," - Lotto N° ",K189,"")</f>
        <v/>
      </c>
      <c r="J189" s="118" t="n"/>
      <c r="K189" s="118">
        <f>VLOOKUP(#REF!,Produzione,7,FALSE)</f>
        <v/>
      </c>
      <c r="L189" s="120" t="n"/>
      <c r="M189" s="120" t="n"/>
      <c r="N189" s="118" t="n"/>
      <c r="O189" s="121" t="n"/>
      <c r="P189" s="121" t="n"/>
      <c r="Q189" s="166">
        <f>TODAY()</f>
        <v/>
      </c>
      <c r="R189" s="165">
        <f>ElencoProdotti[[#This Row],[PRODUZIONE]]+20</f>
        <v/>
      </c>
      <c r="S189" s="165">
        <f>TODAY()</f>
        <v/>
      </c>
      <c r="T189" s="133">
        <f>CONCATENATE(A189," - contiene allergni - prodotto il giorno ",TEXT(Q189,"gg/mm/aaaa"),"")</f>
        <v/>
      </c>
    </row>
    <row r="190" ht="15" customHeight="1" s="155">
      <c r="A190" s="134">
        <f>ric!B190</f>
        <v/>
      </c>
      <c r="B190" s="118">
        <f>ric!C190</f>
        <v/>
      </c>
      <c r="C190" s="125">
        <f>ric!D190</f>
        <v/>
      </c>
      <c r="D190" s="125" t="n"/>
      <c r="E190" s="125" t="n"/>
      <c r="F190" s="125" t="n"/>
      <c r="G190" s="118">
        <f>CONCATENATE(A190, " ",#REF!, " / ",H190)</f>
        <v/>
      </c>
      <c r="H190" s="118" t="n"/>
      <c r="I190" s="119">
        <f>CONCATENATE(M190," - ",J190," - Lotto N° ",K190,"")</f>
        <v/>
      </c>
      <c r="J190" s="118" t="n"/>
      <c r="K190" s="118">
        <f>VLOOKUP(#REF!,Produzione,7,FALSE)</f>
        <v/>
      </c>
      <c r="L190" s="120" t="n"/>
      <c r="M190" s="120" t="n"/>
      <c r="N190" s="118" t="n"/>
      <c r="O190" s="121" t="n"/>
      <c r="P190" s="121" t="n"/>
      <c r="Q190" s="166">
        <f>TODAY()</f>
        <v/>
      </c>
      <c r="R190" s="165">
        <f>ElencoProdotti[[#This Row],[PRODUZIONE]]+20</f>
        <v/>
      </c>
      <c r="S190" s="165">
        <f>TODAY()</f>
        <v/>
      </c>
      <c r="T190" s="133">
        <f>CONCATENATE(A190," - contiene allergni - prodotto il giorno ",TEXT(Q190,"gg/mm/aaaa"),"")</f>
        <v/>
      </c>
    </row>
    <row r="191" ht="15" customHeight="1" s="155">
      <c r="A191" s="134">
        <f>ric!B191</f>
        <v/>
      </c>
      <c r="B191" s="118">
        <f>ric!C191</f>
        <v/>
      </c>
      <c r="C191" s="125">
        <f>ric!D191</f>
        <v/>
      </c>
      <c r="D191" s="125" t="n"/>
      <c r="E191" s="125" t="n"/>
      <c r="F191" s="125" t="n"/>
      <c r="G191" s="118">
        <f>CONCATENATE(A191, " ",#REF!, " / ",H191)</f>
        <v/>
      </c>
      <c r="H191" s="118" t="n"/>
      <c r="I191" s="119">
        <f>CONCATENATE(M191," - ",J191," - Lotto N° ",K191,"")</f>
        <v/>
      </c>
      <c r="J191" s="118" t="n"/>
      <c r="K191" s="118">
        <f>VLOOKUP(#REF!,Produzione,7,FALSE)</f>
        <v/>
      </c>
      <c r="L191" s="120" t="n"/>
      <c r="M191" s="120" t="n"/>
      <c r="N191" s="118" t="n"/>
      <c r="O191" s="121" t="n"/>
      <c r="P191" s="121" t="n"/>
      <c r="Q191" s="166">
        <f>TODAY()</f>
        <v/>
      </c>
      <c r="R191" s="165">
        <f>ElencoProdotti[[#This Row],[PRODUZIONE]]+20</f>
        <v/>
      </c>
      <c r="S191" s="165">
        <f>TODAY()</f>
        <v/>
      </c>
      <c r="T191" s="133">
        <f>CONCATENATE(A191," - contiene allergni - prodotto il giorno ",TEXT(Q191,"gg/mm/aaaa"),"")</f>
        <v/>
      </c>
    </row>
    <row r="192" ht="15" customHeight="1" s="155">
      <c r="A192" s="134">
        <f>ric!B192</f>
        <v/>
      </c>
      <c r="B192" s="118">
        <f>ric!C192</f>
        <v/>
      </c>
      <c r="C192" s="125">
        <f>ric!D192</f>
        <v/>
      </c>
      <c r="D192" s="125" t="n"/>
      <c r="E192" s="125" t="n"/>
      <c r="F192" s="125" t="n"/>
      <c r="G192" s="118">
        <f>CONCATENATE(A192, " ",#REF!, " / ",H192)</f>
        <v/>
      </c>
      <c r="H192" s="118" t="n"/>
      <c r="I192" s="119">
        <f>CONCATENATE(M192," - ",J192," - Lotto N° ",K192,"")</f>
        <v/>
      </c>
      <c r="J192" s="118" t="n"/>
      <c r="K192" s="118">
        <f>VLOOKUP(#REF!,Produzione,7,FALSE)</f>
        <v/>
      </c>
      <c r="L192" s="120" t="n"/>
      <c r="M192" s="120" t="n"/>
      <c r="N192" s="118" t="n"/>
      <c r="O192" s="121" t="n"/>
      <c r="P192" s="121" t="n"/>
      <c r="Q192" s="166">
        <f>TODAY()</f>
        <v/>
      </c>
      <c r="R192" s="165">
        <f>ElencoProdotti[[#This Row],[PRODUZIONE]]+20</f>
        <v/>
      </c>
      <c r="S192" s="165">
        <f>TODAY()</f>
        <v/>
      </c>
      <c r="T192" s="133">
        <f>CONCATENATE(A192," - contiene allergni - prodotto il giorno ",TEXT(Q192,"gg/mm/aaaa"),"")</f>
        <v/>
      </c>
    </row>
    <row r="193" ht="15" customHeight="1" s="155">
      <c r="A193" s="134">
        <f>ric!B193</f>
        <v/>
      </c>
      <c r="B193" s="118">
        <f>ric!C193</f>
        <v/>
      </c>
      <c r="C193" s="125">
        <f>ric!D193</f>
        <v/>
      </c>
      <c r="D193" s="125" t="n"/>
      <c r="E193" s="125" t="n"/>
      <c r="F193" s="125" t="n"/>
      <c r="G193" s="118">
        <f>CONCATENATE(A193, " ",#REF!, " / ",H193)</f>
        <v/>
      </c>
      <c r="H193" s="118" t="n"/>
      <c r="I193" s="119">
        <f>CONCATENATE(M193," - ",J193," - Lotto N° ",K193,"")</f>
        <v/>
      </c>
      <c r="J193" s="118" t="n"/>
      <c r="K193" s="118">
        <f>VLOOKUP(#REF!,Produzione,7,FALSE)</f>
        <v/>
      </c>
      <c r="L193" s="120" t="n"/>
      <c r="M193" s="120" t="n"/>
      <c r="N193" s="118" t="n"/>
      <c r="O193" s="121" t="n"/>
      <c r="P193" s="121" t="n"/>
      <c r="Q193" s="166">
        <f>TODAY()</f>
        <v/>
      </c>
      <c r="R193" s="165">
        <f>ElencoProdotti[[#This Row],[PRODUZIONE]]+20</f>
        <v/>
      </c>
      <c r="S193" s="165">
        <f>TODAY()</f>
        <v/>
      </c>
      <c r="T193" s="133">
        <f>CONCATENATE(A193," - contiene allergni - prodotto il giorno ",TEXT(Q193,"gg/mm/aaaa"),"")</f>
        <v/>
      </c>
    </row>
    <row r="194" ht="15" customHeight="1" s="155">
      <c r="A194" s="134">
        <f>ric!B194</f>
        <v/>
      </c>
      <c r="B194" s="118">
        <f>ric!C194</f>
        <v/>
      </c>
      <c r="C194" s="125">
        <f>ric!D194</f>
        <v/>
      </c>
      <c r="D194" s="125" t="n"/>
      <c r="E194" s="125" t="n"/>
      <c r="F194" s="125" t="n"/>
      <c r="G194" s="118">
        <f>CONCATENATE(A194, " ",#REF!, " / ",H194)</f>
        <v/>
      </c>
      <c r="H194" s="118" t="n"/>
      <c r="I194" s="119">
        <f>CONCATENATE(M194," - ",J194," - Lotto N° ",K194,"")</f>
        <v/>
      </c>
      <c r="J194" s="118" t="n"/>
      <c r="K194" s="118">
        <f>VLOOKUP(#REF!,Produzione,7,FALSE)</f>
        <v/>
      </c>
      <c r="L194" s="120" t="n"/>
      <c r="M194" s="120" t="n"/>
      <c r="N194" s="118" t="n"/>
      <c r="O194" s="121" t="n"/>
      <c r="P194" s="121" t="n"/>
      <c r="Q194" s="166">
        <f>TODAY()</f>
        <v/>
      </c>
      <c r="R194" s="165">
        <f>ElencoProdotti[[#This Row],[PRODUZIONE]]+20</f>
        <v/>
      </c>
      <c r="S194" s="165">
        <f>TODAY()</f>
        <v/>
      </c>
      <c r="T194" s="133">
        <f>CONCATENATE(A194," - contiene allergni - prodotto il giorno ",TEXT(Q194,"gg/mm/aaaa"),"")</f>
        <v/>
      </c>
    </row>
    <row r="195" ht="15" customHeight="1" s="155">
      <c r="A195" s="134">
        <f>ric!B195</f>
        <v/>
      </c>
      <c r="B195" s="118">
        <f>ric!C195</f>
        <v/>
      </c>
      <c r="C195" s="125">
        <f>ric!D195</f>
        <v/>
      </c>
      <c r="D195" s="125" t="n"/>
      <c r="E195" s="125" t="n"/>
      <c r="F195" s="125" t="n"/>
      <c r="G195" s="118">
        <f>CONCATENATE(A195, " ",#REF!, " / ",H195)</f>
        <v/>
      </c>
      <c r="H195" s="118" t="n"/>
      <c r="I195" s="119">
        <f>CONCATENATE(M195," - ",J195," - Lotto N° ",K195,"")</f>
        <v/>
      </c>
      <c r="J195" s="118" t="n"/>
      <c r="K195" s="118">
        <f>VLOOKUP(#REF!,Produzione,7,FALSE)</f>
        <v/>
      </c>
      <c r="L195" s="120" t="n"/>
      <c r="M195" s="120" t="n"/>
      <c r="N195" s="118" t="n"/>
      <c r="O195" s="121" t="n"/>
      <c r="P195" s="121" t="n"/>
      <c r="Q195" s="166">
        <f>TODAY()</f>
        <v/>
      </c>
      <c r="R195" s="165">
        <f>ElencoProdotti[[#This Row],[PRODUZIONE]]+20</f>
        <v/>
      </c>
      <c r="S195" s="165">
        <f>TODAY()</f>
        <v/>
      </c>
      <c r="T195" s="133">
        <f>CONCATENATE(A195," - contiene allergni - prodotto il giorno ",TEXT(Q195,"gg/mm/aaaa"),"")</f>
        <v/>
      </c>
    </row>
    <row r="196" ht="15" customHeight="1" s="155">
      <c r="A196" s="134">
        <f>ric!B196</f>
        <v/>
      </c>
      <c r="B196" s="118">
        <f>ric!C196</f>
        <v/>
      </c>
      <c r="C196" s="125">
        <f>ric!D196</f>
        <v/>
      </c>
      <c r="D196" s="125" t="n"/>
      <c r="E196" s="125" t="n"/>
      <c r="F196" s="125" t="n"/>
      <c r="G196" s="118">
        <f>CONCATENATE(A196, " ",#REF!, " / ",H196)</f>
        <v/>
      </c>
      <c r="H196" s="118" t="n"/>
      <c r="I196" s="119">
        <f>CONCATENATE(M196," - ",J196," - Lotto N° ",K196,"")</f>
        <v/>
      </c>
      <c r="J196" s="118" t="n"/>
      <c r="K196" s="118">
        <f>VLOOKUP(#REF!,Produzione,7,FALSE)</f>
        <v/>
      </c>
      <c r="L196" s="120" t="n"/>
      <c r="M196" s="120" t="n"/>
      <c r="N196" s="118" t="n"/>
      <c r="O196" s="121" t="n"/>
      <c r="P196" s="121" t="n"/>
      <c r="Q196" s="166">
        <f>TODAY()</f>
        <v/>
      </c>
      <c r="R196" s="165">
        <f>ElencoProdotti[[#This Row],[PRODUZIONE]]+20</f>
        <v/>
      </c>
      <c r="S196" s="165">
        <f>TODAY()</f>
        <v/>
      </c>
      <c r="T196" s="133">
        <f>CONCATENATE(A196," - contiene allergni - prodotto il giorno ",TEXT(Q196,"gg/mm/aaaa"),"")</f>
        <v/>
      </c>
    </row>
    <row r="197" ht="15" customHeight="1" s="155">
      <c r="A197" s="134">
        <f>ric!B197</f>
        <v/>
      </c>
      <c r="B197" s="118">
        <f>ric!C197</f>
        <v/>
      </c>
      <c r="C197" s="125">
        <f>ric!D197</f>
        <v/>
      </c>
      <c r="D197" s="125" t="n"/>
      <c r="E197" s="125" t="n"/>
      <c r="F197" s="125" t="n"/>
      <c r="G197" s="118">
        <f>CONCATENATE(A197, " ",#REF!, " / ",H197)</f>
        <v/>
      </c>
      <c r="H197" s="118" t="n"/>
      <c r="I197" s="119">
        <f>CONCATENATE(M197," - ",J197," - Lotto N° ",K197,"")</f>
        <v/>
      </c>
      <c r="J197" s="118" t="n"/>
      <c r="K197" s="118">
        <f>VLOOKUP(#REF!,Produzione,7,FALSE)</f>
        <v/>
      </c>
      <c r="L197" s="120" t="n"/>
      <c r="M197" s="120" t="n"/>
      <c r="N197" s="118" t="n"/>
      <c r="O197" s="121" t="n"/>
      <c r="P197" s="121" t="n"/>
      <c r="Q197" s="166">
        <f>TODAY()</f>
        <v/>
      </c>
      <c r="R197" s="165">
        <f>ElencoProdotti[[#This Row],[PRODUZIONE]]+20</f>
        <v/>
      </c>
      <c r="S197" s="165">
        <f>TODAY()</f>
        <v/>
      </c>
      <c r="T197" s="133">
        <f>CONCATENATE(A197," - contiene allergni - prodotto il giorno ",TEXT(Q197,"gg/mm/aaaa"),"")</f>
        <v/>
      </c>
    </row>
    <row r="198" ht="15" customHeight="1" s="155">
      <c r="A198" s="134">
        <f>ric!B198</f>
        <v/>
      </c>
      <c r="B198" s="118">
        <f>ric!C198</f>
        <v/>
      </c>
      <c r="C198" s="125">
        <f>ric!D198</f>
        <v/>
      </c>
      <c r="D198" s="125" t="n"/>
      <c r="E198" s="125" t="n"/>
      <c r="F198" s="125" t="n"/>
      <c r="G198" s="118">
        <f>CONCATENATE(A198, " ",#REF!, " / ",H198)</f>
        <v/>
      </c>
      <c r="H198" s="118" t="n"/>
      <c r="I198" s="119">
        <f>CONCATENATE(M198," - ",J198," - Lotto N° ",K198,"")</f>
        <v/>
      </c>
      <c r="J198" s="118" t="n"/>
      <c r="K198" s="118">
        <f>VLOOKUP(#REF!,Produzione,7,FALSE)</f>
        <v/>
      </c>
      <c r="L198" s="120" t="n"/>
      <c r="M198" s="120" t="n"/>
      <c r="N198" s="118" t="n"/>
      <c r="O198" s="121" t="n"/>
      <c r="P198" s="121" t="n"/>
      <c r="Q198" s="166">
        <f>TODAY()</f>
        <v/>
      </c>
      <c r="R198" s="165">
        <f>ElencoProdotti[[#This Row],[PRODUZIONE]]+20</f>
        <v/>
      </c>
      <c r="S198" s="165">
        <f>TODAY()</f>
        <v/>
      </c>
      <c r="T198" s="133">
        <f>CONCATENATE(A198," - contiene allergni - prodotto il giorno ",TEXT(Q198,"gg/mm/aaaa"),"")</f>
        <v/>
      </c>
    </row>
    <row r="199" ht="15" customHeight="1" s="155">
      <c r="A199" s="134">
        <f>ric!B199</f>
        <v/>
      </c>
      <c r="B199" s="118">
        <f>ric!C199</f>
        <v/>
      </c>
      <c r="C199" s="125">
        <f>ric!D199</f>
        <v/>
      </c>
      <c r="D199" s="125" t="n"/>
      <c r="E199" s="125" t="n"/>
      <c r="F199" s="125" t="n"/>
      <c r="G199" s="118">
        <f>CONCATENATE(A199, " ",#REF!, " / ",H199)</f>
        <v/>
      </c>
      <c r="H199" s="118" t="n"/>
      <c r="I199" s="119">
        <f>CONCATENATE(M199," - ",J199," - Lotto N° ",K199,"")</f>
        <v/>
      </c>
      <c r="J199" s="118" t="n"/>
      <c r="K199" s="118">
        <f>VLOOKUP(#REF!,Produzione,7,FALSE)</f>
        <v/>
      </c>
      <c r="L199" s="120" t="n"/>
      <c r="M199" s="120" t="n"/>
      <c r="N199" s="118" t="n"/>
      <c r="O199" s="121" t="n"/>
      <c r="P199" s="121" t="n"/>
      <c r="Q199" s="166">
        <f>TODAY()</f>
        <v/>
      </c>
      <c r="R199" s="165">
        <f>ElencoProdotti[[#This Row],[PRODUZIONE]]+20</f>
        <v/>
      </c>
      <c r="S199" s="165">
        <f>TODAY()</f>
        <v/>
      </c>
      <c r="T199" s="133">
        <f>CONCATENATE(A199," - contiene allergni - prodotto il giorno ",TEXT(Q199,"gg/mm/aaaa"),"")</f>
        <v/>
      </c>
    </row>
    <row r="200" ht="15" customHeight="1" s="155">
      <c r="A200" s="134">
        <f>ric!B200</f>
        <v/>
      </c>
      <c r="B200" s="118">
        <f>ric!C200</f>
        <v/>
      </c>
      <c r="C200" s="125">
        <f>ric!D200</f>
        <v/>
      </c>
      <c r="D200" s="125" t="n"/>
      <c r="E200" s="125" t="n"/>
      <c r="F200" s="125" t="n"/>
      <c r="G200" s="118">
        <f>CONCATENATE(A200, " ",#REF!, " / ",H200)</f>
        <v/>
      </c>
      <c r="H200" s="118" t="n"/>
      <c r="I200" s="119">
        <f>CONCATENATE(M200," - ",J200," - Lotto N° ",K200,"")</f>
        <v/>
      </c>
      <c r="J200" s="118" t="n"/>
      <c r="K200" s="118">
        <f>VLOOKUP(#REF!,Produzione,7,FALSE)</f>
        <v/>
      </c>
      <c r="L200" s="120" t="n"/>
      <c r="M200" s="120" t="n"/>
      <c r="N200" s="118" t="n"/>
      <c r="O200" s="121" t="n"/>
      <c r="P200" s="121" t="n"/>
      <c r="Q200" s="166">
        <f>TODAY()</f>
        <v/>
      </c>
      <c r="R200" s="165">
        <f>ElencoProdotti[[#This Row],[PRODUZIONE]]+20</f>
        <v/>
      </c>
      <c r="S200" s="165">
        <f>TODAY()</f>
        <v/>
      </c>
      <c r="T200" s="133">
        <f>CONCATENATE(A200," - contiene allergni - prodotto il giorno ",TEXT(Q200,"gg/mm/aaaa"),"")</f>
        <v/>
      </c>
    </row>
    <row r="201" ht="15" customHeight="1" s="155">
      <c r="A201" s="134">
        <f>ric!B201</f>
        <v/>
      </c>
      <c r="B201" s="118">
        <f>ric!C201</f>
        <v/>
      </c>
      <c r="C201" s="125">
        <f>ric!D201</f>
        <v/>
      </c>
      <c r="D201" s="125" t="n"/>
      <c r="E201" s="125" t="n"/>
      <c r="F201" s="125" t="n"/>
      <c r="G201" s="118">
        <f>CONCATENATE(A201, " ",#REF!, " / ",H201)</f>
        <v/>
      </c>
      <c r="H201" s="118" t="n"/>
      <c r="I201" s="119">
        <f>CONCATENATE(M201," - ",J201," - Lotto N° ",K201,"")</f>
        <v/>
      </c>
      <c r="J201" s="118" t="n"/>
      <c r="K201" s="118">
        <f>VLOOKUP(#REF!,Produzione,7,FALSE)</f>
        <v/>
      </c>
      <c r="L201" s="120" t="n"/>
      <c r="M201" s="120" t="n"/>
      <c r="N201" s="118" t="n"/>
      <c r="O201" s="121" t="n"/>
      <c r="P201" s="121" t="n"/>
      <c r="Q201" s="166">
        <f>TODAY()</f>
        <v/>
      </c>
      <c r="R201" s="165">
        <f>ElencoProdotti[[#This Row],[PRODUZIONE]]+20</f>
        <v/>
      </c>
      <c r="S201" s="165">
        <f>TODAY()</f>
        <v/>
      </c>
      <c r="T201" s="133">
        <f>CONCATENATE(A201," - contiene allergni - prodotto il giorno ",TEXT(Q201,"gg/mm/aaaa"),"")</f>
        <v/>
      </c>
    </row>
    <row r="202" ht="15" customHeight="1" s="155">
      <c r="A202" s="134">
        <f>ric!B202</f>
        <v/>
      </c>
      <c r="B202" s="118">
        <f>ric!C202</f>
        <v/>
      </c>
      <c r="C202" s="125">
        <f>ric!D202</f>
        <v/>
      </c>
      <c r="D202" s="125" t="n"/>
      <c r="E202" s="125" t="n"/>
      <c r="F202" s="125" t="n"/>
      <c r="G202" s="118">
        <f>CONCATENATE(A202, " ",#REF!, " / ",H202)</f>
        <v/>
      </c>
      <c r="H202" s="118" t="n"/>
      <c r="I202" s="119">
        <f>CONCATENATE(M202," - ",J202," - Lotto N° ",K202,"")</f>
        <v/>
      </c>
      <c r="J202" s="118" t="n"/>
      <c r="K202" s="118">
        <f>VLOOKUP(#REF!,Produzione,7,FALSE)</f>
        <v/>
      </c>
      <c r="L202" s="120" t="n"/>
      <c r="M202" s="120" t="n"/>
      <c r="N202" s="118" t="n"/>
      <c r="O202" s="121" t="n"/>
      <c r="P202" s="121" t="n"/>
      <c r="Q202" s="166">
        <f>TODAY()</f>
        <v/>
      </c>
      <c r="R202" s="165">
        <f>ElencoProdotti[[#This Row],[PRODUZIONE]]+20</f>
        <v/>
      </c>
      <c r="S202" s="165">
        <f>TODAY()</f>
        <v/>
      </c>
      <c r="T202" s="133">
        <f>CONCATENATE(A202," - contiene allergni - prodotto il giorno ",TEXT(Q202,"gg/mm/aaaa"),"")</f>
        <v/>
      </c>
    </row>
    <row r="203" ht="15" customHeight="1" s="155">
      <c r="A203" s="134">
        <f>ric!B203</f>
        <v/>
      </c>
      <c r="B203" s="118">
        <f>ric!C203</f>
        <v/>
      </c>
      <c r="C203" s="125">
        <f>ric!D203</f>
        <v/>
      </c>
      <c r="D203" s="125" t="n"/>
      <c r="E203" s="125" t="n"/>
      <c r="F203" s="125" t="n"/>
      <c r="G203" s="118">
        <f>CONCATENATE(A203, " ",#REF!, " / ",H203)</f>
        <v/>
      </c>
      <c r="H203" s="118" t="n"/>
      <c r="I203" s="119">
        <f>CONCATENATE(M203," - ",J203," - Lotto N° ",K203,"")</f>
        <v/>
      </c>
      <c r="J203" s="118" t="n"/>
      <c r="K203" s="118">
        <f>VLOOKUP(#REF!,Produzione,7,FALSE)</f>
        <v/>
      </c>
      <c r="L203" s="120" t="n"/>
      <c r="M203" s="120" t="n"/>
      <c r="N203" s="118" t="n"/>
      <c r="O203" s="121" t="n"/>
      <c r="P203" s="121" t="n"/>
      <c r="Q203" s="166">
        <f>TODAY()</f>
        <v/>
      </c>
      <c r="R203" s="165">
        <f>ElencoProdotti[[#This Row],[PRODUZIONE]]+20</f>
        <v/>
      </c>
      <c r="S203" s="165">
        <f>TODAY()</f>
        <v/>
      </c>
      <c r="T203" s="133">
        <f>CONCATENATE(A203," - contiene allergni - prodotto il giorno ",TEXT(Q203,"gg/mm/aaaa"),"")</f>
        <v/>
      </c>
    </row>
    <row r="204" ht="15" customHeight="1" s="155">
      <c r="A204" s="134">
        <f>ric!B204</f>
        <v/>
      </c>
      <c r="B204" s="118">
        <f>ric!C204</f>
        <v/>
      </c>
      <c r="C204" s="125">
        <f>ric!D204</f>
        <v/>
      </c>
      <c r="D204" s="125" t="n"/>
      <c r="E204" s="125" t="n"/>
      <c r="F204" s="125" t="n"/>
      <c r="G204" s="118">
        <f>CONCATENATE(A204, " ",#REF!, " / ",H204)</f>
        <v/>
      </c>
      <c r="H204" s="118" t="n"/>
      <c r="I204" s="119">
        <f>CONCATENATE(M204," - ",J204," - Lotto N° ",K204,"")</f>
        <v/>
      </c>
      <c r="J204" s="118" t="n"/>
      <c r="K204" s="118">
        <f>VLOOKUP(#REF!,Produzione,7,FALSE)</f>
        <v/>
      </c>
      <c r="L204" s="120" t="n"/>
      <c r="M204" s="120" t="n"/>
      <c r="N204" s="118" t="n"/>
      <c r="O204" s="121" t="n"/>
      <c r="P204" s="121" t="n"/>
      <c r="Q204" s="166">
        <f>TODAY()</f>
        <v/>
      </c>
      <c r="R204" s="165">
        <f>ElencoProdotti[[#This Row],[PRODUZIONE]]+20</f>
        <v/>
      </c>
      <c r="S204" s="165">
        <f>TODAY()</f>
        <v/>
      </c>
      <c r="T204" s="133">
        <f>CONCATENATE(A204," - contiene allergni - prodotto il giorno ",TEXT(Q204,"gg/mm/aaaa"),"")</f>
        <v/>
      </c>
    </row>
    <row r="205" ht="15" customHeight="1" s="155">
      <c r="A205" s="134">
        <f>ric!B205</f>
        <v/>
      </c>
      <c r="B205" s="118">
        <f>ric!C205</f>
        <v/>
      </c>
      <c r="C205" s="125">
        <f>ric!D205</f>
        <v/>
      </c>
      <c r="D205" s="125" t="n"/>
      <c r="E205" s="125" t="n"/>
      <c r="F205" s="125" t="n"/>
      <c r="G205" s="118">
        <f>CONCATENATE(A205, " ",#REF!, " / ",H205)</f>
        <v/>
      </c>
      <c r="H205" s="118" t="n"/>
      <c r="I205" s="119">
        <f>CONCATENATE(M205," - ",J205," - Lotto N° ",K205,"")</f>
        <v/>
      </c>
      <c r="J205" s="118" t="n"/>
      <c r="K205" s="118">
        <f>VLOOKUP(#REF!,Produzione,7,FALSE)</f>
        <v/>
      </c>
      <c r="L205" s="120" t="n"/>
      <c r="M205" s="120" t="n"/>
      <c r="N205" s="118" t="n"/>
      <c r="O205" s="121" t="n"/>
      <c r="P205" s="121" t="n"/>
      <c r="Q205" s="166">
        <f>TODAY()</f>
        <v/>
      </c>
      <c r="R205" s="165">
        <f>ElencoProdotti[[#This Row],[PRODUZIONE]]+20</f>
        <v/>
      </c>
      <c r="S205" s="165">
        <f>TODAY()</f>
        <v/>
      </c>
      <c r="T205" s="133">
        <f>CONCATENATE(A205," - contiene allergni - prodotto il giorno ",TEXT(Q205,"gg/mm/aaaa"),"")</f>
        <v/>
      </c>
    </row>
    <row r="206" ht="15" customHeight="1" s="155">
      <c r="A206" s="134">
        <f>ric!B206</f>
        <v/>
      </c>
      <c r="B206" s="118">
        <f>ric!C206</f>
        <v/>
      </c>
      <c r="C206" s="125">
        <f>ric!D206</f>
        <v/>
      </c>
      <c r="D206" s="125" t="n"/>
      <c r="E206" s="125" t="n"/>
      <c r="F206" s="125" t="n"/>
      <c r="G206" s="118">
        <f>CONCATENATE(A206, " ",#REF!, " / ",H206)</f>
        <v/>
      </c>
      <c r="H206" s="118" t="n"/>
      <c r="I206" s="119">
        <f>CONCATENATE(M206," - ",J206," - Lotto N° ",K206,"")</f>
        <v/>
      </c>
      <c r="J206" s="118" t="n"/>
      <c r="K206" s="118">
        <f>VLOOKUP(#REF!,Produzione,7,FALSE)</f>
        <v/>
      </c>
      <c r="L206" s="120" t="n"/>
      <c r="M206" s="120" t="n"/>
      <c r="N206" s="118" t="n"/>
      <c r="O206" s="121" t="n"/>
      <c r="P206" s="121" t="n"/>
      <c r="Q206" s="166">
        <f>TODAY()</f>
        <v/>
      </c>
      <c r="R206" s="165">
        <f>ElencoProdotti[[#This Row],[PRODUZIONE]]+20</f>
        <v/>
      </c>
      <c r="S206" s="165">
        <f>TODAY()</f>
        <v/>
      </c>
      <c r="T206" s="133">
        <f>CONCATENATE(A206," - contiene allergni - prodotto il giorno ",TEXT(Q206,"gg/mm/aaaa"),"")</f>
        <v/>
      </c>
    </row>
    <row r="207" ht="15" customHeight="1" s="155">
      <c r="A207" s="134">
        <f>ric!B207</f>
        <v/>
      </c>
      <c r="B207" s="118">
        <f>ric!C207</f>
        <v/>
      </c>
      <c r="C207" s="125">
        <f>ric!D207</f>
        <v/>
      </c>
      <c r="D207" s="125" t="n"/>
      <c r="E207" s="125" t="n"/>
      <c r="F207" s="125" t="n"/>
      <c r="G207" s="118">
        <f>CONCATENATE(A207, " ",#REF!, " / ",H207)</f>
        <v/>
      </c>
      <c r="H207" s="118" t="n"/>
      <c r="I207" s="119">
        <f>CONCATENATE(M207," - ",J207," - Lotto N° ",K207,"")</f>
        <v/>
      </c>
      <c r="J207" s="118" t="n"/>
      <c r="K207" s="118">
        <f>VLOOKUP(#REF!,Produzione,7,FALSE)</f>
        <v/>
      </c>
      <c r="L207" s="120" t="n"/>
      <c r="M207" s="120" t="n"/>
      <c r="N207" s="118" t="n"/>
      <c r="O207" s="121" t="n"/>
      <c r="P207" s="121" t="n"/>
      <c r="Q207" s="166">
        <f>TODAY()</f>
        <v/>
      </c>
      <c r="R207" s="165">
        <f>ElencoProdotti[[#This Row],[PRODUZIONE]]+20</f>
        <v/>
      </c>
      <c r="S207" s="165">
        <f>TODAY()</f>
        <v/>
      </c>
      <c r="T207" s="133">
        <f>CONCATENATE(A207," - contiene allergni - prodotto il giorno ",TEXT(Q207,"gg/mm/aaaa"),"")</f>
        <v/>
      </c>
    </row>
    <row r="208" ht="15" customHeight="1" s="155">
      <c r="A208" s="134">
        <f>ric!B208</f>
        <v/>
      </c>
      <c r="B208" s="118">
        <f>ric!C208</f>
        <v/>
      </c>
      <c r="C208" s="125">
        <f>ric!D208</f>
        <v/>
      </c>
      <c r="D208" s="125" t="n"/>
      <c r="E208" s="125" t="n"/>
      <c r="F208" s="125" t="n"/>
      <c r="G208" s="118">
        <f>CONCATENATE(A208, " ",#REF!, " / ",H208)</f>
        <v/>
      </c>
      <c r="H208" s="118" t="n"/>
      <c r="I208" s="119">
        <f>CONCATENATE(M208," - ",J208," - Lotto N° ",K208,"")</f>
        <v/>
      </c>
      <c r="J208" s="118" t="n"/>
      <c r="K208" s="118">
        <f>VLOOKUP(#REF!,Produzione,7,FALSE)</f>
        <v/>
      </c>
      <c r="L208" s="120" t="n"/>
      <c r="M208" s="120" t="n"/>
      <c r="N208" s="118" t="n"/>
      <c r="O208" s="121" t="n"/>
      <c r="P208" s="121" t="n"/>
      <c r="Q208" s="166">
        <f>TODAY()</f>
        <v/>
      </c>
      <c r="R208" s="165">
        <f>ElencoProdotti[[#This Row],[PRODUZIONE]]+20</f>
        <v/>
      </c>
      <c r="S208" s="165">
        <f>TODAY()</f>
        <v/>
      </c>
      <c r="T208" s="133">
        <f>CONCATENATE(A208," - contiene allergni - prodotto il giorno ",TEXT(Q208,"gg/mm/aaaa"),"")</f>
        <v/>
      </c>
    </row>
    <row r="209" ht="15" customHeight="1" s="155">
      <c r="A209" s="134">
        <f>ric!B209</f>
        <v/>
      </c>
      <c r="B209" s="118">
        <f>ric!C209</f>
        <v/>
      </c>
      <c r="C209" s="125">
        <f>ric!D209</f>
        <v/>
      </c>
      <c r="D209" s="125" t="n"/>
      <c r="E209" s="125" t="n"/>
      <c r="F209" s="125" t="n"/>
      <c r="G209" s="118">
        <f>CONCATENATE(A209, " ",#REF!, " / ",H209)</f>
        <v/>
      </c>
      <c r="H209" s="118" t="n"/>
      <c r="I209" s="119">
        <f>CONCATENATE(M209," - ",J209," - Lotto N° ",K209,"")</f>
        <v/>
      </c>
      <c r="J209" s="118" t="n"/>
      <c r="K209" s="118">
        <f>VLOOKUP(#REF!,Produzione,7,FALSE)</f>
        <v/>
      </c>
      <c r="L209" s="120" t="n"/>
      <c r="M209" s="120" t="n"/>
      <c r="N209" s="118" t="n"/>
      <c r="O209" s="121" t="n"/>
      <c r="P209" s="121" t="n"/>
      <c r="Q209" s="166">
        <f>TODAY()</f>
        <v/>
      </c>
      <c r="R209" s="165">
        <f>ElencoProdotti[[#This Row],[PRODUZIONE]]+20</f>
        <v/>
      </c>
      <c r="S209" s="165">
        <f>TODAY()</f>
        <v/>
      </c>
      <c r="T209" s="133">
        <f>CONCATENATE(A209," - contiene allergni - prodotto il giorno ",TEXT(Q209,"gg/mm/aaaa"),"")</f>
        <v/>
      </c>
    </row>
    <row r="210" ht="15" customHeight="1" s="155">
      <c r="A210" s="134">
        <f>ric!B210</f>
        <v/>
      </c>
      <c r="B210" s="118">
        <f>ric!C210</f>
        <v/>
      </c>
      <c r="C210" s="125">
        <f>ric!D210</f>
        <v/>
      </c>
      <c r="D210" s="125" t="n"/>
      <c r="E210" s="125" t="n"/>
      <c r="F210" s="125" t="n"/>
      <c r="G210" s="118">
        <f>CONCATENATE(A210, " ",#REF!, " / ",H210)</f>
        <v/>
      </c>
      <c r="H210" s="118" t="n"/>
      <c r="I210" s="119">
        <f>CONCATENATE(M210," - ",J210," - Lotto N° ",K210,"")</f>
        <v/>
      </c>
      <c r="J210" s="118" t="n"/>
      <c r="K210" s="118">
        <f>VLOOKUP(#REF!,Produzione,7,FALSE)</f>
        <v/>
      </c>
      <c r="L210" s="120" t="n"/>
      <c r="M210" s="120" t="n"/>
      <c r="N210" s="118" t="n"/>
      <c r="O210" s="121" t="n"/>
      <c r="P210" s="121" t="n"/>
      <c r="Q210" s="166">
        <f>TODAY()</f>
        <v/>
      </c>
      <c r="R210" s="165">
        <f>ElencoProdotti[[#This Row],[PRODUZIONE]]+20</f>
        <v/>
      </c>
      <c r="S210" s="165">
        <f>TODAY()</f>
        <v/>
      </c>
      <c r="T210" s="133">
        <f>CONCATENATE(A210," - contiene allergni - prodotto il giorno ",TEXT(Q210,"gg/mm/aaaa"),"")</f>
        <v/>
      </c>
    </row>
    <row r="211" ht="15" customHeight="1" s="155">
      <c r="A211" s="134">
        <f>ric!B211</f>
        <v/>
      </c>
      <c r="B211" s="118">
        <f>ric!C211</f>
        <v/>
      </c>
      <c r="C211" s="125">
        <f>ric!D211</f>
        <v/>
      </c>
      <c r="D211" s="125" t="n"/>
      <c r="E211" s="125" t="n"/>
      <c r="F211" s="125" t="n"/>
      <c r="G211" s="118">
        <f>CONCATENATE(A211, " ",#REF!, " / ",H211)</f>
        <v/>
      </c>
      <c r="H211" s="118" t="n"/>
      <c r="I211" s="119">
        <f>CONCATENATE(M211," - ",J211," - Lotto N° ",K211,"")</f>
        <v/>
      </c>
      <c r="J211" s="118" t="n"/>
      <c r="K211" s="118">
        <f>VLOOKUP(#REF!,Produzione,7,FALSE)</f>
        <v/>
      </c>
      <c r="L211" s="120" t="n"/>
      <c r="M211" s="120" t="n"/>
      <c r="N211" s="118" t="n"/>
      <c r="O211" s="121" t="n"/>
      <c r="P211" s="121" t="n"/>
      <c r="Q211" s="166">
        <f>TODAY()</f>
        <v/>
      </c>
      <c r="R211" s="165">
        <f>ElencoProdotti[[#This Row],[PRODUZIONE]]+20</f>
        <v/>
      </c>
      <c r="S211" s="165">
        <f>TODAY()</f>
        <v/>
      </c>
      <c r="T211" s="133">
        <f>CONCATENATE(A211," - contiene allergni - prodotto il giorno ",TEXT(Q211,"gg/mm/aaaa"),"")</f>
        <v/>
      </c>
    </row>
    <row r="212" ht="15" customHeight="1" s="155">
      <c r="A212" s="134">
        <f>ric!B212</f>
        <v/>
      </c>
      <c r="B212" s="118">
        <f>ric!C212</f>
        <v/>
      </c>
      <c r="C212" s="125">
        <f>ric!D212</f>
        <v/>
      </c>
      <c r="D212" s="125" t="n"/>
      <c r="E212" s="125" t="n"/>
      <c r="F212" s="125" t="n"/>
      <c r="G212" s="118">
        <f>CONCATENATE(A212, " ",#REF!, " / ",H212)</f>
        <v/>
      </c>
      <c r="H212" s="118" t="n"/>
      <c r="I212" s="119">
        <f>CONCATENATE(M212," - ",J212," - Lotto N° ",K212,"")</f>
        <v/>
      </c>
      <c r="J212" s="118" t="n"/>
      <c r="K212" s="118">
        <f>VLOOKUP(#REF!,Produzione,7,FALSE)</f>
        <v/>
      </c>
      <c r="L212" s="120" t="n"/>
      <c r="M212" s="120" t="n"/>
      <c r="N212" s="118" t="n"/>
      <c r="O212" s="121" t="n"/>
      <c r="P212" s="121" t="n"/>
      <c r="Q212" s="166">
        <f>TODAY()</f>
        <v/>
      </c>
      <c r="R212" s="165">
        <f>ElencoProdotti[[#This Row],[PRODUZIONE]]+20</f>
        <v/>
      </c>
      <c r="S212" s="165">
        <f>TODAY()</f>
        <v/>
      </c>
      <c r="T212" s="133">
        <f>CONCATENATE(A212," - contiene allergni - prodotto il giorno ",TEXT(Q212,"gg/mm/aaaa"),"")</f>
        <v/>
      </c>
    </row>
    <row r="213" ht="15" customHeight="1" s="155">
      <c r="A213" s="134">
        <f>ric!B213</f>
        <v/>
      </c>
      <c r="B213" s="118">
        <f>ric!C213</f>
        <v/>
      </c>
      <c r="C213" s="125">
        <f>ric!D213</f>
        <v/>
      </c>
      <c r="D213" s="125" t="n"/>
      <c r="E213" s="125" t="n"/>
      <c r="F213" s="125" t="n"/>
      <c r="G213" s="118">
        <f>CONCATENATE(A213, " ",#REF!, " / ",H213)</f>
        <v/>
      </c>
      <c r="H213" s="118" t="n"/>
      <c r="I213" s="119">
        <f>CONCATENATE(M213," - ",J213," - Lotto N° ",K213,"")</f>
        <v/>
      </c>
      <c r="J213" s="118" t="n"/>
      <c r="K213" s="118">
        <f>VLOOKUP(#REF!,Produzione,7,FALSE)</f>
        <v/>
      </c>
      <c r="L213" s="120" t="n"/>
      <c r="M213" s="120" t="n"/>
      <c r="N213" s="118" t="n"/>
      <c r="O213" s="121" t="n"/>
      <c r="P213" s="121" t="n"/>
      <c r="Q213" s="166">
        <f>TODAY()</f>
        <v/>
      </c>
      <c r="R213" s="165">
        <f>ElencoProdotti[[#This Row],[PRODUZIONE]]+20</f>
        <v/>
      </c>
      <c r="S213" s="165">
        <f>TODAY()</f>
        <v/>
      </c>
      <c r="T213" s="133">
        <f>CONCATENATE(A213," - contiene allergni - prodotto il giorno ",TEXT(Q213,"gg/mm/aaaa"),"")</f>
        <v/>
      </c>
    </row>
    <row r="214" ht="15" customHeight="1" s="155">
      <c r="A214" s="134">
        <f>ric!B214</f>
        <v/>
      </c>
      <c r="B214" s="118">
        <f>ric!C214</f>
        <v/>
      </c>
      <c r="C214" s="125">
        <f>ric!D214</f>
        <v/>
      </c>
      <c r="D214" s="125" t="n"/>
      <c r="E214" s="125" t="n"/>
      <c r="F214" s="125" t="n"/>
      <c r="G214" s="118">
        <f>CONCATENATE(A214, " ",#REF!, " / ",H214)</f>
        <v/>
      </c>
      <c r="H214" s="118" t="n"/>
      <c r="I214" s="119">
        <f>CONCATENATE(M214," - ",J214," - Lotto N° ",K214,"")</f>
        <v/>
      </c>
      <c r="J214" s="118" t="n"/>
      <c r="K214" s="118">
        <f>VLOOKUP(#REF!,Produzione,7,FALSE)</f>
        <v/>
      </c>
      <c r="L214" s="120" t="n"/>
      <c r="M214" s="120" t="n"/>
      <c r="N214" s="118" t="n"/>
      <c r="O214" s="121" t="n"/>
      <c r="P214" s="121" t="n"/>
      <c r="Q214" s="166">
        <f>TODAY()</f>
        <v/>
      </c>
      <c r="R214" s="165">
        <f>ElencoProdotti[[#This Row],[PRODUZIONE]]+20</f>
        <v/>
      </c>
      <c r="S214" s="165">
        <f>TODAY()</f>
        <v/>
      </c>
      <c r="T214" s="133">
        <f>CONCATENATE(A214," - contiene allergni - prodotto il giorno ",TEXT(Q214,"gg/mm/aaaa"),"")</f>
        <v/>
      </c>
    </row>
    <row r="215" ht="15" customHeight="1" s="155">
      <c r="A215" s="134">
        <f>ric!B215</f>
        <v/>
      </c>
      <c r="B215" s="118">
        <f>ric!C215</f>
        <v/>
      </c>
      <c r="C215" s="125">
        <f>ric!D215</f>
        <v/>
      </c>
      <c r="D215" s="125" t="n"/>
      <c r="E215" s="125" t="n"/>
      <c r="F215" s="125" t="n"/>
      <c r="G215" s="118">
        <f>CONCATENATE(A215, " ",#REF!, " / ",H215)</f>
        <v/>
      </c>
      <c r="H215" s="118" t="n"/>
      <c r="I215" s="119">
        <f>CONCATENATE(M215," - ",J215," - Lotto N° ",K215,"")</f>
        <v/>
      </c>
      <c r="J215" s="118" t="n"/>
      <c r="K215" s="118">
        <f>VLOOKUP(#REF!,Produzione,7,FALSE)</f>
        <v/>
      </c>
      <c r="L215" s="120" t="n"/>
      <c r="M215" s="120" t="n"/>
      <c r="N215" s="118" t="n"/>
      <c r="O215" s="121" t="n"/>
      <c r="P215" s="121" t="n"/>
      <c r="Q215" s="166">
        <f>TODAY()</f>
        <v/>
      </c>
      <c r="R215" s="165">
        <f>ElencoProdotti[[#This Row],[PRODUZIONE]]+20</f>
        <v/>
      </c>
      <c r="S215" s="165">
        <f>TODAY()</f>
        <v/>
      </c>
      <c r="T215" s="133">
        <f>CONCATENATE(A215," - contiene allergni - prodotto il giorno ",TEXT(Q215,"gg/mm/aaaa"),"")</f>
        <v/>
      </c>
    </row>
    <row r="216" ht="15" customHeight="1" s="155">
      <c r="A216" s="134">
        <f>ric!B216</f>
        <v/>
      </c>
      <c r="B216" s="118">
        <f>ric!C216</f>
        <v/>
      </c>
      <c r="C216" s="125">
        <f>ric!D216</f>
        <v/>
      </c>
      <c r="D216" s="125" t="n"/>
      <c r="E216" s="125" t="n"/>
      <c r="F216" s="125" t="n"/>
      <c r="G216" s="118">
        <f>CONCATENATE(A216, " ",#REF!, " / ",H216)</f>
        <v/>
      </c>
      <c r="H216" s="118" t="n"/>
      <c r="I216" s="119">
        <f>CONCATENATE(M216," - ",J216," - Lotto N° ",K216,"")</f>
        <v/>
      </c>
      <c r="J216" s="118" t="n"/>
      <c r="K216" s="118">
        <f>VLOOKUP(#REF!,Produzione,7,FALSE)</f>
        <v/>
      </c>
      <c r="L216" s="120" t="n"/>
      <c r="M216" s="120" t="n"/>
      <c r="N216" s="118" t="n"/>
      <c r="O216" s="121" t="n"/>
      <c r="P216" s="121" t="n"/>
      <c r="Q216" s="166">
        <f>TODAY()</f>
        <v/>
      </c>
      <c r="R216" s="165">
        <f>ElencoProdotti[[#This Row],[PRODUZIONE]]+20</f>
        <v/>
      </c>
      <c r="S216" s="165">
        <f>TODAY()</f>
        <v/>
      </c>
      <c r="T216" s="133">
        <f>CONCATENATE(A216," - contiene allergni - prodotto il giorno ",TEXT(Q216,"gg/mm/aaaa"),"")</f>
        <v/>
      </c>
    </row>
    <row r="217" ht="15" customHeight="1" s="155">
      <c r="A217" s="134">
        <f>ric!B217</f>
        <v/>
      </c>
      <c r="B217" s="118">
        <f>ric!C217</f>
        <v/>
      </c>
      <c r="C217" s="125">
        <f>ric!D217</f>
        <v/>
      </c>
      <c r="D217" s="125" t="n"/>
      <c r="E217" s="125" t="n"/>
      <c r="F217" s="125" t="n"/>
      <c r="G217" s="118">
        <f>CONCATENATE(A217, " ",#REF!, " / ",H217)</f>
        <v/>
      </c>
      <c r="H217" s="118" t="n"/>
      <c r="I217" s="119">
        <f>CONCATENATE(M217," - ",J217," - Lotto N° ",K217,"")</f>
        <v/>
      </c>
      <c r="J217" s="118" t="n"/>
      <c r="K217" s="118">
        <f>VLOOKUP(#REF!,Produzione,7,FALSE)</f>
        <v/>
      </c>
      <c r="L217" s="120" t="n"/>
      <c r="M217" s="120" t="n"/>
      <c r="N217" s="118" t="n"/>
      <c r="O217" s="121" t="n"/>
      <c r="P217" s="121" t="n"/>
      <c r="Q217" s="166">
        <f>TODAY()</f>
        <v/>
      </c>
      <c r="R217" s="165">
        <f>ElencoProdotti[[#This Row],[PRODUZIONE]]+20</f>
        <v/>
      </c>
      <c r="S217" s="165">
        <f>TODAY()</f>
        <v/>
      </c>
      <c r="T217" s="133">
        <f>CONCATENATE(A217," - contiene allergni - prodotto il giorno ",TEXT(Q217,"gg/mm/aaaa"),"")</f>
        <v/>
      </c>
    </row>
    <row r="218" ht="15" customHeight="1" s="155">
      <c r="A218" s="134">
        <f>ric!B218</f>
        <v/>
      </c>
      <c r="B218" s="118">
        <f>ric!C218</f>
        <v/>
      </c>
      <c r="C218" s="125">
        <f>ric!D218</f>
        <v/>
      </c>
      <c r="D218" s="125" t="n"/>
      <c r="E218" s="125" t="n"/>
      <c r="F218" s="125" t="n"/>
      <c r="G218" s="118">
        <f>CONCATENATE(A218, " ",#REF!, " / ",H218)</f>
        <v/>
      </c>
      <c r="H218" s="118" t="n"/>
      <c r="I218" s="119">
        <f>CONCATENATE(M218," - ",J218," - Lotto N° ",K218,"")</f>
        <v/>
      </c>
      <c r="J218" s="118" t="n"/>
      <c r="K218" s="118">
        <f>VLOOKUP(#REF!,Produzione,7,FALSE)</f>
        <v/>
      </c>
      <c r="L218" s="120" t="n"/>
      <c r="M218" s="120" t="n"/>
      <c r="N218" s="118" t="n"/>
      <c r="O218" s="121" t="n"/>
      <c r="P218" s="121" t="n"/>
      <c r="Q218" s="166">
        <f>TODAY()</f>
        <v/>
      </c>
      <c r="R218" s="165">
        <f>ElencoProdotti[[#This Row],[PRODUZIONE]]+20</f>
        <v/>
      </c>
      <c r="S218" s="165">
        <f>TODAY()</f>
        <v/>
      </c>
      <c r="T218" s="133">
        <f>CONCATENATE(A218," - contiene allergni - prodotto il giorno ",TEXT(Q218,"gg/mm/aaaa"),"")</f>
        <v/>
      </c>
    </row>
    <row r="219" ht="15" customHeight="1" s="155">
      <c r="A219" s="134">
        <f>ric!B219</f>
        <v/>
      </c>
      <c r="B219" s="118">
        <f>ric!C219</f>
        <v/>
      </c>
      <c r="C219" s="125">
        <f>ric!D219</f>
        <v/>
      </c>
      <c r="D219" s="125" t="n"/>
      <c r="E219" s="125" t="n"/>
      <c r="F219" s="125" t="n"/>
      <c r="G219" s="118">
        <f>CONCATENATE(A219, " ",#REF!, " / ",H219)</f>
        <v/>
      </c>
      <c r="H219" s="118" t="n"/>
      <c r="I219" s="119">
        <f>CONCATENATE(M219," - ",J219," - Lotto N° ",K219,"")</f>
        <v/>
      </c>
      <c r="J219" s="118" t="n"/>
      <c r="K219" s="118">
        <f>VLOOKUP(#REF!,Produzione,7,FALSE)</f>
        <v/>
      </c>
      <c r="L219" s="120" t="n"/>
      <c r="M219" s="120" t="n"/>
      <c r="N219" s="118" t="n"/>
      <c r="O219" s="121" t="n"/>
      <c r="P219" s="121" t="n"/>
      <c r="Q219" s="166">
        <f>TODAY()</f>
        <v/>
      </c>
      <c r="R219" s="165">
        <f>ElencoProdotti[[#This Row],[PRODUZIONE]]+20</f>
        <v/>
      </c>
      <c r="S219" s="165">
        <f>TODAY()</f>
        <v/>
      </c>
      <c r="T219" s="133">
        <f>CONCATENATE(A219," - contiene allergni - prodotto il giorno ",TEXT(Q219,"gg/mm/aaaa"),"")</f>
        <v/>
      </c>
    </row>
    <row r="220" ht="15" customHeight="1" s="155">
      <c r="A220" s="134">
        <f>ric!B220</f>
        <v/>
      </c>
      <c r="B220" s="118">
        <f>ric!C220</f>
        <v/>
      </c>
      <c r="C220" s="125">
        <f>ric!D220</f>
        <v/>
      </c>
      <c r="D220" s="125" t="n"/>
      <c r="E220" s="125" t="n"/>
      <c r="F220" s="125" t="n"/>
      <c r="G220" s="118">
        <f>CONCATENATE(A220, " ",#REF!, " / ",H220)</f>
        <v/>
      </c>
      <c r="H220" s="118" t="n"/>
      <c r="I220" s="119">
        <f>CONCATENATE(M220," - ",J220," - Lotto N° ",K220,"")</f>
        <v/>
      </c>
      <c r="J220" s="118" t="n"/>
      <c r="K220" s="118">
        <f>VLOOKUP(#REF!,Produzione,7,FALSE)</f>
        <v/>
      </c>
      <c r="L220" s="120" t="n"/>
      <c r="M220" s="120" t="n"/>
      <c r="N220" s="118" t="n"/>
      <c r="O220" s="121" t="n"/>
      <c r="P220" s="121" t="n"/>
      <c r="Q220" s="166">
        <f>TODAY()</f>
        <v/>
      </c>
      <c r="R220" s="165">
        <f>ElencoProdotti[[#This Row],[PRODUZIONE]]+20</f>
        <v/>
      </c>
      <c r="S220" s="165">
        <f>TODAY()</f>
        <v/>
      </c>
      <c r="T220" s="133">
        <f>CONCATENATE(A220," - contiene allergni - prodotto il giorno ",TEXT(Q220,"gg/mm/aaaa"),"")</f>
        <v/>
      </c>
    </row>
    <row r="221" ht="15" customHeight="1" s="155">
      <c r="A221" s="134">
        <f>ric!B221</f>
        <v/>
      </c>
      <c r="B221" s="118">
        <f>ric!C221</f>
        <v/>
      </c>
      <c r="C221" s="125">
        <f>ric!D221</f>
        <v/>
      </c>
      <c r="D221" s="125" t="n"/>
      <c r="E221" s="125" t="n"/>
      <c r="F221" s="125" t="n"/>
      <c r="G221" s="118">
        <f>CONCATENATE(A221, " ",#REF!, " / ",H221)</f>
        <v/>
      </c>
      <c r="H221" s="118" t="n"/>
      <c r="I221" s="119">
        <f>CONCATENATE(M221," - ",J221," - Lotto N° ",K221,"")</f>
        <v/>
      </c>
      <c r="J221" s="118" t="n"/>
      <c r="K221" s="118">
        <f>VLOOKUP(#REF!,Produzione,7,FALSE)</f>
        <v/>
      </c>
      <c r="L221" s="120" t="n"/>
      <c r="M221" s="120" t="n"/>
      <c r="N221" s="118" t="n"/>
      <c r="O221" s="121" t="n"/>
      <c r="P221" s="121" t="n"/>
      <c r="Q221" s="166">
        <f>TODAY()</f>
        <v/>
      </c>
      <c r="R221" s="165">
        <f>ElencoProdotti[[#This Row],[PRODUZIONE]]+20</f>
        <v/>
      </c>
      <c r="S221" s="165">
        <f>TODAY()</f>
        <v/>
      </c>
      <c r="T221" s="133">
        <f>CONCATENATE(A221," - contiene allergni - prodotto il giorno ",TEXT(Q221,"gg/mm/aaaa"),"")</f>
        <v/>
      </c>
    </row>
    <row r="222" ht="15" customHeight="1" s="155">
      <c r="A222" s="134">
        <f>ric!B222</f>
        <v/>
      </c>
      <c r="B222" s="118">
        <f>ric!C222</f>
        <v/>
      </c>
      <c r="C222" s="125">
        <f>ric!D222</f>
        <v/>
      </c>
      <c r="D222" s="125" t="n"/>
      <c r="E222" s="125" t="n"/>
      <c r="F222" s="125" t="n"/>
      <c r="G222" s="118">
        <f>CONCATENATE(A222, " ",#REF!, " / ",H222)</f>
        <v/>
      </c>
      <c r="H222" s="118" t="n"/>
      <c r="I222" s="119">
        <f>CONCATENATE(M222," - ",J222," - Lotto N° ",K222,"")</f>
        <v/>
      </c>
      <c r="J222" s="118" t="n"/>
      <c r="K222" s="118">
        <f>VLOOKUP(#REF!,Produzione,7,FALSE)</f>
        <v/>
      </c>
      <c r="L222" s="120" t="n"/>
      <c r="M222" s="120" t="n"/>
      <c r="N222" s="118" t="n"/>
      <c r="O222" s="121" t="n"/>
      <c r="P222" s="121" t="n"/>
      <c r="Q222" s="166">
        <f>TODAY()</f>
        <v/>
      </c>
      <c r="R222" s="165">
        <f>ElencoProdotti[[#This Row],[PRODUZIONE]]+20</f>
        <v/>
      </c>
      <c r="S222" s="165">
        <f>TODAY()</f>
        <v/>
      </c>
      <c r="T222" s="133">
        <f>CONCATENATE(A222," - contiene allergni - prodotto il giorno ",TEXT(Q222,"gg/mm/aaaa"),"")</f>
        <v/>
      </c>
    </row>
    <row r="223" ht="15" customHeight="1" s="155">
      <c r="A223" s="134">
        <f>ric!B223</f>
        <v/>
      </c>
      <c r="B223" s="118">
        <f>ric!C223</f>
        <v/>
      </c>
      <c r="C223" s="125">
        <f>ric!D223</f>
        <v/>
      </c>
      <c r="D223" s="125" t="n"/>
      <c r="E223" s="125" t="n"/>
      <c r="F223" s="125" t="n"/>
      <c r="G223" s="118">
        <f>CONCATENATE(A223, " ",#REF!, " / ",H223)</f>
        <v/>
      </c>
      <c r="H223" s="118" t="n"/>
      <c r="I223" s="119">
        <f>CONCATENATE(M223," - ",J223," - Lotto N° ",K223,"")</f>
        <v/>
      </c>
      <c r="J223" s="118" t="n"/>
      <c r="K223" s="118">
        <f>VLOOKUP(#REF!,Produzione,7,FALSE)</f>
        <v/>
      </c>
      <c r="L223" s="120" t="n"/>
      <c r="M223" s="120" t="n"/>
      <c r="N223" s="118" t="n"/>
      <c r="O223" s="121" t="n"/>
      <c r="P223" s="121" t="n"/>
      <c r="Q223" s="166">
        <f>TODAY()</f>
        <v/>
      </c>
      <c r="R223" s="165">
        <f>ElencoProdotti[[#This Row],[PRODUZIONE]]+20</f>
        <v/>
      </c>
      <c r="S223" s="165">
        <f>TODAY()</f>
        <v/>
      </c>
      <c r="T223" s="133">
        <f>CONCATENATE(A223," - contiene allergni - prodotto il giorno ",TEXT(Q223,"gg/mm/aaaa"),"")</f>
        <v/>
      </c>
    </row>
    <row r="224" ht="15" customHeight="1" s="155">
      <c r="A224" s="134">
        <f>ric!B224</f>
        <v/>
      </c>
      <c r="B224" s="118">
        <f>ric!C224</f>
        <v/>
      </c>
      <c r="C224" s="125">
        <f>ric!D224</f>
        <v/>
      </c>
      <c r="D224" s="125" t="n"/>
      <c r="E224" s="125" t="n"/>
      <c r="F224" s="125" t="n"/>
      <c r="G224" s="118">
        <f>CONCATENATE(A224, " ",#REF!, " / ",H224)</f>
        <v/>
      </c>
      <c r="H224" s="118" t="n"/>
      <c r="I224" s="119">
        <f>CONCATENATE(M224," - ",J224," - Lotto N° ",K224,"")</f>
        <v/>
      </c>
      <c r="J224" s="118" t="n"/>
      <c r="K224" s="118">
        <f>VLOOKUP(#REF!,Produzione,7,FALSE)</f>
        <v/>
      </c>
      <c r="L224" s="120" t="n"/>
      <c r="M224" s="120" t="n"/>
      <c r="N224" s="118" t="n"/>
      <c r="O224" s="121" t="n"/>
      <c r="P224" s="121" t="n"/>
      <c r="Q224" s="166">
        <f>TODAY()</f>
        <v/>
      </c>
      <c r="R224" s="165">
        <f>ElencoProdotti[[#This Row],[PRODUZIONE]]+20</f>
        <v/>
      </c>
      <c r="S224" s="165">
        <f>TODAY()</f>
        <v/>
      </c>
      <c r="T224" s="133">
        <f>CONCATENATE(A224," - contiene allergni - prodotto il giorno ",TEXT(Q224,"gg/mm/aaaa"),"")</f>
        <v/>
      </c>
    </row>
    <row r="225" ht="15" customHeight="1" s="155">
      <c r="A225" s="134">
        <f>ric!B225</f>
        <v/>
      </c>
      <c r="B225" s="118">
        <f>ric!C225</f>
        <v/>
      </c>
      <c r="C225" s="125">
        <f>ric!D225</f>
        <v/>
      </c>
      <c r="D225" s="125" t="n"/>
      <c r="E225" s="125" t="n"/>
      <c r="F225" s="125" t="n"/>
      <c r="G225" s="118">
        <f>CONCATENATE(A225, " ",#REF!, " / ",H225)</f>
        <v/>
      </c>
      <c r="H225" s="118" t="n"/>
      <c r="I225" s="119">
        <f>CONCATENATE(M225," - ",J225," - Lotto N° ",K225,"")</f>
        <v/>
      </c>
      <c r="J225" s="118" t="n"/>
      <c r="K225" s="118">
        <f>VLOOKUP(#REF!,Produzione,7,FALSE)</f>
        <v/>
      </c>
      <c r="L225" s="120" t="n"/>
      <c r="M225" s="120" t="n"/>
      <c r="N225" s="118" t="n"/>
      <c r="O225" s="121" t="n"/>
      <c r="P225" s="121" t="n"/>
      <c r="Q225" s="166">
        <f>TODAY()</f>
        <v/>
      </c>
      <c r="R225" s="165">
        <f>ElencoProdotti[[#This Row],[PRODUZIONE]]+20</f>
        <v/>
      </c>
      <c r="S225" s="165">
        <f>TODAY()</f>
        <v/>
      </c>
      <c r="T225" s="133">
        <f>CONCATENATE(A225," - contiene allergni - prodotto il giorno ",TEXT(Q225,"gg/mm/aaaa"),"")</f>
        <v/>
      </c>
    </row>
    <row r="226" ht="15" customHeight="1" s="155">
      <c r="A226" s="134">
        <f>ric!B226</f>
        <v/>
      </c>
      <c r="B226" s="118">
        <f>ric!C226</f>
        <v/>
      </c>
      <c r="C226" s="125">
        <f>ric!D226</f>
        <v/>
      </c>
      <c r="D226" s="125" t="n"/>
      <c r="E226" s="125" t="n"/>
      <c r="F226" s="125" t="n"/>
      <c r="G226" s="118">
        <f>CONCATENATE(A226, " ",#REF!, " / ",H226)</f>
        <v/>
      </c>
      <c r="H226" s="118" t="n"/>
      <c r="I226" s="119">
        <f>CONCATENATE(M226," - ",J226," - Lotto N° ",K226,"")</f>
        <v/>
      </c>
      <c r="J226" s="118" t="n"/>
      <c r="K226" s="118">
        <f>VLOOKUP(#REF!,Produzione,7,FALSE)</f>
        <v/>
      </c>
      <c r="L226" s="120" t="n"/>
      <c r="M226" s="120" t="n"/>
      <c r="N226" s="118" t="n"/>
      <c r="O226" s="121" t="n"/>
      <c r="P226" s="121" t="n"/>
      <c r="Q226" s="166">
        <f>TODAY()</f>
        <v/>
      </c>
      <c r="R226" s="165">
        <f>ElencoProdotti[[#This Row],[PRODUZIONE]]+20</f>
        <v/>
      </c>
      <c r="S226" s="165">
        <f>TODAY()</f>
        <v/>
      </c>
      <c r="T226" s="133">
        <f>CONCATENATE(A226," - contiene allergni - prodotto il giorno ",TEXT(Q226,"gg/mm/aaaa"),"")</f>
        <v/>
      </c>
    </row>
    <row r="227" ht="15" customHeight="1" s="155">
      <c r="A227" s="134">
        <f>ric!B227</f>
        <v/>
      </c>
      <c r="B227" s="118">
        <f>ric!C227</f>
        <v/>
      </c>
      <c r="C227" s="125">
        <f>ric!D227</f>
        <v/>
      </c>
      <c r="D227" s="125" t="n"/>
      <c r="E227" s="125" t="n"/>
      <c r="F227" s="125" t="n"/>
      <c r="G227" s="118">
        <f>CONCATENATE(A227, " ",#REF!, " / ",H227)</f>
        <v/>
      </c>
      <c r="H227" s="118" t="n"/>
      <c r="I227" s="119">
        <f>CONCATENATE(M227," - ",J227," - Lotto N° ",K227,"")</f>
        <v/>
      </c>
      <c r="J227" s="118" t="n"/>
      <c r="K227" s="118">
        <f>VLOOKUP(#REF!,Produzione,7,FALSE)</f>
        <v/>
      </c>
      <c r="L227" s="120" t="n"/>
      <c r="M227" s="120" t="n"/>
      <c r="N227" s="118" t="n"/>
      <c r="O227" s="121" t="n"/>
      <c r="P227" s="121" t="n"/>
      <c r="Q227" s="166">
        <f>TODAY()</f>
        <v/>
      </c>
      <c r="R227" s="165">
        <f>ElencoProdotti[[#This Row],[PRODUZIONE]]+20</f>
        <v/>
      </c>
      <c r="S227" s="165">
        <f>TODAY()</f>
        <v/>
      </c>
      <c r="T227" s="133">
        <f>CONCATENATE(A227," - contiene allergni - prodotto il giorno ",TEXT(Q227,"gg/mm/aaaa"),"")</f>
        <v/>
      </c>
    </row>
    <row r="228" ht="15" customHeight="1" s="155">
      <c r="A228" s="134">
        <f>ric!B228</f>
        <v/>
      </c>
      <c r="B228" s="118">
        <f>ric!C228</f>
        <v/>
      </c>
      <c r="C228" s="125">
        <f>ric!D228</f>
        <v/>
      </c>
      <c r="D228" s="125" t="n"/>
      <c r="E228" s="125" t="n"/>
      <c r="F228" s="125" t="n"/>
      <c r="G228" s="118">
        <f>CONCATENATE(A228, " ",#REF!, " / ",H228)</f>
        <v/>
      </c>
      <c r="H228" s="118" t="n"/>
      <c r="I228" s="119">
        <f>CONCATENATE(M228," - ",J228," - Lotto N° ",K228,"")</f>
        <v/>
      </c>
      <c r="J228" s="118" t="n"/>
      <c r="K228" s="118">
        <f>VLOOKUP(#REF!,Produzione,7,FALSE)</f>
        <v/>
      </c>
      <c r="L228" s="120" t="n"/>
      <c r="M228" s="120" t="n"/>
      <c r="N228" s="118" t="n"/>
      <c r="O228" s="121" t="n"/>
      <c r="P228" s="121" t="n"/>
      <c r="Q228" s="166">
        <f>TODAY()</f>
        <v/>
      </c>
      <c r="R228" s="165">
        <f>ElencoProdotti[[#This Row],[PRODUZIONE]]+20</f>
        <v/>
      </c>
      <c r="S228" s="165">
        <f>TODAY()</f>
        <v/>
      </c>
      <c r="T228" s="133">
        <f>CONCATENATE(A228," - contiene allergni - prodotto il giorno ",TEXT(Q228,"gg/mm/aaaa"),"")</f>
        <v/>
      </c>
    </row>
    <row r="229" ht="15" customHeight="1" s="155">
      <c r="A229" s="134">
        <f>ric!B229</f>
        <v/>
      </c>
      <c r="B229" s="118">
        <f>ric!C229</f>
        <v/>
      </c>
      <c r="C229" s="125">
        <f>ric!D229</f>
        <v/>
      </c>
      <c r="D229" s="125" t="n"/>
      <c r="E229" s="125" t="n"/>
      <c r="F229" s="125" t="n"/>
      <c r="G229" s="118">
        <f>CONCATENATE(A229, " ",#REF!, " / ",H229)</f>
        <v/>
      </c>
      <c r="H229" s="118" t="n"/>
      <c r="I229" s="119">
        <f>CONCATENATE(M229," - ",J229," - Lotto N° ",K229,"")</f>
        <v/>
      </c>
      <c r="J229" s="118" t="n"/>
      <c r="K229" s="118">
        <f>VLOOKUP(#REF!,Produzione,7,FALSE)</f>
        <v/>
      </c>
      <c r="L229" s="120" t="n"/>
      <c r="M229" s="120" t="n"/>
      <c r="N229" s="118" t="n"/>
      <c r="O229" s="121" t="n"/>
      <c r="P229" s="121" t="n"/>
      <c r="Q229" s="166">
        <f>TODAY()</f>
        <v/>
      </c>
      <c r="R229" s="165">
        <f>ElencoProdotti[[#This Row],[PRODUZIONE]]+20</f>
        <v/>
      </c>
      <c r="S229" s="165">
        <f>TODAY()</f>
        <v/>
      </c>
      <c r="T229" s="133">
        <f>CONCATENATE(A229," - contiene allergni - prodotto il giorno ",TEXT(Q229,"gg/mm/aaaa"),"")</f>
        <v/>
      </c>
    </row>
    <row r="230" ht="15" customHeight="1" s="155">
      <c r="A230" s="134">
        <f>ric!B230</f>
        <v/>
      </c>
      <c r="B230" s="118">
        <f>ric!C230</f>
        <v/>
      </c>
      <c r="C230" s="125">
        <f>ric!D230</f>
        <v/>
      </c>
      <c r="D230" s="125" t="n"/>
      <c r="E230" s="125" t="n"/>
      <c r="F230" s="125" t="n"/>
      <c r="G230" s="118">
        <f>CONCATENATE(A230, " ",#REF!, " / ",H230)</f>
        <v/>
      </c>
      <c r="H230" s="118" t="n"/>
      <c r="I230" s="119">
        <f>CONCATENATE(M230," - ",J230," - Lotto N° ",K230,"")</f>
        <v/>
      </c>
      <c r="J230" s="118" t="n"/>
      <c r="K230" s="118">
        <f>VLOOKUP(#REF!,Produzione,7,FALSE)</f>
        <v/>
      </c>
      <c r="L230" s="120" t="n"/>
      <c r="M230" s="120" t="n"/>
      <c r="N230" s="118" t="n"/>
      <c r="O230" s="121" t="n"/>
      <c r="P230" s="121" t="n"/>
      <c r="Q230" s="166">
        <f>TODAY()</f>
        <v/>
      </c>
      <c r="R230" s="165">
        <f>ElencoProdotti[[#This Row],[PRODUZIONE]]+20</f>
        <v/>
      </c>
      <c r="S230" s="165">
        <f>TODAY()</f>
        <v/>
      </c>
      <c r="T230" s="133">
        <f>CONCATENATE(A230," - contiene allergni - prodotto il giorno ",TEXT(Q230,"gg/mm/aaaa"),"")</f>
        <v/>
      </c>
    </row>
    <row r="231" ht="15" customHeight="1" s="155">
      <c r="A231" s="134">
        <f>ric!B231</f>
        <v/>
      </c>
      <c r="B231" s="118">
        <f>ric!C231</f>
        <v/>
      </c>
      <c r="C231" s="125">
        <f>ric!D231</f>
        <v/>
      </c>
      <c r="D231" s="125" t="n"/>
      <c r="E231" s="125" t="n"/>
      <c r="F231" s="125" t="n"/>
      <c r="G231" s="118">
        <f>CONCATENATE(A231, " ",#REF!, " / ",H231)</f>
        <v/>
      </c>
      <c r="H231" s="118" t="n"/>
      <c r="I231" s="119">
        <f>CONCATENATE(M231," - ",J231," - Lotto N° ",K231,"")</f>
        <v/>
      </c>
      <c r="J231" s="118" t="n"/>
      <c r="K231" s="118">
        <f>VLOOKUP(#REF!,Produzione,7,FALSE)</f>
        <v/>
      </c>
      <c r="L231" s="120" t="n"/>
      <c r="M231" s="120" t="n"/>
      <c r="N231" s="118" t="n"/>
      <c r="O231" s="121" t="n"/>
      <c r="P231" s="121" t="n"/>
      <c r="Q231" s="166">
        <f>TODAY()</f>
        <v/>
      </c>
      <c r="R231" s="165">
        <f>ElencoProdotti[[#This Row],[PRODUZIONE]]+20</f>
        <v/>
      </c>
      <c r="S231" s="165">
        <f>TODAY()</f>
        <v/>
      </c>
      <c r="T231" s="133">
        <f>CONCATENATE(A231," - contiene allergni - prodotto il giorno ",TEXT(Q231,"gg/mm/aaaa"),"")</f>
        <v/>
      </c>
    </row>
    <row r="232" ht="15" customHeight="1" s="155">
      <c r="A232" s="134">
        <f>ric!B232</f>
        <v/>
      </c>
      <c r="B232" s="118">
        <f>ric!C232</f>
        <v/>
      </c>
      <c r="C232" s="125">
        <f>ric!D232</f>
        <v/>
      </c>
      <c r="D232" s="125" t="n"/>
      <c r="E232" s="125" t="n"/>
      <c r="F232" s="125" t="n"/>
      <c r="G232" s="118">
        <f>CONCATENATE(A232, " ",#REF!, " / ",H232)</f>
        <v/>
      </c>
      <c r="H232" s="118" t="n"/>
      <c r="I232" s="119">
        <f>CONCATENATE(M232," - ",J232," - Lotto N° ",K232,"")</f>
        <v/>
      </c>
      <c r="J232" s="118" t="n"/>
      <c r="K232" s="118">
        <f>VLOOKUP(#REF!,Produzione,7,FALSE)</f>
        <v/>
      </c>
      <c r="L232" s="120" t="n"/>
      <c r="M232" s="120" t="n"/>
      <c r="N232" s="118" t="n"/>
      <c r="O232" s="121" t="n"/>
      <c r="P232" s="121" t="n"/>
      <c r="Q232" s="166">
        <f>TODAY()</f>
        <v/>
      </c>
      <c r="R232" s="165">
        <f>ElencoProdotti[[#This Row],[PRODUZIONE]]+20</f>
        <v/>
      </c>
      <c r="S232" s="165">
        <f>TODAY()</f>
        <v/>
      </c>
      <c r="T232" s="133">
        <f>CONCATENATE(A232," - contiene allergni - prodotto il giorno ",TEXT(Q232,"gg/mm/aaaa"),"")</f>
        <v/>
      </c>
    </row>
    <row r="233" ht="15" customHeight="1" s="155">
      <c r="A233" s="134">
        <f>ric!B233</f>
        <v/>
      </c>
      <c r="B233" s="118">
        <f>ric!C233</f>
        <v/>
      </c>
      <c r="C233" s="125">
        <f>ric!D233</f>
        <v/>
      </c>
      <c r="D233" s="125" t="n"/>
      <c r="E233" s="125" t="n"/>
      <c r="F233" s="125" t="n"/>
      <c r="G233" s="118">
        <f>CONCATENATE(A233, " ",#REF!, " / ",H233)</f>
        <v/>
      </c>
      <c r="H233" s="118" t="n"/>
      <c r="I233" s="119">
        <f>CONCATENATE(M233," - ",J233," - Lotto N° ",K233,"")</f>
        <v/>
      </c>
      <c r="J233" s="118" t="n"/>
      <c r="K233" s="118">
        <f>VLOOKUP(#REF!,Produzione,7,FALSE)</f>
        <v/>
      </c>
      <c r="L233" s="120" t="n"/>
      <c r="M233" s="120" t="n"/>
      <c r="N233" s="118" t="n"/>
      <c r="O233" s="121" t="n"/>
      <c r="P233" s="121" t="n"/>
      <c r="Q233" s="166">
        <f>TODAY()</f>
        <v/>
      </c>
      <c r="R233" s="165">
        <f>ElencoProdotti[[#This Row],[PRODUZIONE]]+20</f>
        <v/>
      </c>
      <c r="S233" s="165">
        <f>TODAY()</f>
        <v/>
      </c>
      <c r="T233" s="133">
        <f>CONCATENATE(A233," - contiene allergni - prodotto il giorno ",TEXT(Q233,"gg/mm/aaaa"),"")</f>
        <v/>
      </c>
    </row>
    <row r="234" ht="15" customHeight="1" s="155">
      <c r="A234" s="134">
        <f>ric!B234</f>
        <v/>
      </c>
      <c r="B234" s="118">
        <f>ric!C234</f>
        <v/>
      </c>
      <c r="C234" s="125">
        <f>ric!D234</f>
        <v/>
      </c>
      <c r="D234" s="125" t="n"/>
      <c r="E234" s="125" t="n"/>
      <c r="F234" s="125" t="n"/>
      <c r="G234" s="118">
        <f>CONCATENATE(A234, " ",#REF!, " / ",H234)</f>
        <v/>
      </c>
      <c r="H234" s="118" t="n"/>
      <c r="I234" s="119">
        <f>CONCATENATE(M234," - ",J234," - Lotto N° ",K234,"")</f>
        <v/>
      </c>
      <c r="J234" s="118" t="n"/>
      <c r="K234" s="118">
        <f>VLOOKUP(#REF!,Produzione,7,FALSE)</f>
        <v/>
      </c>
      <c r="L234" s="120" t="n"/>
      <c r="M234" s="120" t="n"/>
      <c r="N234" s="118" t="n"/>
      <c r="O234" s="121" t="n"/>
      <c r="P234" s="121" t="n"/>
      <c r="Q234" s="166">
        <f>TODAY()</f>
        <v/>
      </c>
      <c r="R234" s="165">
        <f>ElencoProdotti[[#This Row],[PRODUZIONE]]+20</f>
        <v/>
      </c>
      <c r="S234" s="165">
        <f>TODAY()</f>
        <v/>
      </c>
      <c r="T234" s="133">
        <f>CONCATENATE(A234," - contiene allergni - prodotto il giorno ",TEXT(Q234,"gg/mm/aaaa"),"")</f>
        <v/>
      </c>
    </row>
    <row r="235" ht="15" customHeight="1" s="155">
      <c r="A235" s="134">
        <f>ric!B235</f>
        <v/>
      </c>
      <c r="B235" s="118">
        <f>ric!C235</f>
        <v/>
      </c>
      <c r="C235" s="125">
        <f>ric!D235</f>
        <v/>
      </c>
      <c r="D235" s="125" t="n"/>
      <c r="E235" s="125" t="n"/>
      <c r="F235" s="125" t="n"/>
      <c r="G235" s="118">
        <f>CONCATENATE(A235, " ",#REF!, " / ",H235)</f>
        <v/>
      </c>
      <c r="H235" s="118" t="n"/>
      <c r="I235" s="119">
        <f>CONCATENATE(M235," - ",J235," - Lotto N° ",K235,"")</f>
        <v/>
      </c>
      <c r="J235" s="118" t="n"/>
      <c r="K235" s="118">
        <f>VLOOKUP(#REF!,Produzione,7,FALSE)</f>
        <v/>
      </c>
      <c r="L235" s="120" t="n"/>
      <c r="M235" s="120" t="n"/>
      <c r="N235" s="118" t="n"/>
      <c r="O235" s="121" t="n"/>
      <c r="P235" s="121" t="n"/>
      <c r="Q235" s="166">
        <f>TODAY()</f>
        <v/>
      </c>
      <c r="R235" s="165">
        <f>ElencoProdotti[[#This Row],[PRODUZIONE]]+20</f>
        <v/>
      </c>
      <c r="S235" s="165">
        <f>TODAY()</f>
        <v/>
      </c>
      <c r="T235" s="133">
        <f>CONCATENATE(A235," - contiene allergni - prodotto il giorno ",TEXT(Q235,"gg/mm/aaaa"),"")</f>
        <v/>
      </c>
    </row>
    <row r="236" ht="15" customHeight="1" s="155">
      <c r="A236" s="134">
        <f>ric!B236</f>
        <v/>
      </c>
      <c r="B236" s="118">
        <f>ric!C236</f>
        <v/>
      </c>
      <c r="C236" s="125">
        <f>ric!D236</f>
        <v/>
      </c>
      <c r="D236" s="125" t="n"/>
      <c r="E236" s="125" t="n"/>
      <c r="F236" s="125" t="n"/>
      <c r="G236" s="118">
        <f>CONCATENATE(A236, " ",#REF!, " / ",H236)</f>
        <v/>
      </c>
      <c r="H236" s="118" t="n"/>
      <c r="I236" s="119">
        <f>CONCATENATE(M236," - ",J236," - Lotto N° ",K236,"")</f>
        <v/>
      </c>
      <c r="J236" s="118" t="n"/>
      <c r="K236" s="118">
        <f>VLOOKUP(#REF!,Produzione,7,FALSE)</f>
        <v/>
      </c>
      <c r="L236" s="120" t="n"/>
      <c r="M236" s="120" t="n"/>
      <c r="N236" s="118" t="n"/>
      <c r="O236" s="121" t="n"/>
      <c r="P236" s="121" t="n"/>
      <c r="Q236" s="166">
        <f>TODAY()</f>
        <v/>
      </c>
      <c r="R236" s="165">
        <f>ElencoProdotti[[#This Row],[PRODUZIONE]]+20</f>
        <v/>
      </c>
      <c r="S236" s="165">
        <f>TODAY()</f>
        <v/>
      </c>
      <c r="T236" s="133">
        <f>CONCATENATE(A236," - contiene allergni - prodotto il giorno ",TEXT(Q236,"gg/mm/aaaa"),"")</f>
        <v/>
      </c>
    </row>
    <row r="237" ht="15" customHeight="1" s="155">
      <c r="A237" s="134">
        <f>ric!B237</f>
        <v/>
      </c>
      <c r="B237" s="118">
        <f>ric!C237</f>
        <v/>
      </c>
      <c r="C237" s="125">
        <f>ric!D237</f>
        <v/>
      </c>
      <c r="D237" s="125" t="n"/>
      <c r="E237" s="125" t="n"/>
      <c r="F237" s="125" t="n"/>
      <c r="G237" s="118">
        <f>CONCATENATE(A237, " ",#REF!, " / ",H237)</f>
        <v/>
      </c>
      <c r="H237" s="118" t="n"/>
      <c r="I237" s="119">
        <f>CONCATENATE(M237," - ",J237," - Lotto N° ",K237,"")</f>
        <v/>
      </c>
      <c r="J237" s="118" t="n"/>
      <c r="K237" s="118">
        <f>VLOOKUP(#REF!,Produzione,7,FALSE)</f>
        <v/>
      </c>
      <c r="L237" s="120" t="n"/>
      <c r="M237" s="120" t="n"/>
      <c r="N237" s="118" t="n"/>
      <c r="O237" s="121" t="n"/>
      <c r="P237" s="121" t="n"/>
      <c r="Q237" s="166">
        <f>TODAY()</f>
        <v/>
      </c>
      <c r="R237" s="165">
        <f>ElencoProdotti[[#This Row],[PRODUZIONE]]+20</f>
        <v/>
      </c>
      <c r="S237" s="165">
        <f>TODAY()</f>
        <v/>
      </c>
      <c r="T237" s="133">
        <f>CONCATENATE(A237," - contiene allergni - prodotto il giorno ",TEXT(Q237,"gg/mm/aaaa"),"")</f>
        <v/>
      </c>
    </row>
    <row r="238" ht="15" customHeight="1" s="155">
      <c r="A238" s="134">
        <f>ric!B238</f>
        <v/>
      </c>
      <c r="B238" s="118">
        <f>ric!C238</f>
        <v/>
      </c>
      <c r="C238" s="125">
        <f>ric!D238</f>
        <v/>
      </c>
      <c r="D238" s="125" t="n"/>
      <c r="E238" s="125" t="n"/>
      <c r="F238" s="125" t="n"/>
      <c r="G238" s="118">
        <f>CONCATENATE(A238, " ",#REF!, " / ",H238)</f>
        <v/>
      </c>
      <c r="H238" s="118" t="n"/>
      <c r="I238" s="119">
        <f>CONCATENATE(M238," - ",J238," - Lotto N° ",K238,"")</f>
        <v/>
      </c>
      <c r="J238" s="118" t="n"/>
      <c r="K238" s="118">
        <f>VLOOKUP(#REF!,Produzione,7,FALSE)</f>
        <v/>
      </c>
      <c r="L238" s="120" t="n"/>
      <c r="M238" s="120" t="n"/>
      <c r="N238" s="118" t="n"/>
      <c r="O238" s="121" t="n"/>
      <c r="P238" s="121" t="n"/>
      <c r="Q238" s="166">
        <f>TODAY()</f>
        <v/>
      </c>
      <c r="R238" s="165">
        <f>ElencoProdotti[[#This Row],[PRODUZIONE]]+20</f>
        <v/>
      </c>
      <c r="S238" s="165">
        <f>TODAY()</f>
        <v/>
      </c>
      <c r="T238" s="133">
        <f>CONCATENATE(A238," - contiene allergni - prodotto il giorno ",TEXT(Q238,"gg/mm/aaaa"),"")</f>
        <v/>
      </c>
    </row>
    <row r="239" ht="15" customHeight="1" s="155">
      <c r="A239" s="134">
        <f>ric!B239</f>
        <v/>
      </c>
      <c r="B239" s="118">
        <f>ric!C239</f>
        <v/>
      </c>
      <c r="C239" s="125">
        <f>ric!D239</f>
        <v/>
      </c>
      <c r="D239" s="125" t="n"/>
      <c r="E239" s="125" t="n"/>
      <c r="F239" s="125" t="n"/>
      <c r="G239" s="118">
        <f>CONCATENATE(A239, " ",#REF!, " / ",H239)</f>
        <v/>
      </c>
      <c r="H239" s="118" t="n"/>
      <c r="I239" s="119">
        <f>CONCATENATE(M239," - ",J239," - Lotto N° ",K239,"")</f>
        <v/>
      </c>
      <c r="J239" s="118" t="n"/>
      <c r="K239" s="118">
        <f>VLOOKUP(#REF!,Produzione,7,FALSE)</f>
        <v/>
      </c>
      <c r="L239" s="120" t="n"/>
      <c r="M239" s="120" t="n"/>
      <c r="N239" s="118" t="n"/>
      <c r="O239" s="121" t="n"/>
      <c r="P239" s="121" t="n"/>
      <c r="Q239" s="166">
        <f>TODAY()</f>
        <v/>
      </c>
      <c r="R239" s="165">
        <f>ElencoProdotti[[#This Row],[PRODUZIONE]]+20</f>
        <v/>
      </c>
      <c r="S239" s="165">
        <f>TODAY()</f>
        <v/>
      </c>
      <c r="T239" s="133">
        <f>CONCATENATE(A239," - contiene allergni - prodotto il giorno ",TEXT(Q239,"gg/mm/aaaa"),"")</f>
        <v/>
      </c>
    </row>
    <row r="240" ht="15" customHeight="1" s="155">
      <c r="A240" s="134">
        <f>ric!B240</f>
        <v/>
      </c>
      <c r="B240" s="118">
        <f>ric!C240</f>
        <v/>
      </c>
      <c r="C240" s="125">
        <f>ric!D240</f>
        <v/>
      </c>
      <c r="D240" s="125" t="n"/>
      <c r="E240" s="125" t="n"/>
      <c r="F240" s="125" t="n"/>
      <c r="G240" s="118">
        <f>CONCATENATE(A240, " ",#REF!, " / ",H240)</f>
        <v/>
      </c>
      <c r="H240" s="118" t="n"/>
      <c r="I240" s="119">
        <f>CONCATENATE(M240," - ",J240," - Lotto N° ",K240,"")</f>
        <v/>
      </c>
      <c r="J240" s="118" t="n"/>
      <c r="K240" s="118">
        <f>VLOOKUP(#REF!,Produzione,7,FALSE)</f>
        <v/>
      </c>
      <c r="L240" s="120" t="n"/>
      <c r="M240" s="120" t="n"/>
      <c r="N240" s="118" t="n"/>
      <c r="O240" s="121" t="n"/>
      <c r="P240" s="121" t="n"/>
      <c r="Q240" s="166">
        <f>TODAY()</f>
        <v/>
      </c>
      <c r="R240" s="165">
        <f>ElencoProdotti[[#This Row],[PRODUZIONE]]+20</f>
        <v/>
      </c>
      <c r="S240" s="165">
        <f>TODAY()</f>
        <v/>
      </c>
      <c r="T240" s="133">
        <f>CONCATENATE(A240," - contiene allergni - prodotto il giorno ",TEXT(Q240,"gg/mm/aaaa"),"")</f>
        <v/>
      </c>
    </row>
    <row r="241" ht="15" customHeight="1" s="155">
      <c r="A241" s="134">
        <f>ric!B241</f>
        <v/>
      </c>
      <c r="B241" s="118">
        <f>ric!C241</f>
        <v/>
      </c>
      <c r="C241" s="125">
        <f>ric!D241</f>
        <v/>
      </c>
      <c r="D241" s="125" t="n"/>
      <c r="E241" s="125" t="n"/>
      <c r="F241" s="125" t="n"/>
      <c r="G241" s="118">
        <f>CONCATENATE(A241, " ",#REF!, " / ",H241)</f>
        <v/>
      </c>
      <c r="H241" s="118" t="n"/>
      <c r="I241" s="119">
        <f>CONCATENATE(M241," - ",J241," - Lotto N° ",K241,"")</f>
        <v/>
      </c>
      <c r="J241" s="118" t="n"/>
      <c r="K241" s="118">
        <f>VLOOKUP(#REF!,Produzione,7,FALSE)</f>
        <v/>
      </c>
      <c r="L241" s="120" t="n"/>
      <c r="M241" s="120" t="n"/>
      <c r="N241" s="118" t="n"/>
      <c r="O241" s="121" t="n"/>
      <c r="P241" s="121" t="n"/>
      <c r="Q241" s="166">
        <f>TODAY()</f>
        <v/>
      </c>
      <c r="R241" s="165">
        <f>ElencoProdotti[[#This Row],[PRODUZIONE]]+20</f>
        <v/>
      </c>
      <c r="S241" s="165">
        <f>TODAY()</f>
        <v/>
      </c>
      <c r="T241" s="133">
        <f>CONCATENATE(A241," - contiene allergni - prodotto il giorno ",TEXT(Q241,"gg/mm/aaaa"),"")</f>
        <v/>
      </c>
    </row>
    <row r="242" ht="15" customHeight="1" s="155">
      <c r="A242" s="134">
        <f>ric!B242</f>
        <v/>
      </c>
      <c r="B242" s="118">
        <f>ric!C242</f>
        <v/>
      </c>
      <c r="C242" s="125">
        <f>ric!D242</f>
        <v/>
      </c>
      <c r="D242" s="125" t="n"/>
      <c r="E242" s="125" t="n"/>
      <c r="F242" s="125" t="n"/>
      <c r="G242" s="118">
        <f>CONCATENATE(A242, " ",#REF!, " / ",H242)</f>
        <v/>
      </c>
      <c r="H242" s="118" t="n"/>
      <c r="I242" s="119">
        <f>CONCATENATE(M242," - ",J242," - Lotto N° ",K242,"")</f>
        <v/>
      </c>
      <c r="J242" s="118" t="n"/>
      <c r="K242" s="118">
        <f>VLOOKUP(#REF!,Produzione,7,FALSE)</f>
        <v/>
      </c>
      <c r="L242" s="120" t="n"/>
      <c r="M242" s="120" t="n"/>
      <c r="N242" s="118" t="n"/>
      <c r="O242" s="121" t="n"/>
      <c r="P242" s="121" t="n"/>
      <c r="Q242" s="166">
        <f>TODAY()</f>
        <v/>
      </c>
      <c r="R242" s="165">
        <f>ElencoProdotti[[#This Row],[PRODUZIONE]]+20</f>
        <v/>
      </c>
      <c r="S242" s="165">
        <f>TODAY()</f>
        <v/>
      </c>
      <c r="T242" s="133">
        <f>CONCATENATE(A242," - contiene allergni - prodotto il giorno ",TEXT(Q242,"gg/mm/aaaa"),"")</f>
        <v/>
      </c>
    </row>
    <row r="243" ht="15" customHeight="1" s="155">
      <c r="A243" s="134">
        <f>ric!B243</f>
        <v/>
      </c>
      <c r="B243" s="118">
        <f>ric!C243</f>
        <v/>
      </c>
      <c r="C243" s="125">
        <f>ric!D243</f>
        <v/>
      </c>
      <c r="D243" s="125" t="n"/>
      <c r="E243" s="125" t="n"/>
      <c r="F243" s="125" t="n"/>
      <c r="G243" s="118">
        <f>CONCATENATE(A243, " ",#REF!, " / ",H243)</f>
        <v/>
      </c>
      <c r="H243" s="118" t="n"/>
      <c r="I243" s="119">
        <f>CONCATENATE(M243," - ",J243," - Lotto N° ",K243,"")</f>
        <v/>
      </c>
      <c r="J243" s="118" t="n"/>
      <c r="K243" s="118">
        <f>VLOOKUP(#REF!,Produzione,7,FALSE)</f>
        <v/>
      </c>
      <c r="L243" s="120" t="n"/>
      <c r="M243" s="120" t="n"/>
      <c r="N243" s="118" t="n"/>
      <c r="O243" s="121" t="n"/>
      <c r="P243" s="121" t="n"/>
      <c r="Q243" s="166">
        <f>TODAY()</f>
        <v/>
      </c>
      <c r="R243" s="165">
        <f>ElencoProdotti[[#This Row],[PRODUZIONE]]+20</f>
        <v/>
      </c>
      <c r="S243" s="165">
        <f>TODAY()</f>
        <v/>
      </c>
      <c r="T243" s="133">
        <f>CONCATENATE(A243," - contiene allergni - prodotto il giorno ",TEXT(Q243,"gg/mm/aaaa"),"")</f>
        <v/>
      </c>
    </row>
    <row r="244" ht="15" customHeight="1" s="155">
      <c r="A244" s="134">
        <f>ric!B244</f>
        <v/>
      </c>
      <c r="B244" s="118">
        <f>ric!C244</f>
        <v/>
      </c>
      <c r="C244" s="125">
        <f>ric!D244</f>
        <v/>
      </c>
      <c r="D244" s="125" t="n"/>
      <c r="E244" s="125" t="n"/>
      <c r="F244" s="125" t="n"/>
      <c r="G244" s="118">
        <f>CONCATENATE(A244, " ",#REF!, " / ",H244)</f>
        <v/>
      </c>
      <c r="H244" s="118" t="n"/>
      <c r="I244" s="119">
        <f>CONCATENATE(M244," - ",J244," - Lotto N° ",K244,"")</f>
        <v/>
      </c>
      <c r="J244" s="118" t="n"/>
      <c r="K244" s="118">
        <f>VLOOKUP(#REF!,Produzione,7,FALSE)</f>
        <v/>
      </c>
      <c r="L244" s="120" t="n"/>
      <c r="M244" s="120" t="n"/>
      <c r="N244" s="118" t="n"/>
      <c r="O244" s="121" t="n"/>
      <c r="P244" s="121" t="n"/>
      <c r="Q244" s="166">
        <f>TODAY()</f>
        <v/>
      </c>
      <c r="R244" s="165">
        <f>ElencoProdotti[[#This Row],[PRODUZIONE]]+20</f>
        <v/>
      </c>
      <c r="S244" s="165">
        <f>TODAY()</f>
        <v/>
      </c>
      <c r="T244" s="133">
        <f>CONCATENATE(A244," - contiene allergni - prodotto il giorno ",TEXT(Q244,"gg/mm/aaaa"),"")</f>
        <v/>
      </c>
    </row>
    <row r="245" ht="15" customHeight="1" s="155">
      <c r="A245" s="134">
        <f>ric!B245</f>
        <v/>
      </c>
      <c r="B245" s="118">
        <f>ric!C245</f>
        <v/>
      </c>
      <c r="C245" s="125">
        <f>ric!D245</f>
        <v/>
      </c>
      <c r="D245" s="125" t="n"/>
      <c r="E245" s="125" t="n"/>
      <c r="F245" s="125" t="n"/>
      <c r="G245" s="118">
        <f>CONCATENATE(A245, " ",#REF!, " / ",H245)</f>
        <v/>
      </c>
      <c r="H245" s="118" t="n"/>
      <c r="I245" s="119">
        <f>CONCATENATE(M245," - ",J245," - Lotto N° ",K245,"")</f>
        <v/>
      </c>
      <c r="J245" s="118" t="n"/>
      <c r="K245" s="118">
        <f>VLOOKUP(#REF!,Produzione,7,FALSE)</f>
        <v/>
      </c>
      <c r="L245" s="120" t="n"/>
      <c r="M245" s="120" t="n"/>
      <c r="N245" s="118" t="n"/>
      <c r="O245" s="121" t="n"/>
      <c r="P245" s="121" t="n"/>
      <c r="Q245" s="166">
        <f>TODAY()</f>
        <v/>
      </c>
      <c r="R245" s="165">
        <f>ElencoProdotti[[#This Row],[PRODUZIONE]]+20</f>
        <v/>
      </c>
      <c r="S245" s="165">
        <f>TODAY()</f>
        <v/>
      </c>
      <c r="T245" s="133">
        <f>CONCATENATE(A245," - contiene allergni - prodotto il giorno ",TEXT(Q245,"gg/mm/aaaa"),"")</f>
        <v/>
      </c>
    </row>
    <row r="246" ht="15" customHeight="1" s="155">
      <c r="A246" s="134">
        <f>ric!B246</f>
        <v/>
      </c>
      <c r="B246" s="118">
        <f>ric!C246</f>
        <v/>
      </c>
      <c r="C246" s="125">
        <f>ric!D246</f>
        <v/>
      </c>
      <c r="D246" s="125" t="n"/>
      <c r="E246" s="125" t="n"/>
      <c r="F246" s="125" t="n"/>
      <c r="G246" s="118">
        <f>CONCATENATE(A246, " ",#REF!, " / ",H246)</f>
        <v/>
      </c>
      <c r="H246" s="118" t="n"/>
      <c r="I246" s="119">
        <f>CONCATENATE(M246," - ",J246," - Lotto N° ",K246,"")</f>
        <v/>
      </c>
      <c r="J246" s="118" t="n"/>
      <c r="K246" s="118">
        <f>VLOOKUP(#REF!,Produzione,7,FALSE)</f>
        <v/>
      </c>
      <c r="L246" s="120" t="n"/>
      <c r="M246" s="120" t="n"/>
      <c r="N246" s="118" t="n"/>
      <c r="O246" s="121" t="n"/>
      <c r="P246" s="121" t="n"/>
      <c r="Q246" s="166">
        <f>TODAY()</f>
        <v/>
      </c>
      <c r="R246" s="165">
        <f>ElencoProdotti[[#This Row],[PRODUZIONE]]+20</f>
        <v/>
      </c>
      <c r="S246" s="165">
        <f>TODAY()</f>
        <v/>
      </c>
      <c r="T246" s="133">
        <f>CONCATENATE(A246," - contiene allergni - prodotto il giorno ",TEXT(Q246,"gg/mm/aaaa"),"")</f>
        <v/>
      </c>
    </row>
    <row r="247" ht="15" customHeight="1" s="155">
      <c r="A247" s="134">
        <f>ric!B247</f>
        <v/>
      </c>
      <c r="B247" s="118">
        <f>ric!C247</f>
        <v/>
      </c>
      <c r="C247" s="125">
        <f>ric!D247</f>
        <v/>
      </c>
      <c r="D247" s="125" t="n"/>
      <c r="E247" s="125" t="n"/>
      <c r="F247" s="125" t="n"/>
      <c r="G247" s="118">
        <f>CONCATENATE(A247, " ",#REF!, " / ",H247)</f>
        <v/>
      </c>
      <c r="H247" s="118" t="n"/>
      <c r="I247" s="119">
        <f>CONCATENATE(M247," - ",J247," - Lotto N° ",K247,"")</f>
        <v/>
      </c>
      <c r="J247" s="118" t="n"/>
      <c r="K247" s="118">
        <f>VLOOKUP(#REF!,Produzione,7,FALSE)</f>
        <v/>
      </c>
      <c r="L247" s="120" t="n"/>
      <c r="M247" s="120" t="n"/>
      <c r="N247" s="118" t="n"/>
      <c r="O247" s="121" t="n"/>
      <c r="P247" s="121" t="n"/>
      <c r="Q247" s="166">
        <f>TODAY()</f>
        <v/>
      </c>
      <c r="R247" s="165">
        <f>ElencoProdotti[[#This Row],[PRODUZIONE]]+20</f>
        <v/>
      </c>
      <c r="S247" s="165">
        <f>TODAY()</f>
        <v/>
      </c>
      <c r="T247" s="133">
        <f>CONCATENATE(A247," - contiene allergni - prodotto il giorno ",TEXT(Q247,"gg/mm/aaaa"),"")</f>
        <v/>
      </c>
    </row>
    <row r="248" ht="15" customHeight="1" s="155">
      <c r="A248" s="134">
        <f>ric!B248</f>
        <v/>
      </c>
      <c r="B248" s="118">
        <f>ric!C248</f>
        <v/>
      </c>
      <c r="C248" s="125">
        <f>ric!D248</f>
        <v/>
      </c>
      <c r="D248" s="125" t="n"/>
      <c r="E248" s="125" t="n"/>
      <c r="F248" s="125" t="n"/>
      <c r="G248" s="118">
        <f>CONCATENATE(A248, " ",#REF!, " / ",H248)</f>
        <v/>
      </c>
      <c r="H248" s="118" t="n"/>
      <c r="I248" s="119">
        <f>CONCATENATE(M248," - ",J248," - Lotto N° ",K248,"")</f>
        <v/>
      </c>
      <c r="J248" s="118" t="n"/>
      <c r="K248" s="118">
        <f>VLOOKUP(#REF!,Produzione,7,FALSE)</f>
        <v/>
      </c>
      <c r="L248" s="120" t="n"/>
      <c r="M248" s="120" t="n"/>
      <c r="N248" s="118" t="n"/>
      <c r="O248" s="121" t="n"/>
      <c r="P248" s="121" t="n"/>
      <c r="Q248" s="166">
        <f>TODAY()</f>
        <v/>
      </c>
      <c r="R248" s="165">
        <f>ElencoProdotti[[#This Row],[PRODUZIONE]]+20</f>
        <v/>
      </c>
      <c r="S248" s="165">
        <f>TODAY()</f>
        <v/>
      </c>
      <c r="T248" s="133">
        <f>CONCATENATE(A248," - contiene allergni - prodotto il giorno ",TEXT(Q248,"gg/mm/aaaa"),"")</f>
        <v/>
      </c>
    </row>
    <row r="249" ht="15" customHeight="1" s="155">
      <c r="A249" s="134">
        <f>ric!B249</f>
        <v/>
      </c>
      <c r="B249" s="118">
        <f>ric!C249</f>
        <v/>
      </c>
      <c r="C249" s="125">
        <f>ric!D249</f>
        <v/>
      </c>
      <c r="D249" s="125" t="n"/>
      <c r="E249" s="125" t="n"/>
      <c r="F249" s="125" t="n"/>
      <c r="G249" s="118">
        <f>CONCATENATE(A249, " ",#REF!, " / ",H249)</f>
        <v/>
      </c>
      <c r="H249" s="118" t="n"/>
      <c r="I249" s="119">
        <f>CONCATENATE(M249," - ",J249," - Lotto N° ",K249,"")</f>
        <v/>
      </c>
      <c r="J249" s="118" t="n"/>
      <c r="K249" s="118">
        <f>VLOOKUP(#REF!,Produzione,7,FALSE)</f>
        <v/>
      </c>
      <c r="L249" s="120" t="n"/>
      <c r="M249" s="120" t="n"/>
      <c r="N249" s="118" t="n"/>
      <c r="O249" s="121" t="n"/>
      <c r="P249" s="121" t="n"/>
      <c r="Q249" s="166">
        <f>TODAY()</f>
        <v/>
      </c>
      <c r="R249" s="165">
        <f>ElencoProdotti[[#This Row],[PRODUZIONE]]+20</f>
        <v/>
      </c>
      <c r="S249" s="165">
        <f>TODAY()</f>
        <v/>
      </c>
      <c r="T249" s="133">
        <f>CONCATENATE(A249," - contiene allergni - prodotto il giorno ",TEXT(Q249,"gg/mm/aaaa"),"")</f>
        <v/>
      </c>
    </row>
    <row r="250" ht="15" customHeight="1" s="155">
      <c r="A250" s="134">
        <f>ric!B250</f>
        <v/>
      </c>
      <c r="B250" s="118">
        <f>ric!C250</f>
        <v/>
      </c>
      <c r="C250" s="125">
        <f>ric!D250</f>
        <v/>
      </c>
      <c r="D250" s="125" t="n"/>
      <c r="E250" s="125" t="n"/>
      <c r="F250" s="125" t="n"/>
      <c r="G250" s="118">
        <f>CONCATENATE(A250, " ",#REF!, " / ",H250)</f>
        <v/>
      </c>
      <c r="H250" s="118" t="n"/>
      <c r="I250" s="119">
        <f>CONCATENATE(M250," - ",J250," - Lotto N° ",K250,"")</f>
        <v/>
      </c>
      <c r="J250" s="118" t="n"/>
      <c r="K250" s="118">
        <f>VLOOKUP(#REF!,Produzione,7,FALSE)</f>
        <v/>
      </c>
      <c r="L250" s="120" t="n"/>
      <c r="M250" s="120" t="n"/>
      <c r="N250" s="118" t="n"/>
      <c r="O250" s="121" t="n"/>
      <c r="P250" s="121" t="n"/>
      <c r="Q250" s="166">
        <f>TODAY()</f>
        <v/>
      </c>
      <c r="R250" s="165">
        <f>ElencoProdotti[[#This Row],[PRODUZIONE]]+20</f>
        <v/>
      </c>
      <c r="S250" s="165">
        <f>TODAY()</f>
        <v/>
      </c>
      <c r="T250" s="133">
        <f>CONCATENATE(A250," - contiene allergni - prodotto il giorno ",TEXT(Q250,"gg/mm/aaaa"),"")</f>
        <v/>
      </c>
    </row>
    <row r="251" ht="15" customHeight="1" s="155">
      <c r="A251" s="134">
        <f>ric!B251</f>
        <v/>
      </c>
      <c r="B251" s="118">
        <f>ric!C251</f>
        <v/>
      </c>
      <c r="C251" s="125">
        <f>ric!D251</f>
        <v/>
      </c>
      <c r="D251" s="125" t="n"/>
      <c r="E251" s="125" t="n"/>
      <c r="F251" s="125" t="n"/>
      <c r="G251" s="118">
        <f>CONCATENATE(A251, " ",#REF!, " / ",H251)</f>
        <v/>
      </c>
      <c r="H251" s="118" t="n"/>
      <c r="I251" s="119">
        <f>CONCATENATE(M251," - ",J251," - Lotto N° ",K251,"")</f>
        <v/>
      </c>
      <c r="J251" s="118" t="n"/>
      <c r="K251" s="118">
        <f>VLOOKUP(#REF!,Produzione,7,FALSE)</f>
        <v/>
      </c>
      <c r="L251" s="120" t="n"/>
      <c r="M251" s="120" t="n"/>
      <c r="N251" s="118" t="n"/>
      <c r="O251" s="121" t="n"/>
      <c r="P251" s="121" t="n"/>
      <c r="Q251" s="166">
        <f>TODAY()</f>
        <v/>
      </c>
      <c r="R251" s="165">
        <f>ElencoProdotti[[#This Row],[PRODUZIONE]]+20</f>
        <v/>
      </c>
      <c r="S251" s="165">
        <f>TODAY()</f>
        <v/>
      </c>
      <c r="T251" s="133">
        <f>CONCATENATE(A251," - contiene allergni - prodotto il giorno ",TEXT(Q251,"gg/mm/aaaa"),"")</f>
        <v/>
      </c>
    </row>
    <row r="252" ht="15" customHeight="1" s="155">
      <c r="A252" s="134">
        <f>ric!B252</f>
        <v/>
      </c>
      <c r="B252" s="118">
        <f>ric!C252</f>
        <v/>
      </c>
      <c r="C252" s="125">
        <f>ric!D252</f>
        <v/>
      </c>
      <c r="D252" s="125" t="n"/>
      <c r="E252" s="125" t="n"/>
      <c r="F252" s="125" t="n"/>
      <c r="G252" s="118">
        <f>CONCATENATE(A252, " ",#REF!, " / ",H252)</f>
        <v/>
      </c>
      <c r="H252" s="118" t="n"/>
      <c r="I252" s="119">
        <f>CONCATENATE(M252," - ",J252," - Lotto N° ",K252,"")</f>
        <v/>
      </c>
      <c r="J252" s="118" t="n"/>
      <c r="K252" s="118">
        <f>VLOOKUP(#REF!,Produzione,7,FALSE)</f>
        <v/>
      </c>
      <c r="L252" s="120" t="n"/>
      <c r="M252" s="120" t="n"/>
      <c r="N252" s="118" t="n"/>
      <c r="O252" s="121" t="n"/>
      <c r="P252" s="121" t="n"/>
      <c r="Q252" s="166">
        <f>TODAY()</f>
        <v/>
      </c>
      <c r="R252" s="165">
        <f>ElencoProdotti[[#This Row],[PRODUZIONE]]+20</f>
        <v/>
      </c>
      <c r="S252" s="165">
        <f>TODAY()</f>
        <v/>
      </c>
      <c r="T252" s="133">
        <f>CONCATENATE(A252," - contiene allergni - prodotto il giorno ",TEXT(Q252,"gg/mm/aaaa"),"")</f>
        <v/>
      </c>
    </row>
    <row r="253" ht="15" customHeight="1" s="155">
      <c r="A253" s="134">
        <f>ric!B253</f>
        <v/>
      </c>
      <c r="B253" s="118">
        <f>ric!C253</f>
        <v/>
      </c>
      <c r="C253" s="125">
        <f>ric!D253</f>
        <v/>
      </c>
      <c r="D253" s="125" t="n"/>
      <c r="E253" s="125" t="n"/>
      <c r="F253" s="125" t="n"/>
      <c r="G253" s="118">
        <f>CONCATENATE(A253, " ",#REF!, " / ",H253)</f>
        <v/>
      </c>
      <c r="H253" s="118" t="n"/>
      <c r="I253" s="119">
        <f>CONCATENATE(M253," - ",J253," - Lotto N° ",K253,"")</f>
        <v/>
      </c>
      <c r="J253" s="118" t="n"/>
      <c r="K253" s="118">
        <f>VLOOKUP(#REF!,Produzione,7,FALSE)</f>
        <v/>
      </c>
      <c r="L253" s="120" t="n"/>
      <c r="M253" s="120" t="n"/>
      <c r="N253" s="118" t="n"/>
      <c r="O253" s="121" t="n"/>
      <c r="P253" s="121" t="n"/>
      <c r="Q253" s="166">
        <f>TODAY()</f>
        <v/>
      </c>
      <c r="R253" s="165">
        <f>ElencoProdotti[[#This Row],[PRODUZIONE]]+20</f>
        <v/>
      </c>
      <c r="S253" s="165">
        <f>TODAY()</f>
        <v/>
      </c>
      <c r="T253" s="133">
        <f>CONCATENATE(A253," - contiene allergni - prodotto il giorno ",TEXT(Q253,"gg/mm/aaaa"),"")</f>
        <v/>
      </c>
    </row>
    <row r="254" ht="15" customHeight="1" s="155">
      <c r="A254" s="134">
        <f>ric!B254</f>
        <v/>
      </c>
      <c r="B254" s="118">
        <f>ric!C254</f>
        <v/>
      </c>
      <c r="C254" s="125">
        <f>ric!D254</f>
        <v/>
      </c>
      <c r="D254" s="125" t="n"/>
      <c r="E254" s="125" t="n"/>
      <c r="F254" s="125" t="n"/>
      <c r="G254" s="118">
        <f>CONCATENATE(A254, " ",#REF!, " / ",H254)</f>
        <v/>
      </c>
      <c r="H254" s="118" t="n"/>
      <c r="I254" s="119">
        <f>CONCATENATE(M254," - ",J254," - Lotto N° ",K254,"")</f>
        <v/>
      </c>
      <c r="J254" s="118" t="n"/>
      <c r="K254" s="118">
        <f>VLOOKUP(#REF!,Produzione,7,FALSE)</f>
        <v/>
      </c>
      <c r="L254" s="120" t="n"/>
      <c r="M254" s="120" t="n"/>
      <c r="N254" s="118" t="n"/>
      <c r="O254" s="121" t="n"/>
      <c r="P254" s="121" t="n"/>
      <c r="Q254" s="166">
        <f>TODAY()</f>
        <v/>
      </c>
      <c r="R254" s="165">
        <f>ElencoProdotti[[#This Row],[PRODUZIONE]]+20</f>
        <v/>
      </c>
      <c r="S254" s="165">
        <f>TODAY()</f>
        <v/>
      </c>
      <c r="T254" s="133">
        <f>CONCATENATE(A254," - contiene allergni - prodotto il giorno ",TEXT(Q254,"gg/mm/aaaa"),"")</f>
        <v/>
      </c>
    </row>
    <row r="255" ht="15" customHeight="1" s="155">
      <c r="A255" s="134">
        <f>ric!B255</f>
        <v/>
      </c>
      <c r="B255" s="118">
        <f>ric!C255</f>
        <v/>
      </c>
      <c r="C255" s="125">
        <f>ric!D255</f>
        <v/>
      </c>
      <c r="D255" s="125" t="n"/>
      <c r="E255" s="125" t="n"/>
      <c r="F255" s="125" t="n"/>
      <c r="G255" s="118">
        <f>CONCATENATE(A255, " ",#REF!, " / ",H255)</f>
        <v/>
      </c>
      <c r="H255" s="118" t="n"/>
      <c r="I255" s="119">
        <f>CONCATENATE(M255," - ",J255," - Lotto N° ",K255,"")</f>
        <v/>
      </c>
      <c r="J255" s="118" t="n"/>
      <c r="K255" s="118">
        <f>VLOOKUP(#REF!,Produzione,7,FALSE)</f>
        <v/>
      </c>
      <c r="L255" s="120" t="n"/>
      <c r="M255" s="120" t="n"/>
      <c r="N255" s="118" t="n"/>
      <c r="O255" s="121" t="n"/>
      <c r="P255" s="121" t="n"/>
      <c r="Q255" s="166">
        <f>TODAY()</f>
        <v/>
      </c>
      <c r="R255" s="165">
        <f>ElencoProdotti[[#This Row],[PRODUZIONE]]+20</f>
        <v/>
      </c>
      <c r="S255" s="165">
        <f>TODAY()</f>
        <v/>
      </c>
      <c r="T255" s="133">
        <f>CONCATENATE(A255," - contiene allergni - prodotto il giorno ",TEXT(Q255,"gg/mm/aaaa"),"")</f>
        <v/>
      </c>
    </row>
    <row r="256" ht="15" customHeight="1" s="155">
      <c r="A256" s="134">
        <f>ric!B256</f>
        <v/>
      </c>
      <c r="B256" s="118">
        <f>ric!C256</f>
        <v/>
      </c>
      <c r="C256" s="125">
        <f>ric!D256</f>
        <v/>
      </c>
      <c r="D256" s="125" t="n"/>
      <c r="E256" s="125" t="n"/>
      <c r="F256" s="125" t="n"/>
      <c r="G256" s="118">
        <f>CONCATENATE(A256, " ",#REF!, " / ",H256)</f>
        <v/>
      </c>
      <c r="H256" s="118" t="n"/>
      <c r="I256" s="119">
        <f>CONCATENATE(M256," - ",J256," - Lotto N° ",K256,"")</f>
        <v/>
      </c>
      <c r="J256" s="118" t="n"/>
      <c r="K256" s="118">
        <f>VLOOKUP(#REF!,Produzione,7,FALSE)</f>
        <v/>
      </c>
      <c r="L256" s="120" t="n"/>
      <c r="M256" s="120" t="n"/>
      <c r="N256" s="118" t="n"/>
      <c r="O256" s="121" t="n"/>
      <c r="P256" s="121" t="n"/>
      <c r="Q256" s="166">
        <f>TODAY()</f>
        <v/>
      </c>
      <c r="R256" s="165">
        <f>ElencoProdotti[[#This Row],[PRODUZIONE]]+20</f>
        <v/>
      </c>
      <c r="S256" s="165">
        <f>TODAY()</f>
        <v/>
      </c>
      <c r="T256" s="133">
        <f>CONCATENATE(A256," - contiene allergni - prodotto il giorno ",TEXT(Q256,"gg/mm/aaaa"),"")</f>
        <v/>
      </c>
    </row>
    <row r="257" ht="15" customHeight="1" s="155">
      <c r="A257" s="134">
        <f>ric!B257</f>
        <v/>
      </c>
      <c r="B257" s="118">
        <f>ric!C257</f>
        <v/>
      </c>
      <c r="C257" s="125">
        <f>ric!D257</f>
        <v/>
      </c>
      <c r="D257" s="125" t="n"/>
      <c r="E257" s="125" t="n"/>
      <c r="F257" s="125" t="n"/>
      <c r="G257" s="118">
        <f>CONCATENATE(A257, " ",#REF!, " / ",H257)</f>
        <v/>
      </c>
      <c r="H257" s="118" t="n"/>
      <c r="I257" s="119">
        <f>CONCATENATE(M257," - ",J257," - Lotto N° ",K257,"")</f>
        <v/>
      </c>
      <c r="J257" s="118" t="n"/>
      <c r="K257" s="118">
        <f>VLOOKUP(#REF!,Produzione,7,FALSE)</f>
        <v/>
      </c>
      <c r="L257" s="120" t="n"/>
      <c r="M257" s="120" t="n"/>
      <c r="N257" s="118" t="n"/>
      <c r="O257" s="121" t="n"/>
      <c r="P257" s="121" t="n"/>
      <c r="Q257" s="166">
        <f>TODAY()</f>
        <v/>
      </c>
      <c r="R257" s="165">
        <f>ElencoProdotti[[#This Row],[PRODUZIONE]]+20</f>
        <v/>
      </c>
      <c r="S257" s="165">
        <f>TODAY()</f>
        <v/>
      </c>
      <c r="T257" s="133">
        <f>CONCATENATE(A257," - contiene allergni - prodotto il giorno ",TEXT(Q257,"gg/mm/aaaa"),"")</f>
        <v/>
      </c>
    </row>
    <row r="258" ht="15" customHeight="1" s="155">
      <c r="A258" s="134">
        <f>ric!B258</f>
        <v/>
      </c>
      <c r="B258" s="118">
        <f>ric!C258</f>
        <v/>
      </c>
      <c r="C258" s="125">
        <f>ric!D258</f>
        <v/>
      </c>
      <c r="D258" s="125" t="n"/>
      <c r="E258" s="125" t="n"/>
      <c r="F258" s="125" t="n"/>
      <c r="G258" s="118">
        <f>CONCATENATE(A258, " ",#REF!, " / ",H258)</f>
        <v/>
      </c>
      <c r="H258" s="118" t="n"/>
      <c r="I258" s="119">
        <f>CONCATENATE(M258," - ",J258," - Lotto N° ",K258,"")</f>
        <v/>
      </c>
      <c r="J258" s="118" t="n"/>
      <c r="K258" s="118">
        <f>VLOOKUP(#REF!,Produzione,7,FALSE)</f>
        <v/>
      </c>
      <c r="L258" s="120" t="n"/>
      <c r="M258" s="120" t="n"/>
      <c r="N258" s="118" t="n"/>
      <c r="O258" s="121" t="n"/>
      <c r="P258" s="121" t="n"/>
      <c r="Q258" s="166">
        <f>TODAY()</f>
        <v/>
      </c>
      <c r="R258" s="165">
        <f>ElencoProdotti[[#This Row],[PRODUZIONE]]+20</f>
        <v/>
      </c>
      <c r="S258" s="165">
        <f>TODAY()</f>
        <v/>
      </c>
      <c r="T258" s="133">
        <f>CONCATENATE(A258," - contiene allergni - prodotto il giorno ",TEXT(Q258,"gg/mm/aaaa"),"")</f>
        <v/>
      </c>
    </row>
    <row r="259" ht="15" customHeight="1" s="155">
      <c r="A259" s="134">
        <f>ric!B259</f>
        <v/>
      </c>
      <c r="B259" s="118">
        <f>ric!C259</f>
        <v/>
      </c>
      <c r="C259" s="125">
        <f>ric!D259</f>
        <v/>
      </c>
      <c r="D259" s="125" t="n"/>
      <c r="E259" s="125" t="n"/>
      <c r="F259" s="125" t="n"/>
      <c r="G259" s="118">
        <f>CONCATENATE(A259, " ",#REF!, " / ",H259)</f>
        <v/>
      </c>
      <c r="H259" s="118" t="n"/>
      <c r="I259" s="119">
        <f>CONCATENATE(M259," - ",J259," - Lotto N° ",K259,"")</f>
        <v/>
      </c>
      <c r="J259" s="118" t="n"/>
      <c r="K259" s="118">
        <f>VLOOKUP(#REF!,Produzione,7,FALSE)</f>
        <v/>
      </c>
      <c r="L259" s="120" t="n"/>
      <c r="M259" s="120" t="n"/>
      <c r="N259" s="118" t="n"/>
      <c r="O259" s="121" t="n"/>
      <c r="P259" s="121" t="n"/>
      <c r="Q259" s="166">
        <f>TODAY()</f>
        <v/>
      </c>
      <c r="R259" s="165">
        <f>ElencoProdotti[[#This Row],[PRODUZIONE]]+20</f>
        <v/>
      </c>
      <c r="S259" s="165">
        <f>TODAY()</f>
        <v/>
      </c>
      <c r="T259" s="133">
        <f>CONCATENATE(A259," - contiene allergni - prodotto il giorno ",TEXT(Q259,"gg/mm/aaaa"),"")</f>
        <v/>
      </c>
    </row>
    <row r="260" ht="15" customHeight="1" s="155">
      <c r="A260" s="134">
        <f>ric!B260</f>
        <v/>
      </c>
      <c r="B260" s="118">
        <f>ric!C260</f>
        <v/>
      </c>
      <c r="C260" s="125">
        <f>ric!D260</f>
        <v/>
      </c>
      <c r="D260" s="125" t="n"/>
      <c r="E260" s="125" t="n"/>
      <c r="F260" s="125" t="n"/>
      <c r="G260" s="118">
        <f>CONCATENATE(A260, " ",#REF!, " / ",H260)</f>
        <v/>
      </c>
      <c r="H260" s="118" t="n"/>
      <c r="I260" s="119">
        <f>CONCATENATE(M260," - ",J260," - Lotto N° ",K260,"")</f>
        <v/>
      </c>
      <c r="J260" s="118" t="n"/>
      <c r="K260" s="118">
        <f>VLOOKUP(#REF!,Produzione,7,FALSE)</f>
        <v/>
      </c>
      <c r="L260" s="120" t="n"/>
      <c r="M260" s="120" t="n"/>
      <c r="N260" s="118" t="n"/>
      <c r="O260" s="121" t="n"/>
      <c r="P260" s="121" t="n"/>
      <c r="Q260" s="166">
        <f>TODAY()</f>
        <v/>
      </c>
      <c r="R260" s="165">
        <f>ElencoProdotti[[#This Row],[PRODUZIONE]]+20</f>
        <v/>
      </c>
      <c r="S260" s="165">
        <f>TODAY()</f>
        <v/>
      </c>
      <c r="T260" s="133">
        <f>CONCATENATE(A260," - contiene allergni - prodotto il giorno ",TEXT(Q260,"gg/mm/aaaa"),"")</f>
        <v/>
      </c>
    </row>
    <row r="261" ht="15" customHeight="1" s="155">
      <c r="A261" s="134">
        <f>ric!B261</f>
        <v/>
      </c>
      <c r="B261" s="118">
        <f>ric!C261</f>
        <v/>
      </c>
      <c r="C261" s="125">
        <f>ric!D261</f>
        <v/>
      </c>
      <c r="D261" s="125" t="n"/>
      <c r="E261" s="125" t="n"/>
      <c r="F261" s="125" t="n"/>
      <c r="G261" s="118">
        <f>CONCATENATE(A261, " ",#REF!, " / ",H261)</f>
        <v/>
      </c>
      <c r="H261" s="118" t="n"/>
      <c r="I261" s="119">
        <f>CONCATENATE(M261," - ",J261," - Lotto N° ",K261,"")</f>
        <v/>
      </c>
      <c r="J261" s="118" t="n"/>
      <c r="K261" s="118">
        <f>VLOOKUP(#REF!,Produzione,7,FALSE)</f>
        <v/>
      </c>
      <c r="L261" s="120" t="n"/>
      <c r="M261" s="120" t="n"/>
      <c r="N261" s="118" t="n"/>
      <c r="O261" s="121" t="n"/>
      <c r="P261" s="121" t="n"/>
      <c r="Q261" s="166">
        <f>TODAY()</f>
        <v/>
      </c>
      <c r="R261" s="165">
        <f>ElencoProdotti[[#This Row],[PRODUZIONE]]+20</f>
        <v/>
      </c>
      <c r="S261" s="165">
        <f>TODAY()</f>
        <v/>
      </c>
      <c r="T261" s="133">
        <f>CONCATENATE(A261," - contiene allergni - prodotto il giorno ",TEXT(Q261,"gg/mm/aaaa"),"")</f>
        <v/>
      </c>
    </row>
    <row r="262" ht="15" customHeight="1" s="155">
      <c r="A262" s="134">
        <f>ric!B262</f>
        <v/>
      </c>
      <c r="B262" s="118">
        <f>ric!C262</f>
        <v/>
      </c>
      <c r="C262" s="125">
        <f>ric!D262</f>
        <v/>
      </c>
      <c r="D262" s="125" t="n"/>
      <c r="E262" s="125" t="n"/>
      <c r="F262" s="125" t="n"/>
      <c r="G262" s="118">
        <f>CONCATENATE(A262, " ",#REF!, " / ",H262)</f>
        <v/>
      </c>
      <c r="H262" s="118" t="n"/>
      <c r="I262" s="119">
        <f>CONCATENATE(M262," - ",J262," - Lotto N° ",K262,"")</f>
        <v/>
      </c>
      <c r="J262" s="118" t="n"/>
      <c r="K262" s="118">
        <f>VLOOKUP(#REF!,Produzione,7,FALSE)</f>
        <v/>
      </c>
      <c r="L262" s="120" t="n"/>
      <c r="M262" s="120" t="n"/>
      <c r="N262" s="118" t="n"/>
      <c r="O262" s="121" t="n"/>
      <c r="P262" s="121" t="n"/>
      <c r="Q262" s="166">
        <f>TODAY()</f>
        <v/>
      </c>
      <c r="R262" s="165">
        <f>ElencoProdotti[[#This Row],[PRODUZIONE]]+20</f>
        <v/>
      </c>
      <c r="S262" s="165">
        <f>TODAY()</f>
        <v/>
      </c>
      <c r="T262" s="133">
        <f>CONCATENATE(A262," - contiene allergni - prodotto il giorno ",TEXT(Q262,"gg/mm/aaaa"),"")</f>
        <v/>
      </c>
    </row>
    <row r="263" ht="15" customHeight="1" s="155">
      <c r="A263" s="134">
        <f>ric!B263</f>
        <v/>
      </c>
      <c r="B263" s="118">
        <f>ric!C263</f>
        <v/>
      </c>
      <c r="C263" s="125">
        <f>ric!D263</f>
        <v/>
      </c>
      <c r="D263" s="125" t="n"/>
      <c r="E263" s="125" t="n"/>
      <c r="F263" s="125" t="n"/>
      <c r="G263" s="118">
        <f>CONCATENATE(A263, " ",#REF!, " / ",H263)</f>
        <v/>
      </c>
      <c r="H263" s="118" t="n"/>
      <c r="I263" s="119">
        <f>CONCATENATE(M263," - ",J263," - Lotto N° ",K263,"")</f>
        <v/>
      </c>
      <c r="J263" s="118" t="n"/>
      <c r="K263" s="118">
        <f>VLOOKUP(#REF!,Produzione,7,FALSE)</f>
        <v/>
      </c>
      <c r="L263" s="120" t="n"/>
      <c r="M263" s="120" t="n"/>
      <c r="N263" s="118" t="n"/>
      <c r="O263" s="121" t="n"/>
      <c r="P263" s="121" t="n"/>
      <c r="Q263" s="166">
        <f>TODAY()</f>
        <v/>
      </c>
      <c r="R263" s="165">
        <f>ElencoProdotti[[#This Row],[PRODUZIONE]]+20</f>
        <v/>
      </c>
      <c r="S263" s="165">
        <f>TODAY()</f>
        <v/>
      </c>
      <c r="T263" s="133">
        <f>CONCATENATE(A263," - contiene allergni - prodotto il giorno ",TEXT(Q263,"gg/mm/aaaa"),"")</f>
        <v/>
      </c>
    </row>
    <row r="264" ht="15" customHeight="1" s="155">
      <c r="A264" s="134">
        <f>ric!B264</f>
        <v/>
      </c>
      <c r="B264" s="118">
        <f>ric!C264</f>
        <v/>
      </c>
      <c r="C264" s="125">
        <f>ric!D264</f>
        <v/>
      </c>
      <c r="D264" s="125" t="n"/>
      <c r="E264" s="125" t="n"/>
      <c r="F264" s="125" t="n"/>
      <c r="G264" s="118">
        <f>CONCATENATE(A264, " ",#REF!, " / ",H264)</f>
        <v/>
      </c>
      <c r="H264" s="118" t="n"/>
      <c r="I264" s="119">
        <f>CONCATENATE(M264," - ",J264," - Lotto N° ",K264,"")</f>
        <v/>
      </c>
      <c r="J264" s="118" t="n"/>
      <c r="K264" s="118">
        <f>VLOOKUP(#REF!,Produzione,7,FALSE)</f>
        <v/>
      </c>
      <c r="L264" s="120" t="n"/>
      <c r="M264" s="120" t="n"/>
      <c r="N264" s="118" t="n"/>
      <c r="O264" s="121" t="n"/>
      <c r="P264" s="121" t="n"/>
      <c r="Q264" s="166">
        <f>TODAY()</f>
        <v/>
      </c>
      <c r="R264" s="165">
        <f>ElencoProdotti[[#This Row],[PRODUZIONE]]+20</f>
        <v/>
      </c>
      <c r="S264" s="165">
        <f>TODAY()</f>
        <v/>
      </c>
      <c r="T264" s="133">
        <f>CONCATENATE(A264," - contiene allergni - prodotto il giorno ",TEXT(Q264,"gg/mm/aaaa"),"")</f>
        <v/>
      </c>
    </row>
    <row r="265" ht="15" customHeight="1" s="155">
      <c r="A265" s="134">
        <f>ric!B265</f>
        <v/>
      </c>
      <c r="B265" s="118">
        <f>ric!C265</f>
        <v/>
      </c>
      <c r="C265" s="125">
        <f>ric!D265</f>
        <v/>
      </c>
      <c r="D265" s="125" t="n"/>
      <c r="E265" s="125" t="n"/>
      <c r="F265" s="125" t="n"/>
      <c r="G265" s="118">
        <f>CONCATENATE(A265, " ",#REF!, " / ",H265)</f>
        <v/>
      </c>
      <c r="H265" s="118" t="n"/>
      <c r="I265" s="119">
        <f>CONCATENATE(M265," - ",J265," - Lotto N° ",K265,"")</f>
        <v/>
      </c>
      <c r="J265" s="118" t="n"/>
      <c r="K265" s="118">
        <f>VLOOKUP(#REF!,Produzione,7,FALSE)</f>
        <v/>
      </c>
      <c r="L265" s="120" t="n"/>
      <c r="M265" s="120" t="n"/>
      <c r="N265" s="118" t="n"/>
      <c r="O265" s="121" t="n"/>
      <c r="P265" s="121" t="n"/>
      <c r="Q265" s="166">
        <f>TODAY()</f>
        <v/>
      </c>
      <c r="R265" s="165">
        <f>ElencoProdotti[[#This Row],[PRODUZIONE]]+20</f>
        <v/>
      </c>
      <c r="S265" s="165">
        <f>TODAY()</f>
        <v/>
      </c>
      <c r="T265" s="133">
        <f>CONCATENATE(A265," - contiene allergni - prodotto il giorno ",TEXT(Q265,"gg/mm/aaaa"),"")</f>
        <v/>
      </c>
    </row>
    <row r="266" ht="15" customHeight="1" s="155">
      <c r="A266" s="134">
        <f>ric!B266</f>
        <v/>
      </c>
      <c r="B266" s="118">
        <f>ric!C266</f>
        <v/>
      </c>
      <c r="C266" s="125">
        <f>ric!D266</f>
        <v/>
      </c>
      <c r="D266" s="125" t="n"/>
      <c r="E266" s="125" t="n"/>
      <c r="F266" s="125" t="n"/>
      <c r="G266" s="118">
        <f>CONCATENATE(A266, " ",#REF!, " / ",H266)</f>
        <v/>
      </c>
      <c r="H266" s="118" t="n"/>
      <c r="I266" s="119">
        <f>CONCATENATE(M266," - ",J266," - Lotto N° ",K266,"")</f>
        <v/>
      </c>
      <c r="J266" s="118" t="n"/>
      <c r="K266" s="118">
        <f>VLOOKUP(#REF!,Produzione,7,FALSE)</f>
        <v/>
      </c>
      <c r="L266" s="120" t="n"/>
      <c r="M266" s="120" t="n"/>
      <c r="N266" s="118" t="n"/>
      <c r="O266" s="121" t="n"/>
      <c r="P266" s="121" t="n"/>
      <c r="Q266" s="166">
        <f>TODAY()</f>
        <v/>
      </c>
      <c r="R266" s="165">
        <f>ElencoProdotti[[#This Row],[PRODUZIONE]]+20</f>
        <v/>
      </c>
      <c r="S266" s="165">
        <f>TODAY()</f>
        <v/>
      </c>
      <c r="T266" s="133">
        <f>CONCATENATE(A266," - contiene allergni - prodotto il giorno ",TEXT(Q266,"gg/mm/aaaa"),"")</f>
        <v/>
      </c>
    </row>
    <row r="267" ht="15" customHeight="1" s="155">
      <c r="A267" s="134">
        <f>ric!B267</f>
        <v/>
      </c>
      <c r="B267" s="118">
        <f>ric!C267</f>
        <v/>
      </c>
      <c r="C267" s="125">
        <f>ric!D267</f>
        <v/>
      </c>
      <c r="D267" s="125" t="n"/>
      <c r="E267" s="125" t="n"/>
      <c r="F267" s="125" t="n"/>
      <c r="G267" s="118">
        <f>CONCATENATE(A267, " ",#REF!, " / ",H267)</f>
        <v/>
      </c>
      <c r="H267" s="118" t="n"/>
      <c r="I267" s="119">
        <f>CONCATENATE(M267," - ",J267," - Lotto N° ",K267,"")</f>
        <v/>
      </c>
      <c r="J267" s="118" t="n"/>
      <c r="K267" s="118">
        <f>VLOOKUP(#REF!,Produzione,7,FALSE)</f>
        <v/>
      </c>
      <c r="L267" s="120" t="n"/>
      <c r="M267" s="120" t="n"/>
      <c r="N267" s="118" t="n"/>
      <c r="O267" s="121" t="n"/>
      <c r="P267" s="121" t="n"/>
      <c r="Q267" s="166">
        <f>TODAY()</f>
        <v/>
      </c>
      <c r="R267" s="165">
        <f>ElencoProdotti[[#This Row],[PRODUZIONE]]+20</f>
        <v/>
      </c>
      <c r="S267" s="165">
        <f>TODAY()</f>
        <v/>
      </c>
      <c r="T267" s="133">
        <f>CONCATENATE(A267," - contiene allergni - prodotto il giorno ",TEXT(Q267,"gg/mm/aaaa"),"")</f>
        <v/>
      </c>
    </row>
    <row r="268" ht="15" customHeight="1" s="155">
      <c r="A268" s="134">
        <f>ric!B268</f>
        <v/>
      </c>
      <c r="B268" s="118">
        <f>ric!C268</f>
        <v/>
      </c>
      <c r="C268" s="125">
        <f>ric!D268</f>
        <v/>
      </c>
      <c r="D268" s="125" t="n"/>
      <c r="E268" s="125" t="n"/>
      <c r="F268" s="125" t="n"/>
      <c r="G268" s="118">
        <f>CONCATENATE(A268, " ",#REF!, " / ",H268)</f>
        <v/>
      </c>
      <c r="H268" s="118" t="n"/>
      <c r="I268" s="119">
        <f>CONCATENATE(M268," - ",J268," - Lotto N° ",K268,"")</f>
        <v/>
      </c>
      <c r="J268" s="118" t="n"/>
      <c r="K268" s="118">
        <f>VLOOKUP(#REF!,Produzione,7,FALSE)</f>
        <v/>
      </c>
      <c r="L268" s="120" t="n"/>
      <c r="M268" s="120" t="n"/>
      <c r="N268" s="118" t="n"/>
      <c r="O268" s="121" t="n"/>
      <c r="P268" s="121" t="n"/>
      <c r="Q268" s="166">
        <f>TODAY()</f>
        <v/>
      </c>
      <c r="R268" s="165">
        <f>ElencoProdotti[[#This Row],[PRODUZIONE]]+20</f>
        <v/>
      </c>
      <c r="S268" s="165">
        <f>TODAY()</f>
        <v/>
      </c>
      <c r="T268" s="133">
        <f>CONCATENATE(A268," - contiene allergni - prodotto il giorno ",TEXT(Q268,"gg/mm/aaaa"),"")</f>
        <v/>
      </c>
    </row>
    <row r="269" ht="15" customHeight="1" s="155">
      <c r="A269" s="134">
        <f>ric!B269</f>
        <v/>
      </c>
      <c r="B269" s="118">
        <f>ric!C269</f>
        <v/>
      </c>
      <c r="C269" s="125">
        <f>ric!D269</f>
        <v/>
      </c>
      <c r="D269" s="125" t="n"/>
      <c r="E269" s="125" t="n"/>
      <c r="F269" s="125" t="n"/>
      <c r="G269" s="118">
        <f>CONCATENATE(A269, " ",#REF!, " / ",H269)</f>
        <v/>
      </c>
      <c r="H269" s="118" t="n"/>
      <c r="I269" s="119">
        <f>CONCATENATE(M269," - ",J269," - Lotto N° ",K269,"")</f>
        <v/>
      </c>
      <c r="J269" s="118" t="n"/>
      <c r="K269" s="118">
        <f>VLOOKUP(#REF!,Produzione,7,FALSE)</f>
        <v/>
      </c>
      <c r="L269" s="120" t="n"/>
      <c r="M269" s="120" t="n"/>
      <c r="N269" s="118" t="n"/>
      <c r="O269" s="121" t="n"/>
      <c r="P269" s="121" t="n"/>
      <c r="Q269" s="166">
        <f>TODAY()</f>
        <v/>
      </c>
      <c r="R269" s="165">
        <f>ElencoProdotti[[#This Row],[PRODUZIONE]]+20</f>
        <v/>
      </c>
      <c r="S269" s="165">
        <f>TODAY()</f>
        <v/>
      </c>
      <c r="T269" s="133">
        <f>CONCATENATE(A269," - contiene allergni - prodotto il giorno ",TEXT(Q269,"gg/mm/aaaa"),"")</f>
        <v/>
      </c>
    </row>
    <row r="270" ht="15" customHeight="1" s="155">
      <c r="A270" s="134">
        <f>ric!B270</f>
        <v/>
      </c>
      <c r="B270" s="118">
        <f>ric!C270</f>
        <v/>
      </c>
      <c r="C270" s="125">
        <f>ric!D270</f>
        <v/>
      </c>
      <c r="D270" s="125" t="n"/>
      <c r="E270" s="125" t="n"/>
      <c r="F270" s="125" t="n"/>
      <c r="G270" s="118">
        <f>CONCATENATE(A270, " ",#REF!, " / ",H270)</f>
        <v/>
      </c>
      <c r="H270" s="118" t="n"/>
      <c r="I270" s="119">
        <f>CONCATENATE(M270," - ",J270," - Lotto N° ",K270,"")</f>
        <v/>
      </c>
      <c r="J270" s="118" t="n"/>
      <c r="K270" s="118">
        <f>VLOOKUP(#REF!,Produzione,7,FALSE)</f>
        <v/>
      </c>
      <c r="L270" s="120" t="n"/>
      <c r="M270" s="120" t="n"/>
      <c r="N270" s="118" t="n"/>
      <c r="O270" s="121" t="n"/>
      <c r="P270" s="121" t="n"/>
      <c r="Q270" s="166">
        <f>TODAY()</f>
        <v/>
      </c>
      <c r="R270" s="165">
        <f>ElencoProdotti[[#This Row],[PRODUZIONE]]+20</f>
        <v/>
      </c>
      <c r="S270" s="165">
        <f>TODAY()</f>
        <v/>
      </c>
      <c r="T270" s="133">
        <f>CONCATENATE(A270," - contiene allergni - prodotto il giorno ",TEXT(Q270,"gg/mm/aaaa"),"")</f>
        <v/>
      </c>
    </row>
    <row r="271" ht="15" customHeight="1" s="155">
      <c r="A271" s="134">
        <f>ric!B271</f>
        <v/>
      </c>
      <c r="B271" s="118">
        <f>ric!C271</f>
        <v/>
      </c>
      <c r="C271" s="125">
        <f>ric!D271</f>
        <v/>
      </c>
      <c r="D271" s="125" t="n"/>
      <c r="E271" s="125" t="n"/>
      <c r="F271" s="125" t="n"/>
      <c r="G271" s="118">
        <f>CONCATENATE(A271, " ",#REF!, " / ",H271)</f>
        <v/>
      </c>
      <c r="H271" s="118" t="n"/>
      <c r="I271" s="119">
        <f>CONCATENATE(M271," - ",J271," - Lotto N° ",K271,"")</f>
        <v/>
      </c>
      <c r="J271" s="118" t="n"/>
      <c r="K271" s="118">
        <f>VLOOKUP(#REF!,Produzione,7,FALSE)</f>
        <v/>
      </c>
      <c r="L271" s="120" t="n"/>
      <c r="M271" s="120" t="n"/>
      <c r="N271" s="118" t="n"/>
      <c r="O271" s="121" t="n"/>
      <c r="P271" s="121" t="n"/>
      <c r="Q271" s="166">
        <f>TODAY()</f>
        <v/>
      </c>
      <c r="R271" s="165">
        <f>ElencoProdotti[[#This Row],[PRODUZIONE]]+20</f>
        <v/>
      </c>
      <c r="S271" s="165">
        <f>TODAY()</f>
        <v/>
      </c>
      <c r="T271" s="133">
        <f>CONCATENATE(A271," - contiene allergni - prodotto il giorno ",TEXT(Q271,"gg/mm/aaaa"),"")</f>
        <v/>
      </c>
    </row>
    <row r="272" ht="15" customHeight="1" s="155">
      <c r="A272" s="134">
        <f>ric!B272</f>
        <v/>
      </c>
      <c r="B272" s="118">
        <f>ric!C272</f>
        <v/>
      </c>
      <c r="C272" s="125">
        <f>ric!D272</f>
        <v/>
      </c>
      <c r="D272" s="125" t="n"/>
      <c r="E272" s="125" t="n"/>
      <c r="F272" s="125" t="n"/>
      <c r="G272" s="118">
        <f>CONCATENATE(A272, " ",#REF!, " / ",H272)</f>
        <v/>
      </c>
      <c r="H272" s="118" t="n"/>
      <c r="I272" s="119">
        <f>CONCATENATE(M272," - ",J272," - Lotto N° ",K272,"")</f>
        <v/>
      </c>
      <c r="J272" s="118" t="n"/>
      <c r="K272" s="118">
        <f>VLOOKUP(#REF!,Produzione,7,FALSE)</f>
        <v/>
      </c>
      <c r="L272" s="120" t="n"/>
      <c r="M272" s="120" t="n"/>
      <c r="N272" s="118" t="n"/>
      <c r="O272" s="121" t="n"/>
      <c r="P272" s="121" t="n"/>
      <c r="Q272" s="166">
        <f>TODAY()</f>
        <v/>
      </c>
      <c r="R272" s="165">
        <f>ElencoProdotti[[#This Row],[PRODUZIONE]]+20</f>
        <v/>
      </c>
      <c r="S272" s="165">
        <f>TODAY()</f>
        <v/>
      </c>
      <c r="T272" s="133">
        <f>CONCATENATE(A272," - contiene allergni - prodotto il giorno ",TEXT(Q272,"gg/mm/aaaa"),"")</f>
        <v/>
      </c>
    </row>
    <row r="273" ht="15" customHeight="1" s="155">
      <c r="A273" s="134">
        <f>ric!B273</f>
        <v/>
      </c>
      <c r="B273" s="118">
        <f>ric!C273</f>
        <v/>
      </c>
      <c r="C273" s="125">
        <f>ric!D273</f>
        <v/>
      </c>
      <c r="D273" s="125" t="n"/>
      <c r="E273" s="125" t="n"/>
      <c r="F273" s="125" t="n"/>
      <c r="G273" s="118">
        <f>CONCATENATE(A273, " ",#REF!, " / ",H273)</f>
        <v/>
      </c>
      <c r="H273" s="118" t="n"/>
      <c r="I273" s="119">
        <f>CONCATENATE(M273," - ",J273," - Lotto N° ",K273,"")</f>
        <v/>
      </c>
      <c r="J273" s="118" t="n"/>
      <c r="K273" s="118">
        <f>VLOOKUP(#REF!,Produzione,7,FALSE)</f>
        <v/>
      </c>
      <c r="L273" s="120" t="n"/>
      <c r="M273" s="120" t="n"/>
      <c r="N273" s="118" t="n"/>
      <c r="O273" s="121" t="n"/>
      <c r="P273" s="121" t="n"/>
      <c r="Q273" s="166">
        <f>TODAY()</f>
        <v/>
      </c>
      <c r="R273" s="165">
        <f>ElencoProdotti[[#This Row],[PRODUZIONE]]+20</f>
        <v/>
      </c>
      <c r="S273" s="165">
        <f>TODAY()</f>
        <v/>
      </c>
      <c r="T273" s="133">
        <f>CONCATENATE(A273," - contiene allergni - prodotto il giorno ",TEXT(Q273,"gg/mm/aaaa"),"")</f>
        <v/>
      </c>
    </row>
    <row r="274" ht="15" customHeight="1" s="155">
      <c r="A274" s="134">
        <f>ric!B274</f>
        <v/>
      </c>
      <c r="B274" s="118">
        <f>ric!C274</f>
        <v/>
      </c>
      <c r="C274" s="125">
        <f>ric!D274</f>
        <v/>
      </c>
      <c r="D274" s="125" t="n"/>
      <c r="E274" s="125" t="n"/>
      <c r="F274" s="125" t="n"/>
      <c r="G274" s="118">
        <f>CONCATENATE(A274, " ",#REF!, " / ",H274)</f>
        <v/>
      </c>
      <c r="H274" s="118" t="n"/>
      <c r="I274" s="119">
        <f>CONCATENATE(M274," - ",J274," - Lotto N° ",K274,"")</f>
        <v/>
      </c>
      <c r="J274" s="118" t="n"/>
      <c r="K274" s="118">
        <f>VLOOKUP(#REF!,Produzione,7,FALSE)</f>
        <v/>
      </c>
      <c r="L274" s="120" t="n"/>
      <c r="M274" s="120" t="n"/>
      <c r="N274" s="118" t="n"/>
      <c r="O274" s="121" t="n"/>
      <c r="P274" s="121" t="n"/>
      <c r="Q274" s="166">
        <f>TODAY()</f>
        <v/>
      </c>
      <c r="R274" s="165">
        <f>ElencoProdotti[[#This Row],[PRODUZIONE]]+20</f>
        <v/>
      </c>
      <c r="S274" s="165">
        <f>TODAY()</f>
        <v/>
      </c>
      <c r="T274" s="133">
        <f>CONCATENATE(A274," - contiene allergni - prodotto il giorno ",TEXT(Q274,"gg/mm/aaaa"),"")</f>
        <v/>
      </c>
    </row>
    <row r="275" ht="15" customHeight="1" s="155">
      <c r="A275" s="134">
        <f>ric!B275</f>
        <v/>
      </c>
      <c r="B275" s="118">
        <f>ric!C275</f>
        <v/>
      </c>
      <c r="C275" s="125">
        <f>ric!D275</f>
        <v/>
      </c>
      <c r="D275" s="125" t="n"/>
      <c r="E275" s="125" t="n"/>
      <c r="F275" s="125" t="n"/>
      <c r="G275" s="118">
        <f>CONCATENATE(A275, " ",#REF!, " / ",H275)</f>
        <v/>
      </c>
      <c r="H275" s="118" t="n"/>
      <c r="I275" s="119">
        <f>CONCATENATE(M275," - ",J275," - Lotto N° ",K275,"")</f>
        <v/>
      </c>
      <c r="J275" s="118" t="n"/>
      <c r="K275" s="118">
        <f>VLOOKUP(#REF!,Produzione,7,FALSE)</f>
        <v/>
      </c>
      <c r="L275" s="120" t="n"/>
      <c r="M275" s="120" t="n"/>
      <c r="N275" s="118" t="n"/>
      <c r="O275" s="121" t="n"/>
      <c r="P275" s="121" t="n"/>
      <c r="Q275" s="166">
        <f>TODAY()</f>
        <v/>
      </c>
      <c r="R275" s="165">
        <f>ElencoProdotti[[#This Row],[PRODUZIONE]]+20</f>
        <v/>
      </c>
      <c r="S275" s="165">
        <f>TODAY()</f>
        <v/>
      </c>
      <c r="T275" s="133">
        <f>CONCATENATE(A275," - contiene allergni - prodotto il giorno ",TEXT(Q275,"gg/mm/aaaa"),"")</f>
        <v/>
      </c>
    </row>
    <row r="276" ht="15" customHeight="1" s="155">
      <c r="A276" s="134">
        <f>ric!B276</f>
        <v/>
      </c>
      <c r="B276" s="118">
        <f>ric!C276</f>
        <v/>
      </c>
      <c r="C276" s="125">
        <f>ric!D276</f>
        <v/>
      </c>
      <c r="D276" s="125" t="n"/>
      <c r="E276" s="125" t="n"/>
      <c r="F276" s="125" t="n"/>
      <c r="G276" s="118">
        <f>CONCATENATE(A276, " ",#REF!, " / ",H276)</f>
        <v/>
      </c>
      <c r="H276" s="118" t="n"/>
      <c r="I276" s="119">
        <f>CONCATENATE(M276," - ",J276," - Lotto N° ",K276,"")</f>
        <v/>
      </c>
      <c r="J276" s="118" t="n"/>
      <c r="K276" s="118">
        <f>VLOOKUP(#REF!,Produzione,7,FALSE)</f>
        <v/>
      </c>
      <c r="L276" s="120" t="n"/>
      <c r="M276" s="120" t="n"/>
      <c r="N276" s="118" t="n"/>
      <c r="O276" s="121" t="n"/>
      <c r="P276" s="121" t="n"/>
      <c r="Q276" s="166">
        <f>TODAY()</f>
        <v/>
      </c>
      <c r="R276" s="165">
        <f>ElencoProdotti[[#This Row],[PRODUZIONE]]+20</f>
        <v/>
      </c>
      <c r="S276" s="165">
        <f>TODAY()</f>
        <v/>
      </c>
      <c r="T276" s="133">
        <f>CONCATENATE(A276," - contiene allergni - prodotto il giorno ",TEXT(Q276,"gg/mm/aaaa"),"")</f>
        <v/>
      </c>
    </row>
    <row r="277" ht="15" customHeight="1" s="155">
      <c r="A277" s="134">
        <f>ric!B277</f>
        <v/>
      </c>
      <c r="B277" s="118">
        <f>ric!C277</f>
        <v/>
      </c>
      <c r="C277" s="125">
        <f>ric!D277</f>
        <v/>
      </c>
      <c r="D277" s="125" t="n"/>
      <c r="E277" s="125" t="n"/>
      <c r="F277" s="125" t="n"/>
      <c r="G277" s="118">
        <f>CONCATENATE(A277, " ",#REF!, " / ",H277)</f>
        <v/>
      </c>
      <c r="H277" s="118" t="n"/>
      <c r="I277" s="119">
        <f>CONCATENATE(M277," - ",J277," - Lotto N° ",K277,"")</f>
        <v/>
      </c>
      <c r="J277" s="118" t="n"/>
      <c r="K277" s="118">
        <f>VLOOKUP(#REF!,Produzione,7,FALSE)</f>
        <v/>
      </c>
      <c r="L277" s="120" t="n"/>
      <c r="M277" s="120" t="n"/>
      <c r="N277" s="118" t="n"/>
      <c r="O277" s="121" t="n"/>
      <c r="P277" s="121" t="n"/>
      <c r="Q277" s="166">
        <f>TODAY()</f>
        <v/>
      </c>
      <c r="R277" s="165">
        <f>ElencoProdotti[[#This Row],[PRODUZIONE]]+20</f>
        <v/>
      </c>
      <c r="S277" s="165">
        <f>TODAY()</f>
        <v/>
      </c>
      <c r="T277" s="133">
        <f>CONCATENATE(A277," - contiene allergni - prodotto il giorno ",TEXT(Q277,"gg/mm/aaaa"),"")</f>
        <v/>
      </c>
    </row>
    <row r="278" ht="15" customHeight="1" s="155">
      <c r="A278" s="134">
        <f>ric!B278</f>
        <v/>
      </c>
      <c r="B278" s="118">
        <f>ric!C278</f>
        <v/>
      </c>
      <c r="C278" s="125">
        <f>ric!D278</f>
        <v/>
      </c>
      <c r="D278" s="125" t="n"/>
      <c r="E278" s="125" t="n"/>
      <c r="F278" s="125" t="n"/>
      <c r="G278" s="118">
        <f>CONCATENATE(A278, " ",#REF!, " / ",H278)</f>
        <v/>
      </c>
      <c r="H278" s="118" t="n"/>
      <c r="I278" s="119">
        <f>CONCATENATE(M278," - ",J278," - Lotto N° ",K278,"")</f>
        <v/>
      </c>
      <c r="J278" s="118" t="n"/>
      <c r="K278" s="118">
        <f>VLOOKUP(#REF!,Produzione,7,FALSE)</f>
        <v/>
      </c>
      <c r="L278" s="120" t="n"/>
      <c r="M278" s="120" t="n"/>
      <c r="N278" s="118" t="n"/>
      <c r="O278" s="121" t="n"/>
      <c r="P278" s="121" t="n"/>
      <c r="Q278" s="166">
        <f>TODAY()</f>
        <v/>
      </c>
      <c r="R278" s="165">
        <f>ElencoProdotti[[#This Row],[PRODUZIONE]]+20</f>
        <v/>
      </c>
      <c r="S278" s="165">
        <f>TODAY()</f>
        <v/>
      </c>
      <c r="T278" s="133">
        <f>CONCATENATE(A278," - contiene allergni - prodotto il giorno ",TEXT(Q278,"gg/mm/aaaa"),"")</f>
        <v/>
      </c>
    </row>
    <row r="279" ht="15" customHeight="1" s="155">
      <c r="A279" s="134">
        <f>ric!B279</f>
        <v/>
      </c>
      <c r="B279" s="118">
        <f>ric!C279</f>
        <v/>
      </c>
      <c r="C279" s="125">
        <f>ric!D279</f>
        <v/>
      </c>
      <c r="D279" s="125" t="n"/>
      <c r="E279" s="125" t="n"/>
      <c r="F279" s="125" t="n"/>
      <c r="G279" s="118">
        <f>CONCATENATE(A279, " ",#REF!, " / ",H279)</f>
        <v/>
      </c>
      <c r="H279" s="118" t="n"/>
      <c r="I279" s="119">
        <f>CONCATENATE(M279," - ",J279," - Lotto N° ",K279,"")</f>
        <v/>
      </c>
      <c r="J279" s="118" t="n"/>
      <c r="K279" s="118">
        <f>VLOOKUP(#REF!,Produzione,7,FALSE)</f>
        <v/>
      </c>
      <c r="L279" s="120" t="n"/>
      <c r="M279" s="120" t="n"/>
      <c r="N279" s="118" t="n"/>
      <c r="O279" s="121" t="n"/>
      <c r="P279" s="121" t="n"/>
      <c r="Q279" s="166">
        <f>TODAY()</f>
        <v/>
      </c>
      <c r="R279" s="165">
        <f>ElencoProdotti[[#This Row],[PRODUZIONE]]+20</f>
        <v/>
      </c>
      <c r="S279" s="165">
        <f>TODAY()</f>
        <v/>
      </c>
      <c r="T279" s="133">
        <f>CONCATENATE(A279," - contiene allergni - prodotto il giorno ",TEXT(Q279,"gg/mm/aaaa"),"")</f>
        <v/>
      </c>
    </row>
    <row r="280" ht="15" customHeight="1" s="155">
      <c r="A280" s="134">
        <f>ric!B280</f>
        <v/>
      </c>
      <c r="B280" s="118">
        <f>ric!C280</f>
        <v/>
      </c>
      <c r="C280" s="125">
        <f>ric!D280</f>
        <v/>
      </c>
      <c r="D280" s="125" t="n"/>
      <c r="E280" s="125" t="n"/>
      <c r="F280" s="125" t="n"/>
      <c r="G280" s="118">
        <f>CONCATENATE(A280, " ",#REF!, " / ",H280)</f>
        <v/>
      </c>
      <c r="H280" s="118" t="n"/>
      <c r="I280" s="119">
        <f>CONCATENATE(M280," - ",J280," - Lotto N° ",K280,"")</f>
        <v/>
      </c>
      <c r="J280" s="118" t="n"/>
      <c r="K280" s="118">
        <f>VLOOKUP(#REF!,Produzione,7,FALSE)</f>
        <v/>
      </c>
      <c r="L280" s="120" t="n"/>
      <c r="M280" s="120" t="n"/>
      <c r="N280" s="118" t="n"/>
      <c r="O280" s="121" t="n"/>
      <c r="P280" s="121" t="n"/>
      <c r="Q280" s="166">
        <f>TODAY()</f>
        <v/>
      </c>
      <c r="R280" s="165">
        <f>ElencoProdotti[[#This Row],[PRODUZIONE]]+20</f>
        <v/>
      </c>
      <c r="S280" s="165">
        <f>TODAY()</f>
        <v/>
      </c>
      <c r="T280" s="133">
        <f>CONCATENATE(A280," - contiene allergni - prodotto il giorno ",TEXT(Q280,"gg/mm/aaaa"),"")</f>
        <v/>
      </c>
    </row>
    <row r="281" ht="15" customHeight="1" s="155">
      <c r="A281" s="134">
        <f>ric!B281</f>
        <v/>
      </c>
      <c r="B281" s="118">
        <f>ric!C281</f>
        <v/>
      </c>
      <c r="C281" s="125">
        <f>ric!D281</f>
        <v/>
      </c>
      <c r="D281" s="125" t="n"/>
      <c r="E281" s="125" t="n"/>
      <c r="F281" s="125" t="n"/>
      <c r="G281" s="118">
        <f>CONCATENATE(A281, " ",#REF!, " / ",H281)</f>
        <v/>
      </c>
      <c r="H281" s="118" t="n"/>
      <c r="I281" s="119">
        <f>CONCATENATE(M281," - ",J281," - Lotto N° ",K281,"")</f>
        <v/>
      </c>
      <c r="J281" s="118" t="n"/>
      <c r="K281" s="118">
        <f>VLOOKUP(#REF!,Produzione,7,FALSE)</f>
        <v/>
      </c>
      <c r="L281" s="120" t="n"/>
      <c r="M281" s="120" t="n"/>
      <c r="N281" s="118" t="n"/>
      <c r="O281" s="121" t="n"/>
      <c r="P281" s="121" t="n"/>
      <c r="Q281" s="166">
        <f>TODAY()</f>
        <v/>
      </c>
      <c r="R281" s="165">
        <f>ElencoProdotti[[#This Row],[PRODUZIONE]]+20</f>
        <v/>
      </c>
      <c r="S281" s="165">
        <f>TODAY()</f>
        <v/>
      </c>
      <c r="T281" s="133">
        <f>CONCATENATE(A281," - contiene allergni - prodotto il giorno ",TEXT(Q281,"gg/mm/aaaa"),"")</f>
        <v/>
      </c>
    </row>
    <row r="282" ht="15" customHeight="1" s="155">
      <c r="A282" s="134">
        <f>ric!B282</f>
        <v/>
      </c>
      <c r="B282" s="118">
        <f>ric!C282</f>
        <v/>
      </c>
      <c r="C282" s="125">
        <f>ric!D282</f>
        <v/>
      </c>
      <c r="D282" s="125" t="n"/>
      <c r="E282" s="125" t="n"/>
      <c r="F282" s="125" t="n"/>
      <c r="G282" s="118">
        <f>CONCATENATE(A282, " ",#REF!, " / ",H282)</f>
        <v/>
      </c>
      <c r="H282" s="118" t="n"/>
      <c r="I282" s="119">
        <f>CONCATENATE(M282," - ",J282," - Lotto N° ",K282,"")</f>
        <v/>
      </c>
      <c r="J282" s="118" t="n"/>
      <c r="K282" s="118">
        <f>VLOOKUP(#REF!,Produzione,7,FALSE)</f>
        <v/>
      </c>
      <c r="L282" s="120" t="n"/>
      <c r="M282" s="120" t="n"/>
      <c r="N282" s="118" t="n"/>
      <c r="O282" s="121" t="n"/>
      <c r="P282" s="121" t="n"/>
      <c r="Q282" s="166">
        <f>TODAY()</f>
        <v/>
      </c>
      <c r="R282" s="165">
        <f>ElencoProdotti[[#This Row],[PRODUZIONE]]+20</f>
        <v/>
      </c>
      <c r="S282" s="165">
        <f>TODAY()</f>
        <v/>
      </c>
      <c r="T282" s="133">
        <f>CONCATENATE(A282," - contiene allergni - prodotto il giorno ",TEXT(Q282,"gg/mm/aaaa"),"")</f>
        <v/>
      </c>
    </row>
    <row r="283" ht="15" customHeight="1" s="155">
      <c r="A283" s="134">
        <f>ric!B283</f>
        <v/>
      </c>
      <c r="B283" s="118">
        <f>ric!C283</f>
        <v/>
      </c>
      <c r="C283" s="125">
        <f>ric!D283</f>
        <v/>
      </c>
      <c r="D283" s="125" t="n"/>
      <c r="E283" s="125" t="n"/>
      <c r="F283" s="125" t="n"/>
      <c r="G283" s="118">
        <f>CONCATENATE(A283, " ",#REF!, " / ",H283)</f>
        <v/>
      </c>
      <c r="H283" s="118" t="n"/>
      <c r="I283" s="119">
        <f>CONCATENATE(M283," - ",J283," - Lotto N° ",K283,"")</f>
        <v/>
      </c>
      <c r="J283" s="118" t="n"/>
      <c r="K283" s="118">
        <f>VLOOKUP(#REF!,Produzione,7,FALSE)</f>
        <v/>
      </c>
      <c r="L283" s="120" t="n"/>
      <c r="M283" s="120" t="n"/>
      <c r="N283" s="118" t="n"/>
      <c r="O283" s="121" t="n"/>
      <c r="P283" s="121" t="n"/>
      <c r="Q283" s="166">
        <f>TODAY()</f>
        <v/>
      </c>
      <c r="R283" s="165">
        <f>ElencoProdotti[[#This Row],[PRODUZIONE]]+20</f>
        <v/>
      </c>
      <c r="S283" s="165">
        <f>TODAY()</f>
        <v/>
      </c>
      <c r="T283" s="133">
        <f>CONCATENATE(A283," - contiene allergni - prodotto il giorno ",TEXT(Q283,"gg/mm/aaaa"),"")</f>
        <v/>
      </c>
    </row>
    <row r="284" ht="15" customHeight="1" s="155">
      <c r="A284" s="134">
        <f>ric!B284</f>
        <v/>
      </c>
      <c r="B284" s="118">
        <f>ric!C284</f>
        <v/>
      </c>
      <c r="C284" s="125">
        <f>ric!D284</f>
        <v/>
      </c>
      <c r="D284" s="125" t="n"/>
      <c r="E284" s="125" t="n"/>
      <c r="F284" s="125" t="n"/>
      <c r="G284" s="118">
        <f>CONCATENATE(A284, " ",#REF!, " / ",H284)</f>
        <v/>
      </c>
      <c r="H284" s="118" t="n"/>
      <c r="I284" s="119">
        <f>CONCATENATE(M284," - ",J284," - Lotto N° ",K284,"")</f>
        <v/>
      </c>
      <c r="J284" s="118" t="n"/>
      <c r="K284" s="118">
        <f>VLOOKUP(#REF!,Produzione,7,FALSE)</f>
        <v/>
      </c>
      <c r="L284" s="120" t="n"/>
      <c r="M284" s="120" t="n"/>
      <c r="N284" s="118" t="n"/>
      <c r="O284" s="121" t="n"/>
      <c r="P284" s="121" t="n"/>
      <c r="Q284" s="166">
        <f>TODAY()</f>
        <v/>
      </c>
      <c r="R284" s="165">
        <f>ElencoProdotti[[#This Row],[PRODUZIONE]]+20</f>
        <v/>
      </c>
      <c r="S284" s="165">
        <f>TODAY()</f>
        <v/>
      </c>
      <c r="T284" s="133">
        <f>CONCATENATE(A284," - contiene allergni - prodotto il giorno ",TEXT(Q284,"gg/mm/aaaa"),"")</f>
        <v/>
      </c>
    </row>
    <row r="285" ht="15" customHeight="1" s="155">
      <c r="A285" s="134">
        <f>ric!B285</f>
        <v/>
      </c>
      <c r="B285" s="118">
        <f>ric!C285</f>
        <v/>
      </c>
      <c r="C285" s="125">
        <f>ric!D285</f>
        <v/>
      </c>
      <c r="D285" s="125" t="n"/>
      <c r="E285" s="125" t="n"/>
      <c r="F285" s="125" t="n"/>
      <c r="G285" s="118">
        <f>CONCATENATE(A285, " ",#REF!, " / ",H285)</f>
        <v/>
      </c>
      <c r="H285" s="118" t="n"/>
      <c r="I285" s="119">
        <f>CONCATENATE(M285," - ",J285," - Lotto N° ",K285,"")</f>
        <v/>
      </c>
      <c r="J285" s="118" t="n"/>
      <c r="K285" s="118">
        <f>VLOOKUP(#REF!,Produzione,7,FALSE)</f>
        <v/>
      </c>
      <c r="L285" s="120" t="n"/>
      <c r="M285" s="120" t="n"/>
      <c r="N285" s="118" t="n"/>
      <c r="O285" s="121" t="n"/>
      <c r="P285" s="121" t="n"/>
      <c r="Q285" s="166">
        <f>TODAY()</f>
        <v/>
      </c>
      <c r="R285" s="165">
        <f>ElencoProdotti[[#This Row],[PRODUZIONE]]+20</f>
        <v/>
      </c>
      <c r="S285" s="165">
        <f>TODAY()</f>
        <v/>
      </c>
      <c r="T285" s="133">
        <f>CONCATENATE(A285," - contiene allergni - prodotto il giorno ",TEXT(Q285,"gg/mm/aaaa"),"")</f>
        <v/>
      </c>
    </row>
    <row r="286" ht="15" customHeight="1" s="155">
      <c r="A286" s="134">
        <f>ric!B286</f>
        <v/>
      </c>
      <c r="B286" s="118">
        <f>ric!C286</f>
        <v/>
      </c>
      <c r="C286" s="125">
        <f>ric!D286</f>
        <v/>
      </c>
      <c r="D286" s="125" t="n"/>
      <c r="E286" s="125" t="n"/>
      <c r="F286" s="125" t="n"/>
      <c r="G286" s="118">
        <f>CONCATENATE(A286, " ",#REF!, " / ",H286)</f>
        <v/>
      </c>
      <c r="H286" s="118" t="n"/>
      <c r="I286" s="119">
        <f>CONCATENATE(M286," - ",J286," - Lotto N° ",K286,"")</f>
        <v/>
      </c>
      <c r="J286" s="118" t="n"/>
      <c r="K286" s="118">
        <f>VLOOKUP(#REF!,Produzione,7,FALSE)</f>
        <v/>
      </c>
      <c r="L286" s="120" t="n"/>
      <c r="M286" s="120" t="n"/>
      <c r="N286" s="118" t="n"/>
      <c r="O286" s="121" t="n"/>
      <c r="P286" s="121" t="n"/>
      <c r="Q286" s="166">
        <f>TODAY()</f>
        <v/>
      </c>
      <c r="R286" s="165">
        <f>ElencoProdotti[[#This Row],[PRODUZIONE]]+20</f>
        <v/>
      </c>
      <c r="S286" s="165">
        <f>TODAY()</f>
        <v/>
      </c>
      <c r="T286" s="133">
        <f>CONCATENATE(A286," - contiene allergni - prodotto il giorno ",TEXT(Q286,"gg/mm/aaaa"),"")</f>
        <v/>
      </c>
    </row>
    <row r="287" ht="15" customHeight="1" s="155">
      <c r="A287" s="134">
        <f>ric!B287</f>
        <v/>
      </c>
      <c r="B287" s="118">
        <f>ric!C287</f>
        <v/>
      </c>
      <c r="C287" s="125">
        <f>ric!D287</f>
        <v/>
      </c>
      <c r="D287" s="125" t="n"/>
      <c r="E287" s="125" t="n"/>
      <c r="F287" s="125" t="n"/>
      <c r="G287" s="118">
        <f>CONCATENATE(A287, " ",#REF!, " / ",H287)</f>
        <v/>
      </c>
      <c r="H287" s="118" t="n"/>
      <c r="I287" s="119">
        <f>CONCATENATE(M287," - ",J287," - Lotto N° ",K287,"")</f>
        <v/>
      </c>
      <c r="J287" s="118" t="n"/>
      <c r="K287" s="118">
        <f>VLOOKUP(#REF!,Produzione,7,FALSE)</f>
        <v/>
      </c>
      <c r="L287" s="120" t="n"/>
      <c r="M287" s="120" t="n"/>
      <c r="N287" s="118" t="n"/>
      <c r="O287" s="121" t="n"/>
      <c r="P287" s="121" t="n"/>
      <c r="Q287" s="166">
        <f>TODAY()</f>
        <v/>
      </c>
      <c r="R287" s="165">
        <f>ElencoProdotti[[#This Row],[PRODUZIONE]]+20</f>
        <v/>
      </c>
      <c r="S287" s="165">
        <f>TODAY()</f>
        <v/>
      </c>
      <c r="T287" s="133">
        <f>CONCATENATE(A287," - contiene allergni - prodotto il giorno ",TEXT(Q287,"gg/mm/aaaa"),"")</f>
        <v/>
      </c>
    </row>
    <row r="288" ht="15" customHeight="1" s="155">
      <c r="A288" s="134">
        <f>ric!B288</f>
        <v/>
      </c>
      <c r="B288" s="118">
        <f>ric!C288</f>
        <v/>
      </c>
      <c r="C288" s="125">
        <f>ric!D288</f>
        <v/>
      </c>
      <c r="D288" s="125" t="n"/>
      <c r="E288" s="125" t="n"/>
      <c r="F288" s="125" t="n"/>
      <c r="G288" s="118">
        <f>CONCATENATE(A288, " ",#REF!, " / ",H288)</f>
        <v/>
      </c>
      <c r="H288" s="118" t="n"/>
      <c r="I288" s="119">
        <f>CONCATENATE(M288," - ",J288," - Lotto N° ",K288,"")</f>
        <v/>
      </c>
      <c r="J288" s="118" t="n"/>
      <c r="K288" s="118">
        <f>VLOOKUP(#REF!,Produzione,7,FALSE)</f>
        <v/>
      </c>
      <c r="L288" s="120" t="n"/>
      <c r="M288" s="120" t="n"/>
      <c r="N288" s="118" t="n"/>
      <c r="O288" s="121" t="n"/>
      <c r="P288" s="121" t="n"/>
      <c r="Q288" s="166">
        <f>TODAY()</f>
        <v/>
      </c>
      <c r="R288" s="165">
        <f>ElencoProdotti[[#This Row],[PRODUZIONE]]+20</f>
        <v/>
      </c>
      <c r="S288" s="165">
        <f>TODAY()</f>
        <v/>
      </c>
      <c r="T288" s="133">
        <f>CONCATENATE(A288," - contiene allergni - prodotto il giorno ",TEXT(Q288,"gg/mm/aaaa"),"")</f>
        <v/>
      </c>
    </row>
    <row r="289" ht="15" customHeight="1" s="155">
      <c r="A289" s="134">
        <f>ric!B289</f>
        <v/>
      </c>
      <c r="B289" s="118">
        <f>ric!C289</f>
        <v/>
      </c>
      <c r="C289" s="125">
        <f>ric!D289</f>
        <v/>
      </c>
      <c r="D289" s="125" t="n"/>
      <c r="E289" s="125" t="n"/>
      <c r="F289" s="125" t="n"/>
      <c r="G289" s="118">
        <f>CONCATENATE(A289, " ",#REF!, " / ",H289)</f>
        <v/>
      </c>
      <c r="H289" s="118" t="n"/>
      <c r="I289" s="119">
        <f>CONCATENATE(M289," - ",J289," - Lotto N° ",K289,"")</f>
        <v/>
      </c>
      <c r="J289" s="118" t="n"/>
      <c r="K289" s="118">
        <f>VLOOKUP(#REF!,Produzione,7,FALSE)</f>
        <v/>
      </c>
      <c r="L289" s="120" t="n"/>
      <c r="M289" s="120" t="n"/>
      <c r="N289" s="118" t="n"/>
      <c r="O289" s="121" t="n"/>
      <c r="P289" s="121" t="n"/>
      <c r="Q289" s="166">
        <f>TODAY()</f>
        <v/>
      </c>
      <c r="R289" s="165">
        <f>ElencoProdotti[[#This Row],[PRODUZIONE]]+20</f>
        <v/>
      </c>
      <c r="S289" s="165">
        <f>TODAY()</f>
        <v/>
      </c>
      <c r="T289" s="133">
        <f>CONCATENATE(A289," - contiene allergni - prodotto il giorno ",TEXT(Q289,"gg/mm/aaaa"),"")</f>
        <v/>
      </c>
    </row>
    <row r="290" ht="15" customHeight="1" s="155">
      <c r="A290" s="134">
        <f>ric!B290</f>
        <v/>
      </c>
      <c r="B290" s="118">
        <f>ric!C290</f>
        <v/>
      </c>
      <c r="C290" s="125">
        <f>ric!D290</f>
        <v/>
      </c>
      <c r="D290" s="125" t="n"/>
      <c r="E290" s="125" t="n"/>
      <c r="F290" s="125" t="n"/>
      <c r="G290" s="118">
        <f>CONCATENATE(A290, " ",#REF!, " / ",H290)</f>
        <v/>
      </c>
      <c r="H290" s="118" t="n"/>
      <c r="I290" s="119">
        <f>CONCATENATE(M290," - ",J290," - Lotto N° ",K290,"")</f>
        <v/>
      </c>
      <c r="J290" s="118" t="n"/>
      <c r="K290" s="118">
        <f>VLOOKUP(#REF!,Produzione,7,FALSE)</f>
        <v/>
      </c>
      <c r="L290" s="120" t="n"/>
      <c r="M290" s="120" t="n"/>
      <c r="N290" s="118" t="n"/>
      <c r="O290" s="121" t="n"/>
      <c r="P290" s="121" t="n"/>
      <c r="Q290" s="166">
        <f>TODAY()</f>
        <v/>
      </c>
      <c r="R290" s="165">
        <f>ElencoProdotti[[#This Row],[PRODUZIONE]]+20</f>
        <v/>
      </c>
      <c r="S290" s="165">
        <f>TODAY()</f>
        <v/>
      </c>
      <c r="T290" s="133">
        <f>CONCATENATE(A290," - contiene allergni - prodotto il giorno ",TEXT(Q290,"gg/mm/aaaa"),"")</f>
        <v/>
      </c>
    </row>
    <row r="291" ht="15" customHeight="1" s="155">
      <c r="A291" s="134">
        <f>ric!B291</f>
        <v/>
      </c>
      <c r="B291" s="118">
        <f>ric!C291</f>
        <v/>
      </c>
      <c r="C291" s="125">
        <f>ric!D291</f>
        <v/>
      </c>
      <c r="D291" s="125" t="n"/>
      <c r="E291" s="125" t="n"/>
      <c r="F291" s="125" t="n"/>
      <c r="G291" s="118">
        <f>CONCATENATE(A291, " ",#REF!, " / ",H291)</f>
        <v/>
      </c>
      <c r="H291" s="118" t="n"/>
      <c r="I291" s="119">
        <f>CONCATENATE(M291," - ",J291," - Lotto N° ",K291,"")</f>
        <v/>
      </c>
      <c r="J291" s="118" t="n"/>
      <c r="K291" s="118">
        <f>VLOOKUP(#REF!,Produzione,7,FALSE)</f>
        <v/>
      </c>
      <c r="L291" s="120" t="n"/>
      <c r="M291" s="120" t="n"/>
      <c r="N291" s="118" t="n"/>
      <c r="O291" s="121" t="n"/>
      <c r="P291" s="121" t="n"/>
      <c r="Q291" s="166">
        <f>TODAY()</f>
        <v/>
      </c>
      <c r="R291" s="165">
        <f>ElencoProdotti[[#This Row],[PRODUZIONE]]+20</f>
        <v/>
      </c>
      <c r="S291" s="165">
        <f>TODAY()</f>
        <v/>
      </c>
      <c r="T291" s="133">
        <f>CONCATENATE(A291," - contiene allergni - prodotto il giorno ",TEXT(Q291,"gg/mm/aaaa"),"")</f>
        <v/>
      </c>
    </row>
    <row r="292" ht="15" customHeight="1" s="155">
      <c r="A292" s="134">
        <f>ric!B292</f>
        <v/>
      </c>
      <c r="B292" s="118">
        <f>ric!C292</f>
        <v/>
      </c>
      <c r="C292" s="125">
        <f>ric!D292</f>
        <v/>
      </c>
      <c r="D292" s="125" t="n"/>
      <c r="E292" s="125" t="n"/>
      <c r="F292" s="125" t="n"/>
      <c r="G292" s="118">
        <f>CONCATENATE(A292, " ",#REF!, " / ",H292)</f>
        <v/>
      </c>
      <c r="H292" s="118" t="n"/>
      <c r="I292" s="119">
        <f>CONCATENATE(M292," - ",J292," - Lotto N° ",K292,"")</f>
        <v/>
      </c>
      <c r="J292" s="118" t="n"/>
      <c r="K292" s="118">
        <f>VLOOKUP(#REF!,Produzione,7,FALSE)</f>
        <v/>
      </c>
      <c r="L292" s="120" t="n"/>
      <c r="M292" s="120" t="n"/>
      <c r="N292" s="118" t="n"/>
      <c r="O292" s="121" t="n"/>
      <c r="P292" s="121" t="n"/>
      <c r="Q292" s="166">
        <f>TODAY()</f>
        <v/>
      </c>
      <c r="R292" s="165">
        <f>ElencoProdotti[[#This Row],[PRODUZIONE]]+20</f>
        <v/>
      </c>
      <c r="S292" s="165">
        <f>TODAY()</f>
        <v/>
      </c>
      <c r="T292" s="133">
        <f>CONCATENATE(A292," - contiene allergni - prodotto il giorno ",TEXT(Q292,"gg/mm/aaaa"),"")</f>
        <v/>
      </c>
    </row>
    <row r="293" ht="15" customHeight="1" s="155">
      <c r="A293" s="134">
        <f>ric!B293</f>
        <v/>
      </c>
      <c r="B293" s="118">
        <f>ric!C293</f>
        <v/>
      </c>
      <c r="C293" s="125">
        <f>ric!D293</f>
        <v/>
      </c>
      <c r="D293" s="125" t="n"/>
      <c r="E293" s="125" t="n"/>
      <c r="F293" s="125" t="n"/>
      <c r="G293" s="118">
        <f>CONCATENATE(A293, " ",#REF!, " / ",H293)</f>
        <v/>
      </c>
      <c r="H293" s="118" t="n"/>
      <c r="I293" s="119">
        <f>CONCATENATE(M293," - ",J293," - Lotto N° ",K293,"")</f>
        <v/>
      </c>
      <c r="J293" s="118" t="n"/>
      <c r="K293" s="118">
        <f>VLOOKUP(#REF!,Produzione,7,FALSE)</f>
        <v/>
      </c>
      <c r="L293" s="120" t="n"/>
      <c r="M293" s="120" t="n"/>
      <c r="N293" s="118" t="n"/>
      <c r="O293" s="121" t="n"/>
      <c r="P293" s="121" t="n"/>
      <c r="Q293" s="166">
        <f>TODAY()</f>
        <v/>
      </c>
      <c r="R293" s="165">
        <f>ElencoProdotti[[#This Row],[PRODUZIONE]]+20</f>
        <v/>
      </c>
      <c r="S293" s="165">
        <f>TODAY()</f>
        <v/>
      </c>
      <c r="T293" s="133">
        <f>CONCATENATE(A293," - contiene allergni - prodotto il giorno ",TEXT(Q293,"gg/mm/aaaa"),"")</f>
        <v/>
      </c>
    </row>
    <row r="294" ht="15" customHeight="1" s="155">
      <c r="A294" s="134">
        <f>ric!B294</f>
        <v/>
      </c>
      <c r="B294" s="118">
        <f>ric!C294</f>
        <v/>
      </c>
      <c r="C294" s="125">
        <f>ric!D294</f>
        <v/>
      </c>
      <c r="D294" s="125" t="n"/>
      <c r="E294" s="125" t="n"/>
      <c r="F294" s="125" t="n"/>
      <c r="G294" s="118">
        <f>CONCATENATE(A294, " ",#REF!, " / ",H294)</f>
        <v/>
      </c>
      <c r="H294" s="118" t="n"/>
      <c r="I294" s="119">
        <f>CONCATENATE(M294," - ",J294," - Lotto N° ",K294,"")</f>
        <v/>
      </c>
      <c r="J294" s="118" t="n"/>
      <c r="K294" s="118">
        <f>VLOOKUP(#REF!,Produzione,7,FALSE)</f>
        <v/>
      </c>
      <c r="L294" s="120" t="n"/>
      <c r="M294" s="120" t="n"/>
      <c r="N294" s="118" t="n"/>
      <c r="O294" s="121" t="n"/>
      <c r="P294" s="121" t="n"/>
      <c r="Q294" s="166">
        <f>TODAY()</f>
        <v/>
      </c>
      <c r="R294" s="165">
        <f>ElencoProdotti[[#This Row],[PRODUZIONE]]+20</f>
        <v/>
      </c>
      <c r="S294" s="165">
        <f>TODAY()</f>
        <v/>
      </c>
      <c r="T294" s="133">
        <f>CONCATENATE(A294," - contiene allergni - prodotto il giorno ",TEXT(Q294,"gg/mm/aaaa"),"")</f>
        <v/>
      </c>
    </row>
    <row r="295" ht="15" customHeight="1" s="155">
      <c r="A295" s="134">
        <f>ric!B295</f>
        <v/>
      </c>
      <c r="B295" s="118">
        <f>ric!C295</f>
        <v/>
      </c>
      <c r="C295" s="125">
        <f>ric!D295</f>
        <v/>
      </c>
      <c r="D295" s="125" t="n"/>
      <c r="E295" s="125" t="n"/>
      <c r="F295" s="125" t="n"/>
      <c r="G295" s="118">
        <f>CONCATENATE(A295, " ",#REF!, " / ",H295)</f>
        <v/>
      </c>
      <c r="H295" s="118" t="n"/>
      <c r="I295" s="119">
        <f>CONCATENATE(M295," - ",J295," - Lotto N° ",K295,"")</f>
        <v/>
      </c>
      <c r="J295" s="118" t="n"/>
      <c r="K295" s="118">
        <f>VLOOKUP(#REF!,Produzione,7,FALSE)</f>
        <v/>
      </c>
      <c r="L295" s="120" t="n"/>
      <c r="M295" s="120" t="n"/>
      <c r="N295" s="118" t="n"/>
      <c r="O295" s="121" t="n"/>
      <c r="P295" s="121" t="n"/>
      <c r="Q295" s="166">
        <f>TODAY()</f>
        <v/>
      </c>
      <c r="R295" s="165">
        <f>ElencoProdotti[[#This Row],[PRODUZIONE]]+20</f>
        <v/>
      </c>
      <c r="S295" s="165">
        <f>TODAY()</f>
        <v/>
      </c>
      <c r="T295" s="133">
        <f>CONCATENATE(A295," - contiene allergni - prodotto il giorno ",TEXT(Q295,"gg/mm/aaaa"),"")</f>
        <v/>
      </c>
    </row>
    <row r="296" ht="15" customHeight="1" s="155">
      <c r="A296" s="134">
        <f>ric!B296</f>
        <v/>
      </c>
      <c r="B296" s="118">
        <f>ric!C296</f>
        <v/>
      </c>
      <c r="C296" s="125">
        <f>ric!D296</f>
        <v/>
      </c>
      <c r="D296" s="125" t="n"/>
      <c r="E296" s="125" t="n"/>
      <c r="F296" s="125" t="n"/>
      <c r="G296" s="118">
        <f>CONCATENATE(A296, " ",#REF!, " / ",H296)</f>
        <v/>
      </c>
      <c r="H296" s="118" t="n"/>
      <c r="I296" s="119">
        <f>CONCATENATE(M296," - ",J296," - Lotto N° ",K296,"")</f>
        <v/>
      </c>
      <c r="J296" s="118" t="n"/>
      <c r="K296" s="118">
        <f>VLOOKUP(#REF!,Produzione,7,FALSE)</f>
        <v/>
      </c>
      <c r="L296" s="120" t="n"/>
      <c r="M296" s="120" t="n"/>
      <c r="N296" s="118" t="n"/>
      <c r="O296" s="121" t="n"/>
      <c r="P296" s="121" t="n"/>
      <c r="Q296" s="166">
        <f>TODAY()</f>
        <v/>
      </c>
      <c r="R296" s="165">
        <f>ElencoProdotti[[#This Row],[PRODUZIONE]]+20</f>
        <v/>
      </c>
      <c r="S296" s="165">
        <f>TODAY()</f>
        <v/>
      </c>
      <c r="T296" s="133">
        <f>CONCATENATE(A296," - contiene allergni - prodotto il giorno ",TEXT(Q296,"gg/mm/aaaa"),"")</f>
        <v/>
      </c>
    </row>
    <row r="297" ht="15" customHeight="1" s="155">
      <c r="A297" s="134">
        <f>ric!B297</f>
        <v/>
      </c>
      <c r="B297" s="118">
        <f>ric!C297</f>
        <v/>
      </c>
      <c r="C297" s="125">
        <f>ric!D297</f>
        <v/>
      </c>
      <c r="D297" s="125" t="n"/>
      <c r="E297" s="125" t="n"/>
      <c r="F297" s="125" t="n"/>
      <c r="G297" s="118">
        <f>CONCATENATE(A297, " ",#REF!, " / ",H297)</f>
        <v/>
      </c>
      <c r="H297" s="118" t="n"/>
      <c r="I297" s="119">
        <f>CONCATENATE(M297," - ",J297," - Lotto N° ",K297,"")</f>
        <v/>
      </c>
      <c r="J297" s="118" t="n"/>
      <c r="K297" s="118">
        <f>VLOOKUP(#REF!,Produzione,7,FALSE)</f>
        <v/>
      </c>
      <c r="L297" s="120" t="n"/>
      <c r="M297" s="120" t="n"/>
      <c r="N297" s="118" t="n"/>
      <c r="O297" s="121" t="n"/>
      <c r="P297" s="121" t="n"/>
      <c r="Q297" s="166">
        <f>TODAY()</f>
        <v/>
      </c>
      <c r="R297" s="165">
        <f>ElencoProdotti[[#This Row],[PRODUZIONE]]+20</f>
        <v/>
      </c>
      <c r="S297" s="165">
        <f>TODAY()</f>
        <v/>
      </c>
      <c r="T297" s="133">
        <f>CONCATENATE(A297," - contiene allergni - prodotto il giorno ",TEXT(Q297,"gg/mm/aaaa"),"")</f>
        <v/>
      </c>
    </row>
    <row r="298" ht="15" customHeight="1" s="155">
      <c r="A298" s="134">
        <f>ric!B298</f>
        <v/>
      </c>
      <c r="B298" s="118">
        <f>ric!C298</f>
        <v/>
      </c>
      <c r="C298" s="125">
        <f>ric!D298</f>
        <v/>
      </c>
      <c r="D298" s="125" t="n"/>
      <c r="E298" s="125" t="n"/>
      <c r="F298" s="125" t="n"/>
      <c r="G298" s="118">
        <f>CONCATENATE(A298, " ",#REF!, " / ",H298)</f>
        <v/>
      </c>
      <c r="H298" s="118" t="n"/>
      <c r="I298" s="119">
        <f>CONCATENATE(M298," - ",J298," - Lotto N° ",K298,"")</f>
        <v/>
      </c>
      <c r="J298" s="118" t="n"/>
      <c r="K298" s="118">
        <f>VLOOKUP(#REF!,Produzione,7,FALSE)</f>
        <v/>
      </c>
      <c r="L298" s="120" t="n"/>
      <c r="M298" s="120" t="n"/>
      <c r="N298" s="118" t="n"/>
      <c r="O298" s="121" t="n"/>
      <c r="P298" s="121" t="n"/>
      <c r="Q298" s="166">
        <f>TODAY()</f>
        <v/>
      </c>
      <c r="R298" s="165">
        <f>ElencoProdotti[[#This Row],[PRODUZIONE]]+20</f>
        <v/>
      </c>
      <c r="S298" s="165">
        <f>TODAY()</f>
        <v/>
      </c>
      <c r="T298" s="133">
        <f>CONCATENATE(A298," - contiene allergni - prodotto il giorno ",TEXT(Q298,"gg/mm/aaaa"),"")</f>
        <v/>
      </c>
    </row>
    <row r="299" ht="15" customHeight="1" s="155">
      <c r="A299" s="134">
        <f>ric!B299</f>
        <v/>
      </c>
      <c r="B299" s="118">
        <f>ric!C299</f>
        <v/>
      </c>
      <c r="C299" s="125">
        <f>ric!D299</f>
        <v/>
      </c>
      <c r="D299" s="125" t="n"/>
      <c r="E299" s="125" t="n"/>
      <c r="F299" s="125" t="n"/>
      <c r="G299" s="118">
        <f>CONCATENATE(A299, " ",#REF!, " / ",H299)</f>
        <v/>
      </c>
      <c r="H299" s="118" t="n"/>
      <c r="I299" s="119">
        <f>CONCATENATE(M299," - ",J299," - Lotto N° ",K299,"")</f>
        <v/>
      </c>
      <c r="J299" s="118" t="n"/>
      <c r="K299" s="118">
        <f>VLOOKUP(#REF!,Produzione,7,FALSE)</f>
        <v/>
      </c>
      <c r="L299" s="120" t="n"/>
      <c r="M299" s="120" t="n"/>
      <c r="N299" s="118" t="n"/>
      <c r="O299" s="121" t="n"/>
      <c r="P299" s="121" t="n"/>
      <c r="Q299" s="166">
        <f>TODAY()</f>
        <v/>
      </c>
      <c r="R299" s="165">
        <f>ElencoProdotti[[#This Row],[PRODUZIONE]]+20</f>
        <v/>
      </c>
      <c r="S299" s="165">
        <f>TODAY()</f>
        <v/>
      </c>
      <c r="T299" s="133">
        <f>CONCATENATE(A299," - contiene allergni - prodotto il giorno ",TEXT(Q299,"gg/mm/aaaa"),"")</f>
        <v/>
      </c>
    </row>
    <row r="300" ht="15" customHeight="1" s="155">
      <c r="A300" s="134">
        <f>ric!B300</f>
        <v/>
      </c>
      <c r="B300" s="118">
        <f>ric!C300</f>
        <v/>
      </c>
      <c r="C300" s="125">
        <f>ric!D300</f>
        <v/>
      </c>
      <c r="D300" s="125" t="n"/>
      <c r="E300" s="125" t="n"/>
      <c r="F300" s="125" t="n"/>
      <c r="G300" s="118">
        <f>CONCATENATE(A300, " ",#REF!, " / ",H300)</f>
        <v/>
      </c>
      <c r="H300" s="118" t="n"/>
      <c r="I300" s="119">
        <f>CONCATENATE(M300," - ",J300," - Lotto N° ",K300,"")</f>
        <v/>
      </c>
      <c r="J300" s="118" t="n"/>
      <c r="K300" s="118">
        <f>VLOOKUP(#REF!,Produzione,7,FALSE)</f>
        <v/>
      </c>
      <c r="L300" s="120" t="n"/>
      <c r="M300" s="120" t="n"/>
      <c r="N300" s="118" t="n"/>
      <c r="O300" s="121" t="n"/>
      <c r="P300" s="121" t="n"/>
      <c r="Q300" s="166">
        <f>TODAY()</f>
        <v/>
      </c>
      <c r="R300" s="165">
        <f>ElencoProdotti[[#This Row],[PRODUZIONE]]+20</f>
        <v/>
      </c>
      <c r="S300" s="165">
        <f>TODAY()</f>
        <v/>
      </c>
      <c r="T300" s="133">
        <f>CONCATENATE(A300," - contiene allergni - prodotto il giorno ",TEXT(Q300,"gg/mm/aaaa"),"")</f>
        <v/>
      </c>
    </row>
    <row r="301" ht="15" customHeight="1" s="155">
      <c r="A301" s="134">
        <f>ric!B301</f>
        <v/>
      </c>
      <c r="B301" s="118">
        <f>ric!C301</f>
        <v/>
      </c>
      <c r="C301" s="125">
        <f>ric!D301</f>
        <v/>
      </c>
      <c r="D301" s="125" t="n"/>
      <c r="E301" s="125" t="n"/>
      <c r="F301" s="125" t="n"/>
      <c r="G301" s="118">
        <f>CONCATENATE(A301, " ",#REF!, " / ",H301)</f>
        <v/>
      </c>
      <c r="H301" s="118" t="n"/>
      <c r="I301" s="119">
        <f>CONCATENATE(M301," - ",J301," - Lotto N° ",K301,"")</f>
        <v/>
      </c>
      <c r="J301" s="118" t="n"/>
      <c r="K301" s="118">
        <f>VLOOKUP(#REF!,Produzione,7,FALSE)</f>
        <v/>
      </c>
      <c r="L301" s="120" t="n"/>
      <c r="M301" s="120" t="n"/>
      <c r="N301" s="118" t="n"/>
      <c r="O301" s="121" t="n"/>
      <c r="P301" s="121" t="n"/>
      <c r="Q301" s="166">
        <f>TODAY()</f>
        <v/>
      </c>
      <c r="R301" s="165">
        <f>ElencoProdotti[[#This Row],[PRODUZIONE]]+20</f>
        <v/>
      </c>
      <c r="S301" s="165">
        <f>TODAY()</f>
        <v/>
      </c>
      <c r="T301" s="133">
        <f>CONCATENATE(A301," - contiene allergni - prodotto il giorno ",TEXT(Q301,"gg/mm/aaaa"),"")</f>
        <v/>
      </c>
    </row>
    <row r="302" ht="15" customHeight="1" s="155">
      <c r="A302" s="134">
        <f>ric!B302</f>
        <v/>
      </c>
      <c r="B302" s="118">
        <f>ric!C302</f>
        <v/>
      </c>
      <c r="C302" s="125">
        <f>ric!D302</f>
        <v/>
      </c>
      <c r="D302" s="125" t="n"/>
      <c r="E302" s="125" t="n"/>
      <c r="F302" s="125" t="n"/>
      <c r="G302" s="118">
        <f>CONCATENATE(A302, " ",#REF!, " / ",H302)</f>
        <v/>
      </c>
      <c r="H302" s="118" t="n"/>
      <c r="I302" s="119">
        <f>CONCATENATE(M302," - ",J302," - Lotto N° ",K302,"")</f>
        <v/>
      </c>
      <c r="J302" s="118" t="n"/>
      <c r="K302" s="118">
        <f>VLOOKUP(#REF!,Produzione,7,FALSE)</f>
        <v/>
      </c>
      <c r="L302" s="120" t="n"/>
      <c r="M302" s="120" t="n"/>
      <c r="N302" s="118" t="n"/>
      <c r="O302" s="121" t="n"/>
      <c r="P302" s="121" t="n"/>
      <c r="Q302" s="166">
        <f>TODAY()</f>
        <v/>
      </c>
      <c r="R302" s="165">
        <f>ElencoProdotti[[#This Row],[PRODUZIONE]]+20</f>
        <v/>
      </c>
      <c r="S302" s="165">
        <f>TODAY()</f>
        <v/>
      </c>
      <c r="T302" s="133">
        <f>CONCATENATE(A302," - contiene allergni - prodotto il giorno ",TEXT(Q302,"gg/mm/aaaa"),"")</f>
        <v/>
      </c>
    </row>
    <row r="303" ht="15" customHeight="1" s="155">
      <c r="A303" s="134">
        <f>ric!B303</f>
        <v/>
      </c>
      <c r="B303" s="118">
        <f>ric!C303</f>
        <v/>
      </c>
      <c r="C303" s="125">
        <f>ric!D303</f>
        <v/>
      </c>
      <c r="D303" s="125" t="n"/>
      <c r="E303" s="125" t="n"/>
      <c r="F303" s="125" t="n"/>
      <c r="G303" s="118">
        <f>CONCATENATE(A303, " ",#REF!, " / ",H303)</f>
        <v/>
      </c>
      <c r="H303" s="118" t="n"/>
      <c r="I303" s="119">
        <f>CONCATENATE(M303," - ",J303," - Lotto N° ",K303,"")</f>
        <v/>
      </c>
      <c r="J303" s="118" t="n"/>
      <c r="K303" s="118">
        <f>VLOOKUP(#REF!,Produzione,7,FALSE)</f>
        <v/>
      </c>
      <c r="L303" s="120" t="n"/>
      <c r="M303" s="120" t="n"/>
      <c r="N303" s="118" t="n"/>
      <c r="O303" s="121" t="n"/>
      <c r="P303" s="121" t="n"/>
      <c r="Q303" s="166">
        <f>TODAY()</f>
        <v/>
      </c>
      <c r="R303" s="165">
        <f>ElencoProdotti[[#This Row],[PRODUZIONE]]+20</f>
        <v/>
      </c>
      <c r="S303" s="165">
        <f>TODAY()</f>
        <v/>
      </c>
      <c r="T303" s="133">
        <f>CONCATENATE(A303," - contiene allergni - prodotto il giorno ",TEXT(Q303,"gg/mm/aaaa"),"")</f>
        <v/>
      </c>
    </row>
    <row r="304" ht="15" customHeight="1" s="155">
      <c r="A304" s="134">
        <f>ric!B304</f>
        <v/>
      </c>
      <c r="B304" s="118">
        <f>ric!C304</f>
        <v/>
      </c>
      <c r="C304" s="125">
        <f>ric!D304</f>
        <v/>
      </c>
      <c r="D304" s="125" t="n"/>
      <c r="E304" s="125" t="n"/>
      <c r="F304" s="125" t="n"/>
      <c r="G304" s="118">
        <f>CONCATENATE(A304, " ",#REF!, " / ",H304)</f>
        <v/>
      </c>
      <c r="H304" s="118" t="n"/>
      <c r="I304" s="119">
        <f>CONCATENATE(M304," - ",J304," - Lotto N° ",K304,"")</f>
        <v/>
      </c>
      <c r="J304" s="118" t="n"/>
      <c r="K304" s="118">
        <f>VLOOKUP(#REF!,Produzione,7,FALSE)</f>
        <v/>
      </c>
      <c r="L304" s="120" t="n"/>
      <c r="M304" s="120" t="n"/>
      <c r="N304" s="118" t="n"/>
      <c r="O304" s="121" t="n"/>
      <c r="P304" s="121" t="n"/>
      <c r="Q304" s="166">
        <f>TODAY()</f>
        <v/>
      </c>
      <c r="R304" s="165">
        <f>ElencoProdotti[[#This Row],[PRODUZIONE]]+20</f>
        <v/>
      </c>
      <c r="S304" s="165">
        <f>TODAY()</f>
        <v/>
      </c>
      <c r="T304" s="133">
        <f>CONCATENATE(A304," - contiene allergni - prodotto il giorno ",TEXT(Q304,"gg/mm/aaaa"),"")</f>
        <v/>
      </c>
    </row>
    <row r="305" ht="15" customHeight="1" s="155">
      <c r="A305" s="134">
        <f>ric!B305</f>
        <v/>
      </c>
      <c r="B305" s="118">
        <f>ric!C305</f>
        <v/>
      </c>
      <c r="C305" s="125">
        <f>ric!D305</f>
        <v/>
      </c>
      <c r="D305" s="125" t="n"/>
      <c r="E305" s="125" t="n"/>
      <c r="F305" s="125" t="n"/>
      <c r="G305" s="118">
        <f>CONCATENATE(A305, " ",#REF!, " / ",H305)</f>
        <v/>
      </c>
      <c r="H305" s="118" t="n"/>
      <c r="I305" s="119">
        <f>CONCATENATE(M305," - ",J305," - Lotto N° ",K305,"")</f>
        <v/>
      </c>
      <c r="J305" s="118" t="n"/>
      <c r="K305" s="118">
        <f>VLOOKUP(#REF!,Produzione,7,FALSE)</f>
        <v/>
      </c>
      <c r="L305" s="120" t="n"/>
      <c r="M305" s="120" t="n"/>
      <c r="N305" s="118" t="n"/>
      <c r="O305" s="121" t="n"/>
      <c r="P305" s="121" t="n"/>
      <c r="Q305" s="166">
        <f>TODAY()</f>
        <v/>
      </c>
      <c r="R305" s="165">
        <f>ElencoProdotti[[#This Row],[PRODUZIONE]]+20</f>
        <v/>
      </c>
      <c r="S305" s="165">
        <f>TODAY()</f>
        <v/>
      </c>
      <c r="T305" s="133">
        <f>CONCATENATE(A305," - contiene allergni - prodotto il giorno ",TEXT(Q305,"gg/mm/aaaa"),"")</f>
        <v/>
      </c>
    </row>
    <row r="306" ht="15" customHeight="1" s="155">
      <c r="A306" s="134">
        <f>ric!B306</f>
        <v/>
      </c>
      <c r="B306" s="118">
        <f>ric!C306</f>
        <v/>
      </c>
      <c r="C306" s="125">
        <f>ric!D306</f>
        <v/>
      </c>
      <c r="D306" s="125" t="n"/>
      <c r="E306" s="125" t="n"/>
      <c r="F306" s="125" t="n"/>
      <c r="G306" s="118">
        <f>CONCATENATE(A306, " ",#REF!, " / ",H306)</f>
        <v/>
      </c>
      <c r="H306" s="118" t="n"/>
      <c r="I306" s="119">
        <f>CONCATENATE(M306," - ",J306," - Lotto N° ",K306,"")</f>
        <v/>
      </c>
      <c r="J306" s="118" t="n"/>
      <c r="K306" s="118">
        <f>VLOOKUP(#REF!,Produzione,7,FALSE)</f>
        <v/>
      </c>
      <c r="L306" s="120" t="n"/>
      <c r="M306" s="120" t="n"/>
      <c r="N306" s="118" t="n"/>
      <c r="O306" s="121" t="n"/>
      <c r="P306" s="121" t="n"/>
      <c r="Q306" s="166">
        <f>TODAY()</f>
        <v/>
      </c>
      <c r="R306" s="165">
        <f>ElencoProdotti[[#This Row],[PRODUZIONE]]+20</f>
        <v/>
      </c>
      <c r="S306" s="165">
        <f>TODAY()</f>
        <v/>
      </c>
      <c r="T306" s="133">
        <f>CONCATENATE(A306," - contiene allergni - prodotto il giorno ",TEXT(Q306,"gg/mm/aaaa"),"")</f>
        <v/>
      </c>
    </row>
    <row r="307" ht="15" customHeight="1" s="155">
      <c r="A307" s="134">
        <f>ric!B307</f>
        <v/>
      </c>
      <c r="B307" s="118">
        <f>ric!C307</f>
        <v/>
      </c>
      <c r="C307" s="125">
        <f>ric!D307</f>
        <v/>
      </c>
      <c r="D307" s="125" t="n"/>
      <c r="E307" s="125" t="n"/>
      <c r="F307" s="125" t="n"/>
      <c r="G307" s="118">
        <f>CONCATENATE(A307, " ",#REF!, " / ",H307)</f>
        <v/>
      </c>
      <c r="H307" s="118" t="n"/>
      <c r="I307" s="119">
        <f>CONCATENATE(M307," - ",J307," - Lotto N° ",K307,"")</f>
        <v/>
      </c>
      <c r="J307" s="118" t="n"/>
      <c r="K307" s="118">
        <f>VLOOKUP(#REF!,Produzione,7,FALSE)</f>
        <v/>
      </c>
      <c r="L307" s="120" t="n"/>
      <c r="M307" s="120" t="n"/>
      <c r="N307" s="118" t="n"/>
      <c r="O307" s="121" t="n"/>
      <c r="P307" s="121" t="n"/>
      <c r="Q307" s="166">
        <f>TODAY()</f>
        <v/>
      </c>
      <c r="R307" s="165">
        <f>ElencoProdotti[[#This Row],[PRODUZIONE]]+20</f>
        <v/>
      </c>
      <c r="S307" s="165">
        <f>TODAY()</f>
        <v/>
      </c>
      <c r="T307" s="133">
        <f>CONCATENATE(A307," - contiene allergni - prodotto il giorno ",TEXT(Q307,"gg/mm/aaaa"),"")</f>
        <v/>
      </c>
    </row>
    <row r="308" ht="15" customHeight="1" s="155">
      <c r="A308" s="134">
        <f>ric!B308</f>
        <v/>
      </c>
      <c r="B308" s="118">
        <f>ric!C308</f>
        <v/>
      </c>
      <c r="C308" s="125">
        <f>ric!D308</f>
        <v/>
      </c>
      <c r="D308" s="125" t="n"/>
      <c r="E308" s="125" t="n"/>
      <c r="F308" s="125" t="n"/>
      <c r="G308" s="118">
        <f>CONCATENATE(A308, " ",#REF!, " / ",H308)</f>
        <v/>
      </c>
      <c r="H308" s="118" t="n"/>
      <c r="I308" s="119">
        <f>CONCATENATE(M308," - ",J308," - Lotto N° ",K308,"")</f>
        <v/>
      </c>
      <c r="J308" s="118" t="n"/>
      <c r="K308" s="118">
        <f>VLOOKUP(#REF!,Produzione,7,FALSE)</f>
        <v/>
      </c>
      <c r="L308" s="120" t="n"/>
      <c r="M308" s="120" t="n"/>
      <c r="N308" s="118" t="n"/>
      <c r="O308" s="121" t="n"/>
      <c r="P308" s="121" t="n"/>
      <c r="Q308" s="166">
        <f>TODAY()</f>
        <v/>
      </c>
      <c r="R308" s="165">
        <f>ElencoProdotti[[#This Row],[PRODUZIONE]]+20</f>
        <v/>
      </c>
      <c r="S308" s="165">
        <f>TODAY()</f>
        <v/>
      </c>
      <c r="T308" s="133">
        <f>CONCATENATE(A308," - contiene allergni - prodotto il giorno ",TEXT(Q308,"gg/mm/aaaa"),"")</f>
        <v/>
      </c>
    </row>
    <row r="309" ht="15" customHeight="1" s="155">
      <c r="A309" s="134">
        <f>ric!B309</f>
        <v/>
      </c>
      <c r="B309" s="118">
        <f>ric!C309</f>
        <v/>
      </c>
      <c r="C309" s="125">
        <f>ric!D309</f>
        <v/>
      </c>
      <c r="D309" s="125" t="n"/>
      <c r="E309" s="125" t="n"/>
      <c r="F309" s="125" t="n"/>
      <c r="G309" s="118">
        <f>CONCATENATE(A309, " ",#REF!, " / ",H309)</f>
        <v/>
      </c>
      <c r="H309" s="118" t="n"/>
      <c r="I309" s="119">
        <f>CONCATENATE(M309," - ",J309," - Lotto N° ",K309,"")</f>
        <v/>
      </c>
      <c r="J309" s="118" t="n"/>
      <c r="K309" s="118">
        <f>VLOOKUP(#REF!,Produzione,7,FALSE)</f>
        <v/>
      </c>
      <c r="L309" s="120" t="n"/>
      <c r="M309" s="120" t="n"/>
      <c r="N309" s="118" t="n"/>
      <c r="O309" s="121" t="n"/>
      <c r="P309" s="121" t="n"/>
      <c r="Q309" s="166">
        <f>TODAY()</f>
        <v/>
      </c>
      <c r="R309" s="165">
        <f>ElencoProdotti[[#This Row],[PRODUZIONE]]+20</f>
        <v/>
      </c>
      <c r="S309" s="165">
        <f>TODAY()</f>
        <v/>
      </c>
      <c r="T309" s="133">
        <f>CONCATENATE(A309," - contiene allergni - prodotto il giorno ",TEXT(Q309,"gg/mm/aaaa"),"")</f>
        <v/>
      </c>
    </row>
    <row r="310" ht="15" customHeight="1" s="155">
      <c r="A310" s="134">
        <f>ric!B310</f>
        <v/>
      </c>
      <c r="B310" s="118">
        <f>ric!C310</f>
        <v/>
      </c>
      <c r="C310" s="125">
        <f>ric!D310</f>
        <v/>
      </c>
      <c r="D310" s="125" t="n"/>
      <c r="E310" s="125" t="n"/>
      <c r="F310" s="125" t="n"/>
      <c r="G310" s="118">
        <f>CONCATENATE(A310, " ",#REF!, " / ",H310)</f>
        <v/>
      </c>
      <c r="H310" s="118" t="n"/>
      <c r="I310" s="119">
        <f>CONCATENATE(M310," - ",J310," - Lotto N° ",K310,"")</f>
        <v/>
      </c>
      <c r="J310" s="118" t="n"/>
      <c r="K310" s="118">
        <f>VLOOKUP(#REF!,Produzione,7,FALSE)</f>
        <v/>
      </c>
      <c r="L310" s="120" t="n"/>
      <c r="M310" s="120" t="n"/>
      <c r="N310" s="118" t="n"/>
      <c r="O310" s="121" t="n"/>
      <c r="P310" s="121" t="n"/>
      <c r="Q310" s="166">
        <f>TODAY()</f>
        <v/>
      </c>
      <c r="R310" s="165">
        <f>ElencoProdotti[[#This Row],[PRODUZIONE]]+20</f>
        <v/>
      </c>
      <c r="S310" s="165">
        <f>TODAY()</f>
        <v/>
      </c>
      <c r="T310" s="133">
        <f>CONCATENATE(A310," - contiene allergni - prodotto il giorno ",TEXT(Q310,"gg/mm/aaaa"),"")</f>
        <v/>
      </c>
    </row>
    <row r="311" ht="15" customHeight="1" s="155">
      <c r="A311" s="134">
        <f>ric!B311</f>
        <v/>
      </c>
      <c r="B311" s="118">
        <f>ric!C311</f>
        <v/>
      </c>
      <c r="C311" s="125">
        <f>ric!D311</f>
        <v/>
      </c>
      <c r="D311" s="125" t="n"/>
      <c r="E311" s="125" t="n"/>
      <c r="F311" s="125" t="n"/>
      <c r="G311" s="118">
        <f>CONCATENATE(A311, " ",#REF!, " / ",H311)</f>
        <v/>
      </c>
      <c r="H311" s="118" t="n"/>
      <c r="I311" s="119">
        <f>CONCATENATE(M311," - ",J311," - Lotto N° ",K311,"")</f>
        <v/>
      </c>
      <c r="J311" s="118" t="n"/>
      <c r="K311" s="118">
        <f>VLOOKUP(#REF!,Produzione,7,FALSE)</f>
        <v/>
      </c>
      <c r="L311" s="120" t="n"/>
      <c r="M311" s="120" t="n"/>
      <c r="N311" s="118" t="n"/>
      <c r="O311" s="121" t="n"/>
      <c r="P311" s="121" t="n"/>
      <c r="Q311" s="166">
        <f>TODAY()</f>
        <v/>
      </c>
      <c r="R311" s="165">
        <f>ElencoProdotti[[#This Row],[PRODUZIONE]]+20</f>
        <v/>
      </c>
      <c r="S311" s="165">
        <f>TODAY()</f>
        <v/>
      </c>
      <c r="T311" s="133">
        <f>CONCATENATE(A311," - contiene allergni - prodotto il giorno ",TEXT(Q311,"gg/mm/aaaa"),"")</f>
        <v/>
      </c>
    </row>
    <row r="312" ht="15" customHeight="1" s="155">
      <c r="A312" s="134">
        <f>ric!B312</f>
        <v/>
      </c>
      <c r="B312" s="118">
        <f>ric!C312</f>
        <v/>
      </c>
      <c r="C312" s="125">
        <f>ric!D312</f>
        <v/>
      </c>
      <c r="D312" s="125" t="n"/>
      <c r="E312" s="125" t="n"/>
      <c r="F312" s="125" t="n"/>
      <c r="G312" s="118">
        <f>CONCATENATE(A312, " ",#REF!, " / ",H312)</f>
        <v/>
      </c>
      <c r="H312" s="118" t="n"/>
      <c r="I312" s="119">
        <f>CONCATENATE(M312," - ",J312," - Lotto N° ",K312,"")</f>
        <v/>
      </c>
      <c r="J312" s="118" t="n"/>
      <c r="K312" s="118">
        <f>VLOOKUP(#REF!,Produzione,7,FALSE)</f>
        <v/>
      </c>
      <c r="L312" s="120" t="n"/>
      <c r="M312" s="120" t="n"/>
      <c r="N312" s="118" t="n"/>
      <c r="O312" s="121" t="n"/>
      <c r="P312" s="121" t="n"/>
      <c r="Q312" s="166">
        <f>TODAY()</f>
        <v/>
      </c>
      <c r="R312" s="165">
        <f>ElencoProdotti[[#This Row],[PRODUZIONE]]+20</f>
        <v/>
      </c>
      <c r="S312" s="165">
        <f>TODAY()</f>
        <v/>
      </c>
      <c r="T312" s="133">
        <f>CONCATENATE(A312," - contiene allergni - prodotto il giorno ",TEXT(Q312,"gg/mm/aaaa"),"")</f>
        <v/>
      </c>
    </row>
    <row r="313" ht="15" customHeight="1" s="155">
      <c r="A313" s="134">
        <f>ric!B313</f>
        <v/>
      </c>
      <c r="B313" s="118">
        <f>ric!C313</f>
        <v/>
      </c>
      <c r="C313" s="125">
        <f>ric!D313</f>
        <v/>
      </c>
      <c r="D313" s="125" t="n"/>
      <c r="E313" s="125" t="n"/>
      <c r="F313" s="125" t="n"/>
      <c r="G313" s="118">
        <f>CONCATENATE(A313, " ",#REF!, " / ",H313)</f>
        <v/>
      </c>
      <c r="H313" s="118" t="n"/>
      <c r="I313" s="119">
        <f>CONCATENATE(M313," - ",J313," - Lotto N° ",K313,"")</f>
        <v/>
      </c>
      <c r="J313" s="118" t="n"/>
      <c r="K313" s="118">
        <f>VLOOKUP(#REF!,Produzione,7,FALSE)</f>
        <v/>
      </c>
      <c r="L313" s="120" t="n"/>
      <c r="M313" s="120" t="n"/>
      <c r="N313" s="118" t="n"/>
      <c r="O313" s="121" t="n"/>
      <c r="P313" s="121" t="n"/>
      <c r="Q313" s="166">
        <f>TODAY()</f>
        <v/>
      </c>
      <c r="R313" s="165">
        <f>ElencoProdotti[[#This Row],[PRODUZIONE]]+20</f>
        <v/>
      </c>
      <c r="S313" s="165">
        <f>TODAY()</f>
        <v/>
      </c>
      <c r="T313" s="133">
        <f>CONCATENATE(A313," - contiene allergni - prodotto il giorno ",TEXT(Q313,"gg/mm/aaaa"),"")</f>
        <v/>
      </c>
    </row>
    <row r="314" ht="15" customHeight="1" s="155">
      <c r="A314" s="134">
        <f>ric!B314</f>
        <v/>
      </c>
      <c r="B314" s="118">
        <f>ric!C314</f>
        <v/>
      </c>
      <c r="C314" s="125">
        <f>ric!D314</f>
        <v/>
      </c>
      <c r="D314" s="125" t="n"/>
      <c r="E314" s="125" t="n"/>
      <c r="F314" s="125" t="n"/>
      <c r="G314" s="118">
        <f>CONCATENATE(A314, " ",#REF!, " / ",H314)</f>
        <v/>
      </c>
      <c r="H314" s="118" t="n"/>
      <c r="I314" s="119">
        <f>CONCATENATE(M314," - ",J314," - Lotto N° ",K314,"")</f>
        <v/>
      </c>
      <c r="J314" s="118" t="n"/>
      <c r="K314" s="118">
        <f>VLOOKUP(#REF!,Produzione,7,FALSE)</f>
        <v/>
      </c>
      <c r="L314" s="120" t="n"/>
      <c r="M314" s="120" t="n"/>
      <c r="N314" s="118" t="n"/>
      <c r="O314" s="121" t="n"/>
      <c r="P314" s="121" t="n"/>
      <c r="Q314" s="166">
        <f>TODAY()</f>
        <v/>
      </c>
      <c r="R314" s="165">
        <f>ElencoProdotti[[#This Row],[PRODUZIONE]]+20</f>
        <v/>
      </c>
      <c r="S314" s="165">
        <f>TODAY()</f>
        <v/>
      </c>
      <c r="T314" s="133">
        <f>CONCATENATE(A314," - contiene allergni - prodotto il giorno ",TEXT(Q314,"gg/mm/aaaa"),"")</f>
        <v/>
      </c>
    </row>
    <row r="315" ht="15" customHeight="1" s="155">
      <c r="A315" s="134">
        <f>ric!B315</f>
        <v/>
      </c>
      <c r="B315" s="118">
        <f>ric!C315</f>
        <v/>
      </c>
      <c r="C315" s="125">
        <f>ric!D315</f>
        <v/>
      </c>
      <c r="D315" s="125" t="n"/>
      <c r="E315" s="125" t="n"/>
      <c r="F315" s="125" t="n"/>
      <c r="G315" s="118">
        <f>CONCATENATE(A315, " ",#REF!, " / ",H315)</f>
        <v/>
      </c>
      <c r="H315" s="118" t="n"/>
      <c r="I315" s="119">
        <f>CONCATENATE(M315," - ",J315," - Lotto N° ",K315,"")</f>
        <v/>
      </c>
      <c r="J315" s="118" t="n"/>
      <c r="K315" s="118">
        <f>VLOOKUP(#REF!,Produzione,7,FALSE)</f>
        <v/>
      </c>
      <c r="L315" s="120" t="n"/>
      <c r="M315" s="120" t="n"/>
      <c r="N315" s="118" t="n"/>
      <c r="O315" s="121" t="n"/>
      <c r="P315" s="121" t="n"/>
      <c r="Q315" s="166">
        <f>TODAY()</f>
        <v/>
      </c>
      <c r="R315" s="165">
        <f>ElencoProdotti[[#This Row],[PRODUZIONE]]+20</f>
        <v/>
      </c>
      <c r="S315" s="165">
        <f>TODAY()</f>
        <v/>
      </c>
      <c r="T315" s="133">
        <f>CONCATENATE(A315," - contiene allergni - prodotto il giorno ",TEXT(Q315,"gg/mm/aaaa"),"")</f>
        <v/>
      </c>
    </row>
    <row r="316" ht="15" customHeight="1" s="155">
      <c r="A316" s="134">
        <f>ric!B316</f>
        <v/>
      </c>
      <c r="B316" s="118">
        <f>ric!C316</f>
        <v/>
      </c>
      <c r="C316" s="125">
        <f>ric!D316</f>
        <v/>
      </c>
      <c r="D316" s="125" t="n"/>
      <c r="E316" s="125" t="n"/>
      <c r="F316" s="125" t="n"/>
      <c r="G316" s="118">
        <f>CONCATENATE(A316, " ",#REF!, " / ",H316)</f>
        <v/>
      </c>
      <c r="H316" s="118" t="n"/>
      <c r="I316" s="119">
        <f>CONCATENATE(M316," - ",J316," - Lotto N° ",K316,"")</f>
        <v/>
      </c>
      <c r="J316" s="118" t="n"/>
      <c r="K316" s="118">
        <f>VLOOKUP(#REF!,Produzione,7,FALSE)</f>
        <v/>
      </c>
      <c r="L316" s="120" t="n"/>
      <c r="M316" s="120" t="n"/>
      <c r="N316" s="118" t="n"/>
      <c r="O316" s="121" t="n"/>
      <c r="P316" s="121" t="n"/>
      <c r="Q316" s="166">
        <f>TODAY()</f>
        <v/>
      </c>
      <c r="R316" s="165">
        <f>ElencoProdotti[[#This Row],[PRODUZIONE]]+20</f>
        <v/>
      </c>
      <c r="S316" s="165">
        <f>TODAY()</f>
        <v/>
      </c>
      <c r="T316" s="133">
        <f>CONCATENATE(A316," - contiene allergni - prodotto il giorno ",TEXT(Q316,"gg/mm/aaaa"),"")</f>
        <v/>
      </c>
    </row>
    <row r="317" ht="15" customHeight="1" s="155">
      <c r="A317" s="134">
        <f>ric!B317</f>
        <v/>
      </c>
      <c r="B317" s="118">
        <f>ric!C317</f>
        <v/>
      </c>
      <c r="C317" s="125">
        <f>ric!D317</f>
        <v/>
      </c>
      <c r="D317" s="125" t="n"/>
      <c r="E317" s="125" t="n"/>
      <c r="F317" s="125" t="n"/>
      <c r="G317" s="118">
        <f>CONCATENATE(A317, " ",#REF!, " / ",H317)</f>
        <v/>
      </c>
      <c r="H317" s="118" t="n"/>
      <c r="I317" s="119">
        <f>CONCATENATE(M317," - ",J317," - Lotto N° ",K317,"")</f>
        <v/>
      </c>
      <c r="J317" s="118" t="n"/>
      <c r="K317" s="118">
        <f>VLOOKUP(#REF!,Produzione,7,FALSE)</f>
        <v/>
      </c>
      <c r="L317" s="120" t="n"/>
      <c r="M317" s="120" t="n"/>
      <c r="N317" s="118" t="n"/>
      <c r="O317" s="121" t="n"/>
      <c r="P317" s="121" t="n"/>
      <c r="Q317" s="166">
        <f>TODAY()</f>
        <v/>
      </c>
      <c r="R317" s="165">
        <f>ElencoProdotti[[#This Row],[PRODUZIONE]]+20</f>
        <v/>
      </c>
      <c r="S317" s="165">
        <f>TODAY()</f>
        <v/>
      </c>
      <c r="T317" s="133">
        <f>CONCATENATE(A317," - contiene allergni - prodotto il giorno ",TEXT(Q317,"gg/mm/aaaa"),"")</f>
        <v/>
      </c>
    </row>
    <row r="318" ht="15" customHeight="1" s="155">
      <c r="A318" s="134">
        <f>ric!B318</f>
        <v/>
      </c>
      <c r="B318" s="118">
        <f>ric!C318</f>
        <v/>
      </c>
      <c r="C318" s="125">
        <f>ric!D318</f>
        <v/>
      </c>
      <c r="D318" s="125" t="n"/>
      <c r="E318" s="125" t="n"/>
      <c r="F318" s="125" t="n"/>
      <c r="G318" s="118">
        <f>CONCATENATE(A318, " ",#REF!, " / ",H318)</f>
        <v/>
      </c>
      <c r="H318" s="118" t="n"/>
      <c r="I318" s="119">
        <f>CONCATENATE(M318," - ",J318," - Lotto N° ",K318,"")</f>
        <v/>
      </c>
      <c r="J318" s="118" t="n"/>
      <c r="K318" s="118">
        <f>VLOOKUP(#REF!,Produzione,7,FALSE)</f>
        <v/>
      </c>
      <c r="L318" s="120" t="n"/>
      <c r="M318" s="120" t="n"/>
      <c r="N318" s="118" t="n"/>
      <c r="O318" s="121" t="n"/>
      <c r="P318" s="121" t="n"/>
      <c r="Q318" s="166">
        <f>TODAY()</f>
        <v/>
      </c>
      <c r="R318" s="165">
        <f>ElencoProdotti[[#This Row],[PRODUZIONE]]+20</f>
        <v/>
      </c>
      <c r="S318" s="165">
        <f>TODAY()</f>
        <v/>
      </c>
      <c r="T318" s="133">
        <f>CONCATENATE(A318," - contiene allergni - prodotto il giorno ",TEXT(Q318,"gg/mm/aaaa"),"")</f>
        <v/>
      </c>
    </row>
    <row r="319" ht="15" customHeight="1" s="155">
      <c r="A319" s="134">
        <f>ric!B319</f>
        <v/>
      </c>
      <c r="B319" s="118">
        <f>ric!C319</f>
        <v/>
      </c>
      <c r="C319" s="125">
        <f>ric!D319</f>
        <v/>
      </c>
      <c r="D319" s="125" t="n"/>
      <c r="E319" s="125" t="n"/>
      <c r="F319" s="125" t="n"/>
      <c r="G319" s="118">
        <f>CONCATENATE(A319, " ",#REF!, " / ",H319)</f>
        <v/>
      </c>
      <c r="H319" s="118" t="n"/>
      <c r="I319" s="119">
        <f>CONCATENATE(M319," - ",J319," - Lotto N° ",K319,"")</f>
        <v/>
      </c>
      <c r="J319" s="118" t="n"/>
      <c r="K319" s="118">
        <f>VLOOKUP(#REF!,Produzione,7,FALSE)</f>
        <v/>
      </c>
      <c r="L319" s="120" t="n"/>
      <c r="M319" s="120" t="n"/>
      <c r="N319" s="118" t="n"/>
      <c r="O319" s="121" t="n"/>
      <c r="P319" s="121" t="n"/>
      <c r="Q319" s="166">
        <f>TODAY()</f>
        <v/>
      </c>
      <c r="R319" s="165">
        <f>ElencoProdotti[[#This Row],[PRODUZIONE]]+20</f>
        <v/>
      </c>
      <c r="S319" s="165">
        <f>TODAY()</f>
        <v/>
      </c>
      <c r="T319" s="133">
        <f>CONCATENATE(A319," - contiene allergni - prodotto il giorno ",TEXT(Q319,"gg/mm/aaaa"),"")</f>
        <v/>
      </c>
    </row>
    <row r="320" ht="15" customHeight="1" s="155">
      <c r="A320" s="134">
        <f>ric!B320</f>
        <v/>
      </c>
      <c r="B320" s="118">
        <f>ric!C320</f>
        <v/>
      </c>
      <c r="C320" s="125">
        <f>ric!D320</f>
        <v/>
      </c>
      <c r="D320" s="125" t="n"/>
      <c r="E320" s="125" t="n"/>
      <c r="F320" s="125" t="n"/>
      <c r="G320" s="118">
        <f>CONCATENATE(A320, " ",#REF!, " / ",H320)</f>
        <v/>
      </c>
      <c r="H320" s="118" t="n"/>
      <c r="I320" s="119">
        <f>CONCATENATE(M320," - ",J320," - Lotto N° ",K320,"")</f>
        <v/>
      </c>
      <c r="J320" s="118" t="n"/>
      <c r="K320" s="118">
        <f>VLOOKUP(#REF!,Produzione,7,FALSE)</f>
        <v/>
      </c>
      <c r="L320" s="120" t="n"/>
      <c r="M320" s="120" t="n"/>
      <c r="N320" s="118" t="n"/>
      <c r="O320" s="121" t="n"/>
      <c r="P320" s="121" t="n"/>
      <c r="Q320" s="166">
        <f>TODAY()</f>
        <v/>
      </c>
      <c r="R320" s="165">
        <f>ElencoProdotti[[#This Row],[PRODUZIONE]]+20</f>
        <v/>
      </c>
      <c r="S320" s="165">
        <f>TODAY()</f>
        <v/>
      </c>
      <c r="T320" s="133">
        <f>CONCATENATE(A320," - contiene allergni - prodotto il giorno ",TEXT(Q320,"gg/mm/aaaa"),"")</f>
        <v/>
      </c>
    </row>
    <row r="321" ht="15" customHeight="1" s="155">
      <c r="A321" s="134">
        <f>ric!B321</f>
        <v/>
      </c>
      <c r="B321" s="118">
        <f>ric!C321</f>
        <v/>
      </c>
      <c r="C321" s="125">
        <f>ric!D321</f>
        <v/>
      </c>
      <c r="D321" s="125" t="n"/>
      <c r="E321" s="125" t="n"/>
      <c r="F321" s="125" t="n"/>
      <c r="G321" s="118">
        <f>CONCATENATE(A321, " ",#REF!, " / ",H321)</f>
        <v/>
      </c>
      <c r="H321" s="118" t="n"/>
      <c r="I321" s="119">
        <f>CONCATENATE(M321," - ",J321," - Lotto N° ",K321,"")</f>
        <v/>
      </c>
      <c r="J321" s="118" t="n"/>
      <c r="K321" s="118">
        <f>VLOOKUP(#REF!,Produzione,7,FALSE)</f>
        <v/>
      </c>
      <c r="L321" s="120" t="n"/>
      <c r="M321" s="120" t="n"/>
      <c r="N321" s="118" t="n"/>
      <c r="O321" s="121" t="n"/>
      <c r="P321" s="121" t="n"/>
      <c r="Q321" s="166">
        <f>TODAY()</f>
        <v/>
      </c>
      <c r="R321" s="165">
        <f>ElencoProdotti[[#This Row],[PRODUZIONE]]+20</f>
        <v/>
      </c>
      <c r="S321" s="165">
        <f>TODAY()</f>
        <v/>
      </c>
      <c r="T321" s="133">
        <f>CONCATENATE(A321," - contiene allergni - prodotto il giorno ",TEXT(Q321,"gg/mm/aaaa"),"")</f>
        <v/>
      </c>
    </row>
    <row r="322" ht="15" customHeight="1" s="155">
      <c r="A322" s="134">
        <f>ric!B322</f>
        <v/>
      </c>
      <c r="B322" s="118">
        <f>ric!C322</f>
        <v/>
      </c>
      <c r="C322" s="125">
        <f>ric!D322</f>
        <v/>
      </c>
      <c r="D322" s="125" t="n"/>
      <c r="E322" s="125" t="n"/>
      <c r="F322" s="125" t="n"/>
      <c r="G322" s="118">
        <f>CONCATENATE(A322, " ",#REF!, " / ",H322)</f>
        <v/>
      </c>
      <c r="H322" s="118" t="n"/>
      <c r="I322" s="119">
        <f>CONCATENATE(M322," - ",J322," - Lotto N° ",K322,"")</f>
        <v/>
      </c>
      <c r="J322" s="118" t="n"/>
      <c r="K322" s="118">
        <f>VLOOKUP(#REF!,Produzione,7,FALSE)</f>
        <v/>
      </c>
      <c r="L322" s="120" t="n"/>
      <c r="M322" s="120" t="n"/>
      <c r="N322" s="118" t="n"/>
      <c r="O322" s="121" t="n"/>
      <c r="P322" s="121" t="n"/>
      <c r="Q322" s="166">
        <f>TODAY()</f>
        <v/>
      </c>
      <c r="R322" s="165">
        <f>ElencoProdotti[[#This Row],[PRODUZIONE]]+20</f>
        <v/>
      </c>
      <c r="S322" s="165">
        <f>TODAY()</f>
        <v/>
      </c>
      <c r="T322" s="133">
        <f>CONCATENATE(A322," - contiene allergni - prodotto il giorno ",TEXT(Q322,"gg/mm/aaaa"),"")</f>
        <v/>
      </c>
    </row>
    <row r="323" ht="15" customHeight="1" s="155">
      <c r="A323" s="134">
        <f>ric!B323</f>
        <v/>
      </c>
      <c r="B323" s="118">
        <f>ric!C323</f>
        <v/>
      </c>
      <c r="C323" s="125">
        <f>ric!D323</f>
        <v/>
      </c>
      <c r="D323" s="125" t="n"/>
      <c r="E323" s="125" t="n"/>
      <c r="F323" s="125" t="n"/>
      <c r="G323" s="118">
        <f>CONCATENATE(A323, " ",#REF!, " / ",H323)</f>
        <v/>
      </c>
      <c r="H323" s="118" t="n"/>
      <c r="I323" s="119">
        <f>CONCATENATE(M323," - ",J323," - Lotto N° ",K323,"")</f>
        <v/>
      </c>
      <c r="J323" s="118" t="n"/>
      <c r="K323" s="118">
        <f>VLOOKUP(#REF!,Produzione,7,FALSE)</f>
        <v/>
      </c>
      <c r="L323" s="120" t="n"/>
      <c r="M323" s="120" t="n"/>
      <c r="N323" s="118" t="n"/>
      <c r="O323" s="121" t="n"/>
      <c r="P323" s="121" t="n"/>
      <c r="Q323" s="166">
        <f>TODAY()</f>
        <v/>
      </c>
      <c r="R323" s="165">
        <f>ElencoProdotti[[#This Row],[PRODUZIONE]]+20</f>
        <v/>
      </c>
      <c r="S323" s="165">
        <f>TODAY()</f>
        <v/>
      </c>
      <c r="T323" s="133">
        <f>CONCATENATE(A323," - contiene allergni - prodotto il giorno ",TEXT(Q323,"gg/mm/aaaa"),"")</f>
        <v/>
      </c>
    </row>
    <row r="324" ht="15" customHeight="1" s="155">
      <c r="A324" s="134">
        <f>ric!B324</f>
        <v/>
      </c>
      <c r="B324" s="118">
        <f>ric!C324</f>
        <v/>
      </c>
      <c r="C324" s="125">
        <f>ric!D324</f>
        <v/>
      </c>
      <c r="D324" s="125" t="n"/>
      <c r="E324" s="125" t="n"/>
      <c r="F324" s="125" t="n"/>
      <c r="G324" s="118">
        <f>CONCATENATE(A324, " ",#REF!, " / ",H324)</f>
        <v/>
      </c>
      <c r="H324" s="118" t="n"/>
      <c r="I324" s="119">
        <f>CONCATENATE(M324," - ",J324," - Lotto N° ",K324,"")</f>
        <v/>
      </c>
      <c r="J324" s="118" t="n"/>
      <c r="K324" s="118">
        <f>VLOOKUP(#REF!,Produzione,7,FALSE)</f>
        <v/>
      </c>
      <c r="L324" s="120" t="n"/>
      <c r="M324" s="120" t="n"/>
      <c r="N324" s="118" t="n"/>
      <c r="O324" s="121" t="n"/>
      <c r="P324" s="121" t="n"/>
      <c r="Q324" s="166">
        <f>TODAY()</f>
        <v/>
      </c>
      <c r="R324" s="165">
        <f>ElencoProdotti[[#This Row],[PRODUZIONE]]+20</f>
        <v/>
      </c>
      <c r="S324" s="165">
        <f>TODAY()</f>
        <v/>
      </c>
      <c r="T324" s="133">
        <f>CONCATENATE(A324," - contiene allergni - prodotto il giorno ",TEXT(Q324,"gg/mm/aaaa"),"")</f>
        <v/>
      </c>
    </row>
    <row r="325" ht="15" customHeight="1" s="155">
      <c r="A325" s="134">
        <f>ric!B325</f>
        <v/>
      </c>
      <c r="B325" s="118">
        <f>ric!C325</f>
        <v/>
      </c>
      <c r="C325" s="125">
        <f>ric!D325</f>
        <v/>
      </c>
      <c r="D325" s="125" t="n"/>
      <c r="E325" s="125" t="n"/>
      <c r="F325" s="125" t="n"/>
      <c r="G325" s="118">
        <f>CONCATENATE(A325, " ",#REF!, " / ",H325)</f>
        <v/>
      </c>
      <c r="H325" s="118" t="n"/>
      <c r="I325" s="119">
        <f>CONCATENATE(M325," - ",J325," - Lotto N° ",K325,"")</f>
        <v/>
      </c>
      <c r="J325" s="118" t="n"/>
      <c r="K325" s="118">
        <f>VLOOKUP(#REF!,Produzione,7,FALSE)</f>
        <v/>
      </c>
      <c r="L325" s="120" t="n"/>
      <c r="M325" s="120" t="n"/>
      <c r="N325" s="118" t="n"/>
      <c r="O325" s="121" t="n"/>
      <c r="P325" s="121" t="n"/>
      <c r="Q325" s="166">
        <f>TODAY()</f>
        <v/>
      </c>
      <c r="R325" s="165">
        <f>ElencoProdotti[[#This Row],[PRODUZIONE]]+20</f>
        <v/>
      </c>
      <c r="S325" s="165">
        <f>TODAY()</f>
        <v/>
      </c>
      <c r="T325" s="133">
        <f>CONCATENATE(A325," - contiene allergni - prodotto il giorno ",TEXT(Q325,"gg/mm/aaaa"),"")</f>
        <v/>
      </c>
    </row>
    <row r="326" ht="15" customHeight="1" s="155">
      <c r="A326" s="134">
        <f>ric!B326</f>
        <v/>
      </c>
      <c r="B326" s="118">
        <f>ric!C326</f>
        <v/>
      </c>
      <c r="C326" s="125">
        <f>ric!D326</f>
        <v/>
      </c>
      <c r="D326" s="125" t="n"/>
      <c r="E326" s="125" t="n"/>
      <c r="F326" s="125" t="n"/>
      <c r="G326" s="118">
        <f>CONCATENATE(A326, " ",#REF!, " / ",H326)</f>
        <v/>
      </c>
      <c r="H326" s="118" t="n"/>
      <c r="I326" s="119">
        <f>CONCATENATE(M326," - ",J326," - Lotto N° ",K326,"")</f>
        <v/>
      </c>
      <c r="J326" s="118" t="n"/>
      <c r="K326" s="118">
        <f>VLOOKUP(#REF!,Produzione,7,FALSE)</f>
        <v/>
      </c>
      <c r="L326" s="120" t="n"/>
      <c r="M326" s="120" t="n"/>
      <c r="N326" s="118" t="n"/>
      <c r="O326" s="121" t="n"/>
      <c r="P326" s="121" t="n"/>
      <c r="Q326" s="166">
        <f>TODAY()</f>
        <v/>
      </c>
      <c r="R326" s="165">
        <f>ElencoProdotti[[#This Row],[PRODUZIONE]]+20</f>
        <v/>
      </c>
      <c r="S326" s="165">
        <f>TODAY()</f>
        <v/>
      </c>
      <c r="T326" s="133">
        <f>CONCATENATE(A326," - contiene allergni - prodotto il giorno ",TEXT(Q326,"gg/mm/aaaa"),"")</f>
        <v/>
      </c>
    </row>
    <row r="327" ht="15" customHeight="1" s="155">
      <c r="A327" s="134">
        <f>ric!B327</f>
        <v/>
      </c>
      <c r="B327" s="118">
        <f>ric!C327</f>
        <v/>
      </c>
      <c r="C327" s="125">
        <f>ric!D327</f>
        <v/>
      </c>
      <c r="D327" s="125" t="n"/>
      <c r="E327" s="125" t="n"/>
      <c r="F327" s="125" t="n"/>
      <c r="G327" s="118">
        <f>CONCATENATE(A327, " ",#REF!, " / ",H327)</f>
        <v/>
      </c>
      <c r="H327" s="118" t="n"/>
      <c r="I327" s="119">
        <f>CONCATENATE(M327," - ",J327," - Lotto N° ",K327,"")</f>
        <v/>
      </c>
      <c r="J327" s="118" t="n"/>
      <c r="K327" s="118">
        <f>VLOOKUP(#REF!,Produzione,7,FALSE)</f>
        <v/>
      </c>
      <c r="L327" s="120" t="n"/>
      <c r="M327" s="120" t="n"/>
      <c r="N327" s="118" t="n"/>
      <c r="O327" s="121" t="n"/>
      <c r="P327" s="121" t="n"/>
      <c r="Q327" s="166">
        <f>TODAY()</f>
        <v/>
      </c>
      <c r="R327" s="165">
        <f>ElencoProdotti[[#This Row],[PRODUZIONE]]+20</f>
        <v/>
      </c>
      <c r="S327" s="165">
        <f>TODAY()</f>
        <v/>
      </c>
      <c r="T327" s="133">
        <f>CONCATENATE(A327," - contiene allergni - prodotto il giorno ",TEXT(Q327,"gg/mm/aaaa"),"")</f>
        <v/>
      </c>
    </row>
    <row r="328" ht="15" customHeight="1" s="155">
      <c r="A328" s="134">
        <f>ric!B328</f>
        <v/>
      </c>
      <c r="B328" s="118">
        <f>ric!C328</f>
        <v/>
      </c>
      <c r="C328" s="125">
        <f>ric!D328</f>
        <v/>
      </c>
      <c r="D328" s="125" t="n"/>
      <c r="E328" s="125" t="n"/>
      <c r="F328" s="125" t="n"/>
      <c r="G328" s="118">
        <f>CONCATENATE(A328, " ",#REF!, " / ",H328)</f>
        <v/>
      </c>
      <c r="H328" s="118" t="n"/>
      <c r="I328" s="119">
        <f>CONCATENATE(M328," - ",J328," - Lotto N° ",K328,"")</f>
        <v/>
      </c>
      <c r="J328" s="118" t="n"/>
      <c r="K328" s="118">
        <f>VLOOKUP(#REF!,Produzione,7,FALSE)</f>
        <v/>
      </c>
      <c r="L328" s="120" t="n"/>
      <c r="M328" s="120" t="n"/>
      <c r="N328" s="118" t="n"/>
      <c r="O328" s="121" t="n"/>
      <c r="P328" s="121" t="n"/>
      <c r="Q328" s="166">
        <f>TODAY()</f>
        <v/>
      </c>
      <c r="R328" s="165">
        <f>ElencoProdotti[[#This Row],[PRODUZIONE]]+20</f>
        <v/>
      </c>
      <c r="S328" s="165">
        <f>TODAY()</f>
        <v/>
      </c>
      <c r="T328" s="133">
        <f>CONCATENATE(A328," - contiene allergni - prodotto il giorno ",TEXT(Q328,"gg/mm/aaaa"),"")</f>
        <v/>
      </c>
    </row>
    <row r="329" ht="15" customHeight="1" s="155">
      <c r="A329" s="134">
        <f>ric!B329</f>
        <v/>
      </c>
      <c r="B329" s="118">
        <f>ric!C329</f>
        <v/>
      </c>
      <c r="C329" s="125">
        <f>ric!D329</f>
        <v/>
      </c>
      <c r="D329" s="125" t="n"/>
      <c r="E329" s="125" t="n"/>
      <c r="F329" s="125" t="n"/>
      <c r="G329" s="118">
        <f>CONCATENATE(A329, " ",#REF!, " / ",H329)</f>
        <v/>
      </c>
      <c r="H329" s="118" t="n"/>
      <c r="I329" s="119">
        <f>CONCATENATE(M329," - ",J329," - Lotto N° ",K329,"")</f>
        <v/>
      </c>
      <c r="J329" s="118" t="n"/>
      <c r="K329" s="118">
        <f>VLOOKUP(#REF!,Produzione,7,FALSE)</f>
        <v/>
      </c>
      <c r="L329" s="120" t="n"/>
      <c r="M329" s="120" t="n"/>
      <c r="N329" s="118" t="n"/>
      <c r="O329" s="121" t="n"/>
      <c r="P329" s="121" t="n"/>
      <c r="Q329" s="166">
        <f>TODAY()</f>
        <v/>
      </c>
      <c r="R329" s="165">
        <f>ElencoProdotti[[#This Row],[PRODUZIONE]]+20</f>
        <v/>
      </c>
      <c r="S329" s="165">
        <f>TODAY()</f>
        <v/>
      </c>
      <c r="T329" s="133">
        <f>CONCATENATE(A329," - contiene allergni - prodotto il giorno ",TEXT(Q329,"gg/mm/aaaa"),"")</f>
        <v/>
      </c>
    </row>
    <row r="330" ht="15" customHeight="1" s="155">
      <c r="A330" s="134">
        <f>ric!B330</f>
        <v/>
      </c>
      <c r="B330" s="118">
        <f>ric!C330</f>
        <v/>
      </c>
      <c r="C330" s="125">
        <f>ric!D330</f>
        <v/>
      </c>
      <c r="D330" s="125" t="n"/>
      <c r="E330" s="125" t="n"/>
      <c r="F330" s="125" t="n"/>
      <c r="G330" s="118">
        <f>CONCATENATE(A330, " ",#REF!, " / ",H330)</f>
        <v/>
      </c>
      <c r="H330" s="118" t="n"/>
      <c r="I330" s="119">
        <f>CONCATENATE(M330," - ",J330," - Lotto N° ",K330,"")</f>
        <v/>
      </c>
      <c r="J330" s="118" t="n"/>
      <c r="K330" s="118">
        <f>VLOOKUP(#REF!,Produzione,7,FALSE)</f>
        <v/>
      </c>
      <c r="L330" s="120" t="n"/>
      <c r="M330" s="120" t="n"/>
      <c r="N330" s="118" t="n"/>
      <c r="O330" s="121" t="n"/>
      <c r="P330" s="121" t="n"/>
      <c r="Q330" s="166">
        <f>TODAY()</f>
        <v/>
      </c>
      <c r="R330" s="165">
        <f>ElencoProdotti[[#This Row],[PRODUZIONE]]+20</f>
        <v/>
      </c>
      <c r="S330" s="165">
        <f>TODAY()</f>
        <v/>
      </c>
      <c r="T330" s="133">
        <f>CONCATENATE(A330," - contiene allergni - prodotto il giorno ",TEXT(Q330,"gg/mm/aaaa"),"")</f>
        <v/>
      </c>
    </row>
    <row r="331" ht="15" customHeight="1" s="155">
      <c r="A331" s="134">
        <f>ric!B331</f>
        <v/>
      </c>
      <c r="B331" s="118">
        <f>ric!C331</f>
        <v/>
      </c>
      <c r="C331" s="125">
        <f>ric!D331</f>
        <v/>
      </c>
      <c r="D331" s="125" t="n"/>
      <c r="E331" s="125" t="n"/>
      <c r="F331" s="125" t="n"/>
      <c r="G331" s="118">
        <f>CONCATENATE(A331, " ",#REF!, " / ",H331)</f>
        <v/>
      </c>
      <c r="H331" s="118" t="n"/>
      <c r="I331" s="119">
        <f>CONCATENATE(M331," - ",J331," - Lotto N° ",K331,"")</f>
        <v/>
      </c>
      <c r="J331" s="118" t="n"/>
      <c r="K331" s="118">
        <f>VLOOKUP(#REF!,Produzione,7,FALSE)</f>
        <v/>
      </c>
      <c r="L331" s="120" t="n"/>
      <c r="M331" s="120" t="n"/>
      <c r="N331" s="118" t="n"/>
      <c r="O331" s="121" t="n"/>
      <c r="P331" s="121" t="n"/>
      <c r="Q331" s="166">
        <f>TODAY()</f>
        <v/>
      </c>
      <c r="R331" s="165">
        <f>ElencoProdotti[[#This Row],[PRODUZIONE]]+20</f>
        <v/>
      </c>
      <c r="S331" s="165">
        <f>TODAY()</f>
        <v/>
      </c>
      <c r="T331" s="133">
        <f>CONCATENATE(A331," - contiene allergni - prodotto il giorno ",TEXT(Q331,"gg/mm/aaaa"),"")</f>
        <v/>
      </c>
    </row>
    <row r="332" ht="15" customHeight="1" s="155">
      <c r="A332" s="134">
        <f>ric!B332</f>
        <v/>
      </c>
      <c r="B332" s="118">
        <f>ric!C332</f>
        <v/>
      </c>
      <c r="C332" s="125">
        <f>ric!D332</f>
        <v/>
      </c>
      <c r="D332" s="125" t="n"/>
      <c r="E332" s="125" t="n"/>
      <c r="F332" s="125" t="n"/>
      <c r="G332" s="118">
        <f>CONCATENATE(A332, " ",#REF!, " / ",H332)</f>
        <v/>
      </c>
      <c r="H332" s="118" t="n"/>
      <c r="I332" s="119">
        <f>CONCATENATE(M332," - ",J332," - Lotto N° ",K332,"")</f>
        <v/>
      </c>
      <c r="J332" s="118" t="n"/>
      <c r="K332" s="118">
        <f>VLOOKUP(#REF!,Produzione,7,FALSE)</f>
        <v/>
      </c>
      <c r="L332" s="120" t="n"/>
      <c r="M332" s="120" t="n"/>
      <c r="N332" s="118" t="n"/>
      <c r="O332" s="121" t="n"/>
      <c r="P332" s="121" t="n"/>
      <c r="Q332" s="166">
        <f>TODAY()</f>
        <v/>
      </c>
      <c r="R332" s="165">
        <f>ElencoProdotti[[#This Row],[PRODUZIONE]]+20</f>
        <v/>
      </c>
      <c r="S332" s="165">
        <f>TODAY()</f>
        <v/>
      </c>
      <c r="T332" s="133">
        <f>CONCATENATE(A332," - contiene allergni - prodotto il giorno ",TEXT(Q332,"gg/mm/aaaa"),"")</f>
        <v/>
      </c>
    </row>
    <row r="333" ht="15" customHeight="1" s="155">
      <c r="A333" s="134">
        <f>ric!B333</f>
        <v/>
      </c>
      <c r="B333" s="118">
        <f>ric!C333</f>
        <v/>
      </c>
      <c r="C333" s="125">
        <f>ric!D333</f>
        <v/>
      </c>
      <c r="D333" s="125" t="n"/>
      <c r="E333" s="125" t="n"/>
      <c r="F333" s="125" t="n"/>
      <c r="G333" s="118">
        <f>CONCATENATE(A333, " ",#REF!, " / ",H333)</f>
        <v/>
      </c>
      <c r="H333" s="118" t="n"/>
      <c r="I333" s="119">
        <f>CONCATENATE(M333," - ",J333," - Lotto N° ",K333,"")</f>
        <v/>
      </c>
      <c r="J333" s="118" t="n"/>
      <c r="K333" s="118">
        <f>VLOOKUP(#REF!,Produzione,7,FALSE)</f>
        <v/>
      </c>
      <c r="L333" s="120" t="n"/>
      <c r="M333" s="120" t="n"/>
      <c r="N333" s="118" t="n"/>
      <c r="O333" s="121" t="n"/>
      <c r="P333" s="121" t="n"/>
      <c r="Q333" s="166">
        <f>TODAY()</f>
        <v/>
      </c>
      <c r="R333" s="165">
        <f>ElencoProdotti[[#This Row],[PRODUZIONE]]+20</f>
        <v/>
      </c>
      <c r="S333" s="165">
        <f>TODAY()</f>
        <v/>
      </c>
      <c r="T333" s="133">
        <f>CONCATENATE(A333," - contiene allergni - prodotto il giorno ",TEXT(Q333,"gg/mm/aaaa"),"")</f>
        <v/>
      </c>
    </row>
    <row r="334" ht="15" customHeight="1" s="155">
      <c r="A334" s="134">
        <f>ric!B334</f>
        <v/>
      </c>
      <c r="B334" s="118">
        <f>ric!C334</f>
        <v/>
      </c>
      <c r="C334" s="125">
        <f>ric!D334</f>
        <v/>
      </c>
      <c r="D334" s="125" t="n"/>
      <c r="E334" s="125" t="n"/>
      <c r="F334" s="125" t="n"/>
      <c r="G334" s="118">
        <f>CONCATENATE(A334, " ",#REF!, " / ",H334)</f>
        <v/>
      </c>
      <c r="H334" s="118" t="n"/>
      <c r="I334" s="119">
        <f>CONCATENATE(M334," - ",J334," - Lotto N° ",K334,"")</f>
        <v/>
      </c>
      <c r="J334" s="118" t="n"/>
      <c r="K334" s="118">
        <f>VLOOKUP(#REF!,Produzione,7,FALSE)</f>
        <v/>
      </c>
      <c r="L334" s="120" t="n"/>
      <c r="M334" s="120" t="n"/>
      <c r="N334" s="118" t="n"/>
      <c r="O334" s="121" t="n"/>
      <c r="P334" s="121" t="n"/>
      <c r="Q334" s="166">
        <f>TODAY()</f>
        <v/>
      </c>
      <c r="R334" s="165">
        <f>ElencoProdotti[[#This Row],[PRODUZIONE]]+20</f>
        <v/>
      </c>
      <c r="S334" s="165">
        <f>TODAY()</f>
        <v/>
      </c>
      <c r="T334" s="133">
        <f>CONCATENATE(A334," - contiene allergni - prodotto il giorno ",TEXT(Q334,"gg/mm/aaaa"),"")</f>
        <v/>
      </c>
    </row>
    <row r="335" ht="15" customHeight="1" s="155">
      <c r="A335" s="134">
        <f>ric!B335</f>
        <v/>
      </c>
      <c r="B335" s="118">
        <f>ric!C335</f>
        <v/>
      </c>
      <c r="C335" s="125">
        <f>ric!D335</f>
        <v/>
      </c>
      <c r="D335" s="125" t="n"/>
      <c r="E335" s="125" t="n"/>
      <c r="F335" s="125" t="n"/>
      <c r="G335" s="118">
        <f>CONCATENATE(A335, " ",#REF!, " / ",H335)</f>
        <v/>
      </c>
      <c r="H335" s="118" t="n"/>
      <c r="I335" s="119">
        <f>CONCATENATE(M335," - ",J335," - Lotto N° ",K335,"")</f>
        <v/>
      </c>
      <c r="J335" s="118" t="n"/>
      <c r="K335" s="118">
        <f>VLOOKUP(#REF!,Produzione,7,FALSE)</f>
        <v/>
      </c>
      <c r="L335" s="120" t="n"/>
      <c r="M335" s="120" t="n"/>
      <c r="N335" s="118" t="n"/>
      <c r="O335" s="121" t="n"/>
      <c r="P335" s="121" t="n"/>
      <c r="Q335" s="166">
        <f>TODAY()</f>
        <v/>
      </c>
      <c r="R335" s="165">
        <f>ElencoProdotti[[#This Row],[PRODUZIONE]]+20</f>
        <v/>
      </c>
      <c r="S335" s="165">
        <f>TODAY()</f>
        <v/>
      </c>
      <c r="T335" s="133">
        <f>CONCATENATE(A335," - contiene allergni - prodotto il giorno ",TEXT(Q335,"gg/mm/aaaa"),"")</f>
        <v/>
      </c>
    </row>
    <row r="336" ht="15" customHeight="1" s="155">
      <c r="A336" s="134">
        <f>ric!B336</f>
        <v/>
      </c>
      <c r="B336" s="118">
        <f>ric!C336</f>
        <v/>
      </c>
      <c r="C336" s="125">
        <f>ric!D336</f>
        <v/>
      </c>
      <c r="D336" s="125" t="n"/>
      <c r="E336" s="125" t="n"/>
      <c r="F336" s="125" t="n"/>
      <c r="G336" s="118">
        <f>CONCATENATE(A336, " ",#REF!, " / ",H336)</f>
        <v/>
      </c>
      <c r="H336" s="118" t="n"/>
      <c r="I336" s="119">
        <f>CONCATENATE(M336," - ",J336," - Lotto N° ",K336,"")</f>
        <v/>
      </c>
      <c r="J336" s="118" t="n"/>
      <c r="K336" s="118">
        <f>VLOOKUP(#REF!,Produzione,7,FALSE)</f>
        <v/>
      </c>
      <c r="L336" s="120" t="n"/>
      <c r="M336" s="120" t="n"/>
      <c r="N336" s="118" t="n"/>
      <c r="O336" s="121" t="n"/>
      <c r="P336" s="121" t="n"/>
      <c r="Q336" s="166">
        <f>TODAY()</f>
        <v/>
      </c>
      <c r="R336" s="165">
        <f>ElencoProdotti[[#This Row],[PRODUZIONE]]+20</f>
        <v/>
      </c>
      <c r="S336" s="165">
        <f>TODAY()</f>
        <v/>
      </c>
      <c r="T336" s="133">
        <f>CONCATENATE(A336," - contiene allergni - prodotto il giorno ",TEXT(Q336,"gg/mm/aaaa"),"")</f>
        <v/>
      </c>
    </row>
    <row r="337" ht="15" customHeight="1" s="155">
      <c r="A337" s="134">
        <f>ric!B337</f>
        <v/>
      </c>
      <c r="B337" s="118">
        <f>ric!C337</f>
        <v/>
      </c>
      <c r="C337" s="125">
        <f>ric!D337</f>
        <v/>
      </c>
      <c r="D337" s="125" t="n"/>
      <c r="E337" s="125" t="n"/>
      <c r="F337" s="125" t="n"/>
      <c r="G337" s="118">
        <f>CONCATENATE(A337, " ",#REF!, " / ",H337)</f>
        <v/>
      </c>
      <c r="H337" s="118" t="n"/>
      <c r="I337" s="119">
        <f>CONCATENATE(M337," - ",J337," - Lotto N° ",K337,"")</f>
        <v/>
      </c>
      <c r="J337" s="118" t="n"/>
      <c r="K337" s="118">
        <f>VLOOKUP(#REF!,Produzione,7,FALSE)</f>
        <v/>
      </c>
      <c r="L337" s="120" t="n"/>
      <c r="M337" s="120" t="n"/>
      <c r="N337" s="118" t="n"/>
      <c r="O337" s="121" t="n"/>
      <c r="P337" s="121" t="n"/>
      <c r="Q337" s="166">
        <f>TODAY()</f>
        <v/>
      </c>
      <c r="R337" s="165">
        <f>ElencoProdotti[[#This Row],[PRODUZIONE]]+20</f>
        <v/>
      </c>
      <c r="S337" s="165">
        <f>TODAY()</f>
        <v/>
      </c>
      <c r="T337" s="133">
        <f>CONCATENATE(A337," - contiene allergni - prodotto il giorno ",TEXT(Q337,"gg/mm/aaaa"),"")</f>
        <v/>
      </c>
    </row>
    <row r="338" ht="15" customHeight="1" s="155">
      <c r="A338" s="134">
        <f>ric!B338</f>
        <v/>
      </c>
      <c r="B338" s="118">
        <f>ric!C338</f>
        <v/>
      </c>
      <c r="C338" s="125">
        <f>ric!D338</f>
        <v/>
      </c>
      <c r="D338" s="125" t="n"/>
      <c r="E338" s="125" t="n"/>
      <c r="F338" s="125" t="n"/>
      <c r="G338" s="118">
        <f>CONCATENATE(A338, " ",#REF!, " / ",H338)</f>
        <v/>
      </c>
      <c r="H338" s="118" t="n"/>
      <c r="I338" s="119">
        <f>CONCATENATE(M338," - ",J338," - Lotto N° ",K338,"")</f>
        <v/>
      </c>
      <c r="J338" s="118" t="n"/>
      <c r="K338" s="118">
        <f>VLOOKUP(#REF!,Produzione,7,FALSE)</f>
        <v/>
      </c>
      <c r="L338" s="120" t="n"/>
      <c r="M338" s="120" t="n"/>
      <c r="N338" s="118" t="n"/>
      <c r="O338" s="121" t="n"/>
      <c r="P338" s="121" t="n"/>
      <c r="Q338" s="166">
        <f>TODAY()</f>
        <v/>
      </c>
      <c r="R338" s="165">
        <f>ElencoProdotti[[#This Row],[PRODUZIONE]]+20</f>
        <v/>
      </c>
      <c r="S338" s="165">
        <f>TODAY()</f>
        <v/>
      </c>
      <c r="T338" s="133">
        <f>CONCATENATE(A338," - contiene allergni - prodotto il giorno ",TEXT(Q338,"gg/mm/aaaa"),"")</f>
        <v/>
      </c>
    </row>
    <row r="339" ht="15" customHeight="1" s="155">
      <c r="A339" s="134">
        <f>ric!B339</f>
        <v/>
      </c>
      <c r="B339" s="118">
        <f>ric!C339</f>
        <v/>
      </c>
      <c r="C339" s="125">
        <f>ric!D339</f>
        <v/>
      </c>
      <c r="D339" s="125" t="n"/>
      <c r="E339" s="125" t="n"/>
      <c r="F339" s="125" t="n"/>
      <c r="G339" s="118">
        <f>CONCATENATE(A339, " ",#REF!, " / ",H339)</f>
        <v/>
      </c>
      <c r="H339" s="118" t="n"/>
      <c r="I339" s="119">
        <f>CONCATENATE(M339," - ",J339," - Lotto N° ",K339,"")</f>
        <v/>
      </c>
      <c r="J339" s="118" t="n"/>
      <c r="K339" s="118">
        <f>VLOOKUP(#REF!,Produzione,7,FALSE)</f>
        <v/>
      </c>
      <c r="L339" s="120" t="n"/>
      <c r="M339" s="120" t="n"/>
      <c r="N339" s="118" t="n"/>
      <c r="O339" s="121" t="n"/>
      <c r="P339" s="121" t="n"/>
      <c r="Q339" s="166">
        <f>TODAY()</f>
        <v/>
      </c>
      <c r="R339" s="165">
        <f>ElencoProdotti[[#This Row],[PRODUZIONE]]+20</f>
        <v/>
      </c>
      <c r="S339" s="165">
        <f>TODAY()</f>
        <v/>
      </c>
      <c r="T339" s="133">
        <f>CONCATENATE(A339," - contiene allergni - prodotto il giorno ",TEXT(Q339,"gg/mm/aaaa"),"")</f>
        <v/>
      </c>
    </row>
    <row r="340" ht="15" customHeight="1" s="155">
      <c r="A340" s="134">
        <f>ric!B340</f>
        <v/>
      </c>
      <c r="B340" s="118">
        <f>ric!C340</f>
        <v/>
      </c>
      <c r="C340" s="125">
        <f>ric!D340</f>
        <v/>
      </c>
      <c r="D340" s="125" t="n"/>
      <c r="E340" s="125" t="n"/>
      <c r="F340" s="125" t="n"/>
      <c r="G340" s="118">
        <f>CONCATENATE(A340, " ",#REF!, " / ",H340)</f>
        <v/>
      </c>
      <c r="H340" s="118" t="n"/>
      <c r="I340" s="119">
        <f>CONCATENATE(M340," - ",J340," - Lotto N° ",K340,"")</f>
        <v/>
      </c>
      <c r="J340" s="118" t="n"/>
      <c r="K340" s="118">
        <f>VLOOKUP(#REF!,Produzione,7,FALSE)</f>
        <v/>
      </c>
      <c r="L340" s="120" t="n"/>
      <c r="M340" s="120" t="n"/>
      <c r="N340" s="118" t="n"/>
      <c r="O340" s="121" t="n"/>
      <c r="P340" s="121" t="n"/>
      <c r="Q340" s="166">
        <f>TODAY()</f>
        <v/>
      </c>
      <c r="R340" s="165">
        <f>ElencoProdotti[[#This Row],[PRODUZIONE]]+20</f>
        <v/>
      </c>
      <c r="S340" s="165">
        <f>TODAY()</f>
        <v/>
      </c>
      <c r="T340" s="133">
        <f>CONCATENATE(A340," - contiene allergni - prodotto il giorno ",TEXT(Q340,"gg/mm/aaaa"),"")</f>
        <v/>
      </c>
    </row>
    <row r="341" ht="15" customHeight="1" s="155">
      <c r="A341" s="134">
        <f>ric!B341</f>
        <v/>
      </c>
      <c r="B341" s="118">
        <f>ric!C341</f>
        <v/>
      </c>
      <c r="C341" s="125">
        <f>ric!D341</f>
        <v/>
      </c>
      <c r="D341" s="125" t="n"/>
      <c r="E341" s="125" t="n"/>
      <c r="F341" s="125" t="n"/>
      <c r="G341" s="118">
        <f>CONCATENATE(A341, " ",#REF!, " / ",H341)</f>
        <v/>
      </c>
      <c r="H341" s="118" t="n"/>
      <c r="I341" s="119">
        <f>CONCATENATE(M341," - ",J341," - Lotto N° ",K341,"")</f>
        <v/>
      </c>
      <c r="J341" s="118" t="n"/>
      <c r="K341" s="118">
        <f>VLOOKUP(#REF!,Produzione,7,FALSE)</f>
        <v/>
      </c>
      <c r="L341" s="120" t="n"/>
      <c r="M341" s="120" t="n"/>
      <c r="N341" s="118" t="n"/>
      <c r="O341" s="121" t="n"/>
      <c r="P341" s="121" t="n"/>
      <c r="Q341" s="166">
        <f>TODAY()</f>
        <v/>
      </c>
      <c r="R341" s="165">
        <f>ElencoProdotti[[#This Row],[PRODUZIONE]]+20</f>
        <v/>
      </c>
      <c r="S341" s="165">
        <f>TODAY()</f>
        <v/>
      </c>
      <c r="T341" s="133">
        <f>CONCATENATE(A341," - contiene allergni - prodotto il giorno ",TEXT(Q341,"gg/mm/aaaa"),"")</f>
        <v/>
      </c>
    </row>
    <row r="342" ht="15" customHeight="1" s="155">
      <c r="A342" s="134">
        <f>ric!B342</f>
        <v/>
      </c>
      <c r="B342" s="118">
        <f>ric!C342</f>
        <v/>
      </c>
      <c r="C342" s="125">
        <f>ric!D342</f>
        <v/>
      </c>
      <c r="D342" s="125" t="n"/>
      <c r="E342" s="125" t="n"/>
      <c r="F342" s="125" t="n"/>
      <c r="G342" s="118">
        <f>CONCATENATE(A342, " ",#REF!, " / ",H342)</f>
        <v/>
      </c>
      <c r="H342" s="118" t="n"/>
      <c r="I342" s="119">
        <f>CONCATENATE(M342," - ",J342," - Lotto N° ",K342,"")</f>
        <v/>
      </c>
      <c r="J342" s="118" t="n"/>
      <c r="K342" s="118">
        <f>VLOOKUP(#REF!,Produzione,7,FALSE)</f>
        <v/>
      </c>
      <c r="L342" s="120" t="n"/>
      <c r="M342" s="120" t="n"/>
      <c r="N342" s="118" t="n"/>
      <c r="O342" s="121" t="n"/>
      <c r="P342" s="121" t="n"/>
      <c r="Q342" s="166">
        <f>TODAY()</f>
        <v/>
      </c>
      <c r="R342" s="165">
        <f>ElencoProdotti[[#This Row],[PRODUZIONE]]+20</f>
        <v/>
      </c>
      <c r="S342" s="165">
        <f>TODAY()</f>
        <v/>
      </c>
      <c r="T342" s="133">
        <f>CONCATENATE(A342," - contiene allergni - prodotto il giorno ",TEXT(Q342,"gg/mm/aaaa"),"")</f>
        <v/>
      </c>
    </row>
    <row r="343" ht="15" customHeight="1" s="155">
      <c r="A343" s="134">
        <f>ric!B343</f>
        <v/>
      </c>
      <c r="B343" s="118">
        <f>ric!C343</f>
        <v/>
      </c>
      <c r="C343" s="125">
        <f>ric!D343</f>
        <v/>
      </c>
      <c r="D343" s="125" t="n"/>
      <c r="E343" s="125" t="n"/>
      <c r="F343" s="125" t="n"/>
      <c r="G343" s="118">
        <f>CONCATENATE(A343, " ",#REF!, " / ",H343)</f>
        <v/>
      </c>
      <c r="H343" s="118" t="n"/>
      <c r="I343" s="119">
        <f>CONCATENATE(M343," - ",J343," - Lotto N° ",K343,"")</f>
        <v/>
      </c>
      <c r="J343" s="118" t="n"/>
      <c r="K343" s="118">
        <f>VLOOKUP(#REF!,Produzione,7,FALSE)</f>
        <v/>
      </c>
      <c r="L343" s="120" t="n"/>
      <c r="M343" s="120" t="n"/>
      <c r="N343" s="118" t="n"/>
      <c r="O343" s="121" t="n"/>
      <c r="P343" s="121" t="n"/>
      <c r="Q343" s="166">
        <f>TODAY()</f>
        <v/>
      </c>
      <c r="R343" s="165">
        <f>ElencoProdotti[[#This Row],[PRODUZIONE]]+20</f>
        <v/>
      </c>
      <c r="S343" s="165">
        <f>TODAY()</f>
        <v/>
      </c>
      <c r="T343" s="133">
        <f>CONCATENATE(A343," - contiene allergni - prodotto il giorno ",TEXT(Q343,"gg/mm/aaaa"),"")</f>
        <v/>
      </c>
    </row>
    <row r="344" ht="15" customHeight="1" s="155">
      <c r="A344" s="134">
        <f>ric!B344</f>
        <v/>
      </c>
      <c r="B344" s="118">
        <f>ric!C344</f>
        <v/>
      </c>
      <c r="C344" s="125">
        <f>ric!D344</f>
        <v/>
      </c>
      <c r="D344" s="125" t="n"/>
      <c r="E344" s="125" t="n"/>
      <c r="F344" s="125" t="n"/>
      <c r="G344" s="118">
        <f>CONCATENATE(A344, " ",#REF!, " / ",H344)</f>
        <v/>
      </c>
      <c r="H344" s="118" t="n"/>
      <c r="I344" s="119">
        <f>CONCATENATE(M344," - ",J344," - Lotto N° ",K344,"")</f>
        <v/>
      </c>
      <c r="J344" s="118" t="n"/>
      <c r="K344" s="118">
        <f>VLOOKUP(#REF!,Produzione,7,FALSE)</f>
        <v/>
      </c>
      <c r="L344" s="120" t="n"/>
      <c r="M344" s="120" t="n"/>
      <c r="N344" s="118" t="n"/>
      <c r="O344" s="121" t="n"/>
      <c r="P344" s="121" t="n"/>
      <c r="Q344" s="166">
        <f>TODAY()</f>
        <v/>
      </c>
      <c r="R344" s="165">
        <f>ElencoProdotti[[#This Row],[PRODUZIONE]]+20</f>
        <v/>
      </c>
      <c r="S344" s="165">
        <f>TODAY()</f>
        <v/>
      </c>
      <c r="T344" s="133">
        <f>CONCATENATE(A344," - contiene allergni - prodotto il giorno ",TEXT(Q344,"gg/mm/aaaa"),"")</f>
        <v/>
      </c>
    </row>
    <row r="345" ht="15" customHeight="1" s="155">
      <c r="A345" s="134">
        <f>ric!B345</f>
        <v/>
      </c>
      <c r="B345" s="118">
        <f>ric!C345</f>
        <v/>
      </c>
      <c r="C345" s="125">
        <f>ric!D345</f>
        <v/>
      </c>
      <c r="D345" s="125" t="n"/>
      <c r="E345" s="125" t="n"/>
      <c r="F345" s="125" t="n"/>
      <c r="G345" s="118">
        <f>CONCATENATE(A345, " ",#REF!, " / ",H345)</f>
        <v/>
      </c>
      <c r="H345" s="118" t="n"/>
      <c r="I345" s="119">
        <f>CONCATENATE(M345," - ",J345," - Lotto N° ",K345,"")</f>
        <v/>
      </c>
      <c r="J345" s="118" t="n"/>
      <c r="K345" s="118">
        <f>VLOOKUP(#REF!,Produzione,7,FALSE)</f>
        <v/>
      </c>
      <c r="L345" s="120" t="n"/>
      <c r="M345" s="120" t="n"/>
      <c r="N345" s="118" t="n"/>
      <c r="O345" s="121" t="n"/>
      <c r="P345" s="121" t="n"/>
      <c r="Q345" s="166">
        <f>TODAY()</f>
        <v/>
      </c>
      <c r="R345" s="165">
        <f>ElencoProdotti[[#This Row],[PRODUZIONE]]+20</f>
        <v/>
      </c>
      <c r="S345" s="165">
        <f>TODAY()</f>
        <v/>
      </c>
      <c r="T345" s="133">
        <f>CONCATENATE(A345," - contiene allergni - prodotto il giorno ",TEXT(Q345,"gg/mm/aaaa"),"")</f>
        <v/>
      </c>
    </row>
    <row r="346" ht="15" customHeight="1" s="155">
      <c r="A346" s="134">
        <f>ric!B346</f>
        <v/>
      </c>
      <c r="B346" s="118">
        <f>ric!C346</f>
        <v/>
      </c>
      <c r="C346" s="125">
        <f>ric!D346</f>
        <v/>
      </c>
      <c r="D346" s="125" t="n"/>
      <c r="E346" s="125" t="n"/>
      <c r="F346" s="125" t="n"/>
      <c r="G346" s="118">
        <f>CONCATENATE(A346, " ",#REF!, " / ",H346)</f>
        <v/>
      </c>
      <c r="H346" s="118" t="n"/>
      <c r="I346" s="119">
        <f>CONCATENATE(M346," - ",J346," - Lotto N° ",K346,"")</f>
        <v/>
      </c>
      <c r="J346" s="118" t="n"/>
      <c r="K346" s="118">
        <f>VLOOKUP(#REF!,Produzione,7,FALSE)</f>
        <v/>
      </c>
      <c r="L346" s="120" t="n"/>
      <c r="M346" s="120" t="n"/>
      <c r="N346" s="118" t="n"/>
      <c r="O346" s="121" t="n"/>
      <c r="P346" s="121" t="n"/>
      <c r="Q346" s="166">
        <f>TODAY()</f>
        <v/>
      </c>
      <c r="R346" s="165">
        <f>ElencoProdotti[[#This Row],[PRODUZIONE]]+20</f>
        <v/>
      </c>
      <c r="S346" s="165">
        <f>TODAY()</f>
        <v/>
      </c>
      <c r="T346" s="133">
        <f>CONCATENATE(A346," - contiene allergni - prodotto il giorno ",TEXT(Q346,"gg/mm/aaaa"),"")</f>
        <v/>
      </c>
    </row>
    <row r="347" ht="15" customHeight="1" s="155">
      <c r="A347" s="134">
        <f>ric!B347</f>
        <v/>
      </c>
      <c r="B347" s="118">
        <f>ric!C347</f>
        <v/>
      </c>
      <c r="C347" s="125">
        <f>ric!D347</f>
        <v/>
      </c>
      <c r="D347" s="125" t="n"/>
      <c r="E347" s="125" t="n"/>
      <c r="F347" s="125" t="n"/>
      <c r="G347" s="118">
        <f>CONCATENATE(A347, " ",#REF!, " / ",H347)</f>
        <v/>
      </c>
      <c r="H347" s="118" t="n"/>
      <c r="I347" s="119">
        <f>CONCATENATE(M347," - ",J347," - Lotto N° ",K347,"")</f>
        <v/>
      </c>
      <c r="J347" s="118" t="n"/>
      <c r="K347" s="118">
        <f>VLOOKUP(#REF!,Produzione,7,FALSE)</f>
        <v/>
      </c>
      <c r="L347" s="120" t="n"/>
      <c r="M347" s="120" t="n"/>
      <c r="N347" s="118" t="n"/>
      <c r="O347" s="121" t="n"/>
      <c r="P347" s="121" t="n"/>
      <c r="Q347" s="166">
        <f>TODAY()</f>
        <v/>
      </c>
      <c r="R347" s="165">
        <f>ElencoProdotti[[#This Row],[PRODUZIONE]]+20</f>
        <v/>
      </c>
      <c r="S347" s="165">
        <f>TODAY()</f>
        <v/>
      </c>
      <c r="T347" s="133">
        <f>CONCATENATE(A347," - contiene allergni - prodotto il giorno ",TEXT(Q347,"gg/mm/aaaa"),"")</f>
        <v/>
      </c>
    </row>
    <row r="348" ht="15" customHeight="1" s="155">
      <c r="A348" s="134">
        <f>ric!B348</f>
        <v/>
      </c>
      <c r="B348" s="118">
        <f>ric!C348</f>
        <v/>
      </c>
      <c r="C348" s="125">
        <f>ric!D348</f>
        <v/>
      </c>
      <c r="D348" s="125" t="n"/>
      <c r="E348" s="125" t="n"/>
      <c r="F348" s="125" t="n"/>
      <c r="G348" s="118">
        <f>CONCATENATE(A348, " ",#REF!, " / ",H348)</f>
        <v/>
      </c>
      <c r="H348" s="118" t="n"/>
      <c r="I348" s="119">
        <f>CONCATENATE(M348," - ",J348," - Lotto N° ",K348,"")</f>
        <v/>
      </c>
      <c r="J348" s="118" t="n"/>
      <c r="K348" s="118">
        <f>VLOOKUP(#REF!,Produzione,7,FALSE)</f>
        <v/>
      </c>
      <c r="L348" s="120" t="n"/>
      <c r="M348" s="120" t="n"/>
      <c r="N348" s="118" t="n"/>
      <c r="O348" s="121" t="n"/>
      <c r="P348" s="121" t="n"/>
      <c r="Q348" s="166">
        <f>TODAY()</f>
        <v/>
      </c>
      <c r="R348" s="165">
        <f>ElencoProdotti[[#This Row],[PRODUZIONE]]+20</f>
        <v/>
      </c>
      <c r="S348" s="165">
        <f>TODAY()</f>
        <v/>
      </c>
      <c r="T348" s="133">
        <f>CONCATENATE(A348," - contiene allergni - prodotto il giorno ",TEXT(Q348,"gg/mm/aaaa"),"")</f>
        <v/>
      </c>
    </row>
    <row r="349" ht="15" customHeight="1" s="155">
      <c r="A349" s="134">
        <f>ric!B349</f>
        <v/>
      </c>
      <c r="B349" s="118">
        <f>ric!C349</f>
        <v/>
      </c>
      <c r="C349" s="125">
        <f>ric!D349</f>
        <v/>
      </c>
      <c r="D349" s="125" t="n"/>
      <c r="E349" s="125" t="n"/>
      <c r="F349" s="125" t="n"/>
      <c r="G349" s="118">
        <f>CONCATENATE(A349, " ",#REF!, " / ",H349)</f>
        <v/>
      </c>
      <c r="H349" s="118" t="n"/>
      <c r="I349" s="119">
        <f>CONCATENATE(M349," - ",J349," - Lotto N° ",K349,"")</f>
        <v/>
      </c>
      <c r="J349" s="118" t="n"/>
      <c r="K349" s="118">
        <f>VLOOKUP(#REF!,Produzione,7,FALSE)</f>
        <v/>
      </c>
      <c r="L349" s="120" t="n"/>
      <c r="M349" s="120" t="n"/>
      <c r="N349" s="118" t="n"/>
      <c r="O349" s="121" t="n"/>
      <c r="P349" s="121" t="n"/>
      <c r="Q349" s="166">
        <f>TODAY()</f>
        <v/>
      </c>
      <c r="R349" s="165">
        <f>ElencoProdotti[[#This Row],[PRODUZIONE]]+20</f>
        <v/>
      </c>
      <c r="S349" s="165">
        <f>TODAY()</f>
        <v/>
      </c>
      <c r="T349" s="133">
        <f>CONCATENATE(A349," - contiene allergni - prodotto il giorno ",TEXT(Q349,"gg/mm/aaaa"),"")</f>
        <v/>
      </c>
    </row>
    <row r="350" ht="15" customHeight="1" s="155">
      <c r="A350" s="134">
        <f>ric!B350</f>
        <v/>
      </c>
      <c r="B350" s="118">
        <f>ric!C350</f>
        <v/>
      </c>
      <c r="C350" s="125">
        <f>ric!D350</f>
        <v/>
      </c>
      <c r="D350" s="125" t="n"/>
      <c r="E350" s="125" t="n"/>
      <c r="F350" s="125" t="n"/>
      <c r="G350" s="118">
        <f>CONCATENATE(A350, " ",#REF!, " / ",H350)</f>
        <v/>
      </c>
      <c r="H350" s="118" t="n"/>
      <c r="I350" s="119">
        <f>CONCATENATE(M350," - ",J350," - Lotto N° ",K350,"")</f>
        <v/>
      </c>
      <c r="J350" s="118" t="n"/>
      <c r="K350" s="118">
        <f>VLOOKUP(#REF!,Produzione,7,FALSE)</f>
        <v/>
      </c>
      <c r="L350" s="120" t="n"/>
      <c r="M350" s="120" t="n"/>
      <c r="N350" s="118" t="n"/>
      <c r="O350" s="121" t="n"/>
      <c r="P350" s="121" t="n"/>
      <c r="Q350" s="166">
        <f>TODAY()</f>
        <v/>
      </c>
      <c r="R350" s="165">
        <f>ElencoProdotti[[#This Row],[PRODUZIONE]]+20</f>
        <v/>
      </c>
      <c r="S350" s="165">
        <f>TODAY()</f>
        <v/>
      </c>
      <c r="T350" s="133">
        <f>CONCATENATE(A350," - contiene allergni - prodotto il giorno ",TEXT(Q350,"gg/mm/aaaa"),"")</f>
        <v/>
      </c>
    </row>
    <row r="351" ht="15" customHeight="1" s="155">
      <c r="A351" s="134">
        <f>ric!B351</f>
        <v/>
      </c>
      <c r="B351" s="118">
        <f>ric!C351</f>
        <v/>
      </c>
      <c r="C351" s="125">
        <f>ric!D351</f>
        <v/>
      </c>
      <c r="D351" s="125" t="n"/>
      <c r="E351" s="125" t="n"/>
      <c r="F351" s="125" t="n"/>
      <c r="G351" s="118">
        <f>CONCATENATE(A351, " ",#REF!, " / ",H351)</f>
        <v/>
      </c>
      <c r="H351" s="118" t="n"/>
      <c r="I351" s="119">
        <f>CONCATENATE(M351," - ",J351," - Lotto N° ",K351,"")</f>
        <v/>
      </c>
      <c r="J351" s="118" t="n"/>
      <c r="K351" s="118">
        <f>VLOOKUP(#REF!,Produzione,7,FALSE)</f>
        <v/>
      </c>
      <c r="L351" s="120" t="n"/>
      <c r="M351" s="120" t="n"/>
      <c r="N351" s="118" t="n"/>
      <c r="O351" s="121" t="n"/>
      <c r="P351" s="121" t="n"/>
      <c r="Q351" s="166">
        <f>TODAY()</f>
        <v/>
      </c>
      <c r="R351" s="165">
        <f>ElencoProdotti[[#This Row],[PRODUZIONE]]+20</f>
        <v/>
      </c>
      <c r="S351" s="165">
        <f>TODAY()</f>
        <v/>
      </c>
      <c r="T351" s="133">
        <f>CONCATENATE(A351," - contiene allergni - prodotto il giorno ",TEXT(Q351,"gg/mm/aaaa"),"")</f>
        <v/>
      </c>
    </row>
    <row r="352" ht="15" customHeight="1" s="155">
      <c r="A352" s="134">
        <f>ric!B352</f>
        <v/>
      </c>
      <c r="B352" s="118">
        <f>ric!C352</f>
        <v/>
      </c>
      <c r="C352" s="125">
        <f>ric!D352</f>
        <v/>
      </c>
      <c r="D352" s="125" t="n"/>
      <c r="E352" s="125" t="n"/>
      <c r="F352" s="125" t="n"/>
      <c r="G352" s="118">
        <f>CONCATENATE(A352, " ",#REF!, " / ",H352)</f>
        <v/>
      </c>
      <c r="H352" s="118" t="n"/>
      <c r="I352" s="119">
        <f>CONCATENATE(M352," - ",J352," - Lotto N° ",K352,"")</f>
        <v/>
      </c>
      <c r="J352" s="118" t="n"/>
      <c r="K352" s="118">
        <f>VLOOKUP(#REF!,Produzione,7,FALSE)</f>
        <v/>
      </c>
      <c r="L352" s="120" t="n"/>
      <c r="M352" s="120" t="n"/>
      <c r="N352" s="118" t="n"/>
      <c r="O352" s="121" t="n"/>
      <c r="P352" s="121" t="n"/>
      <c r="Q352" s="166">
        <f>TODAY()</f>
        <v/>
      </c>
      <c r="R352" s="165">
        <f>ElencoProdotti[[#This Row],[PRODUZIONE]]+20</f>
        <v/>
      </c>
      <c r="S352" s="165">
        <f>TODAY()</f>
        <v/>
      </c>
      <c r="T352" s="133">
        <f>CONCATENATE(A352," - contiene allergni - prodotto il giorno ",TEXT(Q352,"gg/mm/aaaa"),"")</f>
        <v/>
      </c>
    </row>
    <row r="353" ht="15" customHeight="1" s="155">
      <c r="A353" s="134">
        <f>ric!B353</f>
        <v/>
      </c>
      <c r="B353" s="118">
        <f>ric!C353</f>
        <v/>
      </c>
      <c r="C353" s="125">
        <f>ric!D353</f>
        <v/>
      </c>
      <c r="D353" s="125" t="n"/>
      <c r="E353" s="125" t="n"/>
      <c r="F353" s="125" t="n"/>
      <c r="G353" s="118">
        <f>CONCATENATE(A353, " ",#REF!, " / ",H353)</f>
        <v/>
      </c>
      <c r="H353" s="118" t="n"/>
      <c r="I353" s="119">
        <f>CONCATENATE(M353," - ",J353," - Lotto N° ",K353,"")</f>
        <v/>
      </c>
      <c r="J353" s="118" t="n"/>
      <c r="K353" s="118">
        <f>VLOOKUP(#REF!,Produzione,7,FALSE)</f>
        <v/>
      </c>
      <c r="L353" s="120" t="n"/>
      <c r="M353" s="120" t="n"/>
      <c r="N353" s="118" t="n"/>
      <c r="O353" s="121" t="n"/>
      <c r="P353" s="121" t="n"/>
      <c r="Q353" s="166">
        <f>TODAY()</f>
        <v/>
      </c>
      <c r="R353" s="165">
        <f>ElencoProdotti[[#This Row],[PRODUZIONE]]+20</f>
        <v/>
      </c>
      <c r="S353" s="165">
        <f>TODAY()</f>
        <v/>
      </c>
      <c r="T353" s="133">
        <f>CONCATENATE(A353," - contiene allergni - prodotto il giorno ",TEXT(Q353,"gg/mm/aaaa"),"")</f>
        <v/>
      </c>
    </row>
    <row r="354" ht="15" customHeight="1" s="155">
      <c r="A354" s="134">
        <f>ric!B354</f>
        <v/>
      </c>
      <c r="B354" s="118">
        <f>ric!C354</f>
        <v/>
      </c>
      <c r="C354" s="125">
        <f>ric!D354</f>
        <v/>
      </c>
      <c r="D354" s="125" t="n"/>
      <c r="E354" s="125" t="n"/>
      <c r="F354" s="125" t="n"/>
      <c r="G354" s="118">
        <f>CONCATENATE(A354, " ",#REF!, " / ",H354)</f>
        <v/>
      </c>
      <c r="H354" s="118" t="n"/>
      <c r="I354" s="119">
        <f>CONCATENATE(M354," - ",J354," - Lotto N° ",K354,"")</f>
        <v/>
      </c>
      <c r="J354" s="118" t="n"/>
      <c r="K354" s="118">
        <f>VLOOKUP(#REF!,Produzione,7,FALSE)</f>
        <v/>
      </c>
      <c r="L354" s="120" t="n"/>
      <c r="M354" s="120" t="n"/>
      <c r="N354" s="118" t="n"/>
      <c r="O354" s="121" t="n"/>
      <c r="P354" s="121" t="n"/>
      <c r="Q354" s="166">
        <f>TODAY()</f>
        <v/>
      </c>
      <c r="R354" s="165">
        <f>ElencoProdotti[[#This Row],[PRODUZIONE]]+20</f>
        <v/>
      </c>
      <c r="S354" s="165">
        <f>TODAY()</f>
        <v/>
      </c>
      <c r="T354" s="133">
        <f>CONCATENATE(A354," - contiene allergni - prodotto il giorno ",TEXT(Q354,"gg/mm/aaaa"),"")</f>
        <v/>
      </c>
    </row>
    <row r="355" ht="15" customHeight="1" s="155">
      <c r="A355" s="134">
        <f>ric!B355</f>
        <v/>
      </c>
      <c r="B355" s="118">
        <f>ric!C355</f>
        <v/>
      </c>
      <c r="C355" s="125">
        <f>ric!D355</f>
        <v/>
      </c>
      <c r="D355" s="125" t="n"/>
      <c r="E355" s="125" t="n"/>
      <c r="F355" s="125" t="n"/>
      <c r="G355" s="118">
        <f>CONCATENATE(A355, " ",#REF!, " / ",H355)</f>
        <v/>
      </c>
      <c r="H355" s="118" t="n"/>
      <c r="I355" s="119">
        <f>CONCATENATE(M355," - ",J355," - Lotto N° ",K355,"")</f>
        <v/>
      </c>
      <c r="J355" s="118" t="n"/>
      <c r="K355" s="118">
        <f>VLOOKUP(#REF!,Produzione,7,FALSE)</f>
        <v/>
      </c>
      <c r="L355" s="120" t="n"/>
      <c r="M355" s="120" t="n"/>
      <c r="N355" s="118" t="n"/>
      <c r="O355" s="121" t="n"/>
      <c r="P355" s="121" t="n"/>
      <c r="Q355" s="166">
        <f>TODAY()</f>
        <v/>
      </c>
      <c r="R355" s="165">
        <f>ElencoProdotti[[#This Row],[PRODUZIONE]]+20</f>
        <v/>
      </c>
      <c r="S355" s="165">
        <f>TODAY()</f>
        <v/>
      </c>
      <c r="T355" s="133">
        <f>CONCATENATE(A355," - contiene allergni - prodotto il giorno ",TEXT(Q355,"gg/mm/aaaa"),"")</f>
        <v/>
      </c>
    </row>
    <row r="356" ht="15" customHeight="1" s="155">
      <c r="A356" s="134">
        <f>ric!B356</f>
        <v/>
      </c>
      <c r="B356" s="118">
        <f>ric!C356</f>
        <v/>
      </c>
      <c r="C356" s="125">
        <f>ric!D356</f>
        <v/>
      </c>
      <c r="D356" s="125" t="n"/>
      <c r="E356" s="125" t="n"/>
      <c r="F356" s="125" t="n"/>
      <c r="G356" s="118">
        <f>CONCATENATE(A356, " ",#REF!, " / ",H356)</f>
        <v/>
      </c>
      <c r="H356" s="118" t="n"/>
      <c r="I356" s="119">
        <f>CONCATENATE(M356," - ",J356," - Lotto N° ",K356,"")</f>
        <v/>
      </c>
      <c r="J356" s="118" t="n"/>
      <c r="K356" s="118">
        <f>VLOOKUP(#REF!,Produzione,7,FALSE)</f>
        <v/>
      </c>
      <c r="L356" s="120" t="n"/>
      <c r="M356" s="120" t="n"/>
      <c r="N356" s="118" t="n"/>
      <c r="O356" s="121" t="n"/>
      <c r="P356" s="121" t="n"/>
      <c r="Q356" s="166">
        <f>TODAY()</f>
        <v/>
      </c>
      <c r="R356" s="165">
        <f>ElencoProdotti[[#This Row],[PRODUZIONE]]+20</f>
        <v/>
      </c>
      <c r="S356" s="165">
        <f>TODAY()</f>
        <v/>
      </c>
      <c r="T356" s="133">
        <f>CONCATENATE(A356," - contiene allergni - prodotto il giorno ",TEXT(Q356,"gg/mm/aaaa"),"")</f>
        <v/>
      </c>
    </row>
    <row r="357" ht="15" customHeight="1" s="155">
      <c r="A357" s="134">
        <f>ric!B357</f>
        <v/>
      </c>
      <c r="B357" s="118">
        <f>ric!C357</f>
        <v/>
      </c>
      <c r="C357" s="125">
        <f>ric!D357</f>
        <v/>
      </c>
      <c r="D357" s="125" t="n"/>
      <c r="E357" s="125" t="n"/>
      <c r="F357" s="125" t="n"/>
      <c r="G357" s="118">
        <f>CONCATENATE(A357, " ",#REF!, " / ",H357)</f>
        <v/>
      </c>
      <c r="H357" s="118" t="n"/>
      <c r="I357" s="119">
        <f>CONCATENATE(M357," - ",J357," - Lotto N° ",K357,"")</f>
        <v/>
      </c>
      <c r="J357" s="118" t="n"/>
      <c r="K357" s="118">
        <f>VLOOKUP(#REF!,Produzione,7,FALSE)</f>
        <v/>
      </c>
      <c r="L357" s="120" t="n"/>
      <c r="M357" s="120" t="n"/>
      <c r="N357" s="118" t="n"/>
      <c r="O357" s="121" t="n"/>
      <c r="P357" s="121" t="n"/>
      <c r="Q357" s="166">
        <f>TODAY()</f>
        <v/>
      </c>
      <c r="R357" s="165">
        <f>ElencoProdotti[[#This Row],[PRODUZIONE]]+20</f>
        <v/>
      </c>
      <c r="S357" s="165">
        <f>TODAY()</f>
        <v/>
      </c>
      <c r="T357" s="133">
        <f>CONCATENATE(A357," - contiene allergni - prodotto il giorno ",TEXT(Q357,"gg/mm/aaaa"),"")</f>
        <v/>
      </c>
    </row>
    <row r="358" ht="15" customHeight="1" s="155">
      <c r="A358" s="134">
        <f>ric!B358</f>
        <v/>
      </c>
      <c r="B358" s="118">
        <f>ric!C358</f>
        <v/>
      </c>
      <c r="C358" s="125">
        <f>ric!D358</f>
        <v/>
      </c>
      <c r="D358" s="125" t="n"/>
      <c r="E358" s="125" t="n"/>
      <c r="F358" s="125" t="n"/>
      <c r="G358" s="118">
        <f>CONCATENATE(A358, " ",#REF!, " / ",H358)</f>
        <v/>
      </c>
      <c r="H358" s="118" t="n"/>
      <c r="I358" s="119">
        <f>CONCATENATE(M358," - ",J358," - Lotto N° ",K358,"")</f>
        <v/>
      </c>
      <c r="J358" s="118" t="n"/>
      <c r="K358" s="118">
        <f>VLOOKUP(#REF!,Produzione,7,FALSE)</f>
        <v/>
      </c>
      <c r="L358" s="120" t="n"/>
      <c r="M358" s="120" t="n"/>
      <c r="N358" s="118" t="n"/>
      <c r="O358" s="121" t="n"/>
      <c r="P358" s="121" t="n"/>
      <c r="Q358" s="166">
        <f>TODAY()</f>
        <v/>
      </c>
      <c r="R358" s="165">
        <f>ElencoProdotti[[#This Row],[PRODUZIONE]]+20</f>
        <v/>
      </c>
      <c r="S358" s="165">
        <f>TODAY()</f>
        <v/>
      </c>
      <c r="T358" s="133">
        <f>CONCATENATE(A358," - contiene allergni - prodotto il giorno ",TEXT(Q358,"gg/mm/aaaa"),"")</f>
        <v/>
      </c>
    </row>
    <row r="359" ht="15" customHeight="1" s="155">
      <c r="A359" s="134">
        <f>ric!B359</f>
        <v/>
      </c>
      <c r="B359" s="118">
        <f>ric!C359</f>
        <v/>
      </c>
      <c r="C359" s="125">
        <f>ric!D359</f>
        <v/>
      </c>
      <c r="D359" s="125" t="n"/>
      <c r="E359" s="125" t="n"/>
      <c r="F359" s="125" t="n"/>
      <c r="G359" s="118">
        <f>CONCATENATE(A359, " ",#REF!, " / ",H359)</f>
        <v/>
      </c>
      <c r="H359" s="118" t="n"/>
      <c r="I359" s="119">
        <f>CONCATENATE(M359," - ",J359," - Lotto N° ",K359,"")</f>
        <v/>
      </c>
      <c r="J359" s="118" t="n"/>
      <c r="K359" s="118">
        <f>VLOOKUP(#REF!,Produzione,7,FALSE)</f>
        <v/>
      </c>
      <c r="L359" s="120" t="n"/>
      <c r="M359" s="120" t="n"/>
      <c r="N359" s="118" t="n"/>
      <c r="O359" s="121" t="n"/>
      <c r="P359" s="121" t="n"/>
      <c r="Q359" s="166">
        <f>TODAY()</f>
        <v/>
      </c>
      <c r="R359" s="165">
        <f>ElencoProdotti[[#This Row],[PRODUZIONE]]+20</f>
        <v/>
      </c>
      <c r="S359" s="165">
        <f>TODAY()</f>
        <v/>
      </c>
      <c r="T359" s="133">
        <f>CONCATENATE(A359," - contiene allergni - prodotto il giorno ",TEXT(Q359,"gg/mm/aaaa"),"")</f>
        <v/>
      </c>
    </row>
    <row r="360" ht="15" customHeight="1" s="155">
      <c r="A360" s="134">
        <f>ric!B360</f>
        <v/>
      </c>
      <c r="B360" s="118">
        <f>ric!C360</f>
        <v/>
      </c>
      <c r="C360" s="125">
        <f>ric!D360</f>
        <v/>
      </c>
      <c r="D360" s="125" t="n"/>
      <c r="E360" s="125" t="n"/>
      <c r="F360" s="125" t="n"/>
      <c r="G360" s="118">
        <f>CONCATENATE(A360, " ",#REF!, " / ",H360)</f>
        <v/>
      </c>
      <c r="H360" s="118" t="n"/>
      <c r="I360" s="119">
        <f>CONCATENATE(M360," - ",J360," - Lotto N° ",K360,"")</f>
        <v/>
      </c>
      <c r="J360" s="118" t="n"/>
      <c r="K360" s="118">
        <f>VLOOKUP(#REF!,Produzione,7,FALSE)</f>
        <v/>
      </c>
      <c r="L360" s="120" t="n"/>
      <c r="M360" s="120" t="n"/>
      <c r="N360" s="118" t="n"/>
      <c r="O360" s="121" t="n"/>
      <c r="P360" s="121" t="n"/>
      <c r="Q360" s="166">
        <f>TODAY()</f>
        <v/>
      </c>
      <c r="R360" s="165">
        <f>ElencoProdotti[[#This Row],[PRODUZIONE]]+20</f>
        <v/>
      </c>
      <c r="S360" s="165">
        <f>TODAY()</f>
        <v/>
      </c>
      <c r="T360" s="133">
        <f>CONCATENATE(A360," - contiene allergni - prodotto il giorno ",TEXT(Q360,"gg/mm/aaaa"),"")</f>
        <v/>
      </c>
    </row>
    <row r="361" ht="15" customHeight="1" s="155">
      <c r="A361" s="134">
        <f>ric!B361</f>
        <v/>
      </c>
      <c r="B361" s="118">
        <f>ric!C361</f>
        <v/>
      </c>
      <c r="C361" s="125">
        <f>ric!D361</f>
        <v/>
      </c>
      <c r="D361" s="125" t="n"/>
      <c r="E361" s="125" t="n"/>
      <c r="F361" s="125" t="n"/>
      <c r="G361" s="118">
        <f>CONCATENATE(A361, " ",#REF!, " / ",H361)</f>
        <v/>
      </c>
      <c r="H361" s="118" t="n"/>
      <c r="I361" s="119">
        <f>CONCATENATE(M361," - ",J361," - Lotto N° ",K361,"")</f>
        <v/>
      </c>
      <c r="J361" s="118" t="n"/>
      <c r="K361" s="118">
        <f>VLOOKUP(#REF!,Produzione,7,FALSE)</f>
        <v/>
      </c>
      <c r="L361" s="120" t="n"/>
      <c r="M361" s="120" t="n"/>
      <c r="N361" s="118" t="n"/>
      <c r="O361" s="121" t="n"/>
      <c r="P361" s="121" t="n"/>
      <c r="Q361" s="166">
        <f>TODAY()</f>
        <v/>
      </c>
      <c r="R361" s="165">
        <f>ElencoProdotti[[#This Row],[PRODUZIONE]]+20</f>
        <v/>
      </c>
      <c r="S361" s="165">
        <f>TODAY()</f>
        <v/>
      </c>
      <c r="T361" s="133">
        <f>CONCATENATE(A361," - contiene allergni - prodotto il giorno ",TEXT(Q361,"gg/mm/aaaa"),"")</f>
        <v/>
      </c>
    </row>
    <row r="362" ht="15" customHeight="1" s="155">
      <c r="A362" s="134">
        <f>ric!B362</f>
        <v/>
      </c>
      <c r="B362" s="118">
        <f>ric!C362</f>
        <v/>
      </c>
      <c r="C362" s="125">
        <f>ric!D362</f>
        <v/>
      </c>
      <c r="D362" s="125" t="n"/>
      <c r="E362" s="125" t="n"/>
      <c r="F362" s="125" t="n"/>
      <c r="G362" s="118">
        <f>CONCATENATE(A362, " ",#REF!, " / ",H362)</f>
        <v/>
      </c>
      <c r="H362" s="118" t="n"/>
      <c r="I362" s="119">
        <f>CONCATENATE(M362," - ",J362," - Lotto N° ",K362,"")</f>
        <v/>
      </c>
      <c r="J362" s="118" t="n"/>
      <c r="K362" s="118">
        <f>VLOOKUP(#REF!,Produzione,7,FALSE)</f>
        <v/>
      </c>
      <c r="L362" s="120" t="n"/>
      <c r="M362" s="120" t="n"/>
      <c r="N362" s="118" t="n"/>
      <c r="O362" s="121" t="n"/>
      <c r="P362" s="121" t="n"/>
      <c r="Q362" s="166">
        <f>TODAY()</f>
        <v/>
      </c>
      <c r="R362" s="165">
        <f>ElencoProdotti[[#This Row],[PRODUZIONE]]+20</f>
        <v/>
      </c>
      <c r="S362" s="165">
        <f>TODAY()</f>
        <v/>
      </c>
      <c r="T362" s="133">
        <f>CONCATENATE(A362," - contiene allergni - prodotto il giorno ",TEXT(Q362,"gg/mm/aaaa"),"")</f>
        <v/>
      </c>
    </row>
    <row r="363" ht="15" customHeight="1" s="155">
      <c r="A363" s="134">
        <f>ric!B363</f>
        <v/>
      </c>
      <c r="B363" s="118">
        <f>ric!C363</f>
        <v/>
      </c>
      <c r="C363" s="125">
        <f>ric!D363</f>
        <v/>
      </c>
      <c r="D363" s="125" t="n"/>
      <c r="E363" s="125" t="n"/>
      <c r="F363" s="125" t="n"/>
      <c r="G363" s="118">
        <f>CONCATENATE(A363, " ",#REF!, " / ",H363)</f>
        <v/>
      </c>
      <c r="H363" s="118" t="n"/>
      <c r="I363" s="119">
        <f>CONCATENATE(M363," - ",J363," - Lotto N° ",K363,"")</f>
        <v/>
      </c>
      <c r="J363" s="118" t="n"/>
      <c r="K363" s="118">
        <f>VLOOKUP(#REF!,Produzione,7,FALSE)</f>
        <v/>
      </c>
      <c r="L363" s="120" t="n"/>
      <c r="M363" s="120" t="n"/>
      <c r="N363" s="118" t="n"/>
      <c r="O363" s="121" t="n"/>
      <c r="P363" s="121" t="n"/>
      <c r="Q363" s="166">
        <f>TODAY()</f>
        <v/>
      </c>
      <c r="R363" s="165">
        <f>ElencoProdotti[[#This Row],[PRODUZIONE]]+20</f>
        <v/>
      </c>
      <c r="S363" s="165">
        <f>TODAY()</f>
        <v/>
      </c>
      <c r="T363" s="133">
        <f>CONCATENATE(A363," - contiene allergni - prodotto il giorno ",TEXT(Q363,"gg/mm/aaaa"),"")</f>
        <v/>
      </c>
    </row>
    <row r="364" ht="15" customHeight="1" s="155">
      <c r="A364" s="134">
        <f>ric!B364</f>
        <v/>
      </c>
      <c r="B364" s="118">
        <f>ric!C364</f>
        <v/>
      </c>
      <c r="C364" s="125">
        <f>ric!D364</f>
        <v/>
      </c>
      <c r="D364" s="125" t="n"/>
      <c r="E364" s="125" t="n"/>
      <c r="F364" s="125" t="n"/>
      <c r="G364" s="118">
        <f>CONCATENATE(A364, " ",#REF!, " / ",H364)</f>
        <v/>
      </c>
      <c r="H364" s="118" t="n"/>
      <c r="I364" s="119">
        <f>CONCATENATE(M364," - ",J364," - Lotto N° ",K364,"")</f>
        <v/>
      </c>
      <c r="J364" s="118" t="n"/>
      <c r="K364" s="118">
        <f>VLOOKUP(#REF!,Produzione,7,FALSE)</f>
        <v/>
      </c>
      <c r="L364" s="120" t="n"/>
      <c r="M364" s="120" t="n"/>
      <c r="N364" s="118" t="n"/>
      <c r="O364" s="121" t="n"/>
      <c r="P364" s="121" t="n"/>
      <c r="Q364" s="166">
        <f>TODAY()</f>
        <v/>
      </c>
      <c r="R364" s="165">
        <f>ElencoProdotti[[#This Row],[PRODUZIONE]]+20</f>
        <v/>
      </c>
      <c r="S364" s="165">
        <f>TODAY()</f>
        <v/>
      </c>
      <c r="T364" s="133">
        <f>CONCATENATE(A364," - contiene allergni - prodotto il giorno ",TEXT(Q364,"gg/mm/aaaa"),"")</f>
        <v/>
      </c>
    </row>
    <row r="365" ht="15" customHeight="1" s="155">
      <c r="A365" s="134">
        <f>ric!B365</f>
        <v/>
      </c>
      <c r="B365" s="118">
        <f>ric!C365</f>
        <v/>
      </c>
      <c r="C365" s="125">
        <f>ric!D365</f>
        <v/>
      </c>
      <c r="D365" s="125" t="n"/>
      <c r="E365" s="125" t="n"/>
      <c r="F365" s="125" t="n"/>
      <c r="G365" s="118">
        <f>CONCATENATE(A365, " ",#REF!, " / ",H365)</f>
        <v/>
      </c>
      <c r="H365" s="118" t="n"/>
      <c r="I365" s="119">
        <f>CONCATENATE(M365," - ",J365," - Lotto N° ",K365,"")</f>
        <v/>
      </c>
      <c r="J365" s="118" t="n"/>
      <c r="K365" s="118">
        <f>VLOOKUP(#REF!,Produzione,7,FALSE)</f>
        <v/>
      </c>
      <c r="L365" s="120" t="n"/>
      <c r="M365" s="120" t="n"/>
      <c r="N365" s="118" t="n"/>
      <c r="O365" s="121" t="n"/>
      <c r="P365" s="121" t="n"/>
      <c r="Q365" s="166">
        <f>TODAY()</f>
        <v/>
      </c>
      <c r="R365" s="165">
        <f>ElencoProdotti[[#This Row],[PRODUZIONE]]+20</f>
        <v/>
      </c>
      <c r="S365" s="165">
        <f>TODAY()</f>
        <v/>
      </c>
      <c r="T365" s="133">
        <f>CONCATENATE(A365," - contiene allergni - prodotto il giorno ",TEXT(Q365,"gg/mm/aaaa"),"")</f>
        <v/>
      </c>
    </row>
    <row r="366" ht="15" customHeight="1" s="155">
      <c r="A366" s="134">
        <f>ric!B366</f>
        <v/>
      </c>
      <c r="B366" s="118">
        <f>ric!C366</f>
        <v/>
      </c>
      <c r="C366" s="125">
        <f>ric!D366</f>
        <v/>
      </c>
      <c r="D366" s="125" t="n"/>
      <c r="E366" s="125" t="n"/>
      <c r="F366" s="125" t="n"/>
      <c r="G366" s="118">
        <f>CONCATENATE(A366, " ",#REF!, " / ",H366)</f>
        <v/>
      </c>
      <c r="H366" s="118" t="n"/>
      <c r="I366" s="119">
        <f>CONCATENATE(M366," - ",J366," - Lotto N° ",K366,"")</f>
        <v/>
      </c>
      <c r="J366" s="118" t="n"/>
      <c r="K366" s="118">
        <f>VLOOKUP(#REF!,Produzione,7,FALSE)</f>
        <v/>
      </c>
      <c r="L366" s="120" t="n"/>
      <c r="M366" s="120" t="n"/>
      <c r="N366" s="118" t="n"/>
      <c r="O366" s="121" t="n"/>
      <c r="P366" s="121" t="n"/>
      <c r="Q366" s="166">
        <f>TODAY()</f>
        <v/>
      </c>
      <c r="R366" s="165">
        <f>ElencoProdotti[[#This Row],[PRODUZIONE]]+20</f>
        <v/>
      </c>
      <c r="S366" s="165">
        <f>TODAY()</f>
        <v/>
      </c>
      <c r="T366" s="133">
        <f>CONCATENATE(A366," - contiene allergni - prodotto il giorno ",TEXT(Q366,"gg/mm/aaaa"),"")</f>
        <v/>
      </c>
    </row>
    <row r="367" ht="15" customHeight="1" s="155">
      <c r="A367" s="134">
        <f>ric!B367</f>
        <v/>
      </c>
      <c r="B367" s="118">
        <f>ric!C367</f>
        <v/>
      </c>
      <c r="C367" s="125">
        <f>ric!D367</f>
        <v/>
      </c>
      <c r="D367" s="125" t="n"/>
      <c r="E367" s="125" t="n"/>
      <c r="F367" s="125" t="n"/>
      <c r="G367" s="118">
        <f>CONCATENATE(A367, " ",#REF!, " / ",H367)</f>
        <v/>
      </c>
      <c r="H367" s="118" t="n"/>
      <c r="I367" s="119">
        <f>CONCATENATE(M367," - ",J367," - Lotto N° ",K367,"")</f>
        <v/>
      </c>
      <c r="J367" s="118" t="n"/>
      <c r="K367" s="118">
        <f>VLOOKUP(#REF!,Produzione,7,FALSE)</f>
        <v/>
      </c>
      <c r="L367" s="120" t="n"/>
      <c r="M367" s="120" t="n"/>
      <c r="N367" s="118" t="n"/>
      <c r="O367" s="121" t="n"/>
      <c r="P367" s="121" t="n"/>
      <c r="Q367" s="166">
        <f>TODAY()</f>
        <v/>
      </c>
      <c r="R367" s="165">
        <f>ElencoProdotti[[#This Row],[PRODUZIONE]]+20</f>
        <v/>
      </c>
      <c r="S367" s="165">
        <f>TODAY()</f>
        <v/>
      </c>
      <c r="T367" s="133">
        <f>CONCATENATE(A367," - contiene allergni - prodotto il giorno ",TEXT(Q367,"gg/mm/aaaa"),"")</f>
        <v/>
      </c>
    </row>
    <row r="368" ht="15" customHeight="1" s="155">
      <c r="A368" s="134">
        <f>ric!B368</f>
        <v/>
      </c>
      <c r="B368" s="118">
        <f>ric!C368</f>
        <v/>
      </c>
      <c r="C368" s="125">
        <f>ric!D368</f>
        <v/>
      </c>
      <c r="D368" s="125" t="n"/>
      <c r="E368" s="125" t="n"/>
      <c r="F368" s="125" t="n"/>
      <c r="G368" s="118">
        <f>CONCATENATE(A368, " ",#REF!, " / ",H368)</f>
        <v/>
      </c>
      <c r="H368" s="118" t="n"/>
      <c r="I368" s="119">
        <f>CONCATENATE(M368," - ",J368," - Lotto N° ",K368,"")</f>
        <v/>
      </c>
      <c r="J368" s="118" t="n"/>
      <c r="K368" s="118">
        <f>VLOOKUP(#REF!,Produzione,7,FALSE)</f>
        <v/>
      </c>
      <c r="L368" s="120" t="n"/>
      <c r="M368" s="120" t="n"/>
      <c r="N368" s="118" t="n"/>
      <c r="O368" s="121" t="n"/>
      <c r="P368" s="121" t="n"/>
      <c r="Q368" s="166">
        <f>TODAY()</f>
        <v/>
      </c>
      <c r="R368" s="165">
        <f>ElencoProdotti[[#This Row],[PRODUZIONE]]+20</f>
        <v/>
      </c>
      <c r="S368" s="165">
        <f>TODAY()</f>
        <v/>
      </c>
      <c r="T368" s="133">
        <f>CONCATENATE(A368," - contiene allergni - prodotto il giorno ",TEXT(Q368,"gg/mm/aaaa"),"")</f>
        <v/>
      </c>
    </row>
    <row r="369" ht="15" customHeight="1" s="155">
      <c r="A369" s="134">
        <f>ric!B369</f>
        <v/>
      </c>
      <c r="B369" s="118">
        <f>ric!C369</f>
        <v/>
      </c>
      <c r="C369" s="125">
        <f>ric!D369</f>
        <v/>
      </c>
      <c r="D369" s="125" t="n"/>
      <c r="E369" s="125" t="n"/>
      <c r="F369" s="125" t="n"/>
      <c r="G369" s="118">
        <f>CONCATENATE(A369, " ",#REF!, " / ",H369)</f>
        <v/>
      </c>
      <c r="H369" s="118" t="n"/>
      <c r="I369" s="119">
        <f>CONCATENATE(M369," - ",J369," - Lotto N° ",K369,"")</f>
        <v/>
      </c>
      <c r="J369" s="118" t="n"/>
      <c r="K369" s="118">
        <f>VLOOKUP(#REF!,Produzione,7,FALSE)</f>
        <v/>
      </c>
      <c r="L369" s="120" t="n"/>
      <c r="M369" s="120" t="n"/>
      <c r="N369" s="118" t="n"/>
      <c r="O369" s="121" t="n"/>
      <c r="P369" s="121" t="n"/>
      <c r="Q369" s="166">
        <f>TODAY()</f>
        <v/>
      </c>
      <c r="R369" s="165">
        <f>ElencoProdotti[[#This Row],[PRODUZIONE]]+20</f>
        <v/>
      </c>
      <c r="S369" s="165">
        <f>TODAY()</f>
        <v/>
      </c>
      <c r="T369" s="133">
        <f>CONCATENATE(A369," - contiene allergni - prodotto il giorno ",TEXT(Q369,"gg/mm/aaaa"),"")</f>
        <v/>
      </c>
    </row>
    <row r="370" ht="15" customHeight="1" s="155">
      <c r="A370" s="134">
        <f>ric!B370</f>
        <v/>
      </c>
      <c r="B370" s="118">
        <f>ric!C370</f>
        <v/>
      </c>
      <c r="C370" s="125">
        <f>ric!D370</f>
        <v/>
      </c>
      <c r="D370" s="125" t="n"/>
      <c r="E370" s="125" t="n"/>
      <c r="F370" s="125" t="n"/>
      <c r="G370" s="118">
        <f>CONCATENATE(A370, " ",#REF!, " / ",H370)</f>
        <v/>
      </c>
      <c r="H370" s="118" t="n"/>
      <c r="I370" s="119">
        <f>CONCATENATE(M370," - ",J370," - Lotto N° ",K370,"")</f>
        <v/>
      </c>
      <c r="J370" s="118" t="n"/>
      <c r="K370" s="118">
        <f>VLOOKUP(#REF!,Produzione,7,FALSE)</f>
        <v/>
      </c>
      <c r="L370" s="120" t="n"/>
      <c r="M370" s="120" t="n"/>
      <c r="N370" s="118" t="n"/>
      <c r="O370" s="121" t="n"/>
      <c r="P370" s="121" t="n"/>
      <c r="Q370" s="166">
        <f>TODAY()</f>
        <v/>
      </c>
      <c r="R370" s="165">
        <f>ElencoProdotti[[#This Row],[PRODUZIONE]]+20</f>
        <v/>
      </c>
      <c r="S370" s="165">
        <f>TODAY()</f>
        <v/>
      </c>
      <c r="T370" s="133">
        <f>CONCATENATE(A370," - contiene allergni - prodotto il giorno ",TEXT(Q370,"gg/mm/aaaa"),"")</f>
        <v/>
      </c>
    </row>
    <row r="371" ht="15" customHeight="1" s="155">
      <c r="A371" s="134">
        <f>ric!B371</f>
        <v/>
      </c>
      <c r="B371" s="118">
        <f>ric!C371</f>
        <v/>
      </c>
      <c r="C371" s="125">
        <f>ric!D371</f>
        <v/>
      </c>
      <c r="D371" s="125" t="n"/>
      <c r="E371" s="125" t="n"/>
      <c r="F371" s="125" t="n"/>
      <c r="G371" s="118">
        <f>CONCATENATE(A371, " ",#REF!, " / ",H371)</f>
        <v/>
      </c>
      <c r="H371" s="118" t="n"/>
      <c r="I371" s="119">
        <f>CONCATENATE(M371," - ",J371," - Lotto N° ",K371,"")</f>
        <v/>
      </c>
      <c r="J371" s="118" t="n"/>
      <c r="K371" s="118">
        <f>VLOOKUP(#REF!,Produzione,7,FALSE)</f>
        <v/>
      </c>
      <c r="L371" s="120" t="n"/>
      <c r="M371" s="120" t="n"/>
      <c r="N371" s="118" t="n"/>
      <c r="O371" s="121" t="n"/>
      <c r="P371" s="121" t="n"/>
      <c r="Q371" s="166">
        <f>TODAY()</f>
        <v/>
      </c>
      <c r="R371" s="165">
        <f>ElencoProdotti[[#This Row],[PRODUZIONE]]+20</f>
        <v/>
      </c>
      <c r="S371" s="165">
        <f>TODAY()</f>
        <v/>
      </c>
      <c r="T371" s="133">
        <f>CONCATENATE(A371," - contiene allergni - prodotto il giorno ",TEXT(Q371,"gg/mm/aaaa"),"")</f>
        <v/>
      </c>
    </row>
    <row r="372" ht="15" customHeight="1" s="155">
      <c r="A372" s="134">
        <f>ric!B372</f>
        <v/>
      </c>
      <c r="B372" s="118">
        <f>ric!C372</f>
        <v/>
      </c>
      <c r="C372" s="125">
        <f>ric!D372</f>
        <v/>
      </c>
      <c r="D372" s="125" t="n"/>
      <c r="E372" s="125" t="n"/>
      <c r="F372" s="125" t="n"/>
      <c r="G372" s="118">
        <f>CONCATENATE(A372, " ",#REF!, " / ",H372)</f>
        <v/>
      </c>
      <c r="H372" s="118" t="n"/>
      <c r="I372" s="119">
        <f>CONCATENATE(M372," - ",J372," - Lotto N° ",K372,"")</f>
        <v/>
      </c>
      <c r="J372" s="118" t="n"/>
      <c r="K372" s="118">
        <f>VLOOKUP(#REF!,Produzione,7,FALSE)</f>
        <v/>
      </c>
      <c r="L372" s="120" t="n"/>
      <c r="M372" s="120" t="n"/>
      <c r="N372" s="118" t="n"/>
      <c r="O372" s="121" t="n"/>
      <c r="P372" s="121" t="n"/>
      <c r="Q372" s="166">
        <f>TODAY()</f>
        <v/>
      </c>
      <c r="R372" s="165">
        <f>ElencoProdotti[[#This Row],[PRODUZIONE]]+20</f>
        <v/>
      </c>
      <c r="S372" s="165">
        <f>TODAY()</f>
        <v/>
      </c>
      <c r="T372" s="133">
        <f>CONCATENATE(A372," - contiene allergni - prodotto il giorno ",TEXT(Q372,"gg/mm/aaaa"),"")</f>
        <v/>
      </c>
    </row>
    <row r="373" ht="15" customHeight="1" s="155">
      <c r="A373" s="134">
        <f>ric!B373</f>
        <v/>
      </c>
      <c r="B373" s="118">
        <f>ric!C373</f>
        <v/>
      </c>
      <c r="C373" s="125">
        <f>ric!D373</f>
        <v/>
      </c>
      <c r="D373" s="125" t="n"/>
      <c r="E373" s="125" t="n"/>
      <c r="F373" s="125" t="n"/>
      <c r="G373" s="118">
        <f>CONCATENATE(A373, " ",#REF!, " / ",H373)</f>
        <v/>
      </c>
      <c r="H373" s="118" t="n"/>
      <c r="I373" s="119">
        <f>CONCATENATE(M373," - ",J373," - Lotto N° ",K373,"")</f>
        <v/>
      </c>
      <c r="J373" s="118" t="n"/>
      <c r="K373" s="118">
        <f>VLOOKUP(#REF!,Produzione,7,FALSE)</f>
        <v/>
      </c>
      <c r="L373" s="120" t="n"/>
      <c r="M373" s="120" t="n"/>
      <c r="N373" s="118" t="n"/>
      <c r="O373" s="121" t="n"/>
      <c r="P373" s="121" t="n"/>
      <c r="Q373" s="166">
        <f>TODAY()</f>
        <v/>
      </c>
      <c r="R373" s="165">
        <f>ElencoProdotti[[#This Row],[PRODUZIONE]]+20</f>
        <v/>
      </c>
      <c r="S373" s="165">
        <f>TODAY()</f>
        <v/>
      </c>
      <c r="T373" s="133">
        <f>CONCATENATE(A373," - contiene allergni - prodotto il giorno ",TEXT(Q373,"gg/mm/aaaa"),"")</f>
        <v/>
      </c>
    </row>
    <row r="374" ht="15" customHeight="1" s="155">
      <c r="A374" s="134">
        <f>ric!B374</f>
        <v/>
      </c>
      <c r="B374" s="118">
        <f>ric!C374</f>
        <v/>
      </c>
      <c r="C374" s="125">
        <f>ric!D374</f>
        <v/>
      </c>
      <c r="D374" s="125" t="n"/>
      <c r="E374" s="125" t="n"/>
      <c r="F374" s="125" t="n"/>
      <c r="G374" s="118">
        <f>CONCATENATE(A374, " ",#REF!, " / ",H374)</f>
        <v/>
      </c>
      <c r="H374" s="118" t="n"/>
      <c r="I374" s="119">
        <f>CONCATENATE(M374," - ",J374," - Lotto N° ",K374,"")</f>
        <v/>
      </c>
      <c r="J374" s="118" t="n"/>
      <c r="K374" s="118">
        <f>VLOOKUP(#REF!,Produzione,7,FALSE)</f>
        <v/>
      </c>
      <c r="L374" s="120" t="n"/>
      <c r="M374" s="120" t="n"/>
      <c r="N374" s="118" t="n"/>
      <c r="O374" s="121" t="n"/>
      <c r="P374" s="121" t="n"/>
      <c r="Q374" s="166">
        <f>TODAY()</f>
        <v/>
      </c>
      <c r="R374" s="165">
        <f>ElencoProdotti[[#This Row],[PRODUZIONE]]+20</f>
        <v/>
      </c>
      <c r="S374" s="165">
        <f>TODAY()</f>
        <v/>
      </c>
      <c r="T374" s="133">
        <f>CONCATENATE(A374," - contiene allergni - prodotto il giorno ",TEXT(Q374,"gg/mm/aaaa"),"")</f>
        <v/>
      </c>
    </row>
    <row r="375" ht="15" customHeight="1" s="155">
      <c r="A375" s="134">
        <f>ric!B375</f>
        <v/>
      </c>
      <c r="B375" s="118">
        <f>ric!C375</f>
        <v/>
      </c>
      <c r="C375" s="125">
        <f>ric!D375</f>
        <v/>
      </c>
      <c r="D375" s="125" t="n"/>
      <c r="E375" s="125" t="n"/>
      <c r="F375" s="125" t="n"/>
      <c r="G375" s="118">
        <f>CONCATENATE(A375, " ",#REF!, " / ",H375)</f>
        <v/>
      </c>
      <c r="H375" s="118" t="n"/>
      <c r="I375" s="119">
        <f>CONCATENATE(M375," - ",J375," - Lotto N° ",K375,"")</f>
        <v/>
      </c>
      <c r="J375" s="118" t="n"/>
      <c r="K375" s="118">
        <f>VLOOKUP(#REF!,Produzione,7,FALSE)</f>
        <v/>
      </c>
      <c r="L375" s="120" t="n"/>
      <c r="M375" s="120" t="n"/>
      <c r="N375" s="118" t="n"/>
      <c r="O375" s="121" t="n"/>
      <c r="P375" s="121" t="n"/>
      <c r="Q375" s="166">
        <f>TODAY()</f>
        <v/>
      </c>
      <c r="R375" s="165">
        <f>ElencoProdotti[[#This Row],[PRODUZIONE]]+20</f>
        <v/>
      </c>
      <c r="S375" s="165">
        <f>TODAY()</f>
        <v/>
      </c>
      <c r="T375" s="133">
        <f>CONCATENATE(A375," - contiene allergni - prodotto il giorno ",TEXT(Q375,"gg/mm/aaaa"),"")</f>
        <v/>
      </c>
    </row>
    <row r="376" ht="15" customHeight="1" s="155">
      <c r="A376" s="134">
        <f>ric!B376</f>
        <v/>
      </c>
      <c r="B376" s="118">
        <f>ric!C376</f>
        <v/>
      </c>
      <c r="C376" s="125">
        <f>ric!D376</f>
        <v/>
      </c>
      <c r="D376" s="125" t="n"/>
      <c r="E376" s="125" t="n"/>
      <c r="F376" s="125" t="n"/>
      <c r="G376" s="118">
        <f>CONCATENATE(A376, " ",#REF!, " / ",H376)</f>
        <v/>
      </c>
      <c r="H376" s="118" t="n"/>
      <c r="I376" s="119">
        <f>CONCATENATE(M376," - ",J376," - Lotto N° ",K376,"")</f>
        <v/>
      </c>
      <c r="J376" s="118" t="n"/>
      <c r="K376" s="118">
        <f>VLOOKUP(#REF!,Produzione,7,FALSE)</f>
        <v/>
      </c>
      <c r="L376" s="120" t="n"/>
      <c r="M376" s="120" t="n"/>
      <c r="N376" s="118" t="n"/>
      <c r="O376" s="121" t="n"/>
      <c r="P376" s="121" t="n"/>
      <c r="Q376" s="166">
        <f>TODAY()</f>
        <v/>
      </c>
      <c r="R376" s="165">
        <f>ElencoProdotti[[#This Row],[PRODUZIONE]]+20</f>
        <v/>
      </c>
      <c r="S376" s="165">
        <f>TODAY()</f>
        <v/>
      </c>
      <c r="T376" s="133">
        <f>CONCATENATE(A376," - contiene allergni - prodotto il giorno ",TEXT(Q376,"gg/mm/aaaa"),"")</f>
        <v/>
      </c>
    </row>
    <row r="377" ht="15" customHeight="1" s="155">
      <c r="A377" s="134">
        <f>ric!B377</f>
        <v/>
      </c>
      <c r="B377" s="118">
        <f>ric!C377</f>
        <v/>
      </c>
      <c r="C377" s="125">
        <f>ric!D377</f>
        <v/>
      </c>
      <c r="D377" s="125" t="n"/>
      <c r="E377" s="125" t="n"/>
      <c r="F377" s="125" t="n"/>
      <c r="G377" s="118">
        <f>CONCATENATE(A377, " ",#REF!, " / ",H377)</f>
        <v/>
      </c>
      <c r="H377" s="118" t="n"/>
      <c r="I377" s="119">
        <f>CONCATENATE(M377," - ",J377," - Lotto N° ",K377,"")</f>
        <v/>
      </c>
      <c r="J377" s="118" t="n"/>
      <c r="K377" s="118">
        <f>VLOOKUP(#REF!,Produzione,7,FALSE)</f>
        <v/>
      </c>
      <c r="L377" s="120" t="n"/>
      <c r="M377" s="120" t="n"/>
      <c r="N377" s="118" t="n"/>
      <c r="O377" s="121" t="n"/>
      <c r="P377" s="121" t="n"/>
      <c r="Q377" s="166">
        <f>TODAY()</f>
        <v/>
      </c>
      <c r="R377" s="165">
        <f>ElencoProdotti[[#This Row],[PRODUZIONE]]+20</f>
        <v/>
      </c>
      <c r="S377" s="165">
        <f>TODAY()</f>
        <v/>
      </c>
      <c r="T377" s="133">
        <f>CONCATENATE(A377," - contiene allergni - prodotto il giorno ",TEXT(Q377,"gg/mm/aaaa"),"")</f>
        <v/>
      </c>
    </row>
    <row r="378" ht="15" customHeight="1" s="155">
      <c r="A378" s="134">
        <f>ric!B378</f>
        <v/>
      </c>
      <c r="B378" s="118">
        <f>ric!C378</f>
        <v/>
      </c>
      <c r="C378" s="125">
        <f>ric!D378</f>
        <v/>
      </c>
      <c r="D378" s="125" t="n"/>
      <c r="E378" s="125" t="n"/>
      <c r="F378" s="125" t="n"/>
      <c r="G378" s="118">
        <f>CONCATENATE(A378, " ",#REF!, " / ",H378)</f>
        <v/>
      </c>
      <c r="H378" s="118" t="n"/>
      <c r="I378" s="119">
        <f>CONCATENATE(M378," - ",J378," - Lotto N° ",K378,"")</f>
        <v/>
      </c>
      <c r="J378" s="118" t="n"/>
      <c r="K378" s="118">
        <f>VLOOKUP(#REF!,Produzione,7,FALSE)</f>
        <v/>
      </c>
      <c r="L378" s="120" t="n"/>
      <c r="M378" s="120" t="n"/>
      <c r="N378" s="118" t="n"/>
      <c r="O378" s="121" t="n"/>
      <c r="P378" s="121" t="n"/>
      <c r="Q378" s="166">
        <f>TODAY()</f>
        <v/>
      </c>
      <c r="R378" s="165">
        <f>ElencoProdotti[[#This Row],[PRODUZIONE]]+20</f>
        <v/>
      </c>
      <c r="S378" s="165">
        <f>TODAY()</f>
        <v/>
      </c>
      <c r="T378" s="133">
        <f>CONCATENATE(A378," - contiene allergni - prodotto il giorno ",TEXT(Q378,"gg/mm/aaaa"),"")</f>
        <v/>
      </c>
    </row>
    <row r="379" ht="15" customHeight="1" s="155">
      <c r="A379" s="134">
        <f>ric!B379</f>
        <v/>
      </c>
      <c r="B379" s="118">
        <f>ric!C379</f>
        <v/>
      </c>
      <c r="C379" s="125">
        <f>ric!D379</f>
        <v/>
      </c>
      <c r="D379" s="125" t="n"/>
      <c r="E379" s="125" t="n"/>
      <c r="F379" s="125" t="n"/>
      <c r="G379" s="118">
        <f>CONCATENATE(A379, " ",#REF!, " / ",H379)</f>
        <v/>
      </c>
      <c r="H379" s="118" t="n"/>
      <c r="I379" s="119">
        <f>CONCATENATE(M379," - ",J379," - Lotto N° ",K379,"")</f>
        <v/>
      </c>
      <c r="J379" s="118" t="n"/>
      <c r="K379" s="118">
        <f>VLOOKUP(#REF!,Produzione,7,FALSE)</f>
        <v/>
      </c>
      <c r="L379" s="120" t="n"/>
      <c r="M379" s="120" t="n"/>
      <c r="N379" s="118" t="n"/>
      <c r="O379" s="121" t="n"/>
      <c r="P379" s="121" t="n"/>
      <c r="Q379" s="166">
        <f>TODAY()</f>
        <v/>
      </c>
      <c r="R379" s="165">
        <f>ElencoProdotti[[#This Row],[PRODUZIONE]]+20</f>
        <v/>
      </c>
      <c r="S379" s="165">
        <f>TODAY()</f>
        <v/>
      </c>
      <c r="T379" s="133">
        <f>CONCATENATE(A379," - contiene allergni - prodotto il giorno ",TEXT(Q379,"gg/mm/aaaa"),"")</f>
        <v/>
      </c>
    </row>
    <row r="380" ht="15" customHeight="1" s="155">
      <c r="A380" s="134">
        <f>ric!B380</f>
        <v/>
      </c>
      <c r="B380" s="118">
        <f>ric!C380</f>
        <v/>
      </c>
      <c r="C380" s="125">
        <f>ric!D380</f>
        <v/>
      </c>
      <c r="D380" s="125" t="n"/>
      <c r="E380" s="125" t="n"/>
      <c r="F380" s="125" t="n"/>
      <c r="G380" s="118">
        <f>CONCATENATE(A380, " ",#REF!, " / ",H380)</f>
        <v/>
      </c>
      <c r="H380" s="118" t="n"/>
      <c r="I380" s="119">
        <f>CONCATENATE(M380," - ",J380," - Lotto N° ",K380,"")</f>
        <v/>
      </c>
      <c r="J380" s="118" t="n"/>
      <c r="K380" s="118">
        <f>VLOOKUP(#REF!,Produzione,7,FALSE)</f>
        <v/>
      </c>
      <c r="L380" s="120" t="n"/>
      <c r="M380" s="120" t="n"/>
      <c r="N380" s="118" t="n"/>
      <c r="O380" s="121" t="n"/>
      <c r="P380" s="121" t="n"/>
      <c r="Q380" s="166">
        <f>TODAY()</f>
        <v/>
      </c>
      <c r="R380" s="165">
        <f>ElencoProdotti[[#This Row],[PRODUZIONE]]+20</f>
        <v/>
      </c>
      <c r="S380" s="165">
        <f>TODAY()</f>
        <v/>
      </c>
      <c r="T380" s="133">
        <f>CONCATENATE(A380," - contiene allergni - prodotto il giorno ",TEXT(Q380,"gg/mm/aaaa"),"")</f>
        <v/>
      </c>
    </row>
    <row r="381" ht="15" customHeight="1" s="155">
      <c r="A381" s="134">
        <f>ric!B381</f>
        <v/>
      </c>
      <c r="B381" s="118">
        <f>ric!C381</f>
        <v/>
      </c>
      <c r="C381" s="125">
        <f>ric!D381</f>
        <v/>
      </c>
      <c r="D381" s="125" t="n"/>
      <c r="E381" s="125" t="n"/>
      <c r="F381" s="125" t="n"/>
      <c r="G381" s="118">
        <f>CONCATENATE(A381, " ",#REF!, " / ",H381)</f>
        <v/>
      </c>
      <c r="H381" s="118" t="n"/>
      <c r="I381" s="119">
        <f>CONCATENATE(M381," - ",J381," - Lotto N° ",K381,"")</f>
        <v/>
      </c>
      <c r="J381" s="118" t="n"/>
      <c r="K381" s="118">
        <f>VLOOKUP(#REF!,Produzione,7,FALSE)</f>
        <v/>
      </c>
      <c r="L381" s="120" t="n"/>
      <c r="M381" s="120" t="n"/>
      <c r="N381" s="118" t="n"/>
      <c r="O381" s="121" t="n"/>
      <c r="P381" s="121" t="n"/>
      <c r="Q381" s="166">
        <f>TODAY()</f>
        <v/>
      </c>
      <c r="R381" s="165">
        <f>ElencoProdotti[[#This Row],[PRODUZIONE]]+20</f>
        <v/>
      </c>
      <c r="S381" s="165">
        <f>TODAY()</f>
        <v/>
      </c>
      <c r="T381" s="133">
        <f>CONCATENATE(A381," - contiene allergni - prodotto il giorno ",TEXT(Q381,"gg/mm/aaaa"),"")</f>
        <v/>
      </c>
    </row>
    <row r="382" ht="15" customHeight="1" s="155">
      <c r="A382" s="134">
        <f>ric!B382</f>
        <v/>
      </c>
      <c r="B382" s="118">
        <f>ric!C382</f>
        <v/>
      </c>
      <c r="C382" s="125">
        <f>ric!D382</f>
        <v/>
      </c>
      <c r="D382" s="125" t="n"/>
      <c r="E382" s="125" t="n"/>
      <c r="F382" s="125" t="n"/>
      <c r="G382" s="118">
        <f>CONCATENATE(A382, " ",#REF!, " / ",H382)</f>
        <v/>
      </c>
      <c r="H382" s="118" t="n"/>
      <c r="I382" s="119">
        <f>CONCATENATE(M382," - ",J382," - Lotto N° ",K382,"")</f>
        <v/>
      </c>
      <c r="J382" s="118" t="n"/>
      <c r="K382" s="118">
        <f>VLOOKUP(#REF!,Produzione,7,FALSE)</f>
        <v/>
      </c>
      <c r="L382" s="120" t="n"/>
      <c r="M382" s="120" t="n"/>
      <c r="N382" s="118" t="n"/>
      <c r="O382" s="121" t="n"/>
      <c r="P382" s="121" t="n"/>
      <c r="Q382" s="166">
        <f>TODAY()</f>
        <v/>
      </c>
      <c r="R382" s="165">
        <f>ElencoProdotti[[#This Row],[PRODUZIONE]]+20</f>
        <v/>
      </c>
      <c r="S382" s="165">
        <f>TODAY()</f>
        <v/>
      </c>
      <c r="T382" s="133">
        <f>CONCATENATE(A382," - contiene allergni - prodotto il giorno ",TEXT(Q382,"gg/mm/aaaa"),"")</f>
        <v/>
      </c>
    </row>
    <row r="383" ht="15" customHeight="1" s="155">
      <c r="A383" s="134">
        <f>ric!B383</f>
        <v/>
      </c>
      <c r="B383" s="118">
        <f>ric!C383</f>
        <v/>
      </c>
      <c r="C383" s="125">
        <f>ric!D383</f>
        <v/>
      </c>
      <c r="D383" s="125" t="n"/>
      <c r="E383" s="125" t="n"/>
      <c r="F383" s="125" t="n"/>
      <c r="G383" s="118">
        <f>CONCATENATE(A383, " ",#REF!, " / ",H383)</f>
        <v/>
      </c>
      <c r="H383" s="118" t="n"/>
      <c r="I383" s="119">
        <f>CONCATENATE(M383," - ",J383," - Lotto N° ",K383,"")</f>
        <v/>
      </c>
      <c r="J383" s="118" t="n"/>
      <c r="K383" s="118">
        <f>VLOOKUP(#REF!,Produzione,7,FALSE)</f>
        <v/>
      </c>
      <c r="L383" s="120" t="n"/>
      <c r="M383" s="120" t="n"/>
      <c r="N383" s="118" t="n"/>
      <c r="O383" s="121" t="n"/>
      <c r="P383" s="121" t="n"/>
      <c r="Q383" s="166">
        <f>TODAY()</f>
        <v/>
      </c>
      <c r="R383" s="165">
        <f>ElencoProdotti[[#This Row],[PRODUZIONE]]+20</f>
        <v/>
      </c>
      <c r="S383" s="165">
        <f>TODAY()</f>
        <v/>
      </c>
      <c r="T383" s="133">
        <f>CONCATENATE(A383," - contiene allergni - prodotto il giorno ",TEXT(Q383,"gg/mm/aaaa"),"")</f>
        <v/>
      </c>
    </row>
    <row r="384" ht="15" customHeight="1" s="155">
      <c r="A384" s="134">
        <f>ric!B384</f>
        <v/>
      </c>
      <c r="B384" s="118">
        <f>ric!C384</f>
        <v/>
      </c>
      <c r="C384" s="125">
        <f>ric!D384</f>
        <v/>
      </c>
      <c r="D384" s="125" t="n"/>
      <c r="E384" s="125" t="n"/>
      <c r="F384" s="125" t="n"/>
      <c r="G384" s="118">
        <f>CONCATENATE(A384, " ",#REF!, " / ",H384)</f>
        <v/>
      </c>
      <c r="H384" s="118" t="n"/>
      <c r="I384" s="119">
        <f>CONCATENATE(M384," - ",J384," - Lotto N° ",K384,"")</f>
        <v/>
      </c>
      <c r="J384" s="118" t="n"/>
      <c r="K384" s="118">
        <f>VLOOKUP(#REF!,Produzione,7,FALSE)</f>
        <v/>
      </c>
      <c r="L384" s="120" t="n"/>
      <c r="M384" s="120" t="n"/>
      <c r="N384" s="118" t="n"/>
      <c r="O384" s="121" t="n"/>
      <c r="P384" s="121" t="n"/>
      <c r="Q384" s="166">
        <f>TODAY()</f>
        <v/>
      </c>
      <c r="R384" s="165">
        <f>ElencoProdotti[[#This Row],[PRODUZIONE]]+20</f>
        <v/>
      </c>
      <c r="S384" s="165">
        <f>TODAY()</f>
        <v/>
      </c>
      <c r="T384" s="133">
        <f>CONCATENATE(A384," - contiene allergni - prodotto il giorno ",TEXT(Q384,"gg/mm/aaaa"),"")</f>
        <v/>
      </c>
    </row>
    <row r="385" ht="15" customHeight="1" s="155">
      <c r="A385" s="134">
        <f>ric!B385</f>
        <v/>
      </c>
      <c r="B385" s="118">
        <f>ric!C385</f>
        <v/>
      </c>
      <c r="C385" s="125">
        <f>ric!D385</f>
        <v/>
      </c>
      <c r="D385" s="125" t="n"/>
      <c r="E385" s="125" t="n"/>
      <c r="F385" s="125" t="n"/>
      <c r="G385" s="118">
        <f>CONCATENATE(A385, " ",#REF!, " / ",H385)</f>
        <v/>
      </c>
      <c r="H385" s="118" t="n"/>
      <c r="I385" s="119">
        <f>CONCATENATE(M385," - ",J385," - Lotto N° ",K385,"")</f>
        <v/>
      </c>
      <c r="J385" s="118" t="n"/>
      <c r="K385" s="118">
        <f>VLOOKUP(#REF!,Produzione,7,FALSE)</f>
        <v/>
      </c>
      <c r="L385" s="120" t="n"/>
      <c r="M385" s="120" t="n"/>
      <c r="N385" s="118" t="n"/>
      <c r="O385" s="121" t="n"/>
      <c r="P385" s="121" t="n"/>
      <c r="Q385" s="166">
        <f>TODAY()</f>
        <v/>
      </c>
      <c r="R385" s="165">
        <f>ElencoProdotti[[#This Row],[PRODUZIONE]]+20</f>
        <v/>
      </c>
      <c r="S385" s="165">
        <f>TODAY()</f>
        <v/>
      </c>
      <c r="T385" s="133">
        <f>CONCATENATE(A385," - contiene allergni - prodotto il giorno ",TEXT(Q385,"gg/mm/aaaa"),"")</f>
        <v/>
      </c>
    </row>
    <row r="386" ht="15" customHeight="1" s="155">
      <c r="A386" s="134">
        <f>ric!B386</f>
        <v/>
      </c>
      <c r="B386" s="118">
        <f>ric!C386</f>
        <v/>
      </c>
      <c r="C386" s="125">
        <f>ric!D386</f>
        <v/>
      </c>
      <c r="D386" s="125" t="n"/>
      <c r="E386" s="125" t="n"/>
      <c r="F386" s="125" t="n"/>
      <c r="G386" s="118">
        <f>CONCATENATE(A386, " ",#REF!, " / ",H386)</f>
        <v/>
      </c>
      <c r="H386" s="118" t="n"/>
      <c r="I386" s="119">
        <f>CONCATENATE(M386," - ",J386," - Lotto N° ",K386,"")</f>
        <v/>
      </c>
      <c r="J386" s="118" t="n"/>
      <c r="K386" s="118">
        <f>VLOOKUP(#REF!,Produzione,7,FALSE)</f>
        <v/>
      </c>
      <c r="L386" s="120" t="n"/>
      <c r="M386" s="120" t="n"/>
      <c r="N386" s="118" t="n"/>
      <c r="O386" s="121" t="n"/>
      <c r="P386" s="121" t="n"/>
      <c r="Q386" s="166">
        <f>TODAY()</f>
        <v/>
      </c>
      <c r="R386" s="165">
        <f>ElencoProdotti[[#This Row],[PRODUZIONE]]+20</f>
        <v/>
      </c>
      <c r="S386" s="165">
        <f>TODAY()</f>
        <v/>
      </c>
      <c r="T386" s="133">
        <f>CONCATENATE(A386," - contiene allergni - prodotto il giorno ",TEXT(Q386,"gg/mm/aaaa"),"")</f>
        <v/>
      </c>
    </row>
    <row r="387" ht="15" customHeight="1" s="155">
      <c r="A387" s="134">
        <f>ric!B387</f>
        <v/>
      </c>
      <c r="B387" s="118">
        <f>ric!C387</f>
        <v/>
      </c>
      <c r="C387" s="125">
        <f>ric!D387</f>
        <v/>
      </c>
      <c r="D387" s="125" t="n"/>
      <c r="E387" s="125" t="n"/>
      <c r="F387" s="125" t="n"/>
      <c r="G387" s="118">
        <f>CONCATENATE(A387, " ",#REF!, " / ",H387)</f>
        <v/>
      </c>
      <c r="H387" s="118" t="n"/>
      <c r="I387" s="119">
        <f>CONCATENATE(M387," - ",J387," - Lotto N° ",K387,"")</f>
        <v/>
      </c>
      <c r="J387" s="118" t="n"/>
      <c r="K387" s="118">
        <f>VLOOKUP(#REF!,Produzione,7,FALSE)</f>
        <v/>
      </c>
      <c r="L387" s="120" t="n"/>
      <c r="M387" s="120" t="n"/>
      <c r="N387" s="118" t="n"/>
      <c r="O387" s="121" t="n"/>
      <c r="P387" s="121" t="n"/>
      <c r="Q387" s="166">
        <f>TODAY()</f>
        <v/>
      </c>
      <c r="R387" s="165">
        <f>ElencoProdotti[[#This Row],[PRODUZIONE]]+20</f>
        <v/>
      </c>
      <c r="S387" s="165">
        <f>TODAY()</f>
        <v/>
      </c>
      <c r="T387" s="133">
        <f>CONCATENATE(A387," - contiene allergni - prodotto il giorno ",TEXT(Q387,"gg/mm/aaaa"),"")</f>
        <v/>
      </c>
    </row>
    <row r="388" ht="15" customHeight="1" s="155">
      <c r="A388" s="134">
        <f>ric!B388</f>
        <v/>
      </c>
      <c r="B388" s="118">
        <f>ric!C388</f>
        <v/>
      </c>
      <c r="C388" s="125">
        <f>ric!D388</f>
        <v/>
      </c>
      <c r="D388" s="125" t="n"/>
      <c r="E388" s="125" t="n"/>
      <c r="F388" s="125" t="n"/>
      <c r="G388" s="118">
        <f>CONCATENATE(A388, " ",#REF!, " / ",H388)</f>
        <v/>
      </c>
      <c r="H388" s="118" t="n"/>
      <c r="I388" s="119">
        <f>CONCATENATE(M388," - ",J388," - Lotto N° ",K388,"")</f>
        <v/>
      </c>
      <c r="J388" s="118" t="n"/>
      <c r="K388" s="118">
        <f>VLOOKUP(#REF!,Produzione,7,FALSE)</f>
        <v/>
      </c>
      <c r="L388" s="120" t="n"/>
      <c r="M388" s="120" t="n"/>
      <c r="N388" s="118" t="n"/>
      <c r="O388" s="121" t="n"/>
      <c r="P388" s="121" t="n"/>
      <c r="Q388" s="166">
        <f>TODAY()</f>
        <v/>
      </c>
      <c r="R388" s="165">
        <f>ElencoProdotti[[#This Row],[PRODUZIONE]]+20</f>
        <v/>
      </c>
      <c r="S388" s="165">
        <f>TODAY()</f>
        <v/>
      </c>
      <c r="T388" s="133">
        <f>CONCATENATE(A388," - contiene allergni - prodotto il giorno ",TEXT(Q388,"gg/mm/aaaa"),"")</f>
        <v/>
      </c>
    </row>
    <row r="389" ht="15" customHeight="1" s="155">
      <c r="A389" s="134">
        <f>ric!B389</f>
        <v/>
      </c>
      <c r="B389" s="118">
        <f>ric!C389</f>
        <v/>
      </c>
      <c r="C389" s="125">
        <f>ric!D389</f>
        <v/>
      </c>
      <c r="D389" s="125" t="n"/>
      <c r="E389" s="125" t="n"/>
      <c r="F389" s="125" t="n"/>
      <c r="G389" s="118">
        <f>CONCATENATE(A389, " ",#REF!, " / ",H389)</f>
        <v/>
      </c>
      <c r="H389" s="118" t="n"/>
      <c r="I389" s="119">
        <f>CONCATENATE(M389," - ",J389," - Lotto N° ",K389,"")</f>
        <v/>
      </c>
      <c r="J389" s="118" t="n"/>
      <c r="K389" s="118">
        <f>VLOOKUP(#REF!,Produzione,7,FALSE)</f>
        <v/>
      </c>
      <c r="L389" s="120" t="n"/>
      <c r="M389" s="120" t="n"/>
      <c r="N389" s="118" t="n"/>
      <c r="O389" s="121" t="n"/>
      <c r="P389" s="121" t="n"/>
      <c r="Q389" s="166">
        <f>TODAY()</f>
        <v/>
      </c>
      <c r="R389" s="165">
        <f>ElencoProdotti[[#This Row],[PRODUZIONE]]+20</f>
        <v/>
      </c>
      <c r="S389" s="165">
        <f>TODAY()</f>
        <v/>
      </c>
      <c r="T389" s="133">
        <f>CONCATENATE(A389," - contiene allergni - prodotto il giorno ",TEXT(Q389,"gg/mm/aaaa"),"")</f>
        <v/>
      </c>
    </row>
    <row r="390" ht="15" customHeight="1" s="155">
      <c r="A390" s="134">
        <f>ric!B390</f>
        <v/>
      </c>
      <c r="B390" s="118">
        <f>ric!C390</f>
        <v/>
      </c>
      <c r="C390" s="125">
        <f>ric!D390</f>
        <v/>
      </c>
      <c r="D390" s="125" t="n"/>
      <c r="E390" s="125" t="n"/>
      <c r="F390" s="125" t="n"/>
      <c r="G390" s="118">
        <f>CONCATENATE(A390, " ",#REF!, " / ",H390)</f>
        <v/>
      </c>
      <c r="H390" s="118" t="n"/>
      <c r="I390" s="119">
        <f>CONCATENATE(M390," - ",J390," - Lotto N° ",K390,"")</f>
        <v/>
      </c>
      <c r="J390" s="118" t="n"/>
      <c r="K390" s="118">
        <f>VLOOKUP(#REF!,Produzione,7,FALSE)</f>
        <v/>
      </c>
      <c r="L390" s="120" t="n"/>
      <c r="M390" s="120" t="n"/>
      <c r="N390" s="118" t="n"/>
      <c r="O390" s="121" t="n"/>
      <c r="P390" s="121" t="n"/>
      <c r="Q390" s="166">
        <f>TODAY()</f>
        <v/>
      </c>
      <c r="R390" s="165">
        <f>ElencoProdotti[[#This Row],[PRODUZIONE]]+20</f>
        <v/>
      </c>
      <c r="S390" s="165">
        <f>TODAY()</f>
        <v/>
      </c>
      <c r="T390" s="133">
        <f>CONCATENATE(A390," - contiene allergni - prodotto il giorno ",TEXT(Q390,"gg/mm/aaaa"),"")</f>
        <v/>
      </c>
    </row>
    <row r="391" ht="15" customHeight="1" s="155">
      <c r="A391" s="134">
        <f>ric!B391</f>
        <v/>
      </c>
      <c r="B391" s="118">
        <f>ric!C391</f>
        <v/>
      </c>
      <c r="C391" s="125">
        <f>ric!D391</f>
        <v/>
      </c>
      <c r="D391" s="125" t="n"/>
      <c r="E391" s="125" t="n"/>
      <c r="F391" s="125" t="n"/>
      <c r="G391" s="118">
        <f>CONCATENATE(A391, " ",#REF!, " / ",H391)</f>
        <v/>
      </c>
      <c r="H391" s="118" t="n"/>
      <c r="I391" s="119">
        <f>CONCATENATE(M391," - ",J391," - Lotto N° ",K391,"")</f>
        <v/>
      </c>
      <c r="J391" s="118" t="n"/>
      <c r="K391" s="118">
        <f>VLOOKUP(#REF!,Produzione,7,FALSE)</f>
        <v/>
      </c>
      <c r="L391" s="120" t="n"/>
      <c r="M391" s="120" t="n"/>
      <c r="N391" s="118" t="n"/>
      <c r="O391" s="121" t="n"/>
      <c r="P391" s="121" t="n"/>
      <c r="Q391" s="166">
        <f>TODAY()</f>
        <v/>
      </c>
      <c r="R391" s="165">
        <f>ElencoProdotti[[#This Row],[PRODUZIONE]]+20</f>
        <v/>
      </c>
      <c r="S391" s="165">
        <f>TODAY()</f>
        <v/>
      </c>
      <c r="T391" s="133">
        <f>CONCATENATE(A391," - contiene allergni - prodotto il giorno ",TEXT(Q391,"gg/mm/aaaa"),"")</f>
        <v/>
      </c>
    </row>
    <row r="392" ht="15" customHeight="1" s="155">
      <c r="A392" s="134">
        <f>ric!B392</f>
        <v/>
      </c>
      <c r="B392" s="118">
        <f>ric!C392</f>
        <v/>
      </c>
      <c r="C392" s="125">
        <f>ric!D392</f>
        <v/>
      </c>
      <c r="D392" s="125" t="n"/>
      <c r="E392" s="125" t="n"/>
      <c r="F392" s="125" t="n"/>
      <c r="G392" s="118">
        <f>CONCATENATE(A392, " ",#REF!, " / ",H392)</f>
        <v/>
      </c>
      <c r="H392" s="118" t="n"/>
      <c r="I392" s="119">
        <f>CONCATENATE(M392," - ",J392," - Lotto N° ",K392,"")</f>
        <v/>
      </c>
      <c r="J392" s="118" t="n"/>
      <c r="K392" s="118">
        <f>VLOOKUP(#REF!,Produzione,7,FALSE)</f>
        <v/>
      </c>
      <c r="L392" s="120" t="n"/>
      <c r="M392" s="120" t="n"/>
      <c r="N392" s="118" t="n"/>
      <c r="O392" s="121" t="n"/>
      <c r="P392" s="121" t="n"/>
      <c r="Q392" s="166">
        <f>TODAY()</f>
        <v/>
      </c>
      <c r="R392" s="165">
        <f>ElencoProdotti[[#This Row],[PRODUZIONE]]+20</f>
        <v/>
      </c>
      <c r="S392" s="165">
        <f>TODAY()</f>
        <v/>
      </c>
      <c r="T392" s="133">
        <f>CONCATENATE(A392," - contiene allergni - prodotto il giorno ",TEXT(Q392,"gg/mm/aaaa"),"")</f>
        <v/>
      </c>
    </row>
    <row r="393" ht="15" customHeight="1" s="155">
      <c r="A393" s="134">
        <f>ric!B393</f>
        <v/>
      </c>
      <c r="B393" s="118">
        <f>ric!C393</f>
        <v/>
      </c>
      <c r="C393" s="125">
        <f>ric!D393</f>
        <v/>
      </c>
      <c r="D393" s="125" t="n"/>
      <c r="E393" s="125" t="n"/>
      <c r="F393" s="125" t="n"/>
      <c r="G393" s="118">
        <f>CONCATENATE(A393, " ",#REF!, " / ",H393)</f>
        <v/>
      </c>
      <c r="H393" s="118" t="n"/>
      <c r="I393" s="119">
        <f>CONCATENATE(M393," - ",J393," - Lotto N° ",K393,"")</f>
        <v/>
      </c>
      <c r="J393" s="118" t="n"/>
      <c r="K393" s="118">
        <f>VLOOKUP(#REF!,Produzione,7,FALSE)</f>
        <v/>
      </c>
      <c r="L393" s="120" t="n"/>
      <c r="M393" s="120" t="n"/>
      <c r="N393" s="118" t="n"/>
      <c r="O393" s="121" t="n"/>
      <c r="P393" s="121" t="n"/>
      <c r="Q393" s="166">
        <f>TODAY()</f>
        <v/>
      </c>
      <c r="R393" s="165">
        <f>ElencoProdotti[[#This Row],[PRODUZIONE]]+20</f>
        <v/>
      </c>
      <c r="S393" s="165">
        <f>TODAY()</f>
        <v/>
      </c>
      <c r="T393" s="133">
        <f>CONCATENATE(A393," - contiene allergni - prodotto il giorno ",TEXT(Q393,"gg/mm/aaaa"),"")</f>
        <v/>
      </c>
    </row>
    <row r="394" ht="15" customHeight="1" s="155">
      <c r="A394" s="134">
        <f>ric!B394</f>
        <v/>
      </c>
      <c r="B394" s="118">
        <f>ric!C394</f>
        <v/>
      </c>
      <c r="C394" s="125">
        <f>ric!D394</f>
        <v/>
      </c>
      <c r="D394" s="125" t="n"/>
      <c r="E394" s="125" t="n"/>
      <c r="F394" s="125" t="n"/>
      <c r="G394" s="118">
        <f>CONCATENATE(A394, " ",#REF!, " / ",H394)</f>
        <v/>
      </c>
      <c r="H394" s="118" t="n"/>
      <c r="I394" s="119">
        <f>CONCATENATE(M394," - ",J394," - Lotto N° ",K394,"")</f>
        <v/>
      </c>
      <c r="J394" s="118" t="n"/>
      <c r="K394" s="118">
        <f>VLOOKUP(#REF!,Produzione,7,FALSE)</f>
        <v/>
      </c>
      <c r="L394" s="120" t="n"/>
      <c r="M394" s="120" t="n"/>
      <c r="N394" s="118" t="n"/>
      <c r="O394" s="121" t="n"/>
      <c r="P394" s="121" t="n"/>
      <c r="Q394" s="166">
        <f>TODAY()</f>
        <v/>
      </c>
      <c r="R394" s="165">
        <f>ElencoProdotti[[#This Row],[PRODUZIONE]]+20</f>
        <v/>
      </c>
      <c r="S394" s="165">
        <f>TODAY()</f>
        <v/>
      </c>
      <c r="T394" s="133">
        <f>CONCATENATE(A394," - contiene allergni - prodotto il giorno ",TEXT(Q394,"gg/mm/aaaa"),"")</f>
        <v/>
      </c>
    </row>
    <row r="395" ht="15" customHeight="1" s="155">
      <c r="A395" s="134">
        <f>ric!B395</f>
        <v/>
      </c>
      <c r="B395" s="118">
        <f>ric!C395</f>
        <v/>
      </c>
      <c r="C395" s="125">
        <f>ric!D395</f>
        <v/>
      </c>
      <c r="D395" s="125" t="n"/>
      <c r="E395" s="125" t="n"/>
      <c r="F395" s="125" t="n"/>
      <c r="G395" s="118">
        <f>CONCATENATE(A395, " ",#REF!, " / ",H395)</f>
        <v/>
      </c>
      <c r="H395" s="118" t="n"/>
      <c r="I395" s="119">
        <f>CONCATENATE(M395," - ",J395," - Lotto N° ",K395,"")</f>
        <v/>
      </c>
      <c r="J395" s="118" t="n"/>
      <c r="K395" s="118">
        <f>VLOOKUP(#REF!,Produzione,7,FALSE)</f>
        <v/>
      </c>
      <c r="L395" s="120" t="n"/>
      <c r="M395" s="120" t="n"/>
      <c r="N395" s="118" t="n"/>
      <c r="O395" s="121" t="n"/>
      <c r="P395" s="121" t="n"/>
      <c r="Q395" s="166">
        <f>TODAY()</f>
        <v/>
      </c>
      <c r="R395" s="165">
        <f>ElencoProdotti[[#This Row],[PRODUZIONE]]+20</f>
        <v/>
      </c>
      <c r="S395" s="165">
        <f>TODAY()</f>
        <v/>
      </c>
      <c r="T395" s="133">
        <f>CONCATENATE(A395," - contiene allergni - prodotto il giorno ",TEXT(Q395,"gg/mm/aaaa"),"")</f>
        <v/>
      </c>
    </row>
    <row r="396" ht="15" customHeight="1" s="155">
      <c r="A396" s="134">
        <f>ric!B396</f>
        <v/>
      </c>
      <c r="B396" s="118">
        <f>ric!C396</f>
        <v/>
      </c>
      <c r="C396" s="125">
        <f>ric!D396</f>
        <v/>
      </c>
      <c r="D396" s="125" t="n"/>
      <c r="E396" s="125" t="n"/>
      <c r="F396" s="125" t="n"/>
      <c r="G396" s="118">
        <f>CONCATENATE(A396, " ",#REF!, " / ",H396)</f>
        <v/>
      </c>
      <c r="H396" s="118" t="n"/>
      <c r="I396" s="119">
        <f>CONCATENATE(M396," - ",J396," - Lotto N° ",K396,"")</f>
        <v/>
      </c>
      <c r="J396" s="118" t="n"/>
      <c r="K396" s="118">
        <f>VLOOKUP(#REF!,Produzione,7,FALSE)</f>
        <v/>
      </c>
      <c r="L396" s="120" t="n"/>
      <c r="M396" s="120" t="n"/>
      <c r="N396" s="118" t="n"/>
      <c r="O396" s="121" t="n"/>
      <c r="P396" s="121" t="n"/>
      <c r="Q396" s="166">
        <f>TODAY()</f>
        <v/>
      </c>
      <c r="R396" s="165">
        <f>ElencoProdotti[[#This Row],[PRODUZIONE]]+20</f>
        <v/>
      </c>
      <c r="S396" s="165">
        <f>TODAY()</f>
        <v/>
      </c>
      <c r="T396" s="133">
        <f>CONCATENATE(A396," - contiene allergni - prodotto il giorno ",TEXT(Q396,"gg/mm/aaaa"),"")</f>
        <v/>
      </c>
    </row>
    <row r="397" ht="15" customHeight="1" s="155">
      <c r="A397" s="134">
        <f>ric!B397</f>
        <v/>
      </c>
      <c r="B397" s="118">
        <f>ric!C397</f>
        <v/>
      </c>
      <c r="C397" s="125">
        <f>ric!D397</f>
        <v/>
      </c>
      <c r="D397" s="125" t="n"/>
      <c r="E397" s="125" t="n"/>
      <c r="F397" s="125" t="n"/>
      <c r="G397" s="118">
        <f>CONCATENATE(A397, " ",#REF!, " / ",H397)</f>
        <v/>
      </c>
      <c r="H397" s="118" t="n"/>
      <c r="I397" s="119">
        <f>CONCATENATE(M397," - ",J397," - Lotto N° ",K397,"")</f>
        <v/>
      </c>
      <c r="J397" s="118" t="n"/>
      <c r="K397" s="118">
        <f>VLOOKUP(#REF!,Produzione,7,FALSE)</f>
        <v/>
      </c>
      <c r="L397" s="120" t="n"/>
      <c r="M397" s="120" t="n"/>
      <c r="N397" s="118" t="n"/>
      <c r="O397" s="121" t="n"/>
      <c r="P397" s="121" t="n"/>
      <c r="Q397" s="166">
        <f>TODAY()</f>
        <v/>
      </c>
      <c r="R397" s="165">
        <f>ElencoProdotti[[#This Row],[PRODUZIONE]]+20</f>
        <v/>
      </c>
      <c r="S397" s="165">
        <f>TODAY()</f>
        <v/>
      </c>
      <c r="T397" s="133">
        <f>CONCATENATE(A397," - contiene allergni - prodotto il giorno ",TEXT(Q397,"gg/mm/aaaa"),"")</f>
        <v/>
      </c>
    </row>
    <row r="398" ht="15" customHeight="1" s="155">
      <c r="A398" s="134">
        <f>ric!B398</f>
        <v/>
      </c>
      <c r="B398" s="118">
        <f>ric!C398</f>
        <v/>
      </c>
      <c r="C398" s="125">
        <f>ric!D398</f>
        <v/>
      </c>
      <c r="D398" s="125" t="n"/>
      <c r="E398" s="125" t="n"/>
      <c r="F398" s="125" t="n"/>
      <c r="G398" s="118">
        <f>CONCATENATE(A398, " ",#REF!, " / ",H398)</f>
        <v/>
      </c>
      <c r="H398" s="118" t="n"/>
      <c r="I398" s="119">
        <f>CONCATENATE(M398," - ",J398," - Lotto N° ",K398,"")</f>
        <v/>
      </c>
      <c r="J398" s="118" t="n"/>
      <c r="K398" s="118">
        <f>VLOOKUP(#REF!,Produzione,7,FALSE)</f>
        <v/>
      </c>
      <c r="L398" s="120" t="n"/>
      <c r="M398" s="120" t="n"/>
      <c r="N398" s="118" t="n"/>
      <c r="O398" s="121" t="n"/>
      <c r="P398" s="121" t="n"/>
      <c r="Q398" s="166">
        <f>TODAY()</f>
        <v/>
      </c>
      <c r="R398" s="165">
        <f>ElencoProdotti[[#This Row],[PRODUZIONE]]+20</f>
        <v/>
      </c>
      <c r="S398" s="165">
        <f>TODAY()</f>
        <v/>
      </c>
      <c r="T398" s="133">
        <f>CONCATENATE(A398," - contiene allergni - prodotto il giorno ",TEXT(Q398,"gg/mm/aaaa"),"")</f>
        <v/>
      </c>
    </row>
    <row r="399" ht="15" customHeight="1" s="155">
      <c r="A399" s="134">
        <f>ric!B399</f>
        <v/>
      </c>
      <c r="B399" s="118">
        <f>ric!C399</f>
        <v/>
      </c>
      <c r="C399" s="125">
        <f>ric!D399</f>
        <v/>
      </c>
      <c r="D399" s="125" t="n"/>
      <c r="E399" s="125" t="n"/>
      <c r="F399" s="125" t="n"/>
      <c r="G399" s="118">
        <f>CONCATENATE(A399, " ",#REF!, " / ",H399)</f>
        <v/>
      </c>
      <c r="H399" s="118" t="n"/>
      <c r="I399" s="119">
        <f>CONCATENATE(M399," - ",J399," - Lotto N° ",K399,"")</f>
        <v/>
      </c>
      <c r="J399" s="118" t="n"/>
      <c r="K399" s="118">
        <f>VLOOKUP(#REF!,Produzione,7,FALSE)</f>
        <v/>
      </c>
      <c r="L399" s="120" t="n"/>
      <c r="M399" s="120" t="n"/>
      <c r="N399" s="118" t="n"/>
      <c r="O399" s="121" t="n"/>
      <c r="P399" s="121" t="n"/>
      <c r="Q399" s="166">
        <f>TODAY()</f>
        <v/>
      </c>
      <c r="R399" s="165">
        <f>ElencoProdotti[[#This Row],[PRODUZIONE]]+20</f>
        <v/>
      </c>
      <c r="S399" s="165">
        <f>TODAY()</f>
        <v/>
      </c>
      <c r="T399" s="133">
        <f>CONCATENATE(A399," - contiene allergni - prodotto il giorno ",TEXT(Q399,"gg/mm/aaaa"),"")</f>
        <v/>
      </c>
    </row>
    <row r="400" ht="15" customHeight="1" s="155">
      <c r="A400" s="134">
        <f>ric!B400</f>
        <v/>
      </c>
      <c r="B400" s="118">
        <f>ric!C400</f>
        <v/>
      </c>
      <c r="C400" s="125">
        <f>ric!D400</f>
        <v/>
      </c>
      <c r="D400" s="125" t="n"/>
      <c r="E400" s="125" t="n"/>
      <c r="F400" s="125" t="n"/>
      <c r="G400" s="118">
        <f>CONCATENATE(A400, " ",#REF!, " / ",H400)</f>
        <v/>
      </c>
      <c r="H400" s="118" t="n"/>
      <c r="I400" s="119">
        <f>CONCATENATE(M400," - ",J400," - Lotto N° ",K400,"")</f>
        <v/>
      </c>
      <c r="J400" s="118" t="n"/>
      <c r="K400" s="118">
        <f>VLOOKUP(#REF!,Produzione,7,FALSE)</f>
        <v/>
      </c>
      <c r="L400" s="120" t="n"/>
      <c r="M400" s="120" t="n"/>
      <c r="N400" s="118" t="n"/>
      <c r="O400" s="121" t="n"/>
      <c r="P400" s="121" t="n"/>
      <c r="Q400" s="166">
        <f>TODAY()</f>
        <v/>
      </c>
      <c r="R400" s="165">
        <f>ElencoProdotti[[#This Row],[PRODUZIONE]]+20</f>
        <v/>
      </c>
      <c r="S400" s="165">
        <f>TODAY()</f>
        <v/>
      </c>
      <c r="T400" s="133">
        <f>CONCATENATE(A400," - contiene allergni - prodotto il giorno ",TEXT(Q400,"gg/mm/aaaa"),"")</f>
        <v/>
      </c>
    </row>
    <row r="401" ht="15" customHeight="1" s="155">
      <c r="A401" s="134">
        <f>ric!B401</f>
        <v/>
      </c>
      <c r="B401" s="118">
        <f>ric!C401</f>
        <v/>
      </c>
      <c r="C401" s="125">
        <f>ric!D401</f>
        <v/>
      </c>
      <c r="D401" s="125" t="n"/>
      <c r="E401" s="125" t="n"/>
      <c r="F401" s="125" t="n"/>
      <c r="G401" s="118">
        <f>CONCATENATE(A401, " ",#REF!, " / ",H401)</f>
        <v/>
      </c>
      <c r="H401" s="118" t="n"/>
      <c r="I401" s="119">
        <f>CONCATENATE(M401," - ",J401," - Lotto N° ",K401,"")</f>
        <v/>
      </c>
      <c r="J401" s="118" t="n"/>
      <c r="K401" s="118">
        <f>VLOOKUP(#REF!,Produzione,7,FALSE)</f>
        <v/>
      </c>
      <c r="L401" s="120" t="n"/>
      <c r="M401" s="120" t="n"/>
      <c r="N401" s="118" t="n"/>
      <c r="O401" s="121" t="n"/>
      <c r="P401" s="121" t="n"/>
      <c r="Q401" s="166">
        <f>TODAY()</f>
        <v/>
      </c>
      <c r="R401" s="165">
        <f>ElencoProdotti[[#This Row],[PRODUZIONE]]+20</f>
        <v/>
      </c>
      <c r="S401" s="165">
        <f>TODAY()</f>
        <v/>
      </c>
      <c r="T401" s="133">
        <f>CONCATENATE(A401," - contiene allergni - prodotto il giorno ",TEXT(Q401,"gg/mm/aaaa"),"")</f>
        <v/>
      </c>
    </row>
    <row r="402" ht="15" customHeight="1" s="155">
      <c r="A402" s="134">
        <f>ric!B402</f>
        <v/>
      </c>
      <c r="B402" s="118">
        <f>ric!C402</f>
        <v/>
      </c>
      <c r="C402" s="125">
        <f>ric!D402</f>
        <v/>
      </c>
      <c r="D402" s="125" t="n"/>
      <c r="E402" s="125" t="n"/>
      <c r="F402" s="125" t="n"/>
      <c r="G402" s="118">
        <f>CONCATENATE(A402, " ",#REF!, " / ",H402)</f>
        <v/>
      </c>
      <c r="H402" s="118" t="n"/>
      <c r="I402" s="119">
        <f>CONCATENATE(M402," - ",J402," - Lotto N° ",K402,"")</f>
        <v/>
      </c>
      <c r="J402" s="118" t="n"/>
      <c r="K402" s="118">
        <f>VLOOKUP(#REF!,Produzione,7,FALSE)</f>
        <v/>
      </c>
      <c r="L402" s="120" t="n"/>
      <c r="M402" s="120" t="n"/>
      <c r="N402" s="118" t="n"/>
      <c r="O402" s="121" t="n"/>
      <c r="P402" s="121" t="n"/>
      <c r="Q402" s="166">
        <f>TODAY()</f>
        <v/>
      </c>
      <c r="R402" s="165">
        <f>ElencoProdotti[[#This Row],[PRODUZIONE]]+20</f>
        <v/>
      </c>
      <c r="S402" s="165">
        <f>TODAY()</f>
        <v/>
      </c>
      <c r="T402" s="133">
        <f>CONCATENATE(A402," - contiene allergni - prodotto il giorno ",TEXT(Q402,"gg/mm/aaaa"),"")</f>
        <v/>
      </c>
    </row>
    <row r="403" ht="15" customHeight="1" s="155">
      <c r="A403" s="134">
        <f>ric!B403</f>
        <v/>
      </c>
      <c r="B403" s="118">
        <f>ric!C403</f>
        <v/>
      </c>
      <c r="C403" s="125">
        <f>ric!D403</f>
        <v/>
      </c>
      <c r="D403" s="125" t="n"/>
      <c r="E403" s="125" t="n"/>
      <c r="F403" s="125" t="n"/>
      <c r="G403" s="118">
        <f>CONCATENATE(A403, " ",#REF!, " / ",H403)</f>
        <v/>
      </c>
      <c r="H403" s="118" t="n"/>
      <c r="I403" s="119">
        <f>CONCATENATE(M403," - ",J403," - Lotto N° ",K403,"")</f>
        <v/>
      </c>
      <c r="J403" s="118" t="n"/>
      <c r="K403" s="118">
        <f>VLOOKUP(#REF!,Produzione,7,FALSE)</f>
        <v/>
      </c>
      <c r="L403" s="120" t="n"/>
      <c r="M403" s="120" t="n"/>
      <c r="N403" s="118" t="n"/>
      <c r="O403" s="121" t="n"/>
      <c r="P403" s="121" t="n"/>
      <c r="Q403" s="166">
        <f>TODAY()</f>
        <v/>
      </c>
      <c r="R403" s="165">
        <f>ElencoProdotti[[#This Row],[PRODUZIONE]]+20</f>
        <v/>
      </c>
      <c r="S403" s="165">
        <f>TODAY()</f>
        <v/>
      </c>
      <c r="T403" s="133">
        <f>CONCATENATE(A403," - contiene allergni - prodotto il giorno ",TEXT(Q403,"gg/mm/aaaa"),"")</f>
        <v/>
      </c>
    </row>
    <row r="404" ht="15" customHeight="1" s="155">
      <c r="A404" s="134">
        <f>ric!B404</f>
        <v/>
      </c>
      <c r="B404" s="118">
        <f>ric!C404</f>
        <v/>
      </c>
      <c r="C404" s="125">
        <f>ric!D404</f>
        <v/>
      </c>
      <c r="D404" s="125" t="n"/>
      <c r="E404" s="125" t="n"/>
      <c r="F404" s="125" t="n"/>
      <c r="G404" s="118">
        <f>CONCATENATE(A404, " ",#REF!, " / ",H404)</f>
        <v/>
      </c>
      <c r="H404" s="118" t="n"/>
      <c r="I404" s="119">
        <f>CONCATENATE(M404," - ",J404," - Lotto N° ",K404,"")</f>
        <v/>
      </c>
      <c r="J404" s="118" t="n"/>
      <c r="K404" s="118">
        <f>VLOOKUP(#REF!,Produzione,7,FALSE)</f>
        <v/>
      </c>
      <c r="L404" s="120" t="n"/>
      <c r="M404" s="120" t="n"/>
      <c r="N404" s="118" t="n"/>
      <c r="O404" s="121" t="n"/>
      <c r="P404" s="121" t="n"/>
      <c r="Q404" s="166">
        <f>TODAY()</f>
        <v/>
      </c>
      <c r="R404" s="165">
        <f>ElencoProdotti[[#This Row],[PRODUZIONE]]+20</f>
        <v/>
      </c>
      <c r="S404" s="165">
        <f>TODAY()</f>
        <v/>
      </c>
      <c r="T404" s="133">
        <f>CONCATENATE(A404," - contiene allergni - prodotto il giorno ",TEXT(Q404,"gg/mm/aaaa"),"")</f>
        <v/>
      </c>
    </row>
    <row r="405" ht="15" customHeight="1" s="155">
      <c r="A405" s="134">
        <f>ric!B405</f>
        <v/>
      </c>
      <c r="B405" s="118">
        <f>ric!C405</f>
        <v/>
      </c>
      <c r="C405" s="125">
        <f>ric!D405</f>
        <v/>
      </c>
      <c r="D405" s="125" t="n"/>
      <c r="E405" s="125" t="n"/>
      <c r="F405" s="125" t="n"/>
      <c r="G405" s="118">
        <f>CONCATENATE(A405, " ",#REF!, " / ",H405)</f>
        <v/>
      </c>
      <c r="H405" s="118" t="n"/>
      <c r="I405" s="119">
        <f>CONCATENATE(M405," - ",J405," - Lotto N° ",K405,"")</f>
        <v/>
      </c>
      <c r="J405" s="118" t="n"/>
      <c r="K405" s="118">
        <f>VLOOKUP(#REF!,Produzione,7,FALSE)</f>
        <v/>
      </c>
      <c r="L405" s="120" t="n"/>
      <c r="M405" s="120" t="n"/>
      <c r="N405" s="118" t="n"/>
      <c r="O405" s="121" t="n"/>
      <c r="P405" s="121" t="n"/>
      <c r="Q405" s="166">
        <f>TODAY()</f>
        <v/>
      </c>
      <c r="R405" s="165">
        <f>ElencoProdotti[[#This Row],[PRODUZIONE]]+20</f>
        <v/>
      </c>
      <c r="S405" s="165">
        <f>TODAY()</f>
        <v/>
      </c>
      <c r="T405" s="133">
        <f>CONCATENATE(A405," - contiene allergni - prodotto il giorno ",TEXT(Q405,"gg/mm/aaaa"),"")</f>
        <v/>
      </c>
    </row>
    <row r="406" ht="15" customHeight="1" s="155">
      <c r="A406" s="134">
        <f>ric!B406</f>
        <v/>
      </c>
      <c r="B406" s="118">
        <f>ric!C406</f>
        <v/>
      </c>
      <c r="C406" s="125">
        <f>ric!D406</f>
        <v/>
      </c>
      <c r="D406" s="125" t="n"/>
      <c r="E406" s="125" t="n"/>
      <c r="F406" s="125" t="n"/>
      <c r="G406" s="118">
        <f>CONCATENATE(A406, " ",#REF!, " / ",H406)</f>
        <v/>
      </c>
      <c r="H406" s="118" t="n"/>
      <c r="I406" s="119">
        <f>CONCATENATE(M406," - ",J406," - Lotto N° ",K406,"")</f>
        <v/>
      </c>
      <c r="J406" s="118" t="n"/>
      <c r="K406" s="118">
        <f>VLOOKUP(#REF!,Produzione,7,FALSE)</f>
        <v/>
      </c>
      <c r="L406" s="120" t="n"/>
      <c r="M406" s="120" t="n"/>
      <c r="N406" s="118" t="n"/>
      <c r="O406" s="121" t="n"/>
      <c r="P406" s="121" t="n"/>
      <c r="Q406" s="166">
        <f>TODAY()</f>
        <v/>
      </c>
      <c r="R406" s="165">
        <f>ElencoProdotti[[#This Row],[PRODUZIONE]]+20</f>
        <v/>
      </c>
      <c r="S406" s="165">
        <f>TODAY()</f>
        <v/>
      </c>
      <c r="T406" s="133">
        <f>CONCATENATE(A406," - contiene allergni - prodotto il giorno ",TEXT(Q406,"gg/mm/aaaa"),"")</f>
        <v/>
      </c>
    </row>
    <row r="407" ht="15" customHeight="1" s="155">
      <c r="A407" s="134">
        <f>ric!B407</f>
        <v/>
      </c>
      <c r="B407" s="118">
        <f>ric!C407</f>
        <v/>
      </c>
      <c r="C407" s="125">
        <f>ric!D407</f>
        <v/>
      </c>
      <c r="D407" s="125" t="n"/>
      <c r="E407" s="125" t="n"/>
      <c r="F407" s="125" t="n"/>
      <c r="G407" s="118">
        <f>CONCATENATE(A407, " ",#REF!, " / ",H407)</f>
        <v/>
      </c>
      <c r="H407" s="118" t="n"/>
      <c r="I407" s="119">
        <f>CONCATENATE(M407," - ",J407," - Lotto N° ",K407,"")</f>
        <v/>
      </c>
      <c r="J407" s="118" t="n"/>
      <c r="K407" s="118">
        <f>VLOOKUP(#REF!,Produzione,7,FALSE)</f>
        <v/>
      </c>
      <c r="L407" s="120" t="n"/>
      <c r="M407" s="120" t="n"/>
      <c r="N407" s="118" t="n"/>
      <c r="O407" s="121" t="n"/>
      <c r="P407" s="121" t="n"/>
      <c r="Q407" s="166">
        <f>TODAY()</f>
        <v/>
      </c>
      <c r="R407" s="165">
        <f>ElencoProdotti[[#This Row],[PRODUZIONE]]+20</f>
        <v/>
      </c>
      <c r="S407" s="165">
        <f>TODAY()</f>
        <v/>
      </c>
      <c r="T407" s="133">
        <f>CONCATENATE(A407," - contiene allergni - prodotto il giorno ",TEXT(Q407,"gg/mm/aaaa"),"")</f>
        <v/>
      </c>
    </row>
    <row r="408" ht="15" customHeight="1" s="155">
      <c r="A408" s="134">
        <f>ric!B408</f>
        <v/>
      </c>
      <c r="B408" s="118">
        <f>ric!C408</f>
        <v/>
      </c>
      <c r="C408" s="125">
        <f>ric!D408</f>
        <v/>
      </c>
      <c r="D408" s="125" t="n"/>
      <c r="E408" s="125" t="n"/>
      <c r="F408" s="125" t="n"/>
      <c r="G408" s="118">
        <f>CONCATENATE(A408, " ",#REF!, " / ",H408)</f>
        <v/>
      </c>
      <c r="H408" s="118" t="n"/>
      <c r="I408" s="119">
        <f>CONCATENATE(M408," - ",J408," - Lotto N° ",K408,"")</f>
        <v/>
      </c>
      <c r="J408" s="118" t="n"/>
      <c r="K408" s="118">
        <f>VLOOKUP(#REF!,Produzione,7,FALSE)</f>
        <v/>
      </c>
      <c r="L408" s="120" t="n"/>
      <c r="M408" s="120" t="n"/>
      <c r="N408" s="118" t="n"/>
      <c r="O408" s="121" t="n"/>
      <c r="P408" s="121" t="n"/>
      <c r="Q408" s="166">
        <f>TODAY()</f>
        <v/>
      </c>
      <c r="R408" s="165">
        <f>ElencoProdotti[[#This Row],[PRODUZIONE]]+20</f>
        <v/>
      </c>
      <c r="S408" s="165">
        <f>TODAY()</f>
        <v/>
      </c>
      <c r="T408" s="133">
        <f>CONCATENATE(A408," - contiene allergni - prodotto il giorno ",TEXT(Q408,"gg/mm/aaaa"),"")</f>
        <v/>
      </c>
    </row>
    <row r="409" ht="15" customHeight="1" s="155">
      <c r="A409" s="134">
        <f>ric!B409</f>
        <v/>
      </c>
      <c r="B409" s="118">
        <f>ric!C409</f>
        <v/>
      </c>
      <c r="C409" s="125">
        <f>ric!D409</f>
        <v/>
      </c>
      <c r="D409" s="125" t="n"/>
      <c r="E409" s="125" t="n"/>
      <c r="F409" s="125" t="n"/>
      <c r="G409" s="118">
        <f>CONCATENATE(A409, " ",#REF!, " / ",H409)</f>
        <v/>
      </c>
      <c r="H409" s="118" t="n"/>
      <c r="I409" s="119">
        <f>CONCATENATE(M409," - ",J409," - Lotto N° ",K409,"")</f>
        <v/>
      </c>
      <c r="J409" s="118" t="n"/>
      <c r="K409" s="118">
        <f>VLOOKUP(#REF!,Produzione,7,FALSE)</f>
        <v/>
      </c>
      <c r="L409" s="120" t="n"/>
      <c r="M409" s="120" t="n"/>
      <c r="N409" s="118" t="n"/>
      <c r="O409" s="121" t="n"/>
      <c r="P409" s="121" t="n"/>
      <c r="Q409" s="166">
        <f>TODAY()</f>
        <v/>
      </c>
      <c r="R409" s="165">
        <f>ElencoProdotti[[#This Row],[PRODUZIONE]]+20</f>
        <v/>
      </c>
      <c r="S409" s="165">
        <f>TODAY()</f>
        <v/>
      </c>
      <c r="T409" s="133">
        <f>CONCATENATE(A409," - contiene allergni - prodotto il giorno ",TEXT(Q409,"gg/mm/aaaa"),"")</f>
        <v/>
      </c>
    </row>
    <row r="410" ht="15" customHeight="1" s="155">
      <c r="A410" s="134">
        <f>ric!B410</f>
        <v/>
      </c>
      <c r="B410" s="118">
        <f>ric!C410</f>
        <v/>
      </c>
      <c r="C410" s="125">
        <f>ric!D410</f>
        <v/>
      </c>
      <c r="D410" s="125" t="n"/>
      <c r="E410" s="125" t="n"/>
      <c r="F410" s="125" t="n"/>
      <c r="G410" s="118">
        <f>CONCATENATE(A410, " ",#REF!, " / ",H410)</f>
        <v/>
      </c>
      <c r="H410" s="118" t="n"/>
      <c r="I410" s="119">
        <f>CONCATENATE(M410," - ",J410," - Lotto N° ",K410,"")</f>
        <v/>
      </c>
      <c r="J410" s="118" t="n"/>
      <c r="K410" s="118">
        <f>VLOOKUP(#REF!,Produzione,7,FALSE)</f>
        <v/>
      </c>
      <c r="L410" s="120" t="n"/>
      <c r="M410" s="120" t="n"/>
      <c r="N410" s="118" t="n"/>
      <c r="O410" s="121" t="n"/>
      <c r="P410" s="121" t="n"/>
      <c r="Q410" s="166">
        <f>TODAY()</f>
        <v/>
      </c>
      <c r="R410" s="165">
        <f>ElencoProdotti[[#This Row],[PRODUZIONE]]+20</f>
        <v/>
      </c>
      <c r="S410" s="165">
        <f>TODAY()</f>
        <v/>
      </c>
      <c r="T410" s="133">
        <f>CONCATENATE(A410," - contiene allergni - prodotto il giorno ",TEXT(Q410,"gg/mm/aaaa"),"")</f>
        <v/>
      </c>
    </row>
    <row r="411" ht="15" customHeight="1" s="155">
      <c r="A411" s="134">
        <f>ric!B411</f>
        <v/>
      </c>
      <c r="B411" s="118">
        <f>ric!C411</f>
        <v/>
      </c>
      <c r="C411" s="125">
        <f>ric!D411</f>
        <v/>
      </c>
      <c r="D411" s="125" t="n"/>
      <c r="E411" s="125" t="n"/>
      <c r="F411" s="125" t="n"/>
      <c r="G411" s="118">
        <f>CONCATENATE(A411, " ",#REF!, " / ",H411)</f>
        <v/>
      </c>
      <c r="H411" s="118" t="n"/>
      <c r="I411" s="119">
        <f>CONCATENATE(M411," - ",J411," - Lotto N° ",K411,"")</f>
        <v/>
      </c>
      <c r="J411" s="118" t="n"/>
      <c r="K411" s="118">
        <f>VLOOKUP(#REF!,Produzione,7,FALSE)</f>
        <v/>
      </c>
      <c r="L411" s="120" t="n"/>
      <c r="M411" s="120" t="n"/>
      <c r="N411" s="118" t="n"/>
      <c r="O411" s="121" t="n"/>
      <c r="P411" s="121" t="n"/>
      <c r="Q411" s="166">
        <f>TODAY()</f>
        <v/>
      </c>
      <c r="R411" s="165">
        <f>ElencoProdotti[[#This Row],[PRODUZIONE]]+20</f>
        <v/>
      </c>
      <c r="S411" s="165">
        <f>TODAY()</f>
        <v/>
      </c>
      <c r="T411" s="133">
        <f>CONCATENATE(A411," - contiene allergni - prodotto il giorno ",TEXT(Q411,"gg/mm/aaaa"),"")</f>
        <v/>
      </c>
    </row>
    <row r="412" ht="15" customHeight="1" s="155">
      <c r="A412" s="134">
        <f>ric!B412</f>
        <v/>
      </c>
      <c r="B412" s="118">
        <f>ric!C412</f>
        <v/>
      </c>
      <c r="C412" s="125">
        <f>ric!D412</f>
        <v/>
      </c>
      <c r="D412" s="125" t="n"/>
      <c r="E412" s="125" t="n"/>
      <c r="F412" s="125" t="n"/>
      <c r="G412" s="118">
        <f>CONCATENATE(A412, " ",#REF!, " / ",H412)</f>
        <v/>
      </c>
      <c r="H412" s="118" t="n"/>
      <c r="I412" s="119">
        <f>CONCATENATE(M412," - ",J412," - Lotto N° ",K412,"")</f>
        <v/>
      </c>
      <c r="J412" s="118" t="n"/>
      <c r="K412" s="118">
        <f>VLOOKUP(#REF!,Produzione,7,FALSE)</f>
        <v/>
      </c>
      <c r="L412" s="120" t="n"/>
      <c r="M412" s="120" t="n"/>
      <c r="N412" s="118" t="n"/>
      <c r="O412" s="121" t="n"/>
      <c r="P412" s="121" t="n"/>
      <c r="Q412" s="166">
        <f>TODAY()</f>
        <v/>
      </c>
      <c r="R412" s="165">
        <f>ElencoProdotti[[#This Row],[PRODUZIONE]]+20</f>
        <v/>
      </c>
      <c r="S412" s="165">
        <f>TODAY()</f>
        <v/>
      </c>
      <c r="T412" s="133">
        <f>CONCATENATE(A412," - contiene allergni - prodotto il giorno ",TEXT(Q412,"gg/mm/aaaa"),"")</f>
        <v/>
      </c>
    </row>
    <row r="413" ht="15" customHeight="1" s="155">
      <c r="A413" s="134">
        <f>ric!B413</f>
        <v/>
      </c>
      <c r="B413" s="118">
        <f>ric!C413</f>
        <v/>
      </c>
      <c r="C413" s="125">
        <f>ric!D413</f>
        <v/>
      </c>
      <c r="D413" s="125" t="n"/>
      <c r="E413" s="125" t="n"/>
      <c r="F413" s="125" t="n"/>
      <c r="G413" s="118">
        <f>CONCATENATE(A413, " ",#REF!, " / ",H413)</f>
        <v/>
      </c>
      <c r="H413" s="118" t="n"/>
      <c r="I413" s="119">
        <f>CONCATENATE(M413," - ",J413," - Lotto N° ",K413,"")</f>
        <v/>
      </c>
      <c r="J413" s="118" t="n"/>
      <c r="K413" s="118">
        <f>VLOOKUP(#REF!,Produzione,7,FALSE)</f>
        <v/>
      </c>
      <c r="L413" s="120" t="n"/>
      <c r="M413" s="120" t="n"/>
      <c r="N413" s="118" t="n"/>
      <c r="O413" s="121" t="n"/>
      <c r="P413" s="121" t="n"/>
      <c r="Q413" s="166">
        <f>TODAY()</f>
        <v/>
      </c>
      <c r="R413" s="165">
        <f>ElencoProdotti[[#This Row],[PRODUZIONE]]+20</f>
        <v/>
      </c>
      <c r="S413" s="165">
        <f>TODAY()</f>
        <v/>
      </c>
      <c r="T413" s="133">
        <f>CONCATENATE(A413," - contiene allergni - prodotto il giorno ",TEXT(Q413,"gg/mm/aaaa"),"")</f>
        <v/>
      </c>
    </row>
    <row r="414" ht="15" customHeight="1" s="155">
      <c r="A414" s="134">
        <f>ric!B414</f>
        <v/>
      </c>
      <c r="B414" s="118">
        <f>ric!C414</f>
        <v/>
      </c>
      <c r="C414" s="125">
        <f>ric!D414</f>
        <v/>
      </c>
      <c r="D414" s="125" t="n"/>
      <c r="E414" s="125" t="n"/>
      <c r="F414" s="125" t="n"/>
      <c r="G414" s="118">
        <f>CONCATENATE(A414, " ",#REF!, " / ",H414)</f>
        <v/>
      </c>
      <c r="H414" s="118" t="n"/>
      <c r="I414" s="119">
        <f>CONCATENATE(M414," - ",J414," - Lotto N° ",K414,"")</f>
        <v/>
      </c>
      <c r="J414" s="118" t="n"/>
      <c r="K414" s="118">
        <f>VLOOKUP(#REF!,Produzione,7,FALSE)</f>
        <v/>
      </c>
      <c r="L414" s="120" t="n"/>
      <c r="M414" s="120" t="n"/>
      <c r="N414" s="118" t="n"/>
      <c r="O414" s="121" t="n"/>
      <c r="P414" s="121" t="n"/>
      <c r="Q414" s="166">
        <f>TODAY()</f>
        <v/>
      </c>
      <c r="R414" s="165">
        <f>ElencoProdotti[[#This Row],[PRODUZIONE]]+20</f>
        <v/>
      </c>
      <c r="S414" s="165">
        <f>TODAY()</f>
        <v/>
      </c>
      <c r="T414" s="133">
        <f>CONCATENATE(A414," - contiene allergni - prodotto il giorno ",TEXT(Q414,"gg/mm/aaaa"),"")</f>
        <v/>
      </c>
    </row>
    <row r="415" ht="15" customHeight="1" s="155">
      <c r="A415" s="134">
        <f>ric!B415</f>
        <v/>
      </c>
      <c r="B415" s="118">
        <f>ric!C415</f>
        <v/>
      </c>
      <c r="C415" s="125">
        <f>ric!D415</f>
        <v/>
      </c>
      <c r="D415" s="125" t="n"/>
      <c r="E415" s="125" t="n"/>
      <c r="F415" s="125" t="n"/>
      <c r="G415" s="118">
        <f>CONCATENATE(A415, " ",#REF!, " / ",H415)</f>
        <v/>
      </c>
      <c r="H415" s="118" t="n"/>
      <c r="I415" s="119">
        <f>CONCATENATE(M415," - ",J415," - Lotto N° ",K415,"")</f>
        <v/>
      </c>
      <c r="J415" s="118" t="n"/>
      <c r="K415" s="118">
        <f>VLOOKUP(#REF!,Produzione,7,FALSE)</f>
        <v/>
      </c>
      <c r="L415" s="120" t="n"/>
      <c r="M415" s="120" t="n"/>
      <c r="N415" s="118" t="n"/>
      <c r="O415" s="121" t="n"/>
      <c r="P415" s="121" t="n"/>
      <c r="Q415" s="166">
        <f>TODAY()</f>
        <v/>
      </c>
      <c r="R415" s="165">
        <f>ElencoProdotti[[#This Row],[PRODUZIONE]]+20</f>
        <v/>
      </c>
      <c r="S415" s="165">
        <f>TODAY()</f>
        <v/>
      </c>
      <c r="T415" s="133">
        <f>CONCATENATE(A415," - contiene allergni - prodotto il giorno ",TEXT(Q415,"gg/mm/aaaa"),"")</f>
        <v/>
      </c>
    </row>
    <row r="416" ht="15" customHeight="1" s="155">
      <c r="A416" s="134">
        <f>ric!B416</f>
        <v/>
      </c>
      <c r="B416" s="118">
        <f>ric!C416</f>
        <v/>
      </c>
      <c r="C416" s="125">
        <f>ric!D416</f>
        <v/>
      </c>
      <c r="D416" s="125" t="n"/>
      <c r="E416" s="125" t="n"/>
      <c r="F416" s="125" t="n"/>
      <c r="G416" s="118">
        <f>CONCATENATE(A416, " ",#REF!, " / ",H416)</f>
        <v/>
      </c>
      <c r="H416" s="118" t="n"/>
      <c r="I416" s="119">
        <f>CONCATENATE(M416," - ",J416," - Lotto N° ",K416,"")</f>
        <v/>
      </c>
      <c r="J416" s="118" t="n"/>
      <c r="K416" s="118">
        <f>VLOOKUP(#REF!,Produzione,7,FALSE)</f>
        <v/>
      </c>
      <c r="L416" s="120" t="n"/>
      <c r="M416" s="120" t="n"/>
      <c r="N416" s="118" t="n"/>
      <c r="O416" s="121" t="n"/>
      <c r="P416" s="121" t="n"/>
      <c r="Q416" s="166">
        <f>TODAY()</f>
        <v/>
      </c>
      <c r="R416" s="165">
        <f>ElencoProdotti[[#This Row],[PRODUZIONE]]+20</f>
        <v/>
      </c>
      <c r="S416" s="165">
        <f>TODAY()</f>
        <v/>
      </c>
      <c r="T416" s="133">
        <f>CONCATENATE(A416," - contiene allergni - prodotto il giorno ",TEXT(Q416,"gg/mm/aaaa"),"")</f>
        <v/>
      </c>
    </row>
    <row r="417" ht="15" customHeight="1" s="155">
      <c r="A417" s="134">
        <f>ric!B417</f>
        <v/>
      </c>
      <c r="B417" s="118">
        <f>ric!C417</f>
        <v/>
      </c>
      <c r="C417" s="125">
        <f>ric!D417</f>
        <v/>
      </c>
      <c r="D417" s="125" t="n"/>
      <c r="E417" s="125" t="n"/>
      <c r="F417" s="125" t="n"/>
      <c r="G417" s="118">
        <f>CONCATENATE(A417, " ",#REF!, " / ",H417)</f>
        <v/>
      </c>
      <c r="H417" s="118" t="n"/>
      <c r="I417" s="119">
        <f>CONCATENATE(M417," - ",J417," - Lotto N° ",K417,"")</f>
        <v/>
      </c>
      <c r="J417" s="118" t="n"/>
      <c r="K417" s="118">
        <f>VLOOKUP(#REF!,Produzione,7,FALSE)</f>
        <v/>
      </c>
      <c r="L417" s="120" t="n"/>
      <c r="M417" s="120" t="n"/>
      <c r="N417" s="118" t="n"/>
      <c r="O417" s="121" t="n"/>
      <c r="P417" s="121" t="n"/>
      <c r="Q417" s="166">
        <f>TODAY()</f>
        <v/>
      </c>
      <c r="R417" s="165">
        <f>ElencoProdotti[[#This Row],[PRODUZIONE]]+20</f>
        <v/>
      </c>
      <c r="S417" s="165">
        <f>TODAY()</f>
        <v/>
      </c>
      <c r="T417" s="133">
        <f>CONCATENATE(A417," - contiene allergni - prodotto il giorno ",TEXT(Q417,"gg/mm/aaaa"),"")</f>
        <v/>
      </c>
    </row>
    <row r="418" ht="15" customHeight="1" s="155">
      <c r="A418" s="134">
        <f>ric!B418</f>
        <v/>
      </c>
      <c r="B418" s="118">
        <f>ric!C418</f>
        <v/>
      </c>
      <c r="C418" s="125">
        <f>ric!D418</f>
        <v/>
      </c>
      <c r="D418" s="125" t="n"/>
      <c r="E418" s="125" t="n"/>
      <c r="F418" s="125" t="n"/>
      <c r="G418" s="118">
        <f>CONCATENATE(A418, " ",#REF!, " / ",H418)</f>
        <v/>
      </c>
      <c r="H418" s="118" t="n"/>
      <c r="I418" s="119">
        <f>CONCATENATE(M418," - ",J418," - Lotto N° ",K418,"")</f>
        <v/>
      </c>
      <c r="J418" s="118" t="n"/>
      <c r="K418" s="118">
        <f>VLOOKUP(#REF!,Produzione,7,FALSE)</f>
        <v/>
      </c>
      <c r="L418" s="120" t="n"/>
      <c r="M418" s="120" t="n"/>
      <c r="N418" s="118" t="n"/>
      <c r="O418" s="121" t="n"/>
      <c r="P418" s="121" t="n"/>
      <c r="Q418" s="166">
        <f>TODAY()</f>
        <v/>
      </c>
      <c r="R418" s="165">
        <f>ElencoProdotti[[#This Row],[PRODUZIONE]]+20</f>
        <v/>
      </c>
      <c r="S418" s="165">
        <f>TODAY()</f>
        <v/>
      </c>
      <c r="T418" s="133">
        <f>CONCATENATE(A418," - contiene allergni - prodotto il giorno ",TEXT(Q418,"gg/mm/aaaa"),"")</f>
        <v/>
      </c>
    </row>
    <row r="419" ht="15" customHeight="1" s="155">
      <c r="A419" s="134">
        <f>ric!B419</f>
        <v/>
      </c>
      <c r="B419" s="118">
        <f>ric!C419</f>
        <v/>
      </c>
      <c r="C419" s="125">
        <f>ric!D419</f>
        <v/>
      </c>
      <c r="D419" s="125" t="n"/>
      <c r="E419" s="125" t="n"/>
      <c r="F419" s="125" t="n"/>
      <c r="G419" s="118">
        <f>CONCATENATE(A419, " ",#REF!, " / ",H419)</f>
        <v/>
      </c>
      <c r="H419" s="118" t="n"/>
      <c r="I419" s="119">
        <f>CONCATENATE(M419," - ",J419," - Lotto N° ",K419,"")</f>
        <v/>
      </c>
      <c r="J419" s="118" t="n"/>
      <c r="K419" s="118">
        <f>VLOOKUP(#REF!,Produzione,7,FALSE)</f>
        <v/>
      </c>
      <c r="L419" s="120" t="n"/>
      <c r="M419" s="120" t="n"/>
      <c r="N419" s="118" t="n"/>
      <c r="O419" s="121" t="n"/>
      <c r="P419" s="121" t="n"/>
      <c r="Q419" s="166">
        <f>TODAY()</f>
        <v/>
      </c>
      <c r="R419" s="165">
        <f>ElencoProdotti[[#This Row],[PRODUZIONE]]+20</f>
        <v/>
      </c>
      <c r="S419" s="165">
        <f>TODAY()</f>
        <v/>
      </c>
      <c r="T419" s="133">
        <f>CONCATENATE(A419," - contiene allergni - prodotto il giorno ",TEXT(Q419,"gg/mm/aaaa"),"")</f>
        <v/>
      </c>
    </row>
    <row r="420" ht="15" customHeight="1" s="155">
      <c r="A420" s="134">
        <f>ric!B420</f>
        <v/>
      </c>
      <c r="B420" s="118">
        <f>ric!C420</f>
        <v/>
      </c>
      <c r="C420" s="125">
        <f>ric!D420</f>
        <v/>
      </c>
      <c r="D420" s="125" t="n"/>
      <c r="E420" s="125" t="n"/>
      <c r="F420" s="125" t="n"/>
      <c r="G420" s="118">
        <f>CONCATENATE(A420, " ",#REF!, " / ",H420)</f>
        <v/>
      </c>
      <c r="H420" s="118" t="n"/>
      <c r="I420" s="119">
        <f>CONCATENATE(M420," - ",J420," - Lotto N° ",K420,"")</f>
        <v/>
      </c>
      <c r="J420" s="118" t="n"/>
      <c r="K420" s="118">
        <f>VLOOKUP(#REF!,Produzione,7,FALSE)</f>
        <v/>
      </c>
      <c r="L420" s="120" t="n"/>
      <c r="M420" s="120" t="n"/>
      <c r="N420" s="118" t="n"/>
      <c r="O420" s="121" t="n"/>
      <c r="P420" s="121" t="n"/>
      <c r="Q420" s="166">
        <f>TODAY()</f>
        <v/>
      </c>
      <c r="R420" s="165">
        <f>ElencoProdotti[[#This Row],[PRODUZIONE]]+20</f>
        <v/>
      </c>
      <c r="S420" s="165">
        <f>TODAY()</f>
        <v/>
      </c>
      <c r="T420" s="133">
        <f>CONCATENATE(A420," - contiene allergni - prodotto il giorno ",TEXT(Q420,"gg/mm/aaaa"),"")</f>
        <v/>
      </c>
    </row>
    <row r="421" ht="15" customHeight="1" s="155">
      <c r="A421" s="134">
        <f>ric!B421</f>
        <v/>
      </c>
      <c r="B421" s="118">
        <f>ric!C421</f>
        <v/>
      </c>
      <c r="C421" s="125">
        <f>ric!D421</f>
        <v/>
      </c>
      <c r="D421" s="125" t="n"/>
      <c r="E421" s="125" t="n"/>
      <c r="F421" s="125" t="n"/>
      <c r="G421" s="118">
        <f>CONCATENATE(A421, " ",#REF!, " / ",H421)</f>
        <v/>
      </c>
      <c r="H421" s="118" t="n"/>
      <c r="I421" s="119">
        <f>CONCATENATE(M421," - ",J421," - Lotto N° ",K421,"")</f>
        <v/>
      </c>
      <c r="J421" s="118" t="n"/>
      <c r="K421" s="118">
        <f>VLOOKUP(#REF!,Produzione,7,FALSE)</f>
        <v/>
      </c>
      <c r="L421" s="120" t="n"/>
      <c r="M421" s="120" t="n"/>
      <c r="N421" s="118" t="n"/>
      <c r="O421" s="121" t="n"/>
      <c r="P421" s="121" t="n"/>
      <c r="Q421" s="166">
        <f>TODAY()</f>
        <v/>
      </c>
      <c r="R421" s="165">
        <f>ElencoProdotti[[#This Row],[PRODUZIONE]]+20</f>
        <v/>
      </c>
      <c r="S421" s="165">
        <f>TODAY()</f>
        <v/>
      </c>
      <c r="T421" s="133">
        <f>CONCATENATE(A421," - contiene allergni - prodotto il giorno ",TEXT(Q421,"gg/mm/aaaa"),"")</f>
        <v/>
      </c>
    </row>
    <row r="422" ht="15" customHeight="1" s="155">
      <c r="A422" s="134">
        <f>ric!B422</f>
        <v/>
      </c>
      <c r="B422" s="118">
        <f>ric!C422</f>
        <v/>
      </c>
      <c r="C422" s="125">
        <f>ric!D422</f>
        <v/>
      </c>
      <c r="D422" s="125" t="n"/>
      <c r="E422" s="125" t="n"/>
      <c r="F422" s="125" t="n"/>
      <c r="G422" s="118">
        <f>CONCATENATE(A422, " ",#REF!, " / ",H422)</f>
        <v/>
      </c>
      <c r="H422" s="118" t="n"/>
      <c r="I422" s="119">
        <f>CONCATENATE(M422," - ",J422," - Lotto N° ",K422,"")</f>
        <v/>
      </c>
      <c r="J422" s="118" t="n"/>
      <c r="K422" s="118">
        <f>VLOOKUP(#REF!,Produzione,7,FALSE)</f>
        <v/>
      </c>
      <c r="L422" s="120" t="n"/>
      <c r="M422" s="120" t="n"/>
      <c r="N422" s="118" t="n"/>
      <c r="O422" s="121" t="n"/>
      <c r="P422" s="121" t="n"/>
      <c r="Q422" s="166">
        <f>TODAY()</f>
        <v/>
      </c>
      <c r="R422" s="165">
        <f>ElencoProdotti[[#This Row],[PRODUZIONE]]+20</f>
        <v/>
      </c>
      <c r="S422" s="165">
        <f>TODAY()</f>
        <v/>
      </c>
      <c r="T422" s="133">
        <f>CONCATENATE(A422," - contiene allergni - prodotto il giorno ",TEXT(Q422,"gg/mm/aaaa"),"")</f>
        <v/>
      </c>
    </row>
    <row r="423" ht="15" customHeight="1" s="155">
      <c r="A423" s="134">
        <f>ric!B423</f>
        <v/>
      </c>
      <c r="B423" s="118">
        <f>ric!C423</f>
        <v/>
      </c>
      <c r="C423" s="125">
        <f>ric!D423</f>
        <v/>
      </c>
      <c r="D423" s="125" t="n"/>
      <c r="E423" s="125" t="n"/>
      <c r="F423" s="125" t="n"/>
      <c r="G423" s="118">
        <f>CONCATENATE(A423, " ",#REF!, " / ",H423)</f>
        <v/>
      </c>
      <c r="H423" s="118" t="n"/>
      <c r="I423" s="119">
        <f>CONCATENATE(M423," - ",J423," - Lotto N° ",K423,"")</f>
        <v/>
      </c>
      <c r="J423" s="118" t="n"/>
      <c r="K423" s="118">
        <f>VLOOKUP(#REF!,Produzione,7,FALSE)</f>
        <v/>
      </c>
      <c r="L423" s="120" t="n"/>
      <c r="M423" s="120" t="n"/>
      <c r="N423" s="118" t="n"/>
      <c r="O423" s="121" t="n"/>
      <c r="P423" s="121" t="n"/>
      <c r="Q423" s="166">
        <f>TODAY()</f>
        <v/>
      </c>
      <c r="R423" s="165">
        <f>ElencoProdotti[[#This Row],[PRODUZIONE]]+20</f>
        <v/>
      </c>
      <c r="S423" s="165">
        <f>TODAY()</f>
        <v/>
      </c>
      <c r="T423" s="133">
        <f>CONCATENATE(A423," - contiene allergni - prodotto il giorno ",TEXT(Q423,"gg/mm/aaaa"),"")</f>
        <v/>
      </c>
    </row>
    <row r="424" ht="15" customHeight="1" s="155">
      <c r="A424" s="134">
        <f>ric!B424</f>
        <v/>
      </c>
      <c r="B424" s="118">
        <f>ric!C424</f>
        <v/>
      </c>
      <c r="C424" s="125">
        <f>ric!D424</f>
        <v/>
      </c>
      <c r="D424" s="125" t="n"/>
      <c r="E424" s="125" t="n"/>
      <c r="F424" s="125" t="n"/>
      <c r="G424" s="118">
        <f>CONCATENATE(A424, " ",#REF!, " / ",H424)</f>
        <v/>
      </c>
      <c r="H424" s="118" t="n"/>
      <c r="I424" s="119">
        <f>CONCATENATE(M424," - ",J424," - Lotto N° ",K424,"")</f>
        <v/>
      </c>
      <c r="J424" s="118" t="n"/>
      <c r="K424" s="118">
        <f>VLOOKUP(#REF!,Produzione,7,FALSE)</f>
        <v/>
      </c>
      <c r="L424" s="120" t="n"/>
      <c r="M424" s="120" t="n"/>
      <c r="N424" s="118" t="n"/>
      <c r="O424" s="121" t="n"/>
      <c r="P424" s="121" t="n"/>
      <c r="Q424" s="166">
        <f>TODAY()</f>
        <v/>
      </c>
      <c r="R424" s="165">
        <f>ElencoProdotti[[#This Row],[PRODUZIONE]]+20</f>
        <v/>
      </c>
      <c r="S424" s="165">
        <f>TODAY()</f>
        <v/>
      </c>
      <c r="T424" s="133">
        <f>CONCATENATE(A424," - contiene allergni - prodotto il giorno ",TEXT(Q424,"gg/mm/aaaa"),"")</f>
        <v/>
      </c>
    </row>
    <row r="425" ht="15" customHeight="1" s="155">
      <c r="A425" s="134">
        <f>ric!B425</f>
        <v/>
      </c>
      <c r="B425" s="118">
        <f>ric!C425</f>
        <v/>
      </c>
      <c r="C425" s="125">
        <f>ric!D425</f>
        <v/>
      </c>
      <c r="D425" s="125" t="n"/>
      <c r="E425" s="125" t="n"/>
      <c r="F425" s="125" t="n"/>
      <c r="G425" s="118">
        <f>CONCATENATE(A425, " ",#REF!, " / ",H425)</f>
        <v/>
      </c>
      <c r="H425" s="118" t="n"/>
      <c r="I425" s="119">
        <f>CONCATENATE(M425," - ",J425," - Lotto N° ",K425,"")</f>
        <v/>
      </c>
      <c r="J425" s="118" t="n"/>
      <c r="K425" s="118">
        <f>VLOOKUP(#REF!,Produzione,7,FALSE)</f>
        <v/>
      </c>
      <c r="L425" s="120" t="n"/>
      <c r="M425" s="120" t="n"/>
      <c r="N425" s="118" t="n"/>
      <c r="O425" s="121" t="n"/>
      <c r="P425" s="121" t="n"/>
      <c r="Q425" s="166">
        <f>TODAY()</f>
        <v/>
      </c>
      <c r="R425" s="165">
        <f>ElencoProdotti[[#This Row],[PRODUZIONE]]+20</f>
        <v/>
      </c>
      <c r="S425" s="165">
        <f>TODAY()</f>
        <v/>
      </c>
      <c r="T425" s="133">
        <f>CONCATENATE(A425," - contiene allergni - prodotto il giorno ",TEXT(Q425,"gg/mm/aaaa"),"")</f>
        <v/>
      </c>
    </row>
    <row r="426" ht="15" customHeight="1" s="155">
      <c r="A426" s="134">
        <f>ric!B426</f>
        <v/>
      </c>
      <c r="B426" s="118">
        <f>ric!C426</f>
        <v/>
      </c>
      <c r="C426" s="125">
        <f>ric!D426</f>
        <v/>
      </c>
      <c r="D426" s="125" t="n"/>
      <c r="E426" s="125" t="n"/>
      <c r="F426" s="125" t="n"/>
      <c r="G426" s="118">
        <f>CONCATENATE(A426, " ",#REF!, " / ",H426)</f>
        <v/>
      </c>
      <c r="H426" s="118" t="n"/>
      <c r="I426" s="119">
        <f>CONCATENATE(M426," - ",J426," - Lotto N° ",K426,"")</f>
        <v/>
      </c>
      <c r="J426" s="118" t="n"/>
      <c r="K426" s="118">
        <f>VLOOKUP(#REF!,Produzione,7,FALSE)</f>
        <v/>
      </c>
      <c r="L426" s="120" t="n"/>
      <c r="M426" s="120" t="n"/>
      <c r="N426" s="118" t="n"/>
      <c r="O426" s="121" t="n"/>
      <c r="P426" s="121" t="n"/>
      <c r="Q426" s="166">
        <f>TODAY()</f>
        <v/>
      </c>
      <c r="R426" s="165">
        <f>ElencoProdotti[[#This Row],[PRODUZIONE]]+20</f>
        <v/>
      </c>
      <c r="S426" s="165">
        <f>TODAY()</f>
        <v/>
      </c>
      <c r="T426" s="133">
        <f>CONCATENATE(A426," - contiene allergni - prodotto il giorno ",TEXT(Q426,"gg/mm/aaaa"),"")</f>
        <v/>
      </c>
    </row>
    <row r="427" ht="15" customHeight="1" s="155">
      <c r="A427" s="134">
        <f>ric!B427</f>
        <v/>
      </c>
      <c r="B427" s="118">
        <f>ric!C427</f>
        <v/>
      </c>
      <c r="C427" s="125">
        <f>ric!D427</f>
        <v/>
      </c>
      <c r="D427" s="125" t="n"/>
      <c r="E427" s="125" t="n"/>
      <c r="F427" s="125" t="n"/>
      <c r="G427" s="118">
        <f>CONCATENATE(A427, " ",#REF!, " / ",H427)</f>
        <v/>
      </c>
      <c r="H427" s="118" t="n"/>
      <c r="I427" s="119">
        <f>CONCATENATE(M427," - ",J427," - Lotto N° ",K427,"")</f>
        <v/>
      </c>
      <c r="J427" s="118" t="n"/>
      <c r="K427" s="118">
        <f>VLOOKUP(#REF!,Produzione,7,FALSE)</f>
        <v/>
      </c>
      <c r="L427" s="120" t="n"/>
      <c r="M427" s="120" t="n"/>
      <c r="N427" s="118" t="n"/>
      <c r="O427" s="121" t="n"/>
      <c r="P427" s="121" t="n"/>
      <c r="Q427" s="166">
        <f>TODAY()</f>
        <v/>
      </c>
      <c r="R427" s="165">
        <f>ElencoProdotti[[#This Row],[PRODUZIONE]]+20</f>
        <v/>
      </c>
      <c r="S427" s="165">
        <f>TODAY()</f>
        <v/>
      </c>
      <c r="T427" s="133">
        <f>CONCATENATE(A427," - contiene allergni - prodotto il giorno ",TEXT(Q427,"gg/mm/aaaa"),"")</f>
        <v/>
      </c>
    </row>
    <row r="428" ht="15" customHeight="1" s="155">
      <c r="A428" s="134">
        <f>ric!B428</f>
        <v/>
      </c>
      <c r="B428" s="118">
        <f>ric!C428</f>
        <v/>
      </c>
      <c r="C428" s="125">
        <f>ric!D428</f>
        <v/>
      </c>
      <c r="D428" s="125" t="n"/>
      <c r="E428" s="125" t="n"/>
      <c r="F428" s="125" t="n"/>
      <c r="G428" s="118">
        <f>CONCATENATE(A428, " ",#REF!, " / ",H428)</f>
        <v/>
      </c>
      <c r="H428" s="118" t="n"/>
      <c r="I428" s="119">
        <f>CONCATENATE(M428," - ",J428," - Lotto N° ",K428,"")</f>
        <v/>
      </c>
      <c r="J428" s="118" t="n"/>
      <c r="K428" s="118">
        <f>VLOOKUP(#REF!,Produzione,7,FALSE)</f>
        <v/>
      </c>
      <c r="L428" s="120" t="n"/>
      <c r="M428" s="120" t="n"/>
      <c r="N428" s="118" t="n"/>
      <c r="O428" s="121" t="n"/>
      <c r="P428" s="121" t="n"/>
      <c r="Q428" s="166">
        <f>TODAY()</f>
        <v/>
      </c>
      <c r="R428" s="165">
        <f>ElencoProdotti[[#This Row],[PRODUZIONE]]+20</f>
        <v/>
      </c>
      <c r="S428" s="165">
        <f>TODAY()</f>
        <v/>
      </c>
      <c r="T428" s="133">
        <f>CONCATENATE(A428," - contiene allergni - prodotto il giorno ",TEXT(Q428,"gg/mm/aaaa"),"")</f>
        <v/>
      </c>
    </row>
    <row r="429" ht="15" customHeight="1" s="155">
      <c r="A429" s="134">
        <f>ric!B429</f>
        <v/>
      </c>
      <c r="B429" s="118">
        <f>ric!C429</f>
        <v/>
      </c>
      <c r="C429" s="125">
        <f>ric!D429</f>
        <v/>
      </c>
      <c r="D429" s="125" t="n"/>
      <c r="E429" s="125" t="n"/>
      <c r="F429" s="125" t="n"/>
      <c r="G429" s="118">
        <f>CONCATENATE(A429, " ",#REF!, " / ",H429)</f>
        <v/>
      </c>
      <c r="H429" s="118" t="n"/>
      <c r="I429" s="119">
        <f>CONCATENATE(M429," - ",J429," - Lotto N° ",K429,"")</f>
        <v/>
      </c>
      <c r="J429" s="118" t="n"/>
      <c r="K429" s="118">
        <f>VLOOKUP(#REF!,Produzione,7,FALSE)</f>
        <v/>
      </c>
      <c r="L429" s="120" t="n"/>
      <c r="M429" s="120" t="n"/>
      <c r="N429" s="118" t="n"/>
      <c r="O429" s="121" t="n"/>
      <c r="P429" s="121" t="n"/>
      <c r="Q429" s="166">
        <f>TODAY()</f>
        <v/>
      </c>
      <c r="R429" s="165">
        <f>ElencoProdotti[[#This Row],[PRODUZIONE]]+20</f>
        <v/>
      </c>
      <c r="S429" s="165">
        <f>TODAY()</f>
        <v/>
      </c>
      <c r="T429" s="133">
        <f>CONCATENATE(A429," - contiene allergni - prodotto il giorno ",TEXT(Q429,"gg/mm/aaaa"),"")</f>
        <v/>
      </c>
    </row>
    <row r="430" ht="15" customHeight="1" s="155">
      <c r="A430" s="134">
        <f>ric!B430</f>
        <v/>
      </c>
      <c r="B430" s="118">
        <f>ric!C430</f>
        <v/>
      </c>
      <c r="C430" s="125">
        <f>ric!D430</f>
        <v/>
      </c>
      <c r="D430" s="125" t="n"/>
      <c r="E430" s="125" t="n"/>
      <c r="F430" s="125" t="n"/>
      <c r="G430" s="118">
        <f>CONCATENATE(A430, " ",#REF!, " / ",H430)</f>
        <v/>
      </c>
      <c r="H430" s="118" t="n"/>
      <c r="I430" s="119">
        <f>CONCATENATE(M430," - ",J430," - Lotto N° ",K430,"")</f>
        <v/>
      </c>
      <c r="J430" s="118" t="n"/>
      <c r="K430" s="118">
        <f>VLOOKUP(#REF!,Produzione,7,FALSE)</f>
        <v/>
      </c>
      <c r="L430" s="120" t="n"/>
      <c r="M430" s="120" t="n"/>
      <c r="N430" s="118" t="n"/>
      <c r="O430" s="121" t="n"/>
      <c r="P430" s="121" t="n"/>
      <c r="Q430" s="166">
        <f>TODAY()</f>
        <v/>
      </c>
      <c r="R430" s="165">
        <f>ElencoProdotti[[#This Row],[PRODUZIONE]]+20</f>
        <v/>
      </c>
      <c r="S430" s="165">
        <f>TODAY()</f>
        <v/>
      </c>
      <c r="T430" s="133">
        <f>CONCATENATE(A430," - contiene allergni - prodotto il giorno ",TEXT(Q430,"gg/mm/aaaa"),"")</f>
        <v/>
      </c>
    </row>
    <row r="431" ht="15" customHeight="1" s="155">
      <c r="A431" s="134">
        <f>ric!B431</f>
        <v/>
      </c>
      <c r="B431" s="118">
        <f>ric!C431</f>
        <v/>
      </c>
      <c r="C431" s="125">
        <f>ric!D431</f>
        <v/>
      </c>
      <c r="D431" s="125" t="n"/>
      <c r="E431" s="125" t="n"/>
      <c r="F431" s="125" t="n"/>
      <c r="G431" s="118">
        <f>CONCATENATE(A431, " ",#REF!, " / ",H431)</f>
        <v/>
      </c>
      <c r="H431" s="118" t="n"/>
      <c r="I431" s="119">
        <f>CONCATENATE(M431," - ",J431," - Lotto N° ",K431,"")</f>
        <v/>
      </c>
      <c r="J431" s="118" t="n"/>
      <c r="K431" s="118">
        <f>VLOOKUP(#REF!,Produzione,7,FALSE)</f>
        <v/>
      </c>
      <c r="L431" s="120" t="n"/>
      <c r="M431" s="120" t="n"/>
      <c r="N431" s="118" t="n"/>
      <c r="O431" s="121" t="n"/>
      <c r="P431" s="121" t="n"/>
      <c r="Q431" s="166">
        <f>TODAY()</f>
        <v/>
      </c>
      <c r="R431" s="165">
        <f>ElencoProdotti[[#This Row],[PRODUZIONE]]+20</f>
        <v/>
      </c>
      <c r="S431" s="165">
        <f>TODAY()</f>
        <v/>
      </c>
      <c r="T431" s="133">
        <f>CONCATENATE(A431," - contiene allergni - prodotto il giorno ",TEXT(Q431,"gg/mm/aaaa"),"")</f>
        <v/>
      </c>
    </row>
    <row r="432" ht="15" customHeight="1" s="155">
      <c r="A432" s="134">
        <f>ric!B432</f>
        <v/>
      </c>
      <c r="B432" s="118">
        <f>ric!C432</f>
        <v/>
      </c>
      <c r="C432" s="125">
        <f>ric!D432</f>
        <v/>
      </c>
      <c r="D432" s="125" t="n"/>
      <c r="E432" s="125" t="n"/>
      <c r="F432" s="125" t="n"/>
      <c r="G432" s="118">
        <f>CONCATENATE(A432, " ",#REF!, " / ",H432)</f>
        <v/>
      </c>
      <c r="H432" s="118" t="n"/>
      <c r="I432" s="119">
        <f>CONCATENATE(M432," - ",J432," - Lotto N° ",K432,"")</f>
        <v/>
      </c>
      <c r="J432" s="118" t="n"/>
      <c r="K432" s="118">
        <f>VLOOKUP(#REF!,Produzione,7,FALSE)</f>
        <v/>
      </c>
      <c r="L432" s="120" t="n"/>
      <c r="M432" s="120" t="n"/>
      <c r="N432" s="118" t="n"/>
      <c r="O432" s="121" t="n"/>
      <c r="P432" s="121" t="n"/>
      <c r="Q432" s="166">
        <f>TODAY()</f>
        <v/>
      </c>
      <c r="R432" s="165">
        <f>ElencoProdotti[[#This Row],[PRODUZIONE]]+20</f>
        <v/>
      </c>
      <c r="S432" s="165">
        <f>TODAY()</f>
        <v/>
      </c>
      <c r="T432" s="133">
        <f>CONCATENATE(A432," - contiene allergni - prodotto il giorno ",TEXT(Q432,"gg/mm/aaaa"),"")</f>
        <v/>
      </c>
    </row>
    <row r="433" ht="15" customHeight="1" s="155">
      <c r="A433" s="134">
        <f>ric!B433</f>
        <v/>
      </c>
      <c r="B433" s="118">
        <f>ric!C433</f>
        <v/>
      </c>
      <c r="C433" s="125">
        <f>ric!D433</f>
        <v/>
      </c>
      <c r="D433" s="125" t="n"/>
      <c r="E433" s="125" t="n"/>
      <c r="F433" s="125" t="n"/>
      <c r="G433" s="118">
        <f>CONCATENATE(A433, " ",#REF!, " / ",H433)</f>
        <v/>
      </c>
      <c r="H433" s="118" t="n"/>
      <c r="I433" s="119">
        <f>CONCATENATE(M433," - ",J433," - Lotto N° ",K433,"")</f>
        <v/>
      </c>
      <c r="J433" s="118" t="n"/>
      <c r="K433" s="118">
        <f>VLOOKUP(#REF!,Produzione,7,FALSE)</f>
        <v/>
      </c>
      <c r="L433" s="120" t="n"/>
      <c r="M433" s="120" t="n"/>
      <c r="N433" s="118" t="n"/>
      <c r="O433" s="121" t="n"/>
      <c r="P433" s="121" t="n"/>
      <c r="Q433" s="166">
        <f>TODAY()</f>
        <v/>
      </c>
      <c r="R433" s="165">
        <f>ElencoProdotti[[#This Row],[PRODUZIONE]]+20</f>
        <v/>
      </c>
      <c r="S433" s="165">
        <f>TODAY()</f>
        <v/>
      </c>
      <c r="T433" s="133">
        <f>CONCATENATE(A433," - contiene allergni - prodotto il giorno ",TEXT(Q433,"gg/mm/aaaa"),"")</f>
        <v/>
      </c>
    </row>
    <row r="434" ht="15" customHeight="1" s="155">
      <c r="A434" s="134">
        <f>ric!B434</f>
        <v/>
      </c>
      <c r="B434" s="118">
        <f>ric!C434</f>
        <v/>
      </c>
      <c r="C434" s="125">
        <f>ric!D434</f>
        <v/>
      </c>
      <c r="D434" s="125" t="n"/>
      <c r="E434" s="125" t="n"/>
      <c r="F434" s="125" t="n"/>
      <c r="G434" s="118">
        <f>CONCATENATE(A434, " ",#REF!, " / ",H434)</f>
        <v/>
      </c>
      <c r="H434" s="118" t="n"/>
      <c r="I434" s="119">
        <f>CONCATENATE(M434," - ",J434," - Lotto N° ",K434,"")</f>
        <v/>
      </c>
      <c r="J434" s="118" t="n"/>
      <c r="K434" s="118">
        <f>VLOOKUP(#REF!,Produzione,7,FALSE)</f>
        <v/>
      </c>
      <c r="L434" s="120" t="n"/>
      <c r="M434" s="120" t="n"/>
      <c r="N434" s="118" t="n"/>
      <c r="O434" s="121" t="n"/>
      <c r="P434" s="121" t="n"/>
      <c r="Q434" s="166">
        <f>TODAY()</f>
        <v/>
      </c>
      <c r="R434" s="165">
        <f>ElencoProdotti[[#This Row],[PRODUZIONE]]+20</f>
        <v/>
      </c>
      <c r="S434" s="165">
        <f>TODAY()</f>
        <v/>
      </c>
      <c r="T434" s="133">
        <f>CONCATENATE(A434," - contiene allergni - prodotto il giorno ",TEXT(Q434,"gg/mm/aaaa"),"")</f>
        <v/>
      </c>
    </row>
    <row r="435" ht="15" customHeight="1" s="155">
      <c r="A435" s="134">
        <f>ric!B435</f>
        <v/>
      </c>
      <c r="B435" s="118">
        <f>ric!C435</f>
        <v/>
      </c>
      <c r="C435" s="125">
        <f>ric!D435</f>
        <v/>
      </c>
      <c r="D435" s="125" t="n"/>
      <c r="E435" s="125" t="n"/>
      <c r="F435" s="125" t="n"/>
      <c r="G435" s="118">
        <f>CONCATENATE(A435, " ",#REF!, " / ",H435)</f>
        <v/>
      </c>
      <c r="H435" s="118" t="n"/>
      <c r="I435" s="119">
        <f>CONCATENATE(M435," - ",J435," - Lotto N° ",K435,"")</f>
        <v/>
      </c>
      <c r="J435" s="118" t="n"/>
      <c r="K435" s="118">
        <f>VLOOKUP(#REF!,Produzione,7,FALSE)</f>
        <v/>
      </c>
      <c r="L435" s="120" t="n"/>
      <c r="M435" s="120" t="n"/>
      <c r="N435" s="118" t="n"/>
      <c r="O435" s="121" t="n"/>
      <c r="P435" s="121" t="n"/>
      <c r="Q435" s="166">
        <f>TODAY()</f>
        <v/>
      </c>
      <c r="R435" s="165">
        <f>ElencoProdotti[[#This Row],[PRODUZIONE]]+20</f>
        <v/>
      </c>
      <c r="S435" s="165">
        <f>TODAY()</f>
        <v/>
      </c>
      <c r="T435" s="133">
        <f>CONCATENATE(A435," - contiene allergni - prodotto il giorno ",TEXT(Q435,"gg/mm/aaaa"),"")</f>
        <v/>
      </c>
    </row>
    <row r="436" ht="15" customHeight="1" s="155">
      <c r="A436" s="134">
        <f>ric!B436</f>
        <v/>
      </c>
      <c r="B436" s="118">
        <f>ric!C436</f>
        <v/>
      </c>
      <c r="C436" s="125">
        <f>ric!D436</f>
        <v/>
      </c>
      <c r="D436" s="125" t="n"/>
      <c r="E436" s="125" t="n"/>
      <c r="F436" s="125" t="n"/>
      <c r="G436" s="118">
        <f>CONCATENATE(A436, " ",#REF!, " / ",H436)</f>
        <v/>
      </c>
      <c r="H436" s="118" t="n"/>
      <c r="I436" s="119">
        <f>CONCATENATE(M436," - ",J436," - Lotto N° ",K436,"")</f>
        <v/>
      </c>
      <c r="J436" s="118" t="n"/>
      <c r="K436" s="118">
        <f>VLOOKUP(#REF!,Produzione,7,FALSE)</f>
        <v/>
      </c>
      <c r="L436" s="120" t="n"/>
      <c r="M436" s="120" t="n"/>
      <c r="N436" s="118" t="n"/>
      <c r="O436" s="121" t="n"/>
      <c r="P436" s="121" t="n"/>
      <c r="Q436" s="166">
        <f>TODAY()</f>
        <v/>
      </c>
      <c r="R436" s="165">
        <f>ElencoProdotti[[#This Row],[PRODUZIONE]]+20</f>
        <v/>
      </c>
      <c r="S436" s="165">
        <f>TODAY()</f>
        <v/>
      </c>
      <c r="T436" s="133">
        <f>CONCATENATE(A436," - contiene allergni - prodotto il giorno ",TEXT(Q436,"gg/mm/aaaa"),"")</f>
        <v/>
      </c>
    </row>
    <row r="437" ht="15" customHeight="1" s="155">
      <c r="A437" s="134">
        <f>ric!B437</f>
        <v/>
      </c>
      <c r="B437" s="118">
        <f>ric!C437</f>
        <v/>
      </c>
      <c r="C437" s="125">
        <f>ric!D437</f>
        <v/>
      </c>
      <c r="D437" s="125" t="n"/>
      <c r="E437" s="125" t="n"/>
      <c r="F437" s="125" t="n"/>
      <c r="G437" s="118">
        <f>CONCATENATE(A437, " ",#REF!, " / ",H437)</f>
        <v/>
      </c>
      <c r="H437" s="118" t="n"/>
      <c r="I437" s="119">
        <f>CONCATENATE(M437," - ",J437," - Lotto N° ",K437,"")</f>
        <v/>
      </c>
      <c r="J437" s="118" t="n"/>
      <c r="K437" s="118">
        <f>VLOOKUP(#REF!,Produzione,7,FALSE)</f>
        <v/>
      </c>
      <c r="L437" s="120" t="n"/>
      <c r="M437" s="120" t="n"/>
      <c r="N437" s="118" t="n"/>
      <c r="O437" s="121" t="n"/>
      <c r="P437" s="121" t="n"/>
      <c r="Q437" s="166">
        <f>TODAY()</f>
        <v/>
      </c>
      <c r="R437" s="165">
        <f>ElencoProdotti[[#This Row],[PRODUZIONE]]+20</f>
        <v/>
      </c>
      <c r="S437" s="165">
        <f>TODAY()</f>
        <v/>
      </c>
      <c r="T437" s="133">
        <f>CONCATENATE(A437," - contiene allergni - prodotto il giorno ",TEXT(Q437,"gg/mm/aaaa"),"")</f>
        <v/>
      </c>
    </row>
    <row r="438" ht="15" customHeight="1" s="155">
      <c r="A438" s="134">
        <f>ric!B438</f>
        <v/>
      </c>
      <c r="B438" s="118">
        <f>ric!C438</f>
        <v/>
      </c>
      <c r="C438" s="125">
        <f>ric!D438</f>
        <v/>
      </c>
      <c r="D438" s="125" t="n"/>
      <c r="E438" s="125" t="n"/>
      <c r="F438" s="125" t="n"/>
      <c r="G438" s="118">
        <f>CONCATENATE(A438, " ",#REF!, " / ",H438)</f>
        <v/>
      </c>
      <c r="H438" s="118" t="n"/>
      <c r="I438" s="119">
        <f>CONCATENATE(M438," - ",J438," - Lotto N° ",K438,"")</f>
        <v/>
      </c>
      <c r="J438" s="118" t="n"/>
      <c r="K438" s="118">
        <f>VLOOKUP(#REF!,Produzione,7,FALSE)</f>
        <v/>
      </c>
      <c r="L438" s="120" t="n"/>
      <c r="M438" s="120" t="n"/>
      <c r="N438" s="118" t="n"/>
      <c r="O438" s="121" t="n"/>
      <c r="P438" s="121" t="n"/>
      <c r="Q438" s="166">
        <f>TODAY()</f>
        <v/>
      </c>
      <c r="R438" s="165">
        <f>ElencoProdotti[[#This Row],[PRODUZIONE]]+20</f>
        <v/>
      </c>
      <c r="S438" s="165">
        <f>TODAY()</f>
        <v/>
      </c>
      <c r="T438" s="133">
        <f>CONCATENATE(A438," - contiene allergni - prodotto il giorno ",TEXT(Q438,"gg/mm/aaaa"),"")</f>
        <v/>
      </c>
    </row>
    <row r="439" ht="15" customHeight="1" s="155">
      <c r="A439" s="134">
        <f>ric!B439</f>
        <v/>
      </c>
      <c r="B439" s="118">
        <f>ric!C439</f>
        <v/>
      </c>
      <c r="C439" s="125">
        <f>ric!D439</f>
        <v/>
      </c>
      <c r="D439" s="125" t="n"/>
      <c r="E439" s="125" t="n"/>
      <c r="F439" s="125" t="n"/>
      <c r="G439" s="118">
        <f>CONCATENATE(A439, " ",#REF!, " / ",H439)</f>
        <v/>
      </c>
      <c r="H439" s="118" t="n"/>
      <c r="I439" s="119">
        <f>CONCATENATE(M439," - ",J439," - Lotto N° ",K439,"")</f>
        <v/>
      </c>
      <c r="J439" s="118" t="n"/>
      <c r="K439" s="118">
        <f>VLOOKUP(#REF!,Produzione,7,FALSE)</f>
        <v/>
      </c>
      <c r="L439" s="120" t="n"/>
      <c r="M439" s="120" t="n"/>
      <c r="N439" s="118" t="n"/>
      <c r="O439" s="121" t="n"/>
      <c r="P439" s="121" t="n"/>
      <c r="Q439" s="166">
        <f>TODAY()</f>
        <v/>
      </c>
      <c r="R439" s="165">
        <f>ElencoProdotti[[#This Row],[PRODUZIONE]]+20</f>
        <v/>
      </c>
      <c r="S439" s="165">
        <f>TODAY()</f>
        <v/>
      </c>
      <c r="T439" s="133">
        <f>CONCATENATE(A439," - contiene allergni - prodotto il giorno ",TEXT(Q439,"gg/mm/aaaa"),"")</f>
        <v/>
      </c>
    </row>
    <row r="440" ht="15" customHeight="1" s="155">
      <c r="A440" s="134">
        <f>ric!B440</f>
        <v/>
      </c>
      <c r="B440" s="118">
        <f>ric!C440</f>
        <v/>
      </c>
      <c r="C440" s="125">
        <f>ric!D440</f>
        <v/>
      </c>
      <c r="D440" s="125" t="n"/>
      <c r="E440" s="125" t="n"/>
      <c r="F440" s="125" t="n"/>
      <c r="G440" s="118">
        <f>CONCATENATE(A440, " ",#REF!, " / ",H440)</f>
        <v/>
      </c>
      <c r="H440" s="118" t="n"/>
      <c r="I440" s="119">
        <f>CONCATENATE(M440," - ",J440," - Lotto N° ",K440,"")</f>
        <v/>
      </c>
      <c r="J440" s="118" t="n"/>
      <c r="K440" s="118">
        <f>VLOOKUP(#REF!,Produzione,7,FALSE)</f>
        <v/>
      </c>
      <c r="L440" s="120" t="n"/>
      <c r="M440" s="120" t="n"/>
      <c r="N440" s="118" t="n"/>
      <c r="O440" s="121" t="n"/>
      <c r="P440" s="121" t="n"/>
      <c r="Q440" s="166">
        <f>TODAY()</f>
        <v/>
      </c>
      <c r="R440" s="165">
        <f>ElencoProdotti[[#This Row],[PRODUZIONE]]+20</f>
        <v/>
      </c>
      <c r="S440" s="165">
        <f>TODAY()</f>
        <v/>
      </c>
      <c r="T440" s="133">
        <f>CONCATENATE(A440," - contiene allergni - prodotto il giorno ",TEXT(Q440,"gg/mm/aaaa"),"")</f>
        <v/>
      </c>
    </row>
    <row r="441" ht="15" customHeight="1" s="155">
      <c r="A441" s="134">
        <f>ric!B441</f>
        <v/>
      </c>
      <c r="B441" s="118">
        <f>ric!C441</f>
        <v/>
      </c>
      <c r="C441" s="125">
        <f>ric!D441</f>
        <v/>
      </c>
      <c r="D441" s="125" t="n"/>
      <c r="E441" s="125" t="n"/>
      <c r="F441" s="125" t="n"/>
      <c r="G441" s="118">
        <f>CONCATENATE(A441, " ",#REF!, " / ",H441)</f>
        <v/>
      </c>
      <c r="H441" s="118" t="n"/>
      <c r="I441" s="119">
        <f>CONCATENATE(M441," - ",J441," - Lotto N° ",K441,"")</f>
        <v/>
      </c>
      <c r="J441" s="118" t="n"/>
      <c r="K441" s="118">
        <f>VLOOKUP(#REF!,Produzione,7,FALSE)</f>
        <v/>
      </c>
      <c r="L441" s="120" t="n"/>
      <c r="M441" s="120" t="n"/>
      <c r="N441" s="118" t="n"/>
      <c r="O441" s="121" t="n"/>
      <c r="P441" s="121" t="n"/>
      <c r="Q441" s="166">
        <f>TODAY()</f>
        <v/>
      </c>
      <c r="R441" s="165">
        <f>ElencoProdotti[[#This Row],[PRODUZIONE]]+20</f>
        <v/>
      </c>
      <c r="S441" s="165">
        <f>TODAY()</f>
        <v/>
      </c>
      <c r="T441" s="133">
        <f>CONCATENATE(A441," - contiene allergni - prodotto il giorno ",TEXT(Q441,"gg/mm/aaaa"),"")</f>
        <v/>
      </c>
    </row>
    <row r="442" ht="15" customHeight="1" s="155">
      <c r="A442" s="134">
        <f>ric!B442</f>
        <v/>
      </c>
      <c r="B442" s="118">
        <f>ric!C442</f>
        <v/>
      </c>
      <c r="C442" s="125">
        <f>ric!D442</f>
        <v/>
      </c>
      <c r="D442" s="125" t="n"/>
      <c r="E442" s="125" t="n"/>
      <c r="F442" s="125" t="n"/>
      <c r="G442" s="118">
        <f>CONCATENATE(A442, " ",#REF!, " / ",H442)</f>
        <v/>
      </c>
      <c r="H442" s="118" t="n"/>
      <c r="I442" s="119">
        <f>CONCATENATE(M442," - ",J442," - Lotto N° ",K442,"")</f>
        <v/>
      </c>
      <c r="J442" s="118" t="n"/>
      <c r="K442" s="118">
        <f>VLOOKUP(#REF!,Produzione,7,FALSE)</f>
        <v/>
      </c>
      <c r="L442" s="120" t="n"/>
      <c r="M442" s="120" t="n"/>
      <c r="N442" s="118" t="n"/>
      <c r="O442" s="121" t="n"/>
      <c r="P442" s="121" t="n"/>
      <c r="Q442" s="166">
        <f>TODAY()</f>
        <v/>
      </c>
      <c r="R442" s="165">
        <f>ElencoProdotti[[#This Row],[PRODUZIONE]]+20</f>
        <v/>
      </c>
      <c r="S442" s="165">
        <f>TODAY()</f>
        <v/>
      </c>
      <c r="T442" s="133">
        <f>CONCATENATE(A442," - contiene allergni - prodotto il giorno ",TEXT(Q442,"gg/mm/aaaa"),"")</f>
        <v/>
      </c>
    </row>
    <row r="443" ht="15" customHeight="1" s="155">
      <c r="A443" s="134">
        <f>ric!B443</f>
        <v/>
      </c>
      <c r="B443" s="118">
        <f>ric!C443</f>
        <v/>
      </c>
      <c r="C443" s="125">
        <f>ric!D443</f>
        <v/>
      </c>
      <c r="D443" s="125" t="n"/>
      <c r="E443" s="125" t="n"/>
      <c r="F443" s="125" t="n"/>
      <c r="G443" s="118">
        <f>CONCATENATE(A443, " ",#REF!, " / ",H443)</f>
        <v/>
      </c>
      <c r="H443" s="118" t="n"/>
      <c r="I443" s="119">
        <f>CONCATENATE(M443," - ",J443," - Lotto N° ",K443,"")</f>
        <v/>
      </c>
      <c r="J443" s="118" t="n"/>
      <c r="K443" s="118">
        <f>VLOOKUP(#REF!,Produzione,7,FALSE)</f>
        <v/>
      </c>
      <c r="L443" s="120" t="n"/>
      <c r="M443" s="120" t="n"/>
      <c r="N443" s="118" t="n"/>
      <c r="O443" s="121" t="n"/>
      <c r="P443" s="121" t="n"/>
      <c r="Q443" s="166">
        <f>TODAY()</f>
        <v/>
      </c>
      <c r="R443" s="165">
        <f>ElencoProdotti[[#This Row],[PRODUZIONE]]+20</f>
        <v/>
      </c>
      <c r="S443" s="165">
        <f>TODAY()</f>
        <v/>
      </c>
      <c r="T443" s="133">
        <f>CONCATENATE(A443," - contiene allergni - prodotto il giorno ",TEXT(Q443,"gg/mm/aaaa"),"")</f>
        <v/>
      </c>
    </row>
    <row r="444" ht="15" customHeight="1" s="155">
      <c r="A444" s="134">
        <f>ric!B444</f>
        <v/>
      </c>
      <c r="B444" s="118">
        <f>ric!C444</f>
        <v/>
      </c>
      <c r="C444" s="125">
        <f>ric!D444</f>
        <v/>
      </c>
      <c r="D444" s="125" t="n"/>
      <c r="E444" s="125" t="n"/>
      <c r="F444" s="125" t="n"/>
      <c r="G444" s="118">
        <f>CONCATENATE(A444, " ",#REF!, " / ",H444)</f>
        <v/>
      </c>
      <c r="H444" s="118" t="n"/>
      <c r="I444" s="119">
        <f>CONCATENATE(M444," - ",J444," - Lotto N° ",K444,"")</f>
        <v/>
      </c>
      <c r="J444" s="118" t="n"/>
      <c r="K444" s="118">
        <f>VLOOKUP(#REF!,Produzione,7,FALSE)</f>
        <v/>
      </c>
      <c r="L444" s="120" t="n"/>
      <c r="M444" s="120" t="n"/>
      <c r="N444" s="118" t="n"/>
      <c r="O444" s="121" t="n"/>
      <c r="P444" s="121" t="n"/>
      <c r="Q444" s="166">
        <f>TODAY()</f>
        <v/>
      </c>
      <c r="R444" s="165">
        <f>ElencoProdotti[[#This Row],[PRODUZIONE]]+20</f>
        <v/>
      </c>
      <c r="S444" s="165">
        <f>TODAY()</f>
        <v/>
      </c>
      <c r="T444" s="133">
        <f>CONCATENATE(A444," - contiene allergni - prodotto il giorno ",TEXT(Q444,"gg/mm/aaaa"),"")</f>
        <v/>
      </c>
    </row>
    <row r="445" ht="15" customHeight="1" s="155">
      <c r="A445" s="134">
        <f>ric!B445</f>
        <v/>
      </c>
      <c r="B445" s="118">
        <f>ric!C445</f>
        <v/>
      </c>
      <c r="C445" s="125">
        <f>ric!D445</f>
        <v/>
      </c>
      <c r="D445" s="125" t="n"/>
      <c r="E445" s="125" t="n"/>
      <c r="F445" s="125" t="n"/>
      <c r="G445" s="118">
        <f>CONCATENATE(A445, " ",#REF!, " / ",H445)</f>
        <v/>
      </c>
      <c r="H445" s="118" t="n"/>
      <c r="I445" s="119">
        <f>CONCATENATE(M445," - ",J445," - Lotto N° ",K445,"")</f>
        <v/>
      </c>
      <c r="J445" s="118" t="n"/>
      <c r="K445" s="118">
        <f>VLOOKUP(#REF!,Produzione,7,FALSE)</f>
        <v/>
      </c>
      <c r="L445" s="120" t="n"/>
      <c r="M445" s="120" t="n"/>
      <c r="N445" s="118" t="n"/>
      <c r="O445" s="121" t="n"/>
      <c r="P445" s="121" t="n"/>
      <c r="Q445" s="166">
        <f>TODAY()</f>
        <v/>
      </c>
      <c r="R445" s="165">
        <f>ElencoProdotti[[#This Row],[PRODUZIONE]]+20</f>
        <v/>
      </c>
      <c r="S445" s="165">
        <f>TODAY()</f>
        <v/>
      </c>
      <c r="T445" s="133">
        <f>CONCATENATE(A445," - contiene allergni - prodotto il giorno ",TEXT(Q445,"gg/mm/aaaa"),"")</f>
        <v/>
      </c>
    </row>
    <row r="446" ht="15" customHeight="1" s="155">
      <c r="A446" s="134">
        <f>ric!B446</f>
        <v/>
      </c>
      <c r="B446" s="118">
        <f>ric!C446</f>
        <v/>
      </c>
      <c r="C446" s="125">
        <f>ric!D446</f>
        <v/>
      </c>
      <c r="D446" s="125" t="n"/>
      <c r="E446" s="125" t="n"/>
      <c r="F446" s="125" t="n"/>
      <c r="G446" s="118">
        <f>CONCATENATE(A446, " ",#REF!, " / ",H446)</f>
        <v/>
      </c>
      <c r="H446" s="118" t="n"/>
      <c r="I446" s="119">
        <f>CONCATENATE(M446," - ",J446," - Lotto N° ",K446,"")</f>
        <v/>
      </c>
      <c r="J446" s="118" t="n"/>
      <c r="K446" s="118">
        <f>VLOOKUP(#REF!,Produzione,7,FALSE)</f>
        <v/>
      </c>
      <c r="L446" s="120" t="n"/>
      <c r="M446" s="120" t="n"/>
      <c r="N446" s="118" t="n"/>
      <c r="O446" s="121" t="n"/>
      <c r="P446" s="121" t="n"/>
      <c r="Q446" s="166">
        <f>TODAY()</f>
        <v/>
      </c>
      <c r="R446" s="165">
        <f>ElencoProdotti[[#This Row],[PRODUZIONE]]+20</f>
        <v/>
      </c>
      <c r="S446" s="165">
        <f>TODAY()</f>
        <v/>
      </c>
      <c r="T446" s="133">
        <f>CONCATENATE(A446," - contiene allergni - prodotto il giorno ",TEXT(Q446,"gg/mm/aaaa"),"")</f>
        <v/>
      </c>
    </row>
    <row r="447" ht="15" customHeight="1" s="155">
      <c r="A447" s="134">
        <f>ric!B447</f>
        <v/>
      </c>
      <c r="B447" s="118">
        <f>ric!C447</f>
        <v/>
      </c>
      <c r="C447" s="125">
        <f>ric!D447</f>
        <v/>
      </c>
      <c r="D447" s="125" t="n"/>
      <c r="E447" s="125" t="n"/>
      <c r="F447" s="125" t="n"/>
      <c r="G447" s="118">
        <f>CONCATENATE(A447, " ",#REF!, " / ",H447)</f>
        <v/>
      </c>
      <c r="H447" s="118" t="n"/>
      <c r="I447" s="119">
        <f>CONCATENATE(M447," - ",J447," - Lotto N° ",K447,"")</f>
        <v/>
      </c>
      <c r="J447" s="118" t="n"/>
      <c r="K447" s="118">
        <f>VLOOKUP(#REF!,Produzione,7,FALSE)</f>
        <v/>
      </c>
      <c r="L447" s="120" t="n"/>
      <c r="M447" s="120" t="n"/>
      <c r="N447" s="118" t="n"/>
      <c r="O447" s="121" t="n"/>
      <c r="P447" s="121" t="n"/>
      <c r="Q447" s="166">
        <f>TODAY()</f>
        <v/>
      </c>
      <c r="R447" s="165">
        <f>ElencoProdotti[[#This Row],[PRODUZIONE]]+20</f>
        <v/>
      </c>
      <c r="S447" s="165">
        <f>TODAY()</f>
        <v/>
      </c>
      <c r="T447" s="133">
        <f>CONCATENATE(A447," - contiene allergni - prodotto il giorno ",TEXT(Q447,"gg/mm/aaaa"),"")</f>
        <v/>
      </c>
    </row>
    <row r="448" ht="15" customHeight="1" s="155">
      <c r="A448" s="134">
        <f>ric!B448</f>
        <v/>
      </c>
      <c r="B448" s="118">
        <f>ric!C448</f>
        <v/>
      </c>
      <c r="C448" s="125">
        <f>ric!D448</f>
        <v/>
      </c>
      <c r="D448" s="125" t="n"/>
      <c r="E448" s="125" t="n"/>
      <c r="F448" s="125" t="n"/>
      <c r="G448" s="118">
        <f>CONCATENATE(A448, " ",#REF!, " / ",H448)</f>
        <v/>
      </c>
      <c r="H448" s="118" t="n"/>
      <c r="I448" s="119">
        <f>CONCATENATE(M448," - ",J448," - Lotto N° ",K448,"")</f>
        <v/>
      </c>
      <c r="J448" s="118" t="n"/>
      <c r="K448" s="118">
        <f>VLOOKUP(#REF!,Produzione,7,FALSE)</f>
        <v/>
      </c>
      <c r="L448" s="120" t="n"/>
      <c r="M448" s="120" t="n"/>
      <c r="N448" s="118" t="n"/>
      <c r="O448" s="121" t="n"/>
      <c r="P448" s="121" t="n"/>
      <c r="Q448" s="166">
        <f>TODAY()</f>
        <v/>
      </c>
      <c r="R448" s="165">
        <f>ElencoProdotti[[#This Row],[PRODUZIONE]]+20</f>
        <v/>
      </c>
      <c r="S448" s="165">
        <f>TODAY()</f>
        <v/>
      </c>
      <c r="T448" s="133">
        <f>CONCATENATE(A448," - contiene allergni - prodotto il giorno ",TEXT(Q448,"gg/mm/aaaa"),"")</f>
        <v/>
      </c>
    </row>
    <row r="449" ht="15" customHeight="1" s="155">
      <c r="A449" s="134">
        <f>ric!B449</f>
        <v/>
      </c>
      <c r="B449" s="118">
        <f>ric!C449</f>
        <v/>
      </c>
      <c r="C449" s="125">
        <f>ric!D449</f>
        <v/>
      </c>
      <c r="D449" s="125" t="n"/>
      <c r="E449" s="125" t="n"/>
      <c r="F449" s="125" t="n"/>
      <c r="G449" s="118">
        <f>CONCATENATE(A449, " ",#REF!, " / ",H449)</f>
        <v/>
      </c>
      <c r="H449" s="118" t="n"/>
      <c r="I449" s="119">
        <f>CONCATENATE(M449," - ",J449," - Lotto N° ",K449,"")</f>
        <v/>
      </c>
      <c r="J449" s="118" t="n"/>
      <c r="K449" s="118">
        <f>VLOOKUP(#REF!,Produzione,7,FALSE)</f>
        <v/>
      </c>
      <c r="L449" s="120" t="n"/>
      <c r="M449" s="120" t="n"/>
      <c r="N449" s="118" t="n"/>
      <c r="O449" s="121" t="n"/>
      <c r="P449" s="121" t="n"/>
      <c r="Q449" s="166">
        <f>TODAY()</f>
        <v/>
      </c>
      <c r="R449" s="165">
        <f>ElencoProdotti[[#This Row],[PRODUZIONE]]+20</f>
        <v/>
      </c>
      <c r="S449" s="165">
        <f>TODAY()</f>
        <v/>
      </c>
      <c r="T449" s="133">
        <f>CONCATENATE(A449," - contiene allergni - prodotto il giorno ",TEXT(Q449,"gg/mm/aaaa"),"")</f>
        <v/>
      </c>
    </row>
    <row r="450" ht="15" customHeight="1" s="155">
      <c r="A450" s="134">
        <f>ric!B450</f>
        <v/>
      </c>
      <c r="B450" s="118">
        <f>ric!C450</f>
        <v/>
      </c>
      <c r="C450" s="125">
        <f>ric!D450</f>
        <v/>
      </c>
      <c r="D450" s="125" t="n"/>
      <c r="E450" s="125" t="n"/>
      <c r="F450" s="125" t="n"/>
      <c r="G450" s="118">
        <f>CONCATENATE(A450, " ",#REF!, " / ",H450)</f>
        <v/>
      </c>
      <c r="H450" s="118" t="n"/>
      <c r="I450" s="119">
        <f>CONCATENATE(M450," - ",J450," - Lotto N° ",K450,"")</f>
        <v/>
      </c>
      <c r="J450" s="118" t="n"/>
      <c r="K450" s="118">
        <f>VLOOKUP(#REF!,Produzione,7,FALSE)</f>
        <v/>
      </c>
      <c r="L450" s="120" t="n"/>
      <c r="M450" s="120" t="n"/>
      <c r="N450" s="118" t="n"/>
      <c r="O450" s="121" t="n"/>
      <c r="P450" s="121" t="n"/>
      <c r="Q450" s="166">
        <f>TODAY()</f>
        <v/>
      </c>
      <c r="R450" s="165">
        <f>ElencoProdotti[[#This Row],[PRODUZIONE]]+20</f>
        <v/>
      </c>
      <c r="S450" s="165">
        <f>TODAY()</f>
        <v/>
      </c>
      <c r="T450" s="133">
        <f>CONCATENATE(A450," - contiene allergni - prodotto il giorno ",TEXT(Q450,"gg/mm/aaaa"),"")</f>
        <v/>
      </c>
    </row>
    <row r="451" ht="15" customHeight="1" s="155">
      <c r="A451" s="134">
        <f>ric!B451</f>
        <v/>
      </c>
      <c r="B451" s="118">
        <f>ric!C451</f>
        <v/>
      </c>
      <c r="C451" s="125">
        <f>ric!D451</f>
        <v/>
      </c>
      <c r="D451" s="125" t="n"/>
      <c r="E451" s="125" t="n"/>
      <c r="F451" s="125" t="n"/>
      <c r="G451" s="118">
        <f>CONCATENATE(A451, " ",#REF!, " / ",H451)</f>
        <v/>
      </c>
      <c r="H451" s="118" t="n"/>
      <c r="I451" s="119">
        <f>CONCATENATE(M451," - ",J451," - Lotto N° ",K451,"")</f>
        <v/>
      </c>
      <c r="J451" s="118" t="n"/>
      <c r="K451" s="118">
        <f>VLOOKUP(#REF!,Produzione,7,FALSE)</f>
        <v/>
      </c>
      <c r="L451" s="120" t="n"/>
      <c r="M451" s="120" t="n"/>
      <c r="N451" s="118" t="n"/>
      <c r="O451" s="121" t="n"/>
      <c r="P451" s="121" t="n"/>
      <c r="Q451" s="166">
        <f>TODAY()</f>
        <v/>
      </c>
      <c r="R451" s="165">
        <f>ElencoProdotti[[#This Row],[PRODUZIONE]]+20</f>
        <v/>
      </c>
      <c r="S451" s="165">
        <f>TODAY()</f>
        <v/>
      </c>
      <c r="T451" s="133">
        <f>CONCATENATE(A451," - contiene allergni - prodotto il giorno ",TEXT(Q451,"gg/mm/aaaa"),"")</f>
        <v/>
      </c>
    </row>
    <row r="452" ht="15" customHeight="1" s="155">
      <c r="A452" s="134">
        <f>ric!B452</f>
        <v/>
      </c>
      <c r="B452" s="118">
        <f>ric!C452</f>
        <v/>
      </c>
      <c r="C452" s="125">
        <f>ric!D452</f>
        <v/>
      </c>
      <c r="D452" s="125" t="n"/>
      <c r="E452" s="125" t="n"/>
      <c r="F452" s="125" t="n"/>
      <c r="G452" s="118">
        <f>CONCATENATE(A452, " ",#REF!, " / ",H452)</f>
        <v/>
      </c>
      <c r="H452" s="118" t="n"/>
      <c r="I452" s="119">
        <f>CONCATENATE(M452," - ",J452," - Lotto N° ",K452,"")</f>
        <v/>
      </c>
      <c r="J452" s="118" t="n"/>
      <c r="K452" s="118">
        <f>VLOOKUP(#REF!,Produzione,7,FALSE)</f>
        <v/>
      </c>
      <c r="L452" s="120" t="n"/>
      <c r="M452" s="120" t="n"/>
      <c r="N452" s="118" t="n"/>
      <c r="O452" s="121" t="n"/>
      <c r="P452" s="121" t="n"/>
      <c r="Q452" s="166">
        <f>TODAY()</f>
        <v/>
      </c>
      <c r="R452" s="165">
        <f>ElencoProdotti[[#This Row],[PRODUZIONE]]+20</f>
        <v/>
      </c>
      <c r="S452" s="165">
        <f>TODAY()</f>
        <v/>
      </c>
      <c r="T452" s="133">
        <f>CONCATENATE(A452," - contiene allergni - prodotto il giorno ",TEXT(Q452,"gg/mm/aaaa"),"")</f>
        <v/>
      </c>
    </row>
    <row r="453" ht="15" customHeight="1" s="155">
      <c r="A453" s="134">
        <f>ric!B453</f>
        <v/>
      </c>
      <c r="B453" s="118">
        <f>ric!C453</f>
        <v/>
      </c>
      <c r="C453" s="125">
        <f>ric!D453</f>
        <v/>
      </c>
      <c r="D453" s="125" t="n"/>
      <c r="E453" s="125" t="n"/>
      <c r="F453" s="125" t="n"/>
      <c r="G453" s="118">
        <f>CONCATENATE(A453, " ",#REF!, " / ",H453)</f>
        <v/>
      </c>
      <c r="H453" s="118" t="n"/>
      <c r="I453" s="119">
        <f>CONCATENATE(M453," - ",J453," - Lotto N° ",K453,"")</f>
        <v/>
      </c>
      <c r="J453" s="118" t="n"/>
      <c r="K453" s="118">
        <f>VLOOKUP(#REF!,Produzione,7,FALSE)</f>
        <v/>
      </c>
      <c r="L453" s="120" t="n"/>
      <c r="M453" s="120" t="n"/>
      <c r="N453" s="118" t="n"/>
      <c r="O453" s="121" t="n"/>
      <c r="P453" s="121" t="n"/>
      <c r="Q453" s="166">
        <f>TODAY()</f>
        <v/>
      </c>
      <c r="R453" s="165">
        <f>ElencoProdotti[[#This Row],[PRODUZIONE]]+20</f>
        <v/>
      </c>
      <c r="S453" s="165">
        <f>TODAY()</f>
        <v/>
      </c>
      <c r="T453" s="133">
        <f>CONCATENATE(A453," - contiene allergni - prodotto il giorno ",TEXT(Q453,"gg/mm/aaaa"),"")</f>
        <v/>
      </c>
    </row>
    <row r="454" ht="15" customHeight="1" s="155">
      <c r="A454" s="134">
        <f>ric!B454</f>
        <v/>
      </c>
      <c r="B454" s="118">
        <f>ric!C454</f>
        <v/>
      </c>
      <c r="C454" s="125">
        <f>ric!D454</f>
        <v/>
      </c>
      <c r="D454" s="125" t="n"/>
      <c r="E454" s="125" t="n"/>
      <c r="F454" s="125" t="n"/>
      <c r="G454" s="118">
        <f>CONCATENATE(A454, " ",#REF!, " / ",H454)</f>
        <v/>
      </c>
      <c r="H454" s="118" t="n"/>
      <c r="I454" s="119">
        <f>CONCATENATE(M454," - ",J454," - Lotto N° ",K454,"")</f>
        <v/>
      </c>
      <c r="J454" s="118" t="n"/>
      <c r="K454" s="118">
        <f>VLOOKUP(#REF!,Produzione,7,FALSE)</f>
        <v/>
      </c>
      <c r="L454" s="120" t="n"/>
      <c r="M454" s="120" t="n"/>
      <c r="N454" s="118" t="n"/>
      <c r="O454" s="121" t="n"/>
      <c r="P454" s="121" t="n"/>
      <c r="Q454" s="166">
        <f>TODAY()</f>
        <v/>
      </c>
      <c r="R454" s="165">
        <f>ElencoProdotti[[#This Row],[PRODUZIONE]]+20</f>
        <v/>
      </c>
      <c r="S454" s="165">
        <f>TODAY()</f>
        <v/>
      </c>
      <c r="T454" s="133">
        <f>CONCATENATE(A454," - contiene allergni - prodotto il giorno ",TEXT(Q454,"gg/mm/aaaa"),"")</f>
        <v/>
      </c>
    </row>
    <row r="455" ht="15" customHeight="1" s="155">
      <c r="A455" s="134">
        <f>ric!B455</f>
        <v/>
      </c>
      <c r="B455" s="118">
        <f>ric!C455</f>
        <v/>
      </c>
      <c r="C455" s="125">
        <f>ric!D455</f>
        <v/>
      </c>
      <c r="D455" s="125" t="n"/>
      <c r="E455" s="125" t="n"/>
      <c r="F455" s="125" t="n"/>
      <c r="G455" s="118">
        <f>CONCATENATE(A455, " ",#REF!, " / ",H455)</f>
        <v/>
      </c>
      <c r="H455" s="118" t="n"/>
      <c r="I455" s="119">
        <f>CONCATENATE(M455," - ",J455," - Lotto N° ",K455,"")</f>
        <v/>
      </c>
      <c r="J455" s="118" t="n"/>
      <c r="K455" s="118">
        <f>VLOOKUP(#REF!,Produzione,7,FALSE)</f>
        <v/>
      </c>
      <c r="L455" s="120" t="n"/>
      <c r="M455" s="120" t="n"/>
      <c r="N455" s="118" t="n"/>
      <c r="O455" s="121" t="n"/>
      <c r="P455" s="121" t="n"/>
      <c r="Q455" s="166">
        <f>TODAY()</f>
        <v/>
      </c>
      <c r="R455" s="165">
        <f>ElencoProdotti[[#This Row],[PRODUZIONE]]+20</f>
        <v/>
      </c>
      <c r="S455" s="165">
        <f>TODAY()</f>
        <v/>
      </c>
      <c r="T455" s="133">
        <f>CONCATENATE(A455," - contiene allergni - prodotto il giorno ",TEXT(Q455,"gg/mm/aaaa"),"")</f>
        <v/>
      </c>
    </row>
    <row r="456" ht="15" customHeight="1" s="155">
      <c r="A456" s="134">
        <f>ric!B456</f>
        <v/>
      </c>
      <c r="B456" s="118">
        <f>ric!C456</f>
        <v/>
      </c>
      <c r="C456" s="125">
        <f>ric!D456</f>
        <v/>
      </c>
      <c r="D456" s="125" t="n"/>
      <c r="E456" s="125" t="n"/>
      <c r="F456" s="125" t="n"/>
      <c r="G456" s="118">
        <f>CONCATENATE(A456, " ",#REF!, " / ",H456)</f>
        <v/>
      </c>
      <c r="H456" s="118" t="n"/>
      <c r="I456" s="119">
        <f>CONCATENATE(M456," - ",J456," - Lotto N° ",K456,"")</f>
        <v/>
      </c>
      <c r="J456" s="118" t="n"/>
      <c r="K456" s="118">
        <f>VLOOKUP(#REF!,Produzione,7,FALSE)</f>
        <v/>
      </c>
      <c r="L456" s="120" t="n"/>
      <c r="M456" s="120" t="n"/>
      <c r="N456" s="118" t="n"/>
      <c r="O456" s="121" t="n"/>
      <c r="P456" s="121" t="n"/>
      <c r="Q456" s="166">
        <f>TODAY()</f>
        <v/>
      </c>
      <c r="R456" s="165">
        <f>ElencoProdotti[[#This Row],[PRODUZIONE]]+20</f>
        <v/>
      </c>
      <c r="S456" s="165">
        <f>TODAY()</f>
        <v/>
      </c>
      <c r="T456" s="133">
        <f>CONCATENATE(A456," - contiene allergni - prodotto il giorno ",TEXT(Q456,"gg/mm/aaaa"),"")</f>
        <v/>
      </c>
    </row>
    <row r="457" ht="15" customHeight="1" s="155">
      <c r="A457" s="134">
        <f>ric!B457</f>
        <v/>
      </c>
      <c r="B457" s="118">
        <f>ric!C457</f>
        <v/>
      </c>
      <c r="C457" s="125">
        <f>ric!D457</f>
        <v/>
      </c>
      <c r="D457" s="125" t="n"/>
      <c r="E457" s="125" t="n"/>
      <c r="F457" s="125" t="n"/>
      <c r="G457" s="118">
        <f>CONCATENATE(A457, " ",#REF!, " / ",H457)</f>
        <v/>
      </c>
      <c r="H457" s="118" t="n"/>
      <c r="I457" s="119">
        <f>CONCATENATE(M457," - ",J457," - Lotto N° ",K457,"")</f>
        <v/>
      </c>
      <c r="J457" s="118" t="n"/>
      <c r="K457" s="118">
        <f>VLOOKUP(#REF!,Produzione,7,FALSE)</f>
        <v/>
      </c>
      <c r="L457" s="120" t="n"/>
      <c r="M457" s="120" t="n"/>
      <c r="N457" s="118" t="n"/>
      <c r="O457" s="121" t="n"/>
      <c r="P457" s="121" t="n"/>
      <c r="Q457" s="166">
        <f>TODAY()</f>
        <v/>
      </c>
      <c r="R457" s="165">
        <f>ElencoProdotti[[#This Row],[PRODUZIONE]]+20</f>
        <v/>
      </c>
      <c r="S457" s="165">
        <f>TODAY()</f>
        <v/>
      </c>
      <c r="T457" s="133">
        <f>CONCATENATE(A457," - contiene allergni - prodotto il giorno ",TEXT(Q457,"gg/mm/aaaa"),"")</f>
        <v/>
      </c>
    </row>
    <row r="458" ht="15" customHeight="1" s="155">
      <c r="A458" s="134">
        <f>ric!B458</f>
        <v/>
      </c>
      <c r="B458" s="118">
        <f>ric!C458</f>
        <v/>
      </c>
      <c r="C458" s="125">
        <f>ric!D458</f>
        <v/>
      </c>
      <c r="D458" s="125" t="n"/>
      <c r="E458" s="125" t="n"/>
      <c r="F458" s="125" t="n"/>
      <c r="G458" s="118">
        <f>CONCATENATE(A458, " ",#REF!, " / ",H458)</f>
        <v/>
      </c>
      <c r="H458" s="118" t="n"/>
      <c r="I458" s="119">
        <f>CONCATENATE(M458," - ",J458," - Lotto N° ",K458,"")</f>
        <v/>
      </c>
      <c r="J458" s="118" t="n"/>
      <c r="K458" s="118">
        <f>VLOOKUP(#REF!,Produzione,7,FALSE)</f>
        <v/>
      </c>
      <c r="L458" s="120" t="n"/>
      <c r="M458" s="120" t="n"/>
      <c r="N458" s="118" t="n"/>
      <c r="O458" s="121" t="n"/>
      <c r="P458" s="121" t="n"/>
      <c r="Q458" s="166">
        <f>TODAY()</f>
        <v/>
      </c>
      <c r="R458" s="165">
        <f>ElencoProdotti[[#This Row],[PRODUZIONE]]+20</f>
        <v/>
      </c>
      <c r="S458" s="165">
        <f>TODAY()</f>
        <v/>
      </c>
      <c r="T458" s="133">
        <f>CONCATENATE(A458," - contiene allergni - prodotto il giorno ",TEXT(Q458,"gg/mm/aaaa"),"")</f>
        <v/>
      </c>
    </row>
    <row r="459" ht="15" customHeight="1" s="155">
      <c r="A459" s="134">
        <f>ric!B459</f>
        <v/>
      </c>
      <c r="B459" s="118">
        <f>ric!C459</f>
        <v/>
      </c>
      <c r="C459" s="125">
        <f>ric!D459</f>
        <v/>
      </c>
      <c r="D459" s="125" t="n"/>
      <c r="E459" s="125" t="n"/>
      <c r="F459" s="125" t="n"/>
      <c r="G459" s="118">
        <f>CONCATENATE(A459, " ",#REF!, " / ",H459)</f>
        <v/>
      </c>
      <c r="H459" s="118" t="n"/>
      <c r="I459" s="119">
        <f>CONCATENATE(M459," - ",J459," - Lotto N° ",K459,"")</f>
        <v/>
      </c>
      <c r="J459" s="118" t="n"/>
      <c r="K459" s="118">
        <f>VLOOKUP(#REF!,Produzione,7,FALSE)</f>
        <v/>
      </c>
      <c r="L459" s="120" t="n"/>
      <c r="M459" s="120" t="n"/>
      <c r="N459" s="118" t="n"/>
      <c r="O459" s="121" t="n"/>
      <c r="P459" s="121" t="n"/>
      <c r="Q459" s="166">
        <f>TODAY()</f>
        <v/>
      </c>
      <c r="R459" s="165">
        <f>ElencoProdotti[[#This Row],[PRODUZIONE]]+20</f>
        <v/>
      </c>
      <c r="S459" s="165">
        <f>TODAY()</f>
        <v/>
      </c>
      <c r="T459" s="133">
        <f>CONCATENATE(A459," - contiene allergni - prodotto il giorno ",TEXT(Q459,"gg/mm/aaaa"),"")</f>
        <v/>
      </c>
    </row>
    <row r="460" ht="15" customHeight="1" s="155">
      <c r="A460" s="134">
        <f>ric!B460</f>
        <v/>
      </c>
      <c r="B460" s="118">
        <f>ric!C460</f>
        <v/>
      </c>
      <c r="C460" s="125">
        <f>ric!D460</f>
        <v/>
      </c>
      <c r="D460" s="125" t="n"/>
      <c r="E460" s="125" t="n"/>
      <c r="F460" s="125" t="n"/>
      <c r="G460" s="118">
        <f>CONCATENATE(A460, " ",#REF!, " / ",H460)</f>
        <v/>
      </c>
      <c r="H460" s="118" t="n"/>
      <c r="I460" s="119">
        <f>CONCATENATE(M460," - ",J460," - Lotto N° ",K460,"")</f>
        <v/>
      </c>
      <c r="J460" s="118" t="n"/>
      <c r="K460" s="118">
        <f>VLOOKUP(#REF!,Produzione,7,FALSE)</f>
        <v/>
      </c>
      <c r="L460" s="120" t="n"/>
      <c r="M460" s="120" t="n"/>
      <c r="N460" s="118" t="n"/>
      <c r="O460" s="121" t="n"/>
      <c r="P460" s="121" t="n"/>
      <c r="Q460" s="166">
        <f>TODAY()</f>
        <v/>
      </c>
      <c r="R460" s="165">
        <f>ElencoProdotti[[#This Row],[PRODUZIONE]]+20</f>
        <v/>
      </c>
      <c r="S460" s="165">
        <f>TODAY()</f>
        <v/>
      </c>
      <c r="T460" s="133">
        <f>CONCATENATE(A460," - contiene allergni - prodotto il giorno ",TEXT(Q460,"gg/mm/aaaa"),"")</f>
        <v/>
      </c>
    </row>
    <row r="461" ht="15" customHeight="1" s="155">
      <c r="A461" s="134">
        <f>ric!B461</f>
        <v/>
      </c>
      <c r="B461" s="118">
        <f>ric!C461</f>
        <v/>
      </c>
      <c r="C461" s="125">
        <f>ric!D461</f>
        <v/>
      </c>
      <c r="D461" s="125" t="n"/>
      <c r="E461" s="125" t="n"/>
      <c r="F461" s="125" t="n"/>
      <c r="G461" s="118">
        <f>CONCATENATE(A461, " ",#REF!, " / ",H461)</f>
        <v/>
      </c>
      <c r="H461" s="118" t="n"/>
      <c r="I461" s="119">
        <f>CONCATENATE(M461," - ",J461," - Lotto N° ",K461,"")</f>
        <v/>
      </c>
      <c r="J461" s="118" t="n"/>
      <c r="K461" s="118">
        <f>VLOOKUP(#REF!,Produzione,7,FALSE)</f>
        <v/>
      </c>
      <c r="L461" s="120" t="n"/>
      <c r="M461" s="120" t="n"/>
      <c r="N461" s="118" t="n"/>
      <c r="O461" s="121" t="n"/>
      <c r="P461" s="121" t="n"/>
      <c r="Q461" s="166">
        <f>TODAY()</f>
        <v/>
      </c>
      <c r="R461" s="165">
        <f>ElencoProdotti[[#This Row],[PRODUZIONE]]+20</f>
        <v/>
      </c>
      <c r="S461" s="165">
        <f>TODAY()</f>
        <v/>
      </c>
      <c r="T461" s="133">
        <f>CONCATENATE(A461," - contiene allergni - prodotto il giorno ",TEXT(Q461,"gg/mm/aaaa"),"")</f>
        <v/>
      </c>
    </row>
    <row r="462" ht="15" customHeight="1" s="155">
      <c r="A462" s="134">
        <f>ric!B462</f>
        <v/>
      </c>
      <c r="B462" s="118">
        <f>ric!C462</f>
        <v/>
      </c>
      <c r="C462" s="125">
        <f>ric!D462</f>
        <v/>
      </c>
      <c r="D462" s="125" t="n"/>
      <c r="E462" s="125" t="n"/>
      <c r="F462" s="125" t="n"/>
      <c r="G462" s="118">
        <f>CONCATENATE(A462, " ",#REF!, " / ",H462)</f>
        <v/>
      </c>
      <c r="H462" s="118" t="n"/>
      <c r="I462" s="119">
        <f>CONCATENATE(M462," - ",J462," - Lotto N° ",K462,"")</f>
        <v/>
      </c>
      <c r="J462" s="118" t="n"/>
      <c r="K462" s="118">
        <f>VLOOKUP(#REF!,Produzione,7,FALSE)</f>
        <v/>
      </c>
      <c r="L462" s="120" t="n"/>
      <c r="M462" s="120" t="n"/>
      <c r="N462" s="118" t="n"/>
      <c r="O462" s="121" t="n"/>
      <c r="P462" s="121" t="n"/>
      <c r="Q462" s="166">
        <f>TODAY()</f>
        <v/>
      </c>
      <c r="R462" s="165">
        <f>ElencoProdotti[[#This Row],[PRODUZIONE]]+20</f>
        <v/>
      </c>
      <c r="S462" s="165">
        <f>TODAY()</f>
        <v/>
      </c>
      <c r="T462" s="133">
        <f>CONCATENATE(A462," - contiene allergni - prodotto il giorno ",TEXT(Q462,"gg/mm/aaaa"),"")</f>
        <v/>
      </c>
    </row>
    <row r="463" ht="15" customHeight="1" s="155">
      <c r="A463" s="134">
        <f>ric!B463</f>
        <v/>
      </c>
      <c r="B463" s="118">
        <f>ric!C463</f>
        <v/>
      </c>
      <c r="C463" s="125">
        <f>ric!D463</f>
        <v/>
      </c>
      <c r="D463" s="125" t="n"/>
      <c r="E463" s="125" t="n"/>
      <c r="F463" s="125" t="n"/>
      <c r="G463" s="118">
        <f>CONCATENATE(A463, " ",#REF!, " / ",H463)</f>
        <v/>
      </c>
      <c r="H463" s="118" t="n"/>
      <c r="I463" s="119">
        <f>CONCATENATE(M463," - ",J463," - Lotto N° ",K463,"")</f>
        <v/>
      </c>
      <c r="J463" s="118" t="n"/>
      <c r="K463" s="118">
        <f>VLOOKUP(#REF!,Produzione,7,FALSE)</f>
        <v/>
      </c>
      <c r="L463" s="120" t="n"/>
      <c r="M463" s="120" t="n"/>
      <c r="N463" s="118" t="n"/>
      <c r="O463" s="121" t="n"/>
      <c r="P463" s="121" t="n"/>
      <c r="Q463" s="166">
        <f>TODAY()</f>
        <v/>
      </c>
      <c r="R463" s="165">
        <f>ElencoProdotti[[#This Row],[PRODUZIONE]]+20</f>
        <v/>
      </c>
      <c r="S463" s="165">
        <f>TODAY()</f>
        <v/>
      </c>
      <c r="T463" s="133">
        <f>CONCATENATE(A463," - contiene allergni - prodotto il giorno ",TEXT(Q463,"gg/mm/aaaa"),"")</f>
        <v/>
      </c>
    </row>
    <row r="464" ht="15" customHeight="1" s="155">
      <c r="A464" s="134">
        <f>ric!B464</f>
        <v/>
      </c>
      <c r="B464" s="118">
        <f>ric!C464</f>
        <v/>
      </c>
      <c r="C464" s="125">
        <f>ric!D464</f>
        <v/>
      </c>
      <c r="D464" s="125" t="n"/>
      <c r="E464" s="125" t="n"/>
      <c r="F464" s="125" t="n"/>
      <c r="G464" s="118">
        <f>CONCATENATE(A464, " ",#REF!, " / ",H464)</f>
        <v/>
      </c>
      <c r="H464" s="118" t="n"/>
      <c r="I464" s="119">
        <f>CONCATENATE(M464," - ",J464," - Lotto N° ",K464,"")</f>
        <v/>
      </c>
      <c r="J464" s="118" t="n"/>
      <c r="K464" s="118">
        <f>VLOOKUP(#REF!,Produzione,7,FALSE)</f>
        <v/>
      </c>
      <c r="L464" s="120" t="n"/>
      <c r="M464" s="120" t="n"/>
      <c r="N464" s="118" t="n"/>
      <c r="O464" s="121" t="n"/>
      <c r="P464" s="121" t="n"/>
      <c r="Q464" s="166">
        <f>TODAY()</f>
        <v/>
      </c>
      <c r="R464" s="165">
        <f>ElencoProdotti[[#This Row],[PRODUZIONE]]+20</f>
        <v/>
      </c>
      <c r="S464" s="165">
        <f>TODAY()</f>
        <v/>
      </c>
      <c r="T464" s="133">
        <f>CONCATENATE(A464," - contiene allergni - prodotto il giorno ",TEXT(Q464,"gg/mm/aaaa"),"")</f>
        <v/>
      </c>
    </row>
    <row r="465" ht="15" customHeight="1" s="155">
      <c r="A465" s="134">
        <f>ric!B465</f>
        <v/>
      </c>
      <c r="B465" s="118">
        <f>ric!C465</f>
        <v/>
      </c>
      <c r="C465" s="125">
        <f>ric!D465</f>
        <v/>
      </c>
      <c r="D465" s="125" t="n"/>
      <c r="E465" s="125" t="n"/>
      <c r="F465" s="125" t="n"/>
      <c r="G465" s="118">
        <f>CONCATENATE(A465, " ",#REF!, " / ",H465)</f>
        <v/>
      </c>
      <c r="H465" s="118" t="n"/>
      <c r="I465" s="119">
        <f>CONCATENATE(M465," - ",J465," - Lotto N° ",K465,"")</f>
        <v/>
      </c>
      <c r="J465" s="118" t="n"/>
      <c r="K465" s="118">
        <f>VLOOKUP(#REF!,Produzione,7,FALSE)</f>
        <v/>
      </c>
      <c r="L465" s="120" t="n"/>
      <c r="M465" s="120" t="n"/>
      <c r="N465" s="118" t="n"/>
      <c r="O465" s="121" t="n"/>
      <c r="P465" s="121" t="n"/>
      <c r="Q465" s="166">
        <f>TODAY()</f>
        <v/>
      </c>
      <c r="R465" s="165">
        <f>ElencoProdotti[[#This Row],[PRODUZIONE]]+20</f>
        <v/>
      </c>
      <c r="S465" s="165">
        <f>TODAY()</f>
        <v/>
      </c>
      <c r="T465" s="133">
        <f>CONCATENATE(A465," - contiene allergni - prodotto il giorno ",TEXT(Q465,"gg/mm/aaaa"),"")</f>
        <v/>
      </c>
    </row>
    <row r="466" ht="15" customHeight="1" s="155">
      <c r="A466" s="134">
        <f>ric!B466</f>
        <v/>
      </c>
      <c r="B466" s="118">
        <f>ric!C466</f>
        <v/>
      </c>
      <c r="C466" s="125">
        <f>ric!D466</f>
        <v/>
      </c>
      <c r="D466" s="125" t="n"/>
      <c r="E466" s="125" t="n"/>
      <c r="F466" s="125" t="n"/>
      <c r="G466" s="118">
        <f>CONCATENATE(A466, " ",#REF!, " / ",H466)</f>
        <v/>
      </c>
      <c r="H466" s="118" t="n"/>
      <c r="I466" s="119">
        <f>CONCATENATE(M466," - ",J466," - Lotto N° ",K466,"")</f>
        <v/>
      </c>
      <c r="J466" s="118" t="n"/>
      <c r="K466" s="118">
        <f>VLOOKUP(#REF!,Produzione,7,FALSE)</f>
        <v/>
      </c>
      <c r="L466" s="120" t="n"/>
      <c r="M466" s="120" t="n"/>
      <c r="N466" s="118" t="n"/>
      <c r="O466" s="121" t="n"/>
      <c r="P466" s="121" t="n"/>
      <c r="Q466" s="166">
        <f>TODAY()</f>
        <v/>
      </c>
      <c r="R466" s="165">
        <f>ElencoProdotti[[#This Row],[PRODUZIONE]]+20</f>
        <v/>
      </c>
      <c r="S466" s="165">
        <f>TODAY()</f>
        <v/>
      </c>
      <c r="T466" s="133">
        <f>CONCATENATE(A466," - contiene allergni - prodotto il giorno ",TEXT(Q466,"gg/mm/aaaa"),"")</f>
        <v/>
      </c>
    </row>
    <row r="467" ht="15" customHeight="1" s="155">
      <c r="A467" s="134">
        <f>ric!B467</f>
        <v/>
      </c>
      <c r="B467" s="118">
        <f>ric!C467</f>
        <v/>
      </c>
      <c r="C467" s="125">
        <f>ric!D467</f>
        <v/>
      </c>
      <c r="D467" s="125" t="n"/>
      <c r="E467" s="125" t="n"/>
      <c r="F467" s="125" t="n"/>
      <c r="G467" s="118">
        <f>CONCATENATE(A467, " ",#REF!, " / ",H467)</f>
        <v/>
      </c>
      <c r="H467" s="118" t="n"/>
      <c r="I467" s="119">
        <f>CONCATENATE(M467," - ",J467," - Lotto N° ",K467,"")</f>
        <v/>
      </c>
      <c r="J467" s="118" t="n"/>
      <c r="K467" s="118">
        <f>VLOOKUP(#REF!,Produzione,7,FALSE)</f>
        <v/>
      </c>
      <c r="L467" s="120" t="n"/>
      <c r="M467" s="120" t="n"/>
      <c r="N467" s="118" t="n"/>
      <c r="O467" s="121" t="n"/>
      <c r="P467" s="121" t="n"/>
      <c r="Q467" s="166">
        <f>TODAY()</f>
        <v/>
      </c>
      <c r="R467" s="165">
        <f>ElencoProdotti[[#This Row],[PRODUZIONE]]+20</f>
        <v/>
      </c>
      <c r="S467" s="165">
        <f>TODAY()</f>
        <v/>
      </c>
      <c r="T467" s="133">
        <f>CONCATENATE(A467," - contiene allergni - prodotto il giorno ",TEXT(Q467,"gg/mm/aaaa"),"")</f>
        <v/>
      </c>
    </row>
    <row r="468" ht="15" customHeight="1" s="155">
      <c r="A468" s="134">
        <f>ric!B468</f>
        <v/>
      </c>
      <c r="B468" s="118">
        <f>ric!C468</f>
        <v/>
      </c>
      <c r="C468" s="125">
        <f>ric!D468</f>
        <v/>
      </c>
      <c r="D468" s="125" t="n"/>
      <c r="E468" s="125" t="n"/>
      <c r="F468" s="125" t="n"/>
      <c r="G468" s="118">
        <f>CONCATENATE(A468, " ",#REF!, " / ",H468)</f>
        <v/>
      </c>
      <c r="H468" s="118" t="n"/>
      <c r="I468" s="119">
        <f>CONCATENATE(M468," - ",J468," - Lotto N° ",K468,"")</f>
        <v/>
      </c>
      <c r="J468" s="118" t="n"/>
      <c r="K468" s="118">
        <f>VLOOKUP(#REF!,Produzione,7,FALSE)</f>
        <v/>
      </c>
      <c r="L468" s="120" t="n"/>
      <c r="M468" s="120" t="n"/>
      <c r="N468" s="118" t="n"/>
      <c r="O468" s="121" t="n"/>
      <c r="P468" s="121" t="n"/>
      <c r="Q468" s="166">
        <f>TODAY()</f>
        <v/>
      </c>
      <c r="R468" s="165">
        <f>ElencoProdotti[[#This Row],[PRODUZIONE]]+20</f>
        <v/>
      </c>
      <c r="S468" s="165">
        <f>TODAY()</f>
        <v/>
      </c>
      <c r="T468" s="133">
        <f>CONCATENATE(A468," - contiene allergni - prodotto il giorno ",TEXT(Q468,"gg/mm/aaaa"),"")</f>
        <v/>
      </c>
    </row>
    <row r="469" ht="15" customHeight="1" s="155">
      <c r="A469" s="134">
        <f>ric!B469</f>
        <v/>
      </c>
      <c r="B469" s="118">
        <f>ric!C469</f>
        <v/>
      </c>
      <c r="C469" s="125">
        <f>ric!D469</f>
        <v/>
      </c>
      <c r="D469" s="125" t="n"/>
      <c r="E469" s="125" t="n"/>
      <c r="F469" s="125" t="n"/>
      <c r="G469" s="118">
        <f>CONCATENATE(A469, " ",#REF!, " / ",H469)</f>
        <v/>
      </c>
      <c r="H469" s="118" t="n"/>
      <c r="I469" s="119">
        <f>CONCATENATE(M469," - ",J469," - Lotto N° ",K469,"")</f>
        <v/>
      </c>
      <c r="J469" s="118" t="n"/>
      <c r="K469" s="118">
        <f>VLOOKUP(#REF!,Produzione,7,FALSE)</f>
        <v/>
      </c>
      <c r="L469" s="120" t="n"/>
      <c r="M469" s="120" t="n"/>
      <c r="N469" s="118" t="n"/>
      <c r="O469" s="121" t="n"/>
      <c r="P469" s="121" t="n"/>
      <c r="Q469" s="166">
        <f>TODAY()</f>
        <v/>
      </c>
      <c r="R469" s="165">
        <f>ElencoProdotti[[#This Row],[PRODUZIONE]]+20</f>
        <v/>
      </c>
      <c r="S469" s="165">
        <f>TODAY()</f>
        <v/>
      </c>
      <c r="T469" s="133">
        <f>CONCATENATE(A469," - contiene allergni - prodotto il giorno ",TEXT(Q469,"gg/mm/aaaa"),"")</f>
        <v/>
      </c>
    </row>
    <row r="470" ht="15" customHeight="1" s="155">
      <c r="A470" s="134">
        <f>ric!B470</f>
        <v/>
      </c>
      <c r="B470" s="118">
        <f>ric!C470</f>
        <v/>
      </c>
      <c r="C470" s="125">
        <f>ric!D470</f>
        <v/>
      </c>
      <c r="D470" s="125" t="n"/>
      <c r="E470" s="125" t="n"/>
      <c r="F470" s="125" t="n"/>
      <c r="G470" s="118">
        <f>CONCATENATE(A470, " ",#REF!, " / ",H470)</f>
        <v/>
      </c>
      <c r="H470" s="118" t="n"/>
      <c r="I470" s="119">
        <f>CONCATENATE(M470," - ",J470," - Lotto N° ",K470,"")</f>
        <v/>
      </c>
      <c r="J470" s="118" t="n"/>
      <c r="K470" s="118">
        <f>VLOOKUP(#REF!,Produzione,7,FALSE)</f>
        <v/>
      </c>
      <c r="L470" s="120" t="n"/>
      <c r="M470" s="120" t="n"/>
      <c r="N470" s="118" t="n"/>
      <c r="O470" s="121" t="n"/>
      <c r="P470" s="121" t="n"/>
      <c r="Q470" s="166">
        <f>TODAY()</f>
        <v/>
      </c>
      <c r="R470" s="165">
        <f>ElencoProdotti[[#This Row],[PRODUZIONE]]+20</f>
        <v/>
      </c>
      <c r="S470" s="165">
        <f>TODAY()</f>
        <v/>
      </c>
      <c r="T470" s="133">
        <f>CONCATENATE(A470," - contiene allergni - prodotto il giorno ",TEXT(Q470,"gg/mm/aaaa"),"")</f>
        <v/>
      </c>
    </row>
    <row r="471" ht="15" customHeight="1" s="155">
      <c r="A471" s="134">
        <f>ric!B471</f>
        <v/>
      </c>
      <c r="B471" s="118">
        <f>ric!C471</f>
        <v/>
      </c>
      <c r="C471" s="125">
        <f>ric!D471</f>
        <v/>
      </c>
      <c r="D471" s="125" t="n"/>
      <c r="E471" s="125" t="n"/>
      <c r="F471" s="125" t="n"/>
      <c r="G471" s="118">
        <f>CONCATENATE(A471, " ",#REF!, " / ",H471)</f>
        <v/>
      </c>
      <c r="H471" s="118" t="n"/>
      <c r="I471" s="119">
        <f>CONCATENATE(M471," - ",J471," - Lotto N° ",K471,"")</f>
        <v/>
      </c>
      <c r="J471" s="118" t="n"/>
      <c r="K471" s="118">
        <f>VLOOKUP(#REF!,Produzione,7,FALSE)</f>
        <v/>
      </c>
      <c r="L471" s="120" t="n"/>
      <c r="M471" s="120" t="n"/>
      <c r="N471" s="118" t="n"/>
      <c r="O471" s="121" t="n"/>
      <c r="P471" s="121" t="n"/>
      <c r="Q471" s="166">
        <f>TODAY()</f>
        <v/>
      </c>
      <c r="R471" s="165">
        <f>ElencoProdotti[[#This Row],[PRODUZIONE]]+20</f>
        <v/>
      </c>
      <c r="S471" s="165">
        <f>TODAY()</f>
        <v/>
      </c>
      <c r="T471" s="133">
        <f>CONCATENATE(A471," - contiene allergni - prodotto il giorno ",TEXT(Q471,"gg/mm/aaaa"),"")</f>
        <v/>
      </c>
    </row>
    <row r="472" ht="15" customHeight="1" s="155">
      <c r="A472" s="134">
        <f>ric!B472</f>
        <v/>
      </c>
      <c r="B472" s="118">
        <f>ric!C472</f>
        <v/>
      </c>
      <c r="C472" s="125">
        <f>ric!D472</f>
        <v/>
      </c>
      <c r="D472" s="125" t="n"/>
      <c r="E472" s="125" t="n"/>
      <c r="F472" s="125" t="n"/>
      <c r="G472" s="118">
        <f>CONCATENATE(A472, " ",#REF!, " / ",H472)</f>
        <v/>
      </c>
      <c r="H472" s="118" t="n"/>
      <c r="I472" s="119">
        <f>CONCATENATE(M472," - ",J472," - Lotto N° ",K472,"")</f>
        <v/>
      </c>
      <c r="J472" s="118" t="n"/>
      <c r="K472" s="118">
        <f>VLOOKUP(#REF!,Produzione,7,FALSE)</f>
        <v/>
      </c>
      <c r="L472" s="120" t="n"/>
      <c r="M472" s="120" t="n"/>
      <c r="N472" s="118" t="n"/>
      <c r="O472" s="121" t="n"/>
      <c r="P472" s="121" t="n"/>
      <c r="Q472" s="166">
        <f>TODAY()</f>
        <v/>
      </c>
      <c r="R472" s="165">
        <f>ElencoProdotti[[#This Row],[PRODUZIONE]]+20</f>
        <v/>
      </c>
      <c r="S472" s="165">
        <f>TODAY()</f>
        <v/>
      </c>
      <c r="T472" s="133">
        <f>CONCATENATE(A472," - contiene allergni - prodotto il giorno ",TEXT(Q472,"gg/mm/aaaa"),"")</f>
        <v/>
      </c>
    </row>
    <row r="473" ht="15" customHeight="1" s="155">
      <c r="A473" s="134">
        <f>ric!B473</f>
        <v/>
      </c>
      <c r="B473" s="118">
        <f>ric!C473</f>
        <v/>
      </c>
      <c r="C473" s="125">
        <f>ric!D473</f>
        <v/>
      </c>
      <c r="D473" s="125" t="n"/>
      <c r="E473" s="125" t="n"/>
      <c r="F473" s="125" t="n"/>
      <c r="G473" s="118">
        <f>CONCATENATE(A473, " ",#REF!, " / ",H473)</f>
        <v/>
      </c>
      <c r="H473" s="118" t="n"/>
      <c r="I473" s="119">
        <f>CONCATENATE(M473," - ",J473," - Lotto N° ",K473,"")</f>
        <v/>
      </c>
      <c r="J473" s="118" t="n"/>
      <c r="K473" s="118">
        <f>VLOOKUP(#REF!,Produzione,7,FALSE)</f>
        <v/>
      </c>
      <c r="L473" s="120" t="n"/>
      <c r="M473" s="120" t="n"/>
      <c r="N473" s="118" t="n"/>
      <c r="O473" s="121" t="n"/>
      <c r="P473" s="121" t="n"/>
      <c r="Q473" s="166">
        <f>TODAY()</f>
        <v/>
      </c>
      <c r="R473" s="165">
        <f>ElencoProdotti[[#This Row],[PRODUZIONE]]+20</f>
        <v/>
      </c>
      <c r="S473" s="165">
        <f>TODAY()</f>
        <v/>
      </c>
      <c r="T473" s="133">
        <f>CONCATENATE(A473," - contiene allergni - prodotto il giorno ",TEXT(Q473,"gg/mm/aaaa"),"")</f>
        <v/>
      </c>
    </row>
    <row r="474" ht="15" customHeight="1" s="155">
      <c r="A474" s="134">
        <f>ric!B474</f>
        <v/>
      </c>
      <c r="B474" s="118">
        <f>ric!C474</f>
        <v/>
      </c>
      <c r="C474" s="125">
        <f>ric!D474</f>
        <v/>
      </c>
      <c r="D474" s="125" t="n"/>
      <c r="E474" s="125" t="n"/>
      <c r="F474" s="125" t="n"/>
      <c r="G474" s="118">
        <f>CONCATENATE(A474, " ",#REF!, " / ",H474)</f>
        <v/>
      </c>
      <c r="H474" s="118" t="n"/>
      <c r="I474" s="119">
        <f>CONCATENATE(M474," - ",J474," - Lotto N° ",K474,"")</f>
        <v/>
      </c>
      <c r="J474" s="118" t="n"/>
      <c r="K474" s="118">
        <f>VLOOKUP(#REF!,Produzione,7,FALSE)</f>
        <v/>
      </c>
      <c r="L474" s="120" t="n"/>
      <c r="M474" s="120" t="n"/>
      <c r="N474" s="118" t="n"/>
      <c r="O474" s="121" t="n"/>
      <c r="P474" s="121" t="n"/>
      <c r="Q474" s="166">
        <f>TODAY()</f>
        <v/>
      </c>
      <c r="R474" s="165">
        <f>ElencoProdotti[[#This Row],[PRODUZIONE]]+20</f>
        <v/>
      </c>
      <c r="S474" s="165">
        <f>TODAY()</f>
        <v/>
      </c>
      <c r="T474" s="133">
        <f>CONCATENATE(A474," - contiene allergni - prodotto il giorno ",TEXT(Q474,"gg/mm/aaaa"),"")</f>
        <v/>
      </c>
    </row>
    <row r="475" ht="15" customHeight="1" s="155">
      <c r="A475" s="134">
        <f>ric!B475</f>
        <v/>
      </c>
      <c r="B475" s="118">
        <f>ric!C475</f>
        <v/>
      </c>
      <c r="C475" s="125">
        <f>ric!D475</f>
        <v/>
      </c>
      <c r="D475" s="125" t="n"/>
      <c r="E475" s="125" t="n"/>
      <c r="F475" s="125" t="n"/>
      <c r="G475" s="118">
        <f>CONCATENATE(A475, " ",#REF!, " / ",H475)</f>
        <v/>
      </c>
      <c r="H475" s="118" t="n"/>
      <c r="I475" s="119">
        <f>CONCATENATE(M475," - ",J475," - Lotto N° ",K475,"")</f>
        <v/>
      </c>
      <c r="J475" s="118" t="n"/>
      <c r="K475" s="118">
        <f>VLOOKUP(#REF!,Produzione,7,FALSE)</f>
        <v/>
      </c>
      <c r="L475" s="120" t="n"/>
      <c r="M475" s="120" t="n"/>
      <c r="N475" s="118" t="n"/>
      <c r="O475" s="121" t="n"/>
      <c r="P475" s="121" t="n"/>
      <c r="Q475" s="166">
        <f>TODAY()</f>
        <v/>
      </c>
      <c r="R475" s="165">
        <f>ElencoProdotti[[#This Row],[PRODUZIONE]]+20</f>
        <v/>
      </c>
      <c r="S475" s="165">
        <f>TODAY()</f>
        <v/>
      </c>
      <c r="T475" s="133">
        <f>CONCATENATE(A475," - contiene allergni - prodotto il giorno ",TEXT(Q475,"gg/mm/aaaa"),"")</f>
        <v/>
      </c>
    </row>
    <row r="476" ht="15" customHeight="1" s="155">
      <c r="A476" s="134">
        <f>ric!B476</f>
        <v/>
      </c>
      <c r="B476" s="118">
        <f>ric!C476</f>
        <v/>
      </c>
      <c r="C476" s="125">
        <f>ric!D476</f>
        <v/>
      </c>
      <c r="D476" s="125" t="n"/>
      <c r="E476" s="125" t="n"/>
      <c r="F476" s="125" t="n"/>
      <c r="G476" s="118">
        <f>CONCATENATE(A476, " ",#REF!, " / ",H476)</f>
        <v/>
      </c>
      <c r="H476" s="118" t="n"/>
      <c r="I476" s="119">
        <f>CONCATENATE(M476," - ",J476," - Lotto N° ",K476,"")</f>
        <v/>
      </c>
      <c r="J476" s="118" t="n"/>
      <c r="K476" s="118">
        <f>VLOOKUP(#REF!,Produzione,7,FALSE)</f>
        <v/>
      </c>
      <c r="L476" s="120" t="n"/>
      <c r="M476" s="120" t="n"/>
      <c r="N476" s="118" t="n"/>
      <c r="O476" s="121" t="n"/>
      <c r="P476" s="121" t="n"/>
      <c r="Q476" s="166">
        <f>TODAY()</f>
        <v/>
      </c>
      <c r="R476" s="165">
        <f>ElencoProdotti[[#This Row],[PRODUZIONE]]+20</f>
        <v/>
      </c>
      <c r="S476" s="165">
        <f>TODAY()</f>
        <v/>
      </c>
      <c r="T476" s="133">
        <f>CONCATENATE(A476," - contiene allergni - prodotto il giorno ",TEXT(Q476,"gg/mm/aaaa"),"")</f>
        <v/>
      </c>
    </row>
    <row r="477" ht="15" customHeight="1" s="155">
      <c r="A477" s="134">
        <f>ric!B477</f>
        <v/>
      </c>
      <c r="B477" s="118">
        <f>ric!C477</f>
        <v/>
      </c>
      <c r="C477" s="125">
        <f>ric!D477</f>
        <v/>
      </c>
      <c r="D477" s="125" t="n"/>
      <c r="E477" s="125" t="n"/>
      <c r="F477" s="125" t="n"/>
      <c r="G477" s="118">
        <f>CONCATENATE(A477, " ",#REF!, " / ",H477)</f>
        <v/>
      </c>
      <c r="H477" s="118" t="n"/>
      <c r="I477" s="119">
        <f>CONCATENATE(M477," - ",J477," - Lotto N° ",K477,"")</f>
        <v/>
      </c>
      <c r="J477" s="118" t="n"/>
      <c r="K477" s="118">
        <f>VLOOKUP(#REF!,Produzione,7,FALSE)</f>
        <v/>
      </c>
      <c r="L477" s="120" t="n"/>
      <c r="M477" s="120" t="n"/>
      <c r="N477" s="118" t="n"/>
      <c r="O477" s="121" t="n"/>
      <c r="P477" s="121" t="n"/>
      <c r="Q477" s="166">
        <f>TODAY()</f>
        <v/>
      </c>
      <c r="R477" s="165">
        <f>ElencoProdotti[[#This Row],[PRODUZIONE]]+20</f>
        <v/>
      </c>
      <c r="S477" s="165">
        <f>TODAY()</f>
        <v/>
      </c>
      <c r="T477" s="133">
        <f>CONCATENATE(A477," - contiene allergni - prodotto il giorno ",TEXT(Q477,"gg/mm/aaaa"),"")</f>
        <v/>
      </c>
    </row>
    <row r="478" ht="15" customHeight="1" s="155">
      <c r="A478" s="134">
        <f>ric!B478</f>
        <v/>
      </c>
      <c r="B478" s="118">
        <f>ric!C478</f>
        <v/>
      </c>
      <c r="C478" s="125">
        <f>ric!D478</f>
        <v/>
      </c>
      <c r="D478" s="125" t="n"/>
      <c r="E478" s="125" t="n"/>
      <c r="F478" s="125" t="n"/>
      <c r="G478" s="118">
        <f>CONCATENATE(A478, " ",#REF!, " / ",H478)</f>
        <v/>
      </c>
      <c r="H478" s="118" t="n"/>
      <c r="I478" s="119">
        <f>CONCATENATE(M478," - ",J478," - Lotto N° ",K478,"")</f>
        <v/>
      </c>
      <c r="J478" s="118" t="n"/>
      <c r="K478" s="118">
        <f>VLOOKUP(#REF!,Produzione,7,FALSE)</f>
        <v/>
      </c>
      <c r="L478" s="120" t="n"/>
      <c r="M478" s="120" t="n"/>
      <c r="N478" s="118" t="n"/>
      <c r="O478" s="121" t="n"/>
      <c r="P478" s="121" t="n"/>
      <c r="Q478" s="166">
        <f>TODAY()</f>
        <v/>
      </c>
      <c r="R478" s="165">
        <f>ElencoProdotti[[#This Row],[PRODUZIONE]]+20</f>
        <v/>
      </c>
      <c r="S478" s="165">
        <f>TODAY()</f>
        <v/>
      </c>
      <c r="T478" s="133">
        <f>CONCATENATE(A478," - contiene allergni - prodotto il giorno ",TEXT(Q478,"gg/mm/aaaa"),"")</f>
        <v/>
      </c>
    </row>
    <row r="479" ht="15" customHeight="1" s="155">
      <c r="A479" s="134">
        <f>ric!B479</f>
        <v/>
      </c>
      <c r="B479" s="118">
        <f>ric!C479</f>
        <v/>
      </c>
      <c r="C479" s="125">
        <f>ric!D479</f>
        <v/>
      </c>
      <c r="D479" s="125" t="n"/>
      <c r="E479" s="125" t="n"/>
      <c r="F479" s="125" t="n"/>
      <c r="G479" s="118">
        <f>CONCATENATE(A479, " ",#REF!, " / ",H479)</f>
        <v/>
      </c>
      <c r="H479" s="118" t="n"/>
      <c r="I479" s="119">
        <f>CONCATENATE(M479," - ",J479," - Lotto N° ",K479,"")</f>
        <v/>
      </c>
      <c r="J479" s="118" t="n"/>
      <c r="K479" s="118">
        <f>VLOOKUP(#REF!,Produzione,7,FALSE)</f>
        <v/>
      </c>
      <c r="L479" s="120" t="n"/>
      <c r="M479" s="120" t="n"/>
      <c r="N479" s="118" t="n"/>
      <c r="O479" s="121" t="n"/>
      <c r="P479" s="121" t="n"/>
      <c r="Q479" s="166">
        <f>TODAY()</f>
        <v/>
      </c>
      <c r="R479" s="165">
        <f>ElencoProdotti[[#This Row],[PRODUZIONE]]+20</f>
        <v/>
      </c>
      <c r="S479" s="165">
        <f>TODAY()</f>
        <v/>
      </c>
      <c r="T479" s="133">
        <f>CONCATENATE(A479," - contiene allergni - prodotto il giorno ",TEXT(Q479,"gg/mm/aaaa"),"")</f>
        <v/>
      </c>
    </row>
    <row r="480" ht="15" customHeight="1" s="155">
      <c r="A480" s="134">
        <f>ric!B480</f>
        <v/>
      </c>
      <c r="B480" s="118">
        <f>ric!C480</f>
        <v/>
      </c>
      <c r="C480" s="125">
        <f>ric!D480</f>
        <v/>
      </c>
      <c r="D480" s="125" t="n"/>
      <c r="E480" s="125" t="n"/>
      <c r="F480" s="125" t="n"/>
      <c r="G480" s="118">
        <f>CONCATENATE(A480, " ",#REF!, " / ",H480)</f>
        <v/>
      </c>
      <c r="H480" s="118" t="n"/>
      <c r="I480" s="119">
        <f>CONCATENATE(M480," - ",J480," - Lotto N° ",K480,"")</f>
        <v/>
      </c>
      <c r="J480" s="118" t="n"/>
      <c r="K480" s="118">
        <f>VLOOKUP(#REF!,Produzione,7,FALSE)</f>
        <v/>
      </c>
      <c r="L480" s="120" t="n"/>
      <c r="M480" s="120" t="n"/>
      <c r="N480" s="118" t="n"/>
      <c r="O480" s="121" t="n"/>
      <c r="P480" s="121" t="n"/>
      <c r="Q480" s="166">
        <f>TODAY()</f>
        <v/>
      </c>
      <c r="R480" s="165">
        <f>ElencoProdotti[[#This Row],[PRODUZIONE]]+20</f>
        <v/>
      </c>
      <c r="S480" s="165">
        <f>TODAY()</f>
        <v/>
      </c>
      <c r="T480" s="133">
        <f>CONCATENATE(A480," - contiene allergni - prodotto il giorno ",TEXT(Q480,"gg/mm/aaaa"),"")</f>
        <v/>
      </c>
    </row>
    <row r="481" ht="15" customHeight="1" s="155">
      <c r="A481" s="134">
        <f>ric!B481</f>
        <v/>
      </c>
      <c r="B481" s="118">
        <f>ric!C481</f>
        <v/>
      </c>
      <c r="C481" s="125">
        <f>ric!D481</f>
        <v/>
      </c>
      <c r="D481" s="125" t="n"/>
      <c r="E481" s="125" t="n"/>
      <c r="F481" s="125" t="n"/>
      <c r="G481" s="118">
        <f>CONCATENATE(A481, " ",#REF!, " / ",H481)</f>
        <v/>
      </c>
      <c r="H481" s="118" t="n"/>
      <c r="I481" s="119">
        <f>CONCATENATE(M481," - ",J481," - Lotto N° ",K481,"")</f>
        <v/>
      </c>
      <c r="J481" s="118" t="n"/>
      <c r="K481" s="118">
        <f>VLOOKUP(#REF!,Produzione,7,FALSE)</f>
        <v/>
      </c>
      <c r="L481" s="120" t="n"/>
      <c r="M481" s="120" t="n"/>
      <c r="N481" s="118" t="n"/>
      <c r="O481" s="121" t="n"/>
      <c r="P481" s="121" t="n"/>
      <c r="Q481" s="166">
        <f>TODAY()</f>
        <v/>
      </c>
      <c r="R481" s="165">
        <f>ElencoProdotti[[#This Row],[PRODUZIONE]]+20</f>
        <v/>
      </c>
      <c r="S481" s="165">
        <f>TODAY()</f>
        <v/>
      </c>
      <c r="T481" s="133">
        <f>CONCATENATE(A481," - contiene allergni - prodotto il giorno ",TEXT(Q481,"gg/mm/aaaa"),"")</f>
        <v/>
      </c>
    </row>
    <row r="482" ht="15" customHeight="1" s="155">
      <c r="A482" s="134">
        <f>ric!B482</f>
        <v/>
      </c>
      <c r="B482" s="118">
        <f>ric!C482</f>
        <v/>
      </c>
      <c r="C482" s="125">
        <f>ric!D482</f>
        <v/>
      </c>
      <c r="D482" s="125" t="n"/>
      <c r="E482" s="125" t="n"/>
      <c r="F482" s="125" t="n"/>
      <c r="G482" s="118">
        <f>CONCATENATE(A482, " ",#REF!, " / ",H482)</f>
        <v/>
      </c>
      <c r="H482" s="118" t="n"/>
      <c r="I482" s="119">
        <f>CONCATENATE(M482," - ",J482," - Lotto N° ",K482,"")</f>
        <v/>
      </c>
      <c r="J482" s="118" t="n"/>
      <c r="K482" s="118">
        <f>VLOOKUP(#REF!,Produzione,7,FALSE)</f>
        <v/>
      </c>
      <c r="L482" s="120" t="n"/>
      <c r="M482" s="120" t="n"/>
      <c r="N482" s="118" t="n"/>
      <c r="O482" s="121" t="n"/>
      <c r="P482" s="121" t="n"/>
      <c r="Q482" s="166">
        <f>TODAY()</f>
        <v/>
      </c>
      <c r="R482" s="165">
        <f>ElencoProdotti[[#This Row],[PRODUZIONE]]+20</f>
        <v/>
      </c>
      <c r="S482" s="165">
        <f>TODAY()</f>
        <v/>
      </c>
      <c r="T482" s="133">
        <f>CONCATENATE(A482," - contiene allergni - prodotto il giorno ",TEXT(Q482,"gg/mm/aaaa"),"")</f>
        <v/>
      </c>
    </row>
    <row r="483" ht="15" customHeight="1" s="155">
      <c r="A483" s="134">
        <f>ric!B483</f>
        <v/>
      </c>
      <c r="B483" s="118">
        <f>ric!C483</f>
        <v/>
      </c>
      <c r="C483" s="125">
        <f>ric!D483</f>
        <v/>
      </c>
      <c r="D483" s="125" t="n"/>
      <c r="E483" s="125" t="n"/>
      <c r="F483" s="125" t="n"/>
      <c r="G483" s="118">
        <f>CONCATENATE(A483, " ",#REF!, " / ",H483)</f>
        <v/>
      </c>
      <c r="H483" s="118" t="n"/>
      <c r="I483" s="119">
        <f>CONCATENATE(M483," - ",J483," - Lotto N° ",K483,"")</f>
        <v/>
      </c>
      <c r="J483" s="118" t="n"/>
      <c r="K483" s="118">
        <f>VLOOKUP(#REF!,Produzione,7,FALSE)</f>
        <v/>
      </c>
      <c r="L483" s="120" t="n"/>
      <c r="M483" s="120" t="n"/>
      <c r="N483" s="118" t="n"/>
      <c r="O483" s="121" t="n"/>
      <c r="P483" s="121" t="n"/>
      <c r="Q483" s="166">
        <f>TODAY()</f>
        <v/>
      </c>
      <c r="R483" s="165">
        <f>ElencoProdotti[[#This Row],[PRODUZIONE]]+20</f>
        <v/>
      </c>
      <c r="S483" s="165">
        <f>TODAY()</f>
        <v/>
      </c>
      <c r="T483" s="133">
        <f>CONCATENATE(A483," - contiene allergni - prodotto il giorno ",TEXT(Q483,"gg/mm/aaaa"),"")</f>
        <v/>
      </c>
    </row>
    <row r="484" ht="15" customHeight="1" s="155">
      <c r="A484" s="134">
        <f>ric!B484</f>
        <v/>
      </c>
      <c r="B484" s="118">
        <f>ric!C484</f>
        <v/>
      </c>
      <c r="C484" s="125">
        <f>ric!D484</f>
        <v/>
      </c>
      <c r="D484" s="125" t="n"/>
      <c r="E484" s="125" t="n"/>
      <c r="F484" s="125" t="n"/>
      <c r="G484" s="118">
        <f>CONCATENATE(A484, " ",#REF!, " / ",H484)</f>
        <v/>
      </c>
      <c r="H484" s="118" t="n"/>
      <c r="I484" s="119">
        <f>CONCATENATE(M484," - ",J484," - Lotto N° ",K484,"")</f>
        <v/>
      </c>
      <c r="J484" s="118" t="n"/>
      <c r="K484" s="118">
        <f>VLOOKUP(#REF!,Produzione,7,FALSE)</f>
        <v/>
      </c>
      <c r="L484" s="120" t="n"/>
      <c r="M484" s="120" t="n"/>
      <c r="N484" s="118" t="n"/>
      <c r="O484" s="121" t="n"/>
      <c r="P484" s="121" t="n"/>
      <c r="Q484" s="166">
        <f>TODAY()</f>
        <v/>
      </c>
      <c r="R484" s="165">
        <f>ElencoProdotti[[#This Row],[PRODUZIONE]]+20</f>
        <v/>
      </c>
      <c r="S484" s="165">
        <f>TODAY()</f>
        <v/>
      </c>
      <c r="T484" s="133">
        <f>CONCATENATE(A484," - contiene allergni - prodotto il giorno ",TEXT(Q484,"gg/mm/aaaa"),"")</f>
        <v/>
      </c>
    </row>
    <row r="485" ht="15" customHeight="1" s="155">
      <c r="A485" s="134">
        <f>ric!B485</f>
        <v/>
      </c>
      <c r="B485" s="118">
        <f>ric!C485</f>
        <v/>
      </c>
      <c r="C485" s="125">
        <f>ric!D485</f>
        <v/>
      </c>
      <c r="D485" s="125" t="n"/>
      <c r="E485" s="125" t="n"/>
      <c r="F485" s="125" t="n"/>
      <c r="G485" s="118">
        <f>CONCATENATE(A485, " ",#REF!, " / ",H485)</f>
        <v/>
      </c>
      <c r="H485" s="118" t="n"/>
      <c r="I485" s="119">
        <f>CONCATENATE(M485," - ",J485," - Lotto N° ",K485,"")</f>
        <v/>
      </c>
      <c r="J485" s="118" t="n"/>
      <c r="K485" s="118">
        <f>VLOOKUP(#REF!,Produzione,7,FALSE)</f>
        <v/>
      </c>
      <c r="L485" s="120" t="n"/>
      <c r="M485" s="120" t="n"/>
      <c r="N485" s="118" t="n"/>
      <c r="O485" s="121" t="n"/>
      <c r="P485" s="121" t="n"/>
      <c r="Q485" s="166">
        <f>TODAY()</f>
        <v/>
      </c>
      <c r="R485" s="165">
        <f>ElencoProdotti[[#This Row],[PRODUZIONE]]+20</f>
        <v/>
      </c>
      <c r="S485" s="165">
        <f>TODAY()</f>
        <v/>
      </c>
      <c r="T485" s="133">
        <f>CONCATENATE(A485," - contiene allergni - prodotto il giorno ",TEXT(Q485,"gg/mm/aaaa"),"")</f>
        <v/>
      </c>
    </row>
    <row r="486" ht="15" customHeight="1" s="155">
      <c r="A486" s="134">
        <f>ric!B486</f>
        <v/>
      </c>
      <c r="B486" s="118">
        <f>ric!C486</f>
        <v/>
      </c>
      <c r="C486" s="125">
        <f>ric!D486</f>
        <v/>
      </c>
      <c r="D486" s="125" t="n"/>
      <c r="E486" s="125" t="n"/>
      <c r="F486" s="125" t="n"/>
      <c r="G486" s="118">
        <f>CONCATENATE(A486, " ",#REF!, " / ",H486)</f>
        <v/>
      </c>
      <c r="H486" s="118" t="n"/>
      <c r="I486" s="119">
        <f>CONCATENATE(M486," - ",J486," - Lotto N° ",K486,"")</f>
        <v/>
      </c>
      <c r="J486" s="118" t="n"/>
      <c r="K486" s="118">
        <f>VLOOKUP(#REF!,Produzione,7,FALSE)</f>
        <v/>
      </c>
      <c r="L486" s="120" t="n"/>
      <c r="M486" s="120" t="n"/>
      <c r="N486" s="118" t="n"/>
      <c r="O486" s="121" t="n"/>
      <c r="P486" s="121" t="n"/>
      <c r="Q486" s="166">
        <f>TODAY()</f>
        <v/>
      </c>
      <c r="R486" s="165">
        <f>ElencoProdotti[[#This Row],[PRODUZIONE]]+20</f>
        <v/>
      </c>
      <c r="S486" s="165">
        <f>TODAY()</f>
        <v/>
      </c>
      <c r="T486" s="133">
        <f>CONCATENATE(A486," - contiene allergni - prodotto il giorno ",TEXT(Q486,"gg/mm/aaaa"),"")</f>
        <v/>
      </c>
    </row>
    <row r="487" ht="15" customHeight="1" s="155">
      <c r="A487" s="134">
        <f>ric!B487</f>
        <v/>
      </c>
      <c r="B487" s="118">
        <f>ric!C487</f>
        <v/>
      </c>
      <c r="C487" s="125">
        <f>ric!D487</f>
        <v/>
      </c>
      <c r="D487" s="125" t="n"/>
      <c r="E487" s="125" t="n"/>
      <c r="F487" s="125" t="n"/>
      <c r="G487" s="118">
        <f>CONCATENATE(A487, " ",#REF!, " / ",H487)</f>
        <v/>
      </c>
      <c r="H487" s="118" t="n"/>
      <c r="I487" s="119">
        <f>CONCATENATE(M487," - ",J487," - Lotto N° ",K487,"")</f>
        <v/>
      </c>
      <c r="J487" s="118" t="n"/>
      <c r="K487" s="118">
        <f>VLOOKUP(#REF!,Produzione,7,FALSE)</f>
        <v/>
      </c>
      <c r="L487" s="120" t="n"/>
      <c r="M487" s="120" t="n"/>
      <c r="N487" s="118" t="n"/>
      <c r="O487" s="121" t="n"/>
      <c r="P487" s="121" t="n"/>
      <c r="Q487" s="166">
        <f>TODAY()</f>
        <v/>
      </c>
      <c r="R487" s="165">
        <f>ElencoProdotti[[#This Row],[PRODUZIONE]]+20</f>
        <v/>
      </c>
      <c r="S487" s="165">
        <f>TODAY()</f>
        <v/>
      </c>
      <c r="T487" s="133">
        <f>CONCATENATE(A487," - contiene allergni - prodotto il giorno ",TEXT(Q487,"gg/mm/aaaa"),"")</f>
        <v/>
      </c>
    </row>
    <row r="488" ht="15" customHeight="1" s="155">
      <c r="A488" s="134">
        <f>ric!B488</f>
        <v/>
      </c>
      <c r="B488" s="118">
        <f>ric!C488</f>
        <v/>
      </c>
      <c r="C488" s="125">
        <f>ric!D488</f>
        <v/>
      </c>
      <c r="D488" s="125" t="n"/>
      <c r="E488" s="125" t="n"/>
      <c r="F488" s="125" t="n"/>
      <c r="G488" s="118">
        <f>CONCATENATE(A488, " ",#REF!, " / ",H488)</f>
        <v/>
      </c>
      <c r="H488" s="118" t="n"/>
      <c r="I488" s="119">
        <f>CONCATENATE(M488," - ",J488," - Lotto N° ",K488,"")</f>
        <v/>
      </c>
      <c r="J488" s="118" t="n"/>
      <c r="K488" s="118">
        <f>VLOOKUP(#REF!,Produzione,7,FALSE)</f>
        <v/>
      </c>
      <c r="L488" s="120" t="n"/>
      <c r="M488" s="120" t="n"/>
      <c r="N488" s="118" t="n"/>
      <c r="O488" s="121" t="n"/>
      <c r="P488" s="121" t="n"/>
      <c r="Q488" s="166">
        <f>TODAY()</f>
        <v/>
      </c>
      <c r="R488" s="165">
        <f>ElencoProdotti[[#This Row],[PRODUZIONE]]+20</f>
        <v/>
      </c>
      <c r="S488" s="165">
        <f>TODAY()</f>
        <v/>
      </c>
      <c r="T488" s="133">
        <f>CONCATENATE(A488," - contiene allergni - prodotto il giorno ",TEXT(Q488,"gg/mm/aaaa"),"")</f>
        <v/>
      </c>
    </row>
    <row r="489" ht="15" customHeight="1" s="155">
      <c r="A489" s="134">
        <f>ric!B489</f>
        <v/>
      </c>
      <c r="B489" s="118">
        <f>ric!C489</f>
        <v/>
      </c>
      <c r="C489" s="125">
        <f>ric!D489</f>
        <v/>
      </c>
      <c r="D489" s="125" t="n"/>
      <c r="E489" s="125" t="n"/>
      <c r="F489" s="125" t="n"/>
      <c r="G489" s="118">
        <f>CONCATENATE(A489, " ",#REF!, " / ",H489)</f>
        <v/>
      </c>
      <c r="H489" s="118" t="n"/>
      <c r="I489" s="119">
        <f>CONCATENATE(M489," - ",J489," - Lotto N° ",K489,"")</f>
        <v/>
      </c>
      <c r="J489" s="118" t="n"/>
      <c r="K489" s="118">
        <f>VLOOKUP(#REF!,Produzione,7,FALSE)</f>
        <v/>
      </c>
      <c r="L489" s="120" t="n"/>
      <c r="M489" s="120" t="n"/>
      <c r="N489" s="118" t="n"/>
      <c r="O489" s="121" t="n"/>
      <c r="P489" s="121" t="n"/>
      <c r="Q489" s="166">
        <f>TODAY()</f>
        <v/>
      </c>
      <c r="R489" s="165">
        <f>ElencoProdotti[[#This Row],[PRODUZIONE]]+20</f>
        <v/>
      </c>
      <c r="S489" s="165">
        <f>TODAY()</f>
        <v/>
      </c>
      <c r="T489" s="133">
        <f>CONCATENATE(A489," - contiene allergni - prodotto il giorno ",TEXT(Q489,"gg/mm/aaaa"),"")</f>
        <v/>
      </c>
    </row>
    <row r="490" ht="15" customHeight="1" s="155">
      <c r="A490" s="134">
        <f>ric!B490</f>
        <v/>
      </c>
      <c r="B490" s="118">
        <f>ric!C490</f>
        <v/>
      </c>
      <c r="C490" s="125">
        <f>ric!D490</f>
        <v/>
      </c>
      <c r="D490" s="125" t="n"/>
      <c r="E490" s="125" t="n"/>
      <c r="F490" s="125" t="n"/>
      <c r="G490" s="118">
        <f>CONCATENATE(A490, " ",#REF!, " / ",H490)</f>
        <v/>
      </c>
      <c r="H490" s="118" t="n"/>
      <c r="I490" s="119">
        <f>CONCATENATE(M490," - ",J490," - Lotto N° ",K490,"")</f>
        <v/>
      </c>
      <c r="J490" s="118" t="n"/>
      <c r="K490" s="118">
        <f>VLOOKUP(#REF!,Produzione,7,FALSE)</f>
        <v/>
      </c>
      <c r="L490" s="120" t="n"/>
      <c r="M490" s="120" t="n"/>
      <c r="N490" s="118" t="n"/>
      <c r="O490" s="121" t="n"/>
      <c r="P490" s="121" t="n"/>
      <c r="Q490" s="166">
        <f>TODAY()</f>
        <v/>
      </c>
      <c r="R490" s="165">
        <f>ElencoProdotti[[#This Row],[PRODUZIONE]]+20</f>
        <v/>
      </c>
      <c r="S490" s="165">
        <f>TODAY()</f>
        <v/>
      </c>
      <c r="T490" s="133">
        <f>CONCATENATE(A490," - contiene allergni - prodotto il giorno ",TEXT(Q490,"gg/mm/aaaa"),"")</f>
        <v/>
      </c>
    </row>
    <row r="491" ht="15" customHeight="1" s="155">
      <c r="A491" s="134">
        <f>ric!B491</f>
        <v/>
      </c>
      <c r="B491" s="118">
        <f>ric!C491</f>
        <v/>
      </c>
      <c r="C491" s="125">
        <f>ric!D491</f>
        <v/>
      </c>
      <c r="D491" s="125" t="n"/>
      <c r="E491" s="125" t="n"/>
      <c r="F491" s="125" t="n"/>
      <c r="G491" s="118">
        <f>CONCATENATE(A491, " ",#REF!, " / ",H491)</f>
        <v/>
      </c>
      <c r="H491" s="118" t="n"/>
      <c r="I491" s="119">
        <f>CONCATENATE(M491," - ",J491," - Lotto N° ",K491,"")</f>
        <v/>
      </c>
      <c r="J491" s="118" t="n"/>
      <c r="K491" s="118">
        <f>VLOOKUP(#REF!,Produzione,7,FALSE)</f>
        <v/>
      </c>
      <c r="L491" s="120" t="n"/>
      <c r="M491" s="120" t="n"/>
      <c r="N491" s="118" t="n"/>
      <c r="O491" s="121" t="n"/>
      <c r="P491" s="121" t="n"/>
      <c r="Q491" s="166">
        <f>TODAY()</f>
        <v/>
      </c>
      <c r="R491" s="165">
        <f>ElencoProdotti[[#This Row],[PRODUZIONE]]+20</f>
        <v/>
      </c>
      <c r="S491" s="165">
        <f>TODAY()</f>
        <v/>
      </c>
      <c r="T491" s="133">
        <f>CONCATENATE(A491," - contiene allergni - prodotto il giorno ",TEXT(Q491,"gg/mm/aaaa"),"")</f>
        <v/>
      </c>
    </row>
    <row r="492" ht="15" customHeight="1" s="155">
      <c r="A492" s="134">
        <f>ric!B492</f>
        <v/>
      </c>
      <c r="B492" s="118">
        <f>ric!C492</f>
        <v/>
      </c>
      <c r="C492" s="125">
        <f>ric!D492</f>
        <v/>
      </c>
      <c r="D492" s="125" t="n"/>
      <c r="E492" s="125" t="n"/>
      <c r="F492" s="125" t="n"/>
      <c r="G492" s="118">
        <f>CONCATENATE(A492, " ",#REF!, " / ",H492)</f>
        <v/>
      </c>
      <c r="H492" s="118" t="n"/>
      <c r="I492" s="119">
        <f>CONCATENATE(M492," - ",J492," - Lotto N° ",K492,"")</f>
        <v/>
      </c>
      <c r="J492" s="118" t="n"/>
      <c r="K492" s="118">
        <f>VLOOKUP(#REF!,Produzione,7,FALSE)</f>
        <v/>
      </c>
      <c r="L492" s="120" t="n"/>
      <c r="M492" s="120" t="n"/>
      <c r="N492" s="118" t="n"/>
      <c r="O492" s="121" t="n"/>
      <c r="P492" s="121" t="n"/>
      <c r="Q492" s="166">
        <f>TODAY()</f>
        <v/>
      </c>
      <c r="R492" s="165">
        <f>ElencoProdotti[[#This Row],[PRODUZIONE]]+20</f>
        <v/>
      </c>
      <c r="S492" s="165">
        <f>TODAY()</f>
        <v/>
      </c>
      <c r="T492" s="133">
        <f>CONCATENATE(A492," - contiene allergni - prodotto il giorno ",TEXT(Q492,"gg/mm/aaaa"),"")</f>
        <v/>
      </c>
    </row>
    <row r="493" ht="15" customHeight="1" s="155">
      <c r="A493" s="134">
        <f>ric!B493</f>
        <v/>
      </c>
      <c r="B493" s="118">
        <f>ric!C493</f>
        <v/>
      </c>
      <c r="C493" s="125">
        <f>ric!D493</f>
        <v/>
      </c>
      <c r="D493" s="125" t="n"/>
      <c r="E493" s="125" t="n"/>
      <c r="F493" s="125" t="n"/>
      <c r="G493" s="118">
        <f>CONCATENATE(A493, " ",#REF!, " / ",H493)</f>
        <v/>
      </c>
      <c r="H493" s="118" t="n"/>
      <c r="I493" s="119">
        <f>CONCATENATE(M493," - ",J493," - Lotto N° ",K493,"")</f>
        <v/>
      </c>
      <c r="J493" s="118" t="n"/>
      <c r="K493" s="118">
        <f>VLOOKUP(#REF!,Produzione,7,FALSE)</f>
        <v/>
      </c>
      <c r="L493" s="120" t="n"/>
      <c r="M493" s="120" t="n"/>
      <c r="N493" s="118" t="n"/>
      <c r="O493" s="121" t="n"/>
      <c r="P493" s="121" t="n"/>
      <c r="Q493" s="166">
        <f>TODAY()</f>
        <v/>
      </c>
      <c r="R493" s="165">
        <f>ElencoProdotti[[#This Row],[PRODUZIONE]]+20</f>
        <v/>
      </c>
      <c r="S493" s="165">
        <f>TODAY()</f>
        <v/>
      </c>
      <c r="T493" s="133">
        <f>CONCATENATE(A493," - contiene allergni - prodotto il giorno ",TEXT(Q493,"gg/mm/aaaa"),"")</f>
        <v/>
      </c>
    </row>
    <row r="494" ht="15" customHeight="1" s="155">
      <c r="A494" s="134">
        <f>ric!B494</f>
        <v/>
      </c>
      <c r="B494" s="118">
        <f>ric!C494</f>
        <v/>
      </c>
      <c r="C494" s="125">
        <f>ric!D494</f>
        <v/>
      </c>
      <c r="D494" s="125" t="n"/>
      <c r="E494" s="125" t="n"/>
      <c r="F494" s="125" t="n"/>
      <c r="G494" s="118">
        <f>CONCATENATE(A494, " ",#REF!, " / ",H494)</f>
        <v/>
      </c>
      <c r="H494" s="118" t="n"/>
      <c r="I494" s="119">
        <f>CONCATENATE(M494," - ",J494," - Lotto N° ",K494,"")</f>
        <v/>
      </c>
      <c r="J494" s="118" t="n"/>
      <c r="K494" s="118">
        <f>VLOOKUP(#REF!,Produzione,7,FALSE)</f>
        <v/>
      </c>
      <c r="L494" s="120" t="n"/>
      <c r="M494" s="120" t="n"/>
      <c r="N494" s="118" t="n"/>
      <c r="O494" s="121" t="n"/>
      <c r="P494" s="121" t="n"/>
      <c r="Q494" s="166">
        <f>TODAY()</f>
        <v/>
      </c>
      <c r="R494" s="165">
        <f>ElencoProdotti[[#This Row],[PRODUZIONE]]+20</f>
        <v/>
      </c>
      <c r="S494" s="165">
        <f>TODAY()</f>
        <v/>
      </c>
      <c r="T494" s="133">
        <f>CONCATENATE(A494," - contiene allergni - prodotto il giorno ",TEXT(Q494,"gg/mm/aaaa"),"")</f>
        <v/>
      </c>
    </row>
    <row r="495" ht="15" customHeight="1" s="155">
      <c r="A495" s="134">
        <f>ric!B495</f>
        <v/>
      </c>
      <c r="B495" s="118">
        <f>ric!C495</f>
        <v/>
      </c>
      <c r="C495" s="125">
        <f>ric!D495</f>
        <v/>
      </c>
      <c r="D495" s="125" t="n"/>
      <c r="E495" s="125" t="n"/>
      <c r="F495" s="125" t="n"/>
      <c r="G495" s="118">
        <f>CONCATENATE(A495, " ",#REF!, " / ",H495)</f>
        <v/>
      </c>
      <c r="H495" s="118" t="n"/>
      <c r="I495" s="119">
        <f>CONCATENATE(M495," - ",J495," - Lotto N° ",K495,"")</f>
        <v/>
      </c>
      <c r="J495" s="118" t="n"/>
      <c r="K495" s="118">
        <f>VLOOKUP(#REF!,Produzione,7,FALSE)</f>
        <v/>
      </c>
      <c r="L495" s="120" t="n"/>
      <c r="M495" s="120" t="n"/>
      <c r="N495" s="118" t="n"/>
      <c r="O495" s="121" t="n"/>
      <c r="P495" s="121" t="n"/>
      <c r="Q495" s="166">
        <f>TODAY()</f>
        <v/>
      </c>
      <c r="R495" s="165">
        <f>ElencoProdotti[[#This Row],[PRODUZIONE]]+20</f>
        <v/>
      </c>
      <c r="S495" s="165">
        <f>TODAY()</f>
        <v/>
      </c>
      <c r="T495" s="133">
        <f>CONCATENATE(A495," - contiene allergni - prodotto il giorno ",TEXT(Q495,"gg/mm/aaaa"),"")</f>
        <v/>
      </c>
    </row>
    <row r="496" ht="15" customHeight="1" s="155">
      <c r="A496" s="134">
        <f>ric!B496</f>
        <v/>
      </c>
      <c r="B496" s="118">
        <f>ric!C496</f>
        <v/>
      </c>
      <c r="C496" s="125">
        <f>ric!D496</f>
        <v/>
      </c>
      <c r="D496" s="125" t="n"/>
      <c r="E496" s="125" t="n"/>
      <c r="F496" s="125" t="n"/>
      <c r="G496" s="118">
        <f>CONCATENATE(A496, " ",#REF!, " / ",H496)</f>
        <v/>
      </c>
      <c r="H496" s="118" t="n"/>
      <c r="I496" s="119">
        <f>CONCATENATE(M496," - ",J496," - Lotto N° ",K496,"")</f>
        <v/>
      </c>
      <c r="J496" s="118" t="n"/>
      <c r="K496" s="118">
        <f>VLOOKUP(#REF!,Produzione,7,FALSE)</f>
        <v/>
      </c>
      <c r="L496" s="120" t="n"/>
      <c r="M496" s="120" t="n"/>
      <c r="N496" s="118" t="n"/>
      <c r="O496" s="121" t="n"/>
      <c r="P496" s="121" t="n"/>
      <c r="Q496" s="166">
        <f>TODAY()</f>
        <v/>
      </c>
      <c r="R496" s="165">
        <f>ElencoProdotti[[#This Row],[PRODUZIONE]]+20</f>
        <v/>
      </c>
      <c r="S496" s="165">
        <f>TODAY()</f>
        <v/>
      </c>
      <c r="T496" s="133">
        <f>CONCATENATE(A496," - contiene allergni - prodotto il giorno ",TEXT(Q496,"gg/mm/aaaa"),"")</f>
        <v/>
      </c>
    </row>
    <row r="497" ht="15" customHeight="1" s="155">
      <c r="A497" s="134">
        <f>ric!B497</f>
        <v/>
      </c>
      <c r="B497" s="118">
        <f>ric!C497</f>
        <v/>
      </c>
      <c r="C497" s="125">
        <f>ric!D497</f>
        <v/>
      </c>
      <c r="D497" s="125" t="n"/>
      <c r="E497" s="125" t="n"/>
      <c r="F497" s="125" t="n"/>
      <c r="G497" s="118">
        <f>CONCATENATE(A497, " ",#REF!, " / ",H497)</f>
        <v/>
      </c>
      <c r="H497" s="118" t="n"/>
      <c r="I497" s="119">
        <f>CONCATENATE(M497," - ",J497," - Lotto N° ",K497,"")</f>
        <v/>
      </c>
      <c r="J497" s="118" t="n"/>
      <c r="K497" s="118">
        <f>VLOOKUP(#REF!,Produzione,7,FALSE)</f>
        <v/>
      </c>
      <c r="L497" s="120" t="n"/>
      <c r="M497" s="120" t="n"/>
      <c r="N497" s="118" t="n"/>
      <c r="O497" s="121" t="n"/>
      <c r="P497" s="121" t="n"/>
      <c r="Q497" s="166">
        <f>TODAY()</f>
        <v/>
      </c>
      <c r="R497" s="165">
        <f>ElencoProdotti[[#This Row],[PRODUZIONE]]+20</f>
        <v/>
      </c>
      <c r="S497" s="165">
        <f>TODAY()</f>
        <v/>
      </c>
      <c r="T497" s="133">
        <f>CONCATENATE(A497," - contiene allergni - prodotto il giorno ",TEXT(Q497,"gg/mm/aaaa"),"")</f>
        <v/>
      </c>
    </row>
    <row r="498" ht="15" customHeight="1" s="155">
      <c r="A498" s="134">
        <f>ric!B498</f>
        <v/>
      </c>
      <c r="B498" s="118">
        <f>ric!C498</f>
        <v/>
      </c>
      <c r="C498" s="125">
        <f>ric!D498</f>
        <v/>
      </c>
      <c r="D498" s="125" t="n"/>
      <c r="E498" s="125" t="n"/>
      <c r="F498" s="125" t="n"/>
      <c r="G498" s="118">
        <f>CONCATENATE(A498, " ",#REF!, " / ",H498)</f>
        <v/>
      </c>
      <c r="H498" s="118" t="n"/>
      <c r="I498" s="119">
        <f>CONCATENATE(M498," - ",J498," - Lotto N° ",K498,"")</f>
        <v/>
      </c>
      <c r="J498" s="118" t="n"/>
      <c r="K498" s="118">
        <f>VLOOKUP(#REF!,Produzione,7,FALSE)</f>
        <v/>
      </c>
      <c r="L498" s="120" t="n"/>
      <c r="M498" s="120" t="n"/>
      <c r="N498" s="118" t="n"/>
      <c r="O498" s="121" t="n"/>
      <c r="P498" s="121" t="n"/>
      <c r="Q498" s="166">
        <f>TODAY()</f>
        <v/>
      </c>
      <c r="R498" s="165">
        <f>ElencoProdotti[[#This Row],[PRODUZIONE]]+20</f>
        <v/>
      </c>
      <c r="S498" s="165">
        <f>TODAY()</f>
        <v/>
      </c>
      <c r="T498" s="133">
        <f>CONCATENATE(A498," - contiene allergni - prodotto il giorno ",TEXT(Q498,"gg/mm/aaaa"),"")</f>
        <v/>
      </c>
    </row>
    <row r="499" ht="15" customHeight="1" s="155">
      <c r="A499" s="134">
        <f>ric!B499</f>
        <v/>
      </c>
      <c r="B499" s="118">
        <f>ric!C499</f>
        <v/>
      </c>
      <c r="C499" s="125">
        <f>ric!D499</f>
        <v/>
      </c>
      <c r="D499" s="125" t="n"/>
      <c r="E499" s="125" t="n"/>
      <c r="F499" s="125" t="n"/>
      <c r="G499" s="118">
        <f>CONCATENATE(A499, " ",#REF!, " / ",H499)</f>
        <v/>
      </c>
      <c r="H499" s="118" t="n"/>
      <c r="I499" s="119">
        <f>CONCATENATE(M499," - ",J499," - Lotto N° ",K499,"")</f>
        <v/>
      </c>
      <c r="J499" s="118" t="n"/>
      <c r="K499" s="118">
        <f>VLOOKUP(#REF!,Produzione,7,FALSE)</f>
        <v/>
      </c>
      <c r="L499" s="120" t="n"/>
      <c r="M499" s="120" t="n"/>
      <c r="N499" s="118" t="n"/>
      <c r="O499" s="121" t="n"/>
      <c r="P499" s="121" t="n"/>
      <c r="Q499" s="166">
        <f>TODAY()</f>
        <v/>
      </c>
      <c r="R499" s="165">
        <f>ElencoProdotti[[#This Row],[PRODUZIONE]]+20</f>
        <v/>
      </c>
      <c r="S499" s="165">
        <f>TODAY()</f>
        <v/>
      </c>
      <c r="T499" s="133">
        <f>CONCATENATE(A499," - contiene allergni - prodotto il giorno ",TEXT(Q499,"gg/mm/aaaa"),"")</f>
        <v/>
      </c>
    </row>
    <row r="500" ht="15" customHeight="1" s="155">
      <c r="A500" s="134">
        <f>ric!B500</f>
        <v/>
      </c>
      <c r="B500" s="118">
        <f>ric!C500</f>
        <v/>
      </c>
      <c r="C500" s="125">
        <f>ric!D500</f>
        <v/>
      </c>
      <c r="D500" s="125" t="n"/>
      <c r="E500" s="125" t="n"/>
      <c r="F500" s="125" t="n"/>
      <c r="G500" s="118">
        <f>CONCATENATE(A500, " ",#REF!, " / ",H500)</f>
        <v/>
      </c>
      <c r="H500" s="118" t="n"/>
      <c r="I500" s="119">
        <f>CONCATENATE(M500," - ",J500," - Lotto N° ",K500,"")</f>
        <v/>
      </c>
      <c r="J500" s="118" t="n"/>
      <c r="K500" s="118">
        <f>VLOOKUP(#REF!,Produzione,7,FALSE)</f>
        <v/>
      </c>
      <c r="L500" s="120" t="n"/>
      <c r="M500" s="120" t="n"/>
      <c r="N500" s="118" t="n"/>
      <c r="O500" s="121" t="n"/>
      <c r="P500" s="121" t="n"/>
      <c r="Q500" s="166">
        <f>TODAY()</f>
        <v/>
      </c>
      <c r="R500" s="165">
        <f>ElencoProdotti[[#This Row],[PRODUZIONE]]+20</f>
        <v/>
      </c>
      <c r="S500" s="165">
        <f>TODAY()</f>
        <v/>
      </c>
      <c r="T500" s="133">
        <f>CONCATENATE(A500," - contiene allergni - prodotto il giorno ",TEXT(Q500,"gg/mm/aaaa"),"")</f>
        <v/>
      </c>
    </row>
    <row r="501" ht="15" customHeight="1" s="155">
      <c r="A501" s="134">
        <f>ric!B501</f>
        <v/>
      </c>
      <c r="B501" s="118">
        <f>ric!C501</f>
        <v/>
      </c>
      <c r="C501" s="125">
        <f>ric!D501</f>
        <v/>
      </c>
      <c r="D501" s="125" t="n"/>
      <c r="E501" s="125" t="n"/>
      <c r="F501" s="125" t="n"/>
      <c r="G501" s="118">
        <f>CONCATENATE(A501, " ",#REF!, " / ",H501)</f>
        <v/>
      </c>
      <c r="H501" s="118" t="n"/>
      <c r="I501" s="119">
        <f>CONCATENATE(M501," - ",J501," - Lotto N° ",K501,"")</f>
        <v/>
      </c>
      <c r="J501" s="118" t="n"/>
      <c r="K501" s="118">
        <f>VLOOKUP(#REF!,Produzione,7,FALSE)</f>
        <v/>
      </c>
      <c r="L501" s="120" t="n"/>
      <c r="M501" s="120" t="n"/>
      <c r="N501" s="118" t="n"/>
      <c r="O501" s="121" t="n"/>
      <c r="P501" s="121" t="n"/>
      <c r="Q501" s="166">
        <f>TODAY()</f>
        <v/>
      </c>
      <c r="R501" s="165">
        <f>ElencoProdotti[[#This Row],[PRODUZIONE]]+20</f>
        <v/>
      </c>
      <c r="S501" s="165">
        <f>TODAY()</f>
        <v/>
      </c>
      <c r="T501" s="133">
        <f>CONCATENATE(A501," - contiene allergni - prodotto il giorno ",TEXT(Q501,"gg/mm/aaaa"),"")</f>
        <v/>
      </c>
    </row>
    <row r="502" ht="15" customHeight="1" s="155">
      <c r="A502" s="134">
        <f>ric!B502</f>
        <v/>
      </c>
      <c r="B502" s="118">
        <f>ric!C502</f>
        <v/>
      </c>
      <c r="C502" s="125">
        <f>ric!D502</f>
        <v/>
      </c>
      <c r="D502" s="125" t="n"/>
      <c r="E502" s="125" t="n"/>
      <c r="F502" s="125" t="n"/>
      <c r="G502" s="118">
        <f>CONCATENATE(A502, " ",#REF!, " / ",H502)</f>
        <v/>
      </c>
      <c r="H502" s="118" t="n"/>
      <c r="I502" s="119">
        <f>CONCATENATE(M502," - ",J502," - Lotto N° ",K502,"")</f>
        <v/>
      </c>
      <c r="J502" s="118" t="n"/>
      <c r="K502" s="118">
        <f>VLOOKUP(#REF!,Produzione,7,FALSE)</f>
        <v/>
      </c>
      <c r="L502" s="120" t="n"/>
      <c r="M502" s="120" t="n"/>
      <c r="N502" s="118" t="n"/>
      <c r="O502" s="121" t="n"/>
      <c r="P502" s="121" t="n"/>
      <c r="Q502" s="166">
        <f>TODAY()</f>
        <v/>
      </c>
      <c r="R502" s="165">
        <f>ElencoProdotti[[#This Row],[PRODUZIONE]]+20</f>
        <v/>
      </c>
      <c r="S502" s="165">
        <f>TODAY()</f>
        <v/>
      </c>
      <c r="T502" s="133">
        <f>CONCATENATE(A502," - contiene allergni - prodotto il giorno ",TEXT(Q502,"gg/mm/aaaa"),"")</f>
        <v/>
      </c>
    </row>
    <row r="503" ht="15" customHeight="1" s="155">
      <c r="A503" s="134">
        <f>ric!B503</f>
        <v/>
      </c>
      <c r="B503" s="118">
        <f>ric!C503</f>
        <v/>
      </c>
      <c r="C503" s="125">
        <f>ric!D503</f>
        <v/>
      </c>
      <c r="D503" s="125" t="n"/>
      <c r="E503" s="125" t="n"/>
      <c r="F503" s="125" t="n"/>
      <c r="G503" s="118">
        <f>CONCATENATE(A503, " ",#REF!, " / ",H503)</f>
        <v/>
      </c>
      <c r="H503" s="118" t="n"/>
      <c r="I503" s="119">
        <f>CONCATENATE(M503," - ",J503," - Lotto N° ",K503,"")</f>
        <v/>
      </c>
      <c r="J503" s="118" t="n"/>
      <c r="K503" s="118">
        <f>VLOOKUP(#REF!,Produzione,7,FALSE)</f>
        <v/>
      </c>
      <c r="L503" s="120" t="n"/>
      <c r="M503" s="120" t="n"/>
      <c r="N503" s="118" t="n"/>
      <c r="O503" s="121" t="n"/>
      <c r="P503" s="121" t="n"/>
      <c r="Q503" s="166">
        <f>TODAY()</f>
        <v/>
      </c>
      <c r="R503" s="165">
        <f>ElencoProdotti[[#This Row],[PRODUZIONE]]+20</f>
        <v/>
      </c>
      <c r="S503" s="165">
        <f>TODAY()</f>
        <v/>
      </c>
      <c r="T503" s="133">
        <f>CONCATENATE(A503," - contiene allergni - prodotto il giorno ",TEXT(Q503,"gg/mm/aaaa"),"")</f>
        <v/>
      </c>
    </row>
    <row r="504" ht="15" customHeight="1" s="155">
      <c r="A504" s="134">
        <f>ric!B504</f>
        <v/>
      </c>
      <c r="B504" s="118">
        <f>ric!C504</f>
        <v/>
      </c>
      <c r="C504" s="125">
        <f>ric!D504</f>
        <v/>
      </c>
      <c r="D504" s="125" t="n"/>
      <c r="E504" s="125" t="n"/>
      <c r="F504" s="125" t="n"/>
      <c r="G504" s="118">
        <f>CONCATENATE(A504, " ",#REF!, " / ",H504)</f>
        <v/>
      </c>
      <c r="H504" s="118" t="n"/>
      <c r="I504" s="119">
        <f>CONCATENATE(M504," - ",J504," - Lotto N° ",K504,"")</f>
        <v/>
      </c>
      <c r="J504" s="118" t="n"/>
      <c r="K504" s="118">
        <f>VLOOKUP(#REF!,Produzione,7,FALSE)</f>
        <v/>
      </c>
      <c r="L504" s="120" t="n"/>
      <c r="M504" s="120" t="n"/>
      <c r="N504" s="118" t="n"/>
      <c r="O504" s="121" t="n"/>
      <c r="P504" s="121" t="n"/>
      <c r="Q504" s="166">
        <f>TODAY()</f>
        <v/>
      </c>
      <c r="R504" s="165">
        <f>ElencoProdotti[[#This Row],[PRODUZIONE]]+20</f>
        <v/>
      </c>
      <c r="S504" s="165">
        <f>TODAY()</f>
        <v/>
      </c>
      <c r="T504" s="133">
        <f>CONCATENATE(A504," - contiene allergni - prodotto il giorno ",TEXT(Q504,"gg/mm/aaaa"),"")</f>
        <v/>
      </c>
    </row>
    <row r="505" ht="15" customHeight="1" s="155">
      <c r="A505" s="134">
        <f>ric!B505</f>
        <v/>
      </c>
      <c r="B505" s="118">
        <f>ric!C505</f>
        <v/>
      </c>
      <c r="C505" s="125">
        <f>ric!D505</f>
        <v/>
      </c>
      <c r="D505" s="125" t="n"/>
      <c r="E505" s="125" t="n"/>
      <c r="F505" s="125" t="n"/>
      <c r="G505" s="118">
        <f>CONCATENATE(A505, " ",#REF!, " / ",H505)</f>
        <v/>
      </c>
      <c r="H505" s="118" t="n"/>
      <c r="I505" s="119">
        <f>CONCATENATE(M505," - ",J505," - Lotto N° ",K505,"")</f>
        <v/>
      </c>
      <c r="J505" s="118" t="n"/>
      <c r="K505" s="118">
        <f>VLOOKUP(#REF!,Produzione,7,FALSE)</f>
        <v/>
      </c>
      <c r="L505" s="120" t="n"/>
      <c r="M505" s="120" t="n"/>
      <c r="N505" s="118" t="n"/>
      <c r="O505" s="121" t="n"/>
      <c r="P505" s="121" t="n"/>
      <c r="Q505" s="166">
        <f>TODAY()</f>
        <v/>
      </c>
      <c r="R505" s="165">
        <f>ElencoProdotti[[#This Row],[PRODUZIONE]]+20</f>
        <v/>
      </c>
      <c r="S505" s="165">
        <f>TODAY()</f>
        <v/>
      </c>
      <c r="T505" s="133">
        <f>CONCATENATE(A505," - contiene allergni - prodotto il giorno ",TEXT(Q505,"gg/mm/aaaa"),"")</f>
        <v/>
      </c>
    </row>
    <row r="506" ht="15" customHeight="1" s="155">
      <c r="A506" s="134">
        <f>ric!B506</f>
        <v/>
      </c>
      <c r="B506" s="118">
        <f>ric!C506</f>
        <v/>
      </c>
      <c r="C506" s="125">
        <f>ric!D506</f>
        <v/>
      </c>
      <c r="D506" s="125" t="n"/>
      <c r="E506" s="125" t="n"/>
      <c r="F506" s="125" t="n"/>
      <c r="G506" s="118">
        <f>CONCATENATE(A506, " ",#REF!, " / ",H506)</f>
        <v/>
      </c>
      <c r="H506" s="118" t="n"/>
      <c r="I506" s="119">
        <f>CONCATENATE(M506," - ",J506," - Lotto N° ",K506,"")</f>
        <v/>
      </c>
      <c r="J506" s="118" t="n"/>
      <c r="K506" s="118">
        <f>VLOOKUP(#REF!,Produzione,7,FALSE)</f>
        <v/>
      </c>
      <c r="L506" s="120" t="n"/>
      <c r="M506" s="120" t="n"/>
      <c r="N506" s="118" t="n"/>
      <c r="O506" s="121" t="n"/>
      <c r="P506" s="121" t="n"/>
      <c r="Q506" s="166">
        <f>TODAY()</f>
        <v/>
      </c>
      <c r="R506" s="165">
        <f>ElencoProdotti[[#This Row],[PRODUZIONE]]+20</f>
        <v/>
      </c>
      <c r="S506" s="165">
        <f>TODAY()</f>
        <v/>
      </c>
      <c r="T506" s="133">
        <f>CONCATENATE(A506," - contiene allergni - prodotto il giorno ",TEXT(Q506,"gg/mm/aaaa"),"")</f>
        <v/>
      </c>
    </row>
    <row r="507" ht="15" customHeight="1" s="155">
      <c r="A507" s="134">
        <f>ric!B507</f>
        <v/>
      </c>
      <c r="B507" s="118">
        <f>ric!C507</f>
        <v/>
      </c>
      <c r="C507" s="125">
        <f>ric!D507</f>
        <v/>
      </c>
      <c r="D507" s="125" t="n"/>
      <c r="E507" s="125" t="n"/>
      <c r="F507" s="125" t="n"/>
      <c r="G507" s="118">
        <f>CONCATENATE(A507, " ",#REF!, " / ",H507)</f>
        <v/>
      </c>
      <c r="H507" s="118" t="n"/>
      <c r="I507" s="119">
        <f>CONCATENATE(M507," - ",J507," - Lotto N° ",K507,"")</f>
        <v/>
      </c>
      <c r="J507" s="118" t="n"/>
      <c r="K507" s="118">
        <f>VLOOKUP(#REF!,Produzione,7,FALSE)</f>
        <v/>
      </c>
      <c r="L507" s="120" t="n"/>
      <c r="M507" s="120" t="n"/>
      <c r="N507" s="118" t="n"/>
      <c r="O507" s="121" t="n"/>
      <c r="P507" s="121" t="n"/>
      <c r="Q507" s="166">
        <f>TODAY()</f>
        <v/>
      </c>
      <c r="R507" s="165">
        <f>ElencoProdotti[[#This Row],[PRODUZIONE]]+20</f>
        <v/>
      </c>
      <c r="S507" s="165">
        <f>TODAY()</f>
        <v/>
      </c>
      <c r="T507" s="133">
        <f>CONCATENATE(A507," - contiene allergni - prodotto il giorno ",TEXT(Q507,"gg/mm/aaaa"),"")</f>
        <v/>
      </c>
    </row>
    <row r="508" ht="15" customHeight="1" s="155">
      <c r="A508" s="134">
        <f>ric!B508</f>
        <v/>
      </c>
      <c r="B508" s="118">
        <f>ric!C508</f>
        <v/>
      </c>
      <c r="C508" s="125">
        <f>ric!D508</f>
        <v/>
      </c>
      <c r="D508" s="125" t="n"/>
      <c r="E508" s="125" t="n"/>
      <c r="F508" s="125" t="n"/>
      <c r="G508" s="118">
        <f>CONCATENATE(A508, " ",#REF!, " / ",H508)</f>
        <v/>
      </c>
      <c r="H508" s="118" t="n"/>
      <c r="I508" s="119">
        <f>CONCATENATE(M508," - ",J508," - Lotto N° ",K508,"")</f>
        <v/>
      </c>
      <c r="J508" s="118" t="n"/>
      <c r="K508" s="118">
        <f>VLOOKUP(#REF!,Produzione,7,FALSE)</f>
        <v/>
      </c>
      <c r="L508" s="120" t="n"/>
      <c r="M508" s="120" t="n"/>
      <c r="N508" s="118" t="n"/>
      <c r="O508" s="121" t="n"/>
      <c r="P508" s="121" t="n"/>
      <c r="Q508" s="166">
        <f>TODAY()</f>
        <v/>
      </c>
      <c r="R508" s="165">
        <f>ElencoProdotti[[#This Row],[PRODUZIONE]]+20</f>
        <v/>
      </c>
      <c r="S508" s="165">
        <f>TODAY()</f>
        <v/>
      </c>
      <c r="T508" s="133">
        <f>CONCATENATE(A508," - contiene allergni - prodotto il giorno ",TEXT(Q508,"gg/mm/aaaa"),"")</f>
        <v/>
      </c>
    </row>
    <row r="509" ht="15" customHeight="1" s="155">
      <c r="A509" s="134">
        <f>ric!B509</f>
        <v/>
      </c>
      <c r="B509" s="118">
        <f>ric!C509</f>
        <v/>
      </c>
      <c r="C509" s="125">
        <f>ric!D509</f>
        <v/>
      </c>
      <c r="D509" s="125" t="n"/>
      <c r="E509" s="125" t="n"/>
      <c r="F509" s="125" t="n"/>
      <c r="G509" s="118">
        <f>CONCATENATE(A509, " ",#REF!, " / ",H509)</f>
        <v/>
      </c>
      <c r="H509" s="118" t="n"/>
      <c r="I509" s="119">
        <f>CONCATENATE(M509," - ",J509," - Lotto N° ",K509,"")</f>
        <v/>
      </c>
      <c r="J509" s="118" t="n"/>
      <c r="K509" s="118">
        <f>VLOOKUP(#REF!,Produzione,7,FALSE)</f>
        <v/>
      </c>
      <c r="L509" s="120" t="n"/>
      <c r="M509" s="120" t="n"/>
      <c r="N509" s="118" t="n"/>
      <c r="O509" s="121" t="n"/>
      <c r="P509" s="121" t="n"/>
      <c r="Q509" s="166">
        <f>TODAY()</f>
        <v/>
      </c>
      <c r="R509" s="165">
        <f>ElencoProdotti[[#This Row],[PRODUZIONE]]+20</f>
        <v/>
      </c>
      <c r="S509" s="165">
        <f>TODAY()</f>
        <v/>
      </c>
      <c r="T509" s="133">
        <f>CONCATENATE(A509," - contiene allergni - prodotto il giorno ",TEXT(Q509,"gg/mm/aaaa"),"")</f>
        <v/>
      </c>
    </row>
    <row r="510" ht="15" customHeight="1" s="155">
      <c r="A510" s="134">
        <f>ric!B510</f>
        <v/>
      </c>
      <c r="B510" s="118">
        <f>ric!C510</f>
        <v/>
      </c>
      <c r="C510" s="125">
        <f>ric!D510</f>
        <v/>
      </c>
      <c r="D510" s="125" t="n"/>
      <c r="E510" s="125" t="n"/>
      <c r="F510" s="125" t="n"/>
      <c r="G510" s="118">
        <f>CONCATENATE(A510, " ",#REF!, " / ",H510)</f>
        <v/>
      </c>
      <c r="H510" s="118" t="n"/>
      <c r="I510" s="119">
        <f>CONCATENATE(M510," - ",J510," - Lotto N° ",K510,"")</f>
        <v/>
      </c>
      <c r="J510" s="118" t="n"/>
      <c r="K510" s="118">
        <f>VLOOKUP(#REF!,Produzione,7,FALSE)</f>
        <v/>
      </c>
      <c r="L510" s="120" t="n"/>
      <c r="M510" s="120" t="n"/>
      <c r="N510" s="118" t="n"/>
      <c r="O510" s="121" t="n"/>
      <c r="P510" s="121" t="n"/>
      <c r="Q510" s="166">
        <f>TODAY()</f>
        <v/>
      </c>
      <c r="R510" s="165">
        <f>ElencoProdotti[[#This Row],[PRODUZIONE]]+20</f>
        <v/>
      </c>
      <c r="S510" s="165">
        <f>TODAY()</f>
        <v/>
      </c>
      <c r="T510" s="133">
        <f>CONCATENATE(A510," - contiene allergni - prodotto il giorno ",TEXT(Q510,"gg/mm/aaaa"),"")</f>
        <v/>
      </c>
    </row>
    <row r="511" ht="15" customHeight="1" s="155">
      <c r="A511" s="134">
        <f>ric!B511</f>
        <v/>
      </c>
      <c r="B511" s="118">
        <f>ric!C511</f>
        <v/>
      </c>
      <c r="C511" s="125">
        <f>ric!D511</f>
        <v/>
      </c>
      <c r="D511" s="125" t="n"/>
      <c r="E511" s="125" t="n"/>
      <c r="F511" s="125" t="n"/>
      <c r="G511" s="118">
        <f>CONCATENATE(A511, " ",#REF!, " / ",H511)</f>
        <v/>
      </c>
      <c r="H511" s="118" t="n"/>
      <c r="I511" s="119">
        <f>CONCATENATE(M511," - ",J511," - Lotto N° ",K511,"")</f>
        <v/>
      </c>
      <c r="J511" s="118" t="n"/>
      <c r="K511" s="118">
        <f>VLOOKUP(#REF!,Produzione,7,FALSE)</f>
        <v/>
      </c>
      <c r="L511" s="120" t="n"/>
      <c r="M511" s="120" t="n"/>
      <c r="N511" s="118" t="n"/>
      <c r="O511" s="121" t="n"/>
      <c r="P511" s="121" t="n"/>
      <c r="Q511" s="166">
        <f>TODAY()</f>
        <v/>
      </c>
      <c r="R511" s="165">
        <f>ElencoProdotti[[#This Row],[PRODUZIONE]]+20</f>
        <v/>
      </c>
      <c r="S511" s="165">
        <f>TODAY()</f>
        <v/>
      </c>
      <c r="T511" s="133">
        <f>CONCATENATE(A511," - contiene allergni - prodotto il giorno ",TEXT(Q511,"gg/mm/aaaa"),"")</f>
        <v/>
      </c>
    </row>
    <row r="512" ht="15" customHeight="1" s="155">
      <c r="A512" s="134">
        <f>ric!B512</f>
        <v/>
      </c>
      <c r="B512" s="118">
        <f>ric!C512</f>
        <v/>
      </c>
      <c r="C512" s="125">
        <f>ric!D512</f>
        <v/>
      </c>
      <c r="D512" s="125" t="n"/>
      <c r="E512" s="125" t="n"/>
      <c r="F512" s="125" t="n"/>
      <c r="G512" s="118">
        <f>CONCATENATE(A512, " ",#REF!, " / ",H512)</f>
        <v/>
      </c>
      <c r="H512" s="118" t="n"/>
      <c r="I512" s="119">
        <f>CONCATENATE(M512," - ",J512," - Lotto N° ",K512,"")</f>
        <v/>
      </c>
      <c r="J512" s="118" t="n"/>
      <c r="K512" s="118">
        <f>VLOOKUP(#REF!,Produzione,7,FALSE)</f>
        <v/>
      </c>
      <c r="L512" s="120" t="n"/>
      <c r="M512" s="120" t="n"/>
      <c r="N512" s="118" t="n"/>
      <c r="O512" s="121" t="n"/>
      <c r="P512" s="121" t="n"/>
      <c r="Q512" s="166">
        <f>TODAY()</f>
        <v/>
      </c>
      <c r="R512" s="165">
        <f>ElencoProdotti[[#This Row],[PRODUZIONE]]+20</f>
        <v/>
      </c>
      <c r="S512" s="165">
        <f>TODAY()</f>
        <v/>
      </c>
      <c r="T512" s="133">
        <f>CONCATENATE(A512," - contiene allergni - prodotto il giorno ",TEXT(Q512,"gg/mm/aaaa"),"")</f>
        <v/>
      </c>
    </row>
    <row r="513" ht="15" customHeight="1" s="155">
      <c r="A513" s="134">
        <f>ric!B513</f>
        <v/>
      </c>
      <c r="B513" s="118">
        <f>ric!C513</f>
        <v/>
      </c>
      <c r="C513" s="125">
        <f>ric!D513</f>
        <v/>
      </c>
      <c r="D513" s="125" t="n"/>
      <c r="E513" s="125" t="n"/>
      <c r="F513" s="125" t="n"/>
      <c r="G513" s="118">
        <f>CONCATENATE(A513, " ",#REF!, " / ",H513)</f>
        <v/>
      </c>
      <c r="H513" s="118" t="n"/>
      <c r="I513" s="119">
        <f>CONCATENATE(M513," - ",J513," - Lotto N° ",K513,"")</f>
        <v/>
      </c>
      <c r="J513" s="118" t="n"/>
      <c r="K513" s="118">
        <f>VLOOKUP(#REF!,Produzione,7,FALSE)</f>
        <v/>
      </c>
      <c r="L513" s="120" t="n"/>
      <c r="M513" s="120" t="n"/>
      <c r="N513" s="118" t="n"/>
      <c r="O513" s="121" t="n"/>
      <c r="P513" s="121" t="n"/>
      <c r="Q513" s="166">
        <f>TODAY()</f>
        <v/>
      </c>
      <c r="R513" s="165">
        <f>ElencoProdotti[[#This Row],[PRODUZIONE]]+20</f>
        <v/>
      </c>
      <c r="S513" s="165">
        <f>TODAY()</f>
        <v/>
      </c>
      <c r="T513" s="133">
        <f>CONCATENATE(A513," - contiene allergni - prodotto il giorno ",TEXT(Q513,"gg/mm/aaaa"),"")</f>
        <v/>
      </c>
    </row>
    <row r="514" ht="15" customHeight="1" s="155">
      <c r="A514" s="134">
        <f>ric!B514</f>
        <v/>
      </c>
      <c r="B514" s="118">
        <f>ric!C514</f>
        <v/>
      </c>
      <c r="C514" s="125">
        <f>ric!D514</f>
        <v/>
      </c>
      <c r="D514" s="125" t="n"/>
      <c r="E514" s="125" t="n"/>
      <c r="F514" s="125" t="n"/>
      <c r="G514" s="118">
        <f>CONCATENATE(A514, " ",#REF!, " / ",H514)</f>
        <v/>
      </c>
      <c r="H514" s="118" t="n"/>
      <c r="I514" s="119">
        <f>CONCATENATE(M514," - ",J514," - Lotto N° ",K514,"")</f>
        <v/>
      </c>
      <c r="J514" s="118" t="n"/>
      <c r="K514" s="118">
        <f>VLOOKUP(#REF!,Produzione,7,FALSE)</f>
        <v/>
      </c>
      <c r="L514" s="120" t="n"/>
      <c r="M514" s="120" t="n"/>
      <c r="N514" s="118" t="n"/>
      <c r="O514" s="121" t="n"/>
      <c r="P514" s="121" t="n"/>
      <c r="Q514" s="166">
        <f>TODAY()</f>
        <v/>
      </c>
      <c r="R514" s="165">
        <f>ElencoProdotti[[#This Row],[PRODUZIONE]]+20</f>
        <v/>
      </c>
      <c r="S514" s="165">
        <f>TODAY()</f>
        <v/>
      </c>
      <c r="T514" s="133">
        <f>CONCATENATE(A514," - contiene allergni - prodotto il giorno ",TEXT(Q514,"gg/mm/aaaa"),"")</f>
        <v/>
      </c>
    </row>
    <row r="515" ht="15" customHeight="1" s="155">
      <c r="A515" s="134">
        <f>ric!B515</f>
        <v/>
      </c>
      <c r="B515" s="118">
        <f>ric!C515</f>
        <v/>
      </c>
      <c r="C515" s="125">
        <f>ric!D515</f>
        <v/>
      </c>
      <c r="D515" s="125" t="n"/>
      <c r="E515" s="125" t="n"/>
      <c r="F515" s="125" t="n"/>
      <c r="G515" s="118">
        <f>CONCATENATE(A515, " ",#REF!, " / ",H515)</f>
        <v/>
      </c>
      <c r="H515" s="118" t="n"/>
      <c r="I515" s="119">
        <f>CONCATENATE(M515," - ",J515," - Lotto N° ",K515,"")</f>
        <v/>
      </c>
      <c r="J515" s="118" t="n"/>
      <c r="K515" s="118">
        <f>VLOOKUP(#REF!,Produzione,7,FALSE)</f>
        <v/>
      </c>
      <c r="L515" s="120" t="n"/>
      <c r="M515" s="120" t="n"/>
      <c r="N515" s="118" t="n"/>
      <c r="O515" s="121" t="n"/>
      <c r="P515" s="121" t="n"/>
      <c r="Q515" s="166">
        <f>TODAY()</f>
        <v/>
      </c>
      <c r="R515" s="165">
        <f>ElencoProdotti[[#This Row],[PRODUZIONE]]+20</f>
        <v/>
      </c>
      <c r="S515" s="165">
        <f>TODAY()</f>
        <v/>
      </c>
      <c r="T515" s="133">
        <f>CONCATENATE(A515," - contiene allergni - prodotto il giorno ",TEXT(Q515,"gg/mm/aaaa"),"")</f>
        <v/>
      </c>
    </row>
    <row r="516" ht="15" customHeight="1" s="155">
      <c r="A516" s="134">
        <f>ric!B516</f>
        <v/>
      </c>
      <c r="B516" s="118">
        <f>ric!C516</f>
        <v/>
      </c>
      <c r="C516" s="125">
        <f>ric!D516</f>
        <v/>
      </c>
      <c r="D516" s="125" t="n"/>
      <c r="E516" s="125" t="n"/>
      <c r="F516" s="125" t="n"/>
      <c r="G516" s="118">
        <f>CONCATENATE(A516, " ",#REF!, " / ",H516)</f>
        <v/>
      </c>
      <c r="H516" s="118" t="n"/>
      <c r="I516" s="119">
        <f>CONCATENATE(M516," - ",J516," - Lotto N° ",K516,"")</f>
        <v/>
      </c>
      <c r="J516" s="118" t="n"/>
      <c r="K516" s="118">
        <f>VLOOKUP(#REF!,Produzione,7,FALSE)</f>
        <v/>
      </c>
      <c r="L516" s="120" t="n"/>
      <c r="M516" s="120" t="n"/>
      <c r="N516" s="118" t="n"/>
      <c r="O516" s="121" t="n"/>
      <c r="P516" s="121" t="n"/>
      <c r="Q516" s="166">
        <f>TODAY()</f>
        <v/>
      </c>
      <c r="R516" s="165">
        <f>ElencoProdotti[[#This Row],[PRODUZIONE]]+20</f>
        <v/>
      </c>
      <c r="S516" s="165">
        <f>TODAY()</f>
        <v/>
      </c>
      <c r="T516" s="133">
        <f>CONCATENATE(A516," - contiene allergni - prodotto il giorno ",TEXT(Q516,"gg/mm/aaaa"),"")</f>
        <v/>
      </c>
    </row>
    <row r="517" ht="15" customHeight="1" s="155">
      <c r="A517" s="134">
        <f>ric!B517</f>
        <v/>
      </c>
      <c r="B517" s="118">
        <f>ric!C517</f>
        <v/>
      </c>
      <c r="C517" s="125">
        <f>ric!D517</f>
        <v/>
      </c>
      <c r="D517" s="125" t="n"/>
      <c r="E517" s="125" t="n"/>
      <c r="F517" s="125" t="n"/>
      <c r="G517" s="118">
        <f>CONCATENATE(A517, " ",#REF!, " / ",H517)</f>
        <v/>
      </c>
      <c r="H517" s="118" t="n"/>
      <c r="I517" s="119">
        <f>CONCATENATE(M517," - ",J517," - Lotto N° ",K517,"")</f>
        <v/>
      </c>
      <c r="J517" s="118" t="n"/>
      <c r="K517" s="118">
        <f>VLOOKUP(#REF!,Produzione,7,FALSE)</f>
        <v/>
      </c>
      <c r="L517" s="120" t="n"/>
      <c r="M517" s="120" t="n"/>
      <c r="N517" s="118" t="n"/>
      <c r="O517" s="121" t="n"/>
      <c r="P517" s="121" t="n"/>
      <c r="Q517" s="166">
        <f>TODAY()</f>
        <v/>
      </c>
      <c r="R517" s="165">
        <f>ElencoProdotti[[#This Row],[PRODUZIONE]]+20</f>
        <v/>
      </c>
      <c r="S517" s="165">
        <f>TODAY()</f>
        <v/>
      </c>
      <c r="T517" s="133">
        <f>CONCATENATE(A517," - contiene allergni - prodotto il giorno ",TEXT(Q517,"gg/mm/aaaa"),"")</f>
        <v/>
      </c>
    </row>
    <row r="518" ht="15" customHeight="1" s="155">
      <c r="A518" s="134">
        <f>ric!B518</f>
        <v/>
      </c>
      <c r="B518" s="118">
        <f>ric!C518</f>
        <v/>
      </c>
      <c r="C518" s="125">
        <f>ric!D518</f>
        <v/>
      </c>
      <c r="D518" s="125" t="n"/>
      <c r="E518" s="125" t="n"/>
      <c r="F518" s="125" t="n"/>
      <c r="G518" s="118">
        <f>CONCATENATE(A518, " ",#REF!, " / ",H518)</f>
        <v/>
      </c>
      <c r="H518" s="118" t="n"/>
      <c r="I518" s="119">
        <f>CONCATENATE(M518," - ",J518," - Lotto N° ",K518,"")</f>
        <v/>
      </c>
      <c r="J518" s="118" t="n"/>
      <c r="K518" s="118">
        <f>VLOOKUP(#REF!,Produzione,7,FALSE)</f>
        <v/>
      </c>
      <c r="L518" s="120" t="n"/>
      <c r="M518" s="120" t="n"/>
      <c r="N518" s="118" t="n"/>
      <c r="O518" s="121" t="n"/>
      <c r="P518" s="121" t="n"/>
      <c r="Q518" s="166">
        <f>TODAY()</f>
        <v/>
      </c>
      <c r="R518" s="165">
        <f>ElencoProdotti[[#This Row],[PRODUZIONE]]+20</f>
        <v/>
      </c>
      <c r="S518" s="165">
        <f>TODAY()</f>
        <v/>
      </c>
      <c r="T518" s="133">
        <f>CONCATENATE(A518," - contiene allergni - prodotto il giorno ",TEXT(Q518,"gg/mm/aaaa"),"")</f>
        <v/>
      </c>
    </row>
    <row r="519" ht="15" customHeight="1" s="155">
      <c r="A519" s="134">
        <f>ric!B519</f>
        <v/>
      </c>
      <c r="B519" s="118">
        <f>ric!C519</f>
        <v/>
      </c>
      <c r="C519" s="125">
        <f>ric!D519</f>
        <v/>
      </c>
      <c r="D519" s="125" t="n"/>
      <c r="E519" s="125" t="n"/>
      <c r="F519" s="125" t="n"/>
      <c r="G519" s="118">
        <f>CONCATENATE(A519, " ",#REF!, " / ",H519)</f>
        <v/>
      </c>
      <c r="H519" s="118" t="n"/>
      <c r="I519" s="119">
        <f>CONCATENATE(M519," - ",J519," - Lotto N° ",K519,"")</f>
        <v/>
      </c>
      <c r="J519" s="118" t="n"/>
      <c r="K519" s="118">
        <f>VLOOKUP(#REF!,Produzione,7,FALSE)</f>
        <v/>
      </c>
      <c r="L519" s="120" t="n"/>
      <c r="M519" s="120" t="n"/>
      <c r="N519" s="118" t="n"/>
      <c r="O519" s="121" t="n"/>
      <c r="P519" s="121" t="n"/>
      <c r="Q519" s="166">
        <f>TODAY()</f>
        <v/>
      </c>
      <c r="R519" s="165">
        <f>ElencoProdotti[[#This Row],[PRODUZIONE]]+20</f>
        <v/>
      </c>
      <c r="S519" s="165">
        <f>TODAY()</f>
        <v/>
      </c>
      <c r="T519" s="133">
        <f>CONCATENATE(A519," - contiene allergni - prodotto il giorno ",TEXT(Q519,"gg/mm/aaaa"),"")</f>
        <v/>
      </c>
    </row>
    <row r="520" ht="15" customHeight="1" s="155">
      <c r="A520" s="134">
        <f>ric!B520</f>
        <v/>
      </c>
      <c r="B520" s="118">
        <f>ric!C520</f>
        <v/>
      </c>
      <c r="C520" s="125">
        <f>ric!D520</f>
        <v/>
      </c>
      <c r="D520" s="125" t="n"/>
      <c r="E520" s="125" t="n"/>
      <c r="F520" s="125" t="n"/>
      <c r="G520" s="118">
        <f>CONCATENATE(A520, " ",#REF!, " / ",H520)</f>
        <v/>
      </c>
      <c r="H520" s="118" t="n"/>
      <c r="I520" s="119">
        <f>CONCATENATE(M520," - ",J520," - Lotto N° ",K520,"")</f>
        <v/>
      </c>
      <c r="J520" s="118" t="n"/>
      <c r="K520" s="118">
        <f>VLOOKUP(#REF!,Produzione,7,FALSE)</f>
        <v/>
      </c>
      <c r="L520" s="120" t="n"/>
      <c r="M520" s="120" t="n"/>
      <c r="N520" s="118" t="n"/>
      <c r="O520" s="121" t="n"/>
      <c r="P520" s="121" t="n"/>
      <c r="Q520" s="166">
        <f>TODAY()</f>
        <v/>
      </c>
      <c r="R520" s="165">
        <f>ElencoProdotti[[#This Row],[PRODUZIONE]]+20</f>
        <v/>
      </c>
      <c r="S520" s="165">
        <f>TODAY()</f>
        <v/>
      </c>
      <c r="T520" s="133">
        <f>CONCATENATE(A520," - contiene allergni - prodotto il giorno ",TEXT(Q520,"gg/mm/aaaa"),"")</f>
        <v/>
      </c>
    </row>
    <row r="521" ht="15" customHeight="1" s="155">
      <c r="A521" s="134">
        <f>ric!B521</f>
        <v/>
      </c>
      <c r="B521" s="118">
        <f>ric!C521</f>
        <v/>
      </c>
      <c r="C521" s="125">
        <f>ric!D521</f>
        <v/>
      </c>
      <c r="D521" s="125" t="n"/>
      <c r="E521" s="125" t="n"/>
      <c r="F521" s="125" t="n"/>
      <c r="G521" s="118">
        <f>CONCATENATE(A521, " ",#REF!, " / ",H521)</f>
        <v/>
      </c>
      <c r="H521" s="118" t="n"/>
      <c r="I521" s="119">
        <f>CONCATENATE(M521," - ",J521," - Lotto N° ",K521,"")</f>
        <v/>
      </c>
      <c r="J521" s="118" t="n"/>
      <c r="K521" s="118">
        <f>VLOOKUP(#REF!,Produzione,7,FALSE)</f>
        <v/>
      </c>
      <c r="L521" s="120" t="n"/>
      <c r="M521" s="120" t="n"/>
      <c r="N521" s="118" t="n"/>
      <c r="O521" s="121" t="n"/>
      <c r="P521" s="121" t="n"/>
      <c r="Q521" s="166">
        <f>TODAY()</f>
        <v/>
      </c>
      <c r="R521" s="165">
        <f>ElencoProdotti[[#This Row],[PRODUZIONE]]+20</f>
        <v/>
      </c>
      <c r="S521" s="165">
        <f>TODAY()</f>
        <v/>
      </c>
      <c r="T521" s="133">
        <f>CONCATENATE(A521," - contiene allergni - prodotto il giorno ",TEXT(Q521,"gg/mm/aaaa"),"")</f>
        <v/>
      </c>
    </row>
    <row r="522" ht="15" customHeight="1" s="155">
      <c r="A522" s="134">
        <f>ric!B522</f>
        <v/>
      </c>
      <c r="B522" s="118">
        <f>ric!C522</f>
        <v/>
      </c>
      <c r="C522" s="125">
        <f>ric!D522</f>
        <v/>
      </c>
      <c r="D522" s="125" t="n"/>
      <c r="E522" s="125" t="n"/>
      <c r="F522" s="125" t="n"/>
      <c r="G522" s="118">
        <f>CONCATENATE(A522, " ",#REF!, " / ",H522)</f>
        <v/>
      </c>
      <c r="H522" s="118" t="n"/>
      <c r="I522" s="119">
        <f>CONCATENATE(M522," - ",J522," - Lotto N° ",K522,"")</f>
        <v/>
      </c>
      <c r="J522" s="118" t="n"/>
      <c r="K522" s="118">
        <f>VLOOKUP(#REF!,Produzione,7,FALSE)</f>
        <v/>
      </c>
      <c r="L522" s="120" t="n"/>
      <c r="M522" s="120" t="n"/>
      <c r="N522" s="118" t="n"/>
      <c r="O522" s="121" t="n"/>
      <c r="P522" s="121" t="n"/>
      <c r="Q522" s="166">
        <f>TODAY()</f>
        <v/>
      </c>
      <c r="R522" s="165">
        <f>ElencoProdotti[[#This Row],[PRODUZIONE]]+20</f>
        <v/>
      </c>
      <c r="S522" s="165">
        <f>TODAY()</f>
        <v/>
      </c>
      <c r="T522" s="133">
        <f>CONCATENATE(A522," - contiene allergni - prodotto il giorno ",TEXT(Q522,"gg/mm/aaaa"),"")</f>
        <v/>
      </c>
    </row>
    <row r="523" ht="15" customHeight="1" s="155">
      <c r="A523" s="134">
        <f>ric!B523</f>
        <v/>
      </c>
      <c r="B523" s="118">
        <f>ric!C523</f>
        <v/>
      </c>
      <c r="C523" s="125">
        <f>ric!D523</f>
        <v/>
      </c>
      <c r="D523" s="125" t="n"/>
      <c r="E523" s="125" t="n"/>
      <c r="F523" s="125" t="n"/>
      <c r="G523" s="118">
        <f>CONCATENATE(A523, " ",#REF!, " / ",H523)</f>
        <v/>
      </c>
      <c r="H523" s="118" t="n"/>
      <c r="I523" s="119">
        <f>CONCATENATE(M523," - ",J523," - Lotto N° ",K523,"")</f>
        <v/>
      </c>
      <c r="J523" s="118" t="n"/>
      <c r="K523" s="118">
        <f>VLOOKUP(#REF!,Produzione,7,FALSE)</f>
        <v/>
      </c>
      <c r="L523" s="120" t="n"/>
      <c r="M523" s="120" t="n"/>
      <c r="N523" s="118" t="n"/>
      <c r="O523" s="121" t="n"/>
      <c r="P523" s="121" t="n"/>
      <c r="Q523" s="166">
        <f>TODAY()</f>
        <v/>
      </c>
      <c r="R523" s="165">
        <f>ElencoProdotti[[#This Row],[PRODUZIONE]]+20</f>
        <v/>
      </c>
      <c r="S523" s="165">
        <f>TODAY()</f>
        <v/>
      </c>
      <c r="T523" s="133">
        <f>CONCATENATE(A523," - contiene allergni - prodotto il giorno ",TEXT(Q523,"gg/mm/aaaa"),"")</f>
        <v/>
      </c>
    </row>
    <row r="524" ht="15" customHeight="1" s="155">
      <c r="A524" s="134">
        <f>ric!B524</f>
        <v/>
      </c>
      <c r="B524" s="118">
        <f>ric!C524</f>
        <v/>
      </c>
      <c r="C524" s="125">
        <f>ric!D524</f>
        <v/>
      </c>
      <c r="D524" s="125" t="n"/>
      <c r="E524" s="125" t="n"/>
      <c r="F524" s="125" t="n"/>
      <c r="G524" s="118">
        <f>CONCATENATE(A524, " ",#REF!, " / ",H524)</f>
        <v/>
      </c>
      <c r="H524" s="118" t="n"/>
      <c r="I524" s="119">
        <f>CONCATENATE(M524," - ",J524," - Lotto N° ",K524,"")</f>
        <v/>
      </c>
      <c r="J524" s="118" t="n"/>
      <c r="K524" s="118">
        <f>VLOOKUP(#REF!,Produzione,7,FALSE)</f>
        <v/>
      </c>
      <c r="L524" s="120" t="n"/>
      <c r="M524" s="120" t="n"/>
      <c r="N524" s="118" t="n"/>
      <c r="O524" s="121" t="n"/>
      <c r="P524" s="121" t="n"/>
      <c r="Q524" s="166">
        <f>TODAY()</f>
        <v/>
      </c>
      <c r="R524" s="165">
        <f>ElencoProdotti[[#This Row],[PRODUZIONE]]+20</f>
        <v/>
      </c>
      <c r="S524" s="165">
        <f>TODAY()</f>
        <v/>
      </c>
      <c r="T524" s="133">
        <f>CONCATENATE(A524," - contiene allergni - prodotto il giorno ",TEXT(Q524,"gg/mm/aaaa"),"")</f>
        <v/>
      </c>
    </row>
    <row r="525" ht="15" customHeight="1" s="155">
      <c r="A525" s="134">
        <f>ric!B525</f>
        <v/>
      </c>
      <c r="B525" s="118">
        <f>ric!C525</f>
        <v/>
      </c>
      <c r="C525" s="125">
        <f>ric!D525</f>
        <v/>
      </c>
      <c r="D525" s="125" t="n"/>
      <c r="E525" s="125" t="n"/>
      <c r="F525" s="125" t="n"/>
      <c r="G525" s="118">
        <f>CONCATENATE(A525, " ",#REF!, " / ",H525)</f>
        <v/>
      </c>
      <c r="H525" s="118" t="n"/>
      <c r="I525" s="119">
        <f>CONCATENATE(M525," - ",J525," - Lotto N° ",K525,"")</f>
        <v/>
      </c>
      <c r="J525" s="118" t="n"/>
      <c r="K525" s="118">
        <f>VLOOKUP(#REF!,Produzione,7,FALSE)</f>
        <v/>
      </c>
      <c r="L525" s="120" t="n"/>
      <c r="M525" s="120" t="n"/>
      <c r="N525" s="118" t="n"/>
      <c r="O525" s="121" t="n"/>
      <c r="P525" s="121" t="n"/>
      <c r="Q525" s="166">
        <f>TODAY()</f>
        <v/>
      </c>
      <c r="R525" s="165">
        <f>ElencoProdotti[[#This Row],[PRODUZIONE]]+20</f>
        <v/>
      </c>
      <c r="S525" s="165">
        <f>TODAY()</f>
        <v/>
      </c>
      <c r="T525" s="133">
        <f>CONCATENATE(A525," - contiene allergni - prodotto il giorno ",TEXT(Q525,"gg/mm/aaaa"),"")</f>
        <v/>
      </c>
    </row>
    <row r="526" ht="15" customHeight="1" s="155">
      <c r="A526" s="134">
        <f>ric!B526</f>
        <v/>
      </c>
      <c r="B526" s="118">
        <f>ric!C526</f>
        <v/>
      </c>
      <c r="C526" s="125">
        <f>ric!D526</f>
        <v/>
      </c>
      <c r="D526" s="125" t="n"/>
      <c r="E526" s="125" t="n"/>
      <c r="F526" s="125" t="n"/>
      <c r="G526" s="118">
        <f>CONCATENATE(A526, " ",#REF!, " / ",H526)</f>
        <v/>
      </c>
      <c r="H526" s="118" t="n"/>
      <c r="I526" s="119">
        <f>CONCATENATE(M526," - ",J526," - Lotto N° ",K526,"")</f>
        <v/>
      </c>
      <c r="J526" s="118" t="n"/>
      <c r="K526" s="118">
        <f>VLOOKUP(#REF!,Produzione,7,FALSE)</f>
        <v/>
      </c>
      <c r="L526" s="120" t="n"/>
      <c r="M526" s="120" t="n"/>
      <c r="N526" s="118" t="n"/>
      <c r="O526" s="121" t="n"/>
      <c r="P526" s="121" t="n"/>
      <c r="Q526" s="166">
        <f>TODAY()</f>
        <v/>
      </c>
      <c r="R526" s="165">
        <f>ElencoProdotti[[#This Row],[PRODUZIONE]]+20</f>
        <v/>
      </c>
      <c r="S526" s="165">
        <f>TODAY()</f>
        <v/>
      </c>
      <c r="T526" s="133">
        <f>CONCATENATE(A526," - contiene allergni - prodotto il giorno ",TEXT(Q526,"gg/mm/aaaa"),"")</f>
        <v/>
      </c>
    </row>
    <row r="527" ht="15" customHeight="1" s="155">
      <c r="A527" s="134">
        <f>ric!B527</f>
        <v/>
      </c>
      <c r="B527" s="118">
        <f>ric!C527</f>
        <v/>
      </c>
      <c r="C527" s="125">
        <f>ric!D527</f>
        <v/>
      </c>
      <c r="D527" s="125" t="n"/>
      <c r="E527" s="125" t="n"/>
      <c r="F527" s="125" t="n"/>
      <c r="G527" s="118">
        <f>CONCATENATE(A527, " ",#REF!, " / ",H527)</f>
        <v/>
      </c>
      <c r="H527" s="118" t="n"/>
      <c r="I527" s="119">
        <f>CONCATENATE(M527," - ",J527," - Lotto N° ",K527,"")</f>
        <v/>
      </c>
      <c r="J527" s="118" t="n"/>
      <c r="K527" s="118">
        <f>VLOOKUP(#REF!,Produzione,7,FALSE)</f>
        <v/>
      </c>
      <c r="L527" s="120" t="n"/>
      <c r="M527" s="120" t="n"/>
      <c r="N527" s="118" t="n"/>
      <c r="O527" s="121" t="n"/>
      <c r="P527" s="121" t="n"/>
      <c r="Q527" s="166">
        <f>TODAY()</f>
        <v/>
      </c>
      <c r="R527" s="165">
        <f>ElencoProdotti[[#This Row],[PRODUZIONE]]+20</f>
        <v/>
      </c>
      <c r="S527" s="165">
        <f>TODAY()</f>
        <v/>
      </c>
      <c r="T527" s="133">
        <f>CONCATENATE(A527," - contiene allergni - prodotto il giorno ",TEXT(Q527,"gg/mm/aaaa"),"")</f>
        <v/>
      </c>
    </row>
    <row r="528" ht="15" customHeight="1" s="155">
      <c r="A528" s="134">
        <f>ric!B528</f>
        <v/>
      </c>
      <c r="B528" s="118">
        <f>ric!C528</f>
        <v/>
      </c>
      <c r="C528" s="125">
        <f>ric!D528</f>
        <v/>
      </c>
      <c r="D528" s="125" t="n"/>
      <c r="E528" s="125" t="n"/>
      <c r="F528" s="125" t="n"/>
      <c r="G528" s="118">
        <f>CONCATENATE(A528, " ",#REF!, " / ",H528)</f>
        <v/>
      </c>
      <c r="H528" s="118" t="n"/>
      <c r="I528" s="119">
        <f>CONCATENATE(M528," - ",J528," - Lotto N° ",K528,"")</f>
        <v/>
      </c>
      <c r="J528" s="118" t="n"/>
      <c r="K528" s="118">
        <f>VLOOKUP(#REF!,Produzione,7,FALSE)</f>
        <v/>
      </c>
      <c r="L528" s="120" t="n"/>
      <c r="M528" s="120" t="n"/>
      <c r="N528" s="118" t="n"/>
      <c r="O528" s="121" t="n"/>
      <c r="P528" s="121" t="n"/>
      <c r="Q528" s="166">
        <f>TODAY()</f>
        <v/>
      </c>
      <c r="R528" s="165">
        <f>ElencoProdotti[[#This Row],[PRODUZIONE]]+20</f>
        <v/>
      </c>
      <c r="S528" s="165">
        <f>TODAY()</f>
        <v/>
      </c>
      <c r="T528" s="133">
        <f>CONCATENATE(A528," - contiene allergni - prodotto il giorno ",TEXT(Q528,"gg/mm/aaaa"),"")</f>
        <v/>
      </c>
    </row>
    <row r="529" ht="15" customHeight="1" s="155">
      <c r="A529" s="134">
        <f>ric!B529</f>
        <v/>
      </c>
      <c r="B529" s="118">
        <f>ric!C529</f>
        <v/>
      </c>
      <c r="C529" s="125">
        <f>ric!D529</f>
        <v/>
      </c>
      <c r="D529" s="125" t="n"/>
      <c r="E529" s="125" t="n"/>
      <c r="F529" s="125" t="n"/>
      <c r="G529" s="118">
        <f>CONCATENATE(A529, " ",#REF!, " / ",H529)</f>
        <v/>
      </c>
      <c r="H529" s="118" t="n"/>
      <c r="I529" s="119">
        <f>CONCATENATE(M529," - ",J529," - Lotto N° ",K529,"")</f>
        <v/>
      </c>
      <c r="J529" s="118" t="n"/>
      <c r="K529" s="118">
        <f>VLOOKUP(#REF!,Produzione,7,FALSE)</f>
        <v/>
      </c>
      <c r="L529" s="120" t="n"/>
      <c r="M529" s="120" t="n"/>
      <c r="N529" s="118" t="n"/>
      <c r="O529" s="121" t="n"/>
      <c r="P529" s="121" t="n"/>
      <c r="Q529" s="166">
        <f>TODAY()</f>
        <v/>
      </c>
      <c r="R529" s="165">
        <f>ElencoProdotti[[#This Row],[PRODUZIONE]]+20</f>
        <v/>
      </c>
      <c r="S529" s="165">
        <f>TODAY()</f>
        <v/>
      </c>
      <c r="T529" s="133">
        <f>CONCATENATE(A529," - contiene allergni - prodotto il giorno ",TEXT(Q529,"gg/mm/aaaa"),"")</f>
        <v/>
      </c>
    </row>
    <row r="530" ht="15" customHeight="1" s="155">
      <c r="A530" s="134">
        <f>ric!B530</f>
        <v/>
      </c>
      <c r="B530" s="118">
        <f>ric!C530</f>
        <v/>
      </c>
      <c r="C530" s="125">
        <f>ric!D530</f>
        <v/>
      </c>
      <c r="D530" s="125" t="n"/>
      <c r="E530" s="125" t="n"/>
      <c r="F530" s="125" t="n"/>
      <c r="G530" s="118">
        <f>CONCATENATE(A530, " ",#REF!, " / ",H530)</f>
        <v/>
      </c>
      <c r="H530" s="118" t="n"/>
      <c r="I530" s="119">
        <f>CONCATENATE(M530," - ",J530," - Lotto N° ",K530,"")</f>
        <v/>
      </c>
      <c r="J530" s="118" t="n"/>
      <c r="K530" s="118">
        <f>VLOOKUP(#REF!,Produzione,7,FALSE)</f>
        <v/>
      </c>
      <c r="L530" s="120" t="n"/>
      <c r="M530" s="120" t="n"/>
      <c r="N530" s="118" t="n"/>
      <c r="O530" s="121" t="n"/>
      <c r="P530" s="121" t="n"/>
      <c r="Q530" s="166">
        <f>TODAY()</f>
        <v/>
      </c>
      <c r="R530" s="165">
        <f>ElencoProdotti[[#This Row],[PRODUZIONE]]+20</f>
        <v/>
      </c>
      <c r="S530" s="165">
        <f>TODAY()</f>
        <v/>
      </c>
      <c r="T530" s="133">
        <f>CONCATENATE(A530," - contiene allergni - prodotto il giorno ",TEXT(Q530,"gg/mm/aaaa"),"")</f>
        <v/>
      </c>
    </row>
    <row r="531" ht="15" customHeight="1" s="155">
      <c r="A531" s="134">
        <f>ric!B531</f>
        <v/>
      </c>
      <c r="B531" s="118">
        <f>ric!C531</f>
        <v/>
      </c>
      <c r="C531" s="125">
        <f>ric!D531</f>
        <v/>
      </c>
      <c r="D531" s="125" t="n"/>
      <c r="E531" s="125" t="n"/>
      <c r="F531" s="125" t="n"/>
      <c r="G531" s="118">
        <f>CONCATENATE(A531, " ",#REF!, " / ",H531)</f>
        <v/>
      </c>
      <c r="H531" s="118" t="n"/>
      <c r="I531" s="119">
        <f>CONCATENATE(M531," - ",J531," - Lotto N° ",K531,"")</f>
        <v/>
      </c>
      <c r="J531" s="118" t="n"/>
      <c r="K531" s="118">
        <f>VLOOKUP(#REF!,Produzione,7,FALSE)</f>
        <v/>
      </c>
      <c r="L531" s="120" t="n"/>
      <c r="M531" s="120" t="n"/>
      <c r="N531" s="118" t="n"/>
      <c r="O531" s="121" t="n"/>
      <c r="P531" s="121" t="n"/>
      <c r="Q531" s="166">
        <f>TODAY()</f>
        <v/>
      </c>
      <c r="R531" s="165">
        <f>ElencoProdotti[[#This Row],[PRODUZIONE]]+20</f>
        <v/>
      </c>
      <c r="S531" s="165">
        <f>TODAY()</f>
        <v/>
      </c>
      <c r="T531" s="133">
        <f>CONCATENATE(A531," - contiene allergni - prodotto il giorno ",TEXT(Q531,"gg/mm/aaaa"),"")</f>
        <v/>
      </c>
    </row>
    <row r="532" ht="15" customHeight="1" s="155">
      <c r="A532" s="134">
        <f>ric!B532</f>
        <v/>
      </c>
      <c r="B532" s="118">
        <f>ric!C532</f>
        <v/>
      </c>
      <c r="C532" s="125">
        <f>ric!D532</f>
        <v/>
      </c>
      <c r="D532" s="125" t="n"/>
      <c r="E532" s="125" t="n"/>
      <c r="F532" s="125" t="n"/>
      <c r="G532" s="118">
        <f>CONCATENATE(A532, " ",#REF!, " / ",H532)</f>
        <v/>
      </c>
      <c r="H532" s="118" t="n"/>
      <c r="I532" s="119">
        <f>CONCATENATE(M532," - ",J532," - Lotto N° ",K532,"")</f>
        <v/>
      </c>
      <c r="J532" s="118" t="n"/>
      <c r="K532" s="118">
        <f>VLOOKUP(#REF!,Produzione,7,FALSE)</f>
        <v/>
      </c>
      <c r="L532" s="120" t="n"/>
      <c r="M532" s="120" t="n"/>
      <c r="N532" s="118" t="n"/>
      <c r="O532" s="121" t="n"/>
      <c r="P532" s="121" t="n"/>
      <c r="Q532" s="166">
        <f>TODAY()</f>
        <v/>
      </c>
      <c r="R532" s="165">
        <f>ElencoProdotti[[#This Row],[PRODUZIONE]]+20</f>
        <v/>
      </c>
      <c r="S532" s="165">
        <f>TODAY()</f>
        <v/>
      </c>
      <c r="T532" s="133">
        <f>CONCATENATE(A532," - contiene allergni - prodotto il giorno ",TEXT(Q532,"gg/mm/aaaa"),"")</f>
        <v/>
      </c>
    </row>
    <row r="533" ht="15" customHeight="1" s="155">
      <c r="A533" s="134">
        <f>ric!B533</f>
        <v/>
      </c>
      <c r="B533" s="118">
        <f>ric!C533</f>
        <v/>
      </c>
      <c r="C533" s="125">
        <f>ric!D533</f>
        <v/>
      </c>
      <c r="D533" s="125" t="n"/>
      <c r="E533" s="125" t="n"/>
      <c r="F533" s="125" t="n"/>
      <c r="G533" s="118">
        <f>CONCATENATE(A533, " ",#REF!, " / ",H533)</f>
        <v/>
      </c>
      <c r="H533" s="118" t="n"/>
      <c r="I533" s="119">
        <f>CONCATENATE(M533," - ",J533," - Lotto N° ",K533,"")</f>
        <v/>
      </c>
      <c r="J533" s="118" t="n"/>
      <c r="K533" s="118">
        <f>VLOOKUP(#REF!,Produzione,7,FALSE)</f>
        <v/>
      </c>
      <c r="L533" s="120" t="n"/>
      <c r="M533" s="120" t="n"/>
      <c r="N533" s="118" t="n"/>
      <c r="O533" s="121" t="n"/>
      <c r="P533" s="121" t="n"/>
      <c r="Q533" s="166">
        <f>TODAY()</f>
        <v/>
      </c>
      <c r="R533" s="165">
        <f>ElencoProdotti[[#This Row],[PRODUZIONE]]+20</f>
        <v/>
      </c>
      <c r="S533" s="165">
        <f>TODAY()</f>
        <v/>
      </c>
      <c r="T533" s="133">
        <f>CONCATENATE(A533," - contiene allergni - prodotto il giorno ",TEXT(Q533,"gg/mm/aaaa"),"")</f>
        <v/>
      </c>
    </row>
    <row r="534" ht="15" customHeight="1" s="155">
      <c r="A534" s="134">
        <f>ric!B534</f>
        <v/>
      </c>
      <c r="B534" s="118">
        <f>ric!C534</f>
        <v/>
      </c>
      <c r="C534" s="125">
        <f>ric!D534</f>
        <v/>
      </c>
      <c r="D534" s="125" t="n"/>
      <c r="E534" s="125" t="n"/>
      <c r="F534" s="125" t="n"/>
      <c r="G534" s="118">
        <f>CONCATENATE(A534, " ",#REF!, " / ",H534)</f>
        <v/>
      </c>
      <c r="H534" s="118" t="n"/>
      <c r="I534" s="119">
        <f>CONCATENATE(M534," - ",J534," - Lotto N° ",K534,"")</f>
        <v/>
      </c>
      <c r="J534" s="118" t="n"/>
      <c r="K534" s="118">
        <f>VLOOKUP(#REF!,Produzione,7,FALSE)</f>
        <v/>
      </c>
      <c r="L534" s="120" t="n"/>
      <c r="M534" s="120" t="n"/>
      <c r="N534" s="118" t="n"/>
      <c r="O534" s="121" t="n"/>
      <c r="P534" s="121" t="n"/>
      <c r="Q534" s="166">
        <f>TODAY()</f>
        <v/>
      </c>
      <c r="R534" s="165">
        <f>ElencoProdotti[[#This Row],[PRODUZIONE]]+20</f>
        <v/>
      </c>
      <c r="S534" s="165">
        <f>TODAY()</f>
        <v/>
      </c>
      <c r="T534" s="133">
        <f>CONCATENATE(A534," - contiene allergni - prodotto il giorno ",TEXT(Q534,"gg/mm/aaaa"),"")</f>
        <v/>
      </c>
    </row>
    <row r="535" ht="15" customHeight="1" s="155">
      <c r="A535" s="134">
        <f>ric!B535</f>
        <v/>
      </c>
      <c r="B535" s="118">
        <f>ric!C535</f>
        <v/>
      </c>
      <c r="C535" s="125">
        <f>ric!D535</f>
        <v/>
      </c>
      <c r="D535" s="125" t="n"/>
      <c r="E535" s="125" t="n"/>
      <c r="F535" s="125" t="n"/>
      <c r="G535" s="118">
        <f>CONCATENATE(A535, " ",#REF!, " / ",H535)</f>
        <v/>
      </c>
      <c r="H535" s="118" t="n"/>
      <c r="I535" s="119">
        <f>CONCATENATE(M535," - ",J535," - Lotto N° ",K535,"")</f>
        <v/>
      </c>
      <c r="J535" s="118" t="n"/>
      <c r="K535" s="118">
        <f>VLOOKUP(#REF!,Produzione,7,FALSE)</f>
        <v/>
      </c>
      <c r="L535" s="120" t="n"/>
      <c r="M535" s="120" t="n"/>
      <c r="N535" s="118" t="n"/>
      <c r="O535" s="121" t="n"/>
      <c r="P535" s="121" t="n"/>
      <c r="Q535" s="166">
        <f>TODAY()</f>
        <v/>
      </c>
      <c r="R535" s="165">
        <f>ElencoProdotti[[#This Row],[PRODUZIONE]]+20</f>
        <v/>
      </c>
      <c r="S535" s="165">
        <f>TODAY()</f>
        <v/>
      </c>
      <c r="T535" s="133">
        <f>CONCATENATE(A535," - contiene allergni - prodotto il giorno ",TEXT(Q535,"gg/mm/aaaa"),"")</f>
        <v/>
      </c>
    </row>
    <row r="536" ht="15" customHeight="1" s="155">
      <c r="A536" s="134">
        <f>ric!B536</f>
        <v/>
      </c>
      <c r="B536" s="118">
        <f>ric!C536</f>
        <v/>
      </c>
      <c r="C536" s="125">
        <f>ric!D536</f>
        <v/>
      </c>
      <c r="D536" s="125" t="n"/>
      <c r="E536" s="125" t="n"/>
      <c r="F536" s="125" t="n"/>
      <c r="G536" s="118">
        <f>CONCATENATE(A536, " ",#REF!, " / ",H536)</f>
        <v/>
      </c>
      <c r="H536" s="118" t="n"/>
      <c r="I536" s="119">
        <f>CONCATENATE(M536," - ",J536," - Lotto N° ",K536,"")</f>
        <v/>
      </c>
      <c r="J536" s="118" t="n"/>
      <c r="K536" s="118">
        <f>VLOOKUP(#REF!,Produzione,7,FALSE)</f>
        <v/>
      </c>
      <c r="L536" s="120" t="n"/>
      <c r="M536" s="120" t="n"/>
      <c r="N536" s="118" t="n"/>
      <c r="O536" s="121" t="n"/>
      <c r="P536" s="121" t="n"/>
      <c r="Q536" s="166">
        <f>TODAY()</f>
        <v/>
      </c>
      <c r="R536" s="165">
        <f>ElencoProdotti[[#This Row],[PRODUZIONE]]+20</f>
        <v/>
      </c>
      <c r="S536" s="165">
        <f>TODAY()</f>
        <v/>
      </c>
      <c r="T536" s="133">
        <f>CONCATENATE(A536," - contiene allergni - prodotto il giorno ",TEXT(Q536,"gg/mm/aaaa"),"")</f>
        <v/>
      </c>
    </row>
    <row r="537" ht="15" customHeight="1" s="155">
      <c r="A537" s="134">
        <f>ric!B537</f>
        <v/>
      </c>
      <c r="B537" s="118">
        <f>ric!C537</f>
        <v/>
      </c>
      <c r="C537" s="125">
        <f>ric!D537</f>
        <v/>
      </c>
      <c r="D537" s="125" t="n"/>
      <c r="E537" s="125" t="n"/>
      <c r="F537" s="125" t="n"/>
      <c r="G537" s="118">
        <f>CONCATENATE(A537, " ",#REF!, " / ",H537)</f>
        <v/>
      </c>
      <c r="H537" s="118" t="n"/>
      <c r="I537" s="119">
        <f>CONCATENATE(M537," - ",J537," - Lotto N° ",K537,"")</f>
        <v/>
      </c>
      <c r="J537" s="118" t="n"/>
      <c r="K537" s="118">
        <f>VLOOKUP(#REF!,Produzione,7,FALSE)</f>
        <v/>
      </c>
      <c r="L537" s="120" t="n"/>
      <c r="M537" s="120" t="n"/>
      <c r="N537" s="118" t="n"/>
      <c r="O537" s="121" t="n"/>
      <c r="P537" s="121" t="n"/>
      <c r="Q537" s="166">
        <f>TODAY()</f>
        <v/>
      </c>
      <c r="R537" s="165">
        <f>ElencoProdotti[[#This Row],[PRODUZIONE]]+20</f>
        <v/>
      </c>
      <c r="S537" s="165">
        <f>TODAY()</f>
        <v/>
      </c>
      <c r="T537" s="133">
        <f>CONCATENATE(A537," - contiene allergni - prodotto il giorno ",TEXT(Q537,"gg/mm/aaaa"),"")</f>
        <v/>
      </c>
    </row>
    <row r="538" ht="15" customHeight="1" s="155">
      <c r="A538" s="134">
        <f>ric!B538</f>
        <v/>
      </c>
      <c r="B538" s="118">
        <f>ric!C538</f>
        <v/>
      </c>
      <c r="C538" s="125">
        <f>ric!D538</f>
        <v/>
      </c>
      <c r="D538" s="125" t="n"/>
      <c r="E538" s="125" t="n"/>
      <c r="F538" s="125" t="n"/>
      <c r="G538" s="118">
        <f>CONCATENATE(A538, " ",#REF!, " / ",H538)</f>
        <v/>
      </c>
      <c r="H538" s="118" t="n"/>
      <c r="I538" s="119">
        <f>CONCATENATE(M538," - ",J538," - Lotto N° ",K538,"")</f>
        <v/>
      </c>
      <c r="J538" s="118" t="n"/>
      <c r="K538" s="118">
        <f>VLOOKUP(#REF!,Produzione,7,FALSE)</f>
        <v/>
      </c>
      <c r="L538" s="120" t="n"/>
      <c r="M538" s="120" t="n"/>
      <c r="N538" s="118" t="n"/>
      <c r="O538" s="121" t="n"/>
      <c r="P538" s="121" t="n"/>
      <c r="Q538" s="166">
        <f>TODAY()</f>
        <v/>
      </c>
      <c r="R538" s="165">
        <f>ElencoProdotti[[#This Row],[PRODUZIONE]]+20</f>
        <v/>
      </c>
      <c r="S538" s="165">
        <f>TODAY()</f>
        <v/>
      </c>
      <c r="T538" s="133">
        <f>CONCATENATE(A538," - contiene allergni - prodotto il giorno ",TEXT(Q538,"gg/mm/aaaa"),"")</f>
        <v/>
      </c>
    </row>
    <row r="539" ht="15" customHeight="1" s="155">
      <c r="A539" s="134">
        <f>ric!B539</f>
        <v/>
      </c>
      <c r="B539" s="118">
        <f>ric!C539</f>
        <v/>
      </c>
      <c r="C539" s="125">
        <f>ric!D539</f>
        <v/>
      </c>
      <c r="D539" s="125" t="n"/>
      <c r="E539" s="125" t="n"/>
      <c r="F539" s="125" t="n"/>
      <c r="G539" s="118">
        <f>CONCATENATE(A539, " ",#REF!, " / ",H539)</f>
        <v/>
      </c>
      <c r="H539" s="118" t="n"/>
      <c r="I539" s="119">
        <f>CONCATENATE(M539," - ",J539," - Lotto N° ",K539,"")</f>
        <v/>
      </c>
      <c r="J539" s="118" t="n"/>
      <c r="K539" s="118">
        <f>VLOOKUP(#REF!,Produzione,7,FALSE)</f>
        <v/>
      </c>
      <c r="L539" s="120" t="n"/>
      <c r="M539" s="120" t="n"/>
      <c r="N539" s="118" t="n"/>
      <c r="O539" s="121" t="n"/>
      <c r="P539" s="121" t="n"/>
      <c r="Q539" s="166">
        <f>TODAY()</f>
        <v/>
      </c>
      <c r="R539" s="165">
        <f>ElencoProdotti[[#This Row],[PRODUZIONE]]+20</f>
        <v/>
      </c>
      <c r="S539" s="165">
        <f>TODAY()</f>
        <v/>
      </c>
      <c r="T539" s="133">
        <f>CONCATENATE(A539," - contiene allergni - prodotto il giorno ",TEXT(Q539,"gg/mm/aaaa"),"")</f>
        <v/>
      </c>
    </row>
    <row r="540" ht="15" customHeight="1" s="155">
      <c r="A540" s="134">
        <f>ric!B540</f>
        <v/>
      </c>
      <c r="B540" s="118">
        <f>ric!C540</f>
        <v/>
      </c>
      <c r="C540" s="125">
        <f>ric!D540</f>
        <v/>
      </c>
      <c r="D540" s="125" t="n"/>
      <c r="E540" s="125" t="n"/>
      <c r="F540" s="125" t="n"/>
      <c r="G540" s="118">
        <f>CONCATENATE(A540, " ",#REF!, " / ",H540)</f>
        <v/>
      </c>
      <c r="H540" s="118" t="n"/>
      <c r="I540" s="119">
        <f>CONCATENATE(M540," - ",J540," - Lotto N° ",K540,"")</f>
        <v/>
      </c>
      <c r="J540" s="118" t="n"/>
      <c r="K540" s="118">
        <f>VLOOKUP(#REF!,Produzione,7,FALSE)</f>
        <v/>
      </c>
      <c r="L540" s="120" t="n"/>
      <c r="M540" s="120" t="n"/>
      <c r="N540" s="118" t="n"/>
      <c r="O540" s="121" t="n"/>
      <c r="P540" s="121" t="n"/>
      <c r="Q540" s="166">
        <f>TODAY()</f>
        <v/>
      </c>
      <c r="R540" s="165">
        <f>ElencoProdotti[[#This Row],[PRODUZIONE]]+20</f>
        <v/>
      </c>
      <c r="S540" s="165">
        <f>TODAY()</f>
        <v/>
      </c>
      <c r="T540" s="133">
        <f>CONCATENATE(A540," - contiene allergni - prodotto il giorno ",TEXT(Q540,"gg/mm/aaaa"),"")</f>
        <v/>
      </c>
    </row>
    <row r="541" ht="15" customHeight="1" s="155">
      <c r="A541" s="134">
        <f>ric!B541</f>
        <v/>
      </c>
      <c r="B541" s="118">
        <f>ric!C541</f>
        <v/>
      </c>
      <c r="C541" s="125">
        <f>ric!D541</f>
        <v/>
      </c>
      <c r="D541" s="125" t="n"/>
      <c r="E541" s="125" t="n"/>
      <c r="F541" s="125" t="n"/>
      <c r="G541" s="118">
        <f>CONCATENATE(A541, " ",#REF!, " / ",H541)</f>
        <v/>
      </c>
      <c r="H541" s="118" t="n"/>
      <c r="I541" s="119">
        <f>CONCATENATE(M541," - ",J541," - Lotto N° ",K541,"")</f>
        <v/>
      </c>
      <c r="J541" s="118" t="n"/>
      <c r="K541" s="118">
        <f>VLOOKUP(#REF!,Produzione,7,FALSE)</f>
        <v/>
      </c>
      <c r="L541" s="120" t="n"/>
      <c r="M541" s="120" t="n"/>
      <c r="N541" s="118" t="n"/>
      <c r="O541" s="121" t="n"/>
      <c r="P541" s="121" t="n"/>
      <c r="Q541" s="166">
        <f>TODAY()</f>
        <v/>
      </c>
      <c r="R541" s="165">
        <f>ElencoProdotti[[#This Row],[PRODUZIONE]]+20</f>
        <v/>
      </c>
      <c r="S541" s="165">
        <f>TODAY()</f>
        <v/>
      </c>
      <c r="T541" s="133">
        <f>CONCATENATE(A541," - contiene allergni - prodotto il giorno ",TEXT(Q541,"gg/mm/aaaa"),"")</f>
        <v/>
      </c>
    </row>
    <row r="542" ht="15" customHeight="1" s="155">
      <c r="A542" s="134">
        <f>ric!B542</f>
        <v/>
      </c>
      <c r="B542" s="118">
        <f>ric!C542</f>
        <v/>
      </c>
      <c r="C542" s="125">
        <f>ric!D542</f>
        <v/>
      </c>
      <c r="D542" s="125" t="n"/>
      <c r="E542" s="125" t="n"/>
      <c r="F542" s="125" t="n"/>
      <c r="G542" s="118">
        <f>CONCATENATE(A542, " ",#REF!, " / ",H542)</f>
        <v/>
      </c>
      <c r="H542" s="118" t="n"/>
      <c r="I542" s="119">
        <f>CONCATENATE(M542," - ",J542," - Lotto N° ",K542,"")</f>
        <v/>
      </c>
      <c r="J542" s="118" t="n"/>
      <c r="K542" s="118">
        <f>VLOOKUP(#REF!,Produzione,7,FALSE)</f>
        <v/>
      </c>
      <c r="L542" s="120" t="n"/>
      <c r="M542" s="120" t="n"/>
      <c r="N542" s="118" t="n"/>
      <c r="O542" s="121" t="n"/>
      <c r="P542" s="121" t="n"/>
      <c r="Q542" s="166">
        <f>TODAY()</f>
        <v/>
      </c>
      <c r="R542" s="165">
        <f>ElencoProdotti[[#This Row],[PRODUZIONE]]+20</f>
        <v/>
      </c>
      <c r="S542" s="165">
        <f>TODAY()</f>
        <v/>
      </c>
      <c r="T542" s="133">
        <f>CONCATENATE(A542," - contiene allergni - prodotto il giorno ",TEXT(Q542,"gg/mm/aaaa"),"")</f>
        <v/>
      </c>
    </row>
    <row r="543" ht="15" customHeight="1" s="155">
      <c r="A543" s="134">
        <f>ric!B543</f>
        <v/>
      </c>
      <c r="B543" s="118">
        <f>ric!C543</f>
        <v/>
      </c>
      <c r="C543" s="125">
        <f>ric!D543</f>
        <v/>
      </c>
      <c r="D543" s="125" t="n"/>
      <c r="E543" s="125" t="n"/>
      <c r="F543" s="125" t="n"/>
      <c r="G543" s="118">
        <f>CONCATENATE(A543, " ",#REF!, " / ",H543)</f>
        <v/>
      </c>
      <c r="H543" s="118" t="n"/>
      <c r="I543" s="119">
        <f>CONCATENATE(M543," - ",J543," - Lotto N° ",K543,"")</f>
        <v/>
      </c>
      <c r="J543" s="118" t="n"/>
      <c r="K543" s="118">
        <f>VLOOKUP(#REF!,Produzione,7,FALSE)</f>
        <v/>
      </c>
      <c r="L543" s="120" t="n"/>
      <c r="M543" s="120" t="n"/>
      <c r="N543" s="118" t="n"/>
      <c r="O543" s="121" t="n"/>
      <c r="P543" s="121" t="n"/>
      <c r="Q543" s="166">
        <f>TODAY()</f>
        <v/>
      </c>
      <c r="R543" s="165">
        <f>ElencoProdotti[[#This Row],[PRODUZIONE]]+20</f>
        <v/>
      </c>
      <c r="S543" s="165">
        <f>TODAY()</f>
        <v/>
      </c>
      <c r="T543" s="133">
        <f>CONCATENATE(A543," - contiene allergni - prodotto il giorno ",TEXT(Q543,"gg/mm/aaaa"),"")</f>
        <v/>
      </c>
    </row>
    <row r="544" ht="15" customHeight="1" s="155">
      <c r="A544" s="134">
        <f>ric!B544</f>
        <v/>
      </c>
      <c r="B544" s="118">
        <f>ric!C544</f>
        <v/>
      </c>
      <c r="C544" s="125">
        <f>ric!D544</f>
        <v/>
      </c>
      <c r="D544" s="125" t="n"/>
      <c r="E544" s="125" t="n"/>
      <c r="F544" s="125" t="n"/>
      <c r="G544" s="118">
        <f>CONCATENATE(A544, " ",#REF!, " / ",H544)</f>
        <v/>
      </c>
      <c r="H544" s="118" t="n"/>
      <c r="I544" s="119">
        <f>CONCATENATE(M544," - ",J544," - Lotto N° ",K544,"")</f>
        <v/>
      </c>
      <c r="J544" s="118" t="n"/>
      <c r="K544" s="118">
        <f>VLOOKUP(#REF!,Produzione,7,FALSE)</f>
        <v/>
      </c>
      <c r="L544" s="120" t="n"/>
      <c r="M544" s="120" t="n"/>
      <c r="N544" s="118" t="n"/>
      <c r="O544" s="121" t="n"/>
      <c r="P544" s="121" t="n"/>
      <c r="Q544" s="166">
        <f>TODAY()</f>
        <v/>
      </c>
      <c r="R544" s="165">
        <f>ElencoProdotti[[#This Row],[PRODUZIONE]]+20</f>
        <v/>
      </c>
      <c r="S544" s="165">
        <f>TODAY()</f>
        <v/>
      </c>
      <c r="T544" s="133">
        <f>CONCATENATE(A544," - contiene allergni - prodotto il giorno ",TEXT(Q544,"gg/mm/aaaa"),"")</f>
        <v/>
      </c>
    </row>
    <row r="545" ht="15" customHeight="1" s="155">
      <c r="A545" s="134">
        <f>ric!B545</f>
        <v/>
      </c>
      <c r="B545" s="118">
        <f>ric!C545</f>
        <v/>
      </c>
      <c r="C545" s="125">
        <f>ric!D545</f>
        <v/>
      </c>
      <c r="D545" s="125" t="n"/>
      <c r="E545" s="125" t="n"/>
      <c r="F545" s="125" t="n"/>
      <c r="G545" s="118">
        <f>CONCATENATE(A545, " ",#REF!, " / ",H545)</f>
        <v/>
      </c>
      <c r="H545" s="118" t="n"/>
      <c r="I545" s="119">
        <f>CONCATENATE(M545," - ",J545," - Lotto N° ",K545,"")</f>
        <v/>
      </c>
      <c r="J545" s="118" t="n"/>
      <c r="K545" s="118">
        <f>VLOOKUP(#REF!,Produzione,7,FALSE)</f>
        <v/>
      </c>
      <c r="L545" s="120" t="n"/>
      <c r="M545" s="120" t="n"/>
      <c r="N545" s="118" t="n"/>
      <c r="O545" s="121" t="n"/>
      <c r="P545" s="121" t="n"/>
      <c r="Q545" s="166">
        <f>TODAY()</f>
        <v/>
      </c>
      <c r="R545" s="165">
        <f>ElencoProdotti[[#This Row],[PRODUZIONE]]+20</f>
        <v/>
      </c>
      <c r="S545" s="165">
        <f>TODAY()</f>
        <v/>
      </c>
      <c r="T545" s="133">
        <f>CONCATENATE(A545," - contiene allergni - prodotto il giorno ",TEXT(Q545,"gg/mm/aaaa"),"")</f>
        <v/>
      </c>
    </row>
    <row r="546" ht="15" customHeight="1" s="155">
      <c r="A546" s="134">
        <f>ric!B546</f>
        <v/>
      </c>
      <c r="B546" s="118">
        <f>ric!C546</f>
        <v/>
      </c>
      <c r="C546" s="125">
        <f>ric!D546</f>
        <v/>
      </c>
      <c r="D546" s="125" t="n"/>
      <c r="E546" s="125" t="n"/>
      <c r="F546" s="125" t="n"/>
      <c r="G546" s="118">
        <f>CONCATENATE(A546, " ",#REF!, " / ",H546)</f>
        <v/>
      </c>
      <c r="H546" s="118" t="n"/>
      <c r="I546" s="119">
        <f>CONCATENATE(M546," - ",J546," - Lotto N° ",K546,"")</f>
        <v/>
      </c>
      <c r="J546" s="118" t="n"/>
      <c r="K546" s="118">
        <f>VLOOKUP(#REF!,Produzione,7,FALSE)</f>
        <v/>
      </c>
      <c r="L546" s="120" t="n"/>
      <c r="M546" s="120" t="n"/>
      <c r="N546" s="118" t="n"/>
      <c r="O546" s="121" t="n"/>
      <c r="P546" s="121" t="n"/>
      <c r="Q546" s="166">
        <f>TODAY()</f>
        <v/>
      </c>
      <c r="R546" s="165">
        <f>ElencoProdotti[[#This Row],[PRODUZIONE]]+20</f>
        <v/>
      </c>
      <c r="S546" s="165">
        <f>TODAY()</f>
        <v/>
      </c>
      <c r="T546" s="133">
        <f>CONCATENATE(A546," - contiene allergni - prodotto il giorno ",TEXT(Q546,"gg/mm/aaaa"),"")</f>
        <v/>
      </c>
    </row>
    <row r="547" ht="15" customHeight="1" s="155">
      <c r="A547" s="134">
        <f>ric!B547</f>
        <v/>
      </c>
      <c r="B547" s="118">
        <f>ric!C547</f>
        <v/>
      </c>
      <c r="C547" s="125">
        <f>ric!D547</f>
        <v/>
      </c>
      <c r="D547" s="125" t="n"/>
      <c r="E547" s="125" t="n"/>
      <c r="F547" s="125" t="n"/>
      <c r="G547" s="118">
        <f>CONCATENATE(A547, " ",#REF!, " / ",H547)</f>
        <v/>
      </c>
      <c r="H547" s="118" t="n"/>
      <c r="I547" s="119">
        <f>CONCATENATE(M547," - ",J547," - Lotto N° ",K547,"")</f>
        <v/>
      </c>
      <c r="J547" s="118" t="n"/>
      <c r="K547" s="118">
        <f>VLOOKUP(#REF!,Produzione,7,FALSE)</f>
        <v/>
      </c>
      <c r="L547" s="120" t="n"/>
      <c r="M547" s="120" t="n"/>
      <c r="N547" s="118" t="n"/>
      <c r="O547" s="121" t="n"/>
      <c r="P547" s="121" t="n"/>
      <c r="Q547" s="166">
        <f>TODAY()</f>
        <v/>
      </c>
      <c r="R547" s="165">
        <f>ElencoProdotti[[#This Row],[PRODUZIONE]]+20</f>
        <v/>
      </c>
      <c r="S547" s="165">
        <f>TODAY()</f>
        <v/>
      </c>
      <c r="T547" s="133">
        <f>CONCATENATE(A547," - contiene allergni - prodotto il giorno ",TEXT(Q547,"gg/mm/aaaa"),"")</f>
        <v/>
      </c>
    </row>
    <row r="548" ht="15" customHeight="1" s="155">
      <c r="A548" s="134">
        <f>ric!B548</f>
        <v/>
      </c>
      <c r="B548" s="118">
        <f>ric!C548</f>
        <v/>
      </c>
      <c r="C548" s="125">
        <f>ric!D548</f>
        <v/>
      </c>
      <c r="D548" s="125" t="n"/>
      <c r="E548" s="125" t="n"/>
      <c r="F548" s="125" t="n"/>
      <c r="G548" s="118">
        <f>CONCATENATE(A548, " ",#REF!, " / ",H548)</f>
        <v/>
      </c>
      <c r="H548" s="118" t="n"/>
      <c r="I548" s="119">
        <f>CONCATENATE(M548," - ",J548," - Lotto N° ",K548,"")</f>
        <v/>
      </c>
      <c r="J548" s="118" t="n"/>
      <c r="K548" s="118">
        <f>VLOOKUP(#REF!,Produzione,7,FALSE)</f>
        <v/>
      </c>
      <c r="L548" s="120" t="n"/>
      <c r="M548" s="120" t="n"/>
      <c r="N548" s="118" t="n"/>
      <c r="O548" s="121" t="n"/>
      <c r="P548" s="121" t="n"/>
      <c r="Q548" s="166">
        <f>TODAY()</f>
        <v/>
      </c>
      <c r="R548" s="165">
        <f>ElencoProdotti[[#This Row],[PRODUZIONE]]+20</f>
        <v/>
      </c>
      <c r="S548" s="165">
        <f>TODAY()</f>
        <v/>
      </c>
      <c r="T548" s="133">
        <f>CONCATENATE(A548," - contiene allergni - prodotto il giorno ",TEXT(Q548,"gg/mm/aaaa"),"")</f>
        <v/>
      </c>
    </row>
    <row r="549" ht="15" customHeight="1" s="155">
      <c r="A549" s="134">
        <f>ric!B549</f>
        <v/>
      </c>
      <c r="B549" s="118">
        <f>ric!C549</f>
        <v/>
      </c>
      <c r="C549" s="125">
        <f>ric!D549</f>
        <v/>
      </c>
      <c r="D549" s="125" t="n"/>
      <c r="E549" s="125" t="n"/>
      <c r="F549" s="125" t="n"/>
      <c r="G549" s="118">
        <f>CONCATENATE(A549, " ",#REF!, " / ",H549)</f>
        <v/>
      </c>
      <c r="H549" s="118" t="n"/>
      <c r="I549" s="119">
        <f>CONCATENATE(M549," - ",J549," - Lotto N° ",K549,"")</f>
        <v/>
      </c>
      <c r="J549" s="118" t="n"/>
      <c r="K549" s="118">
        <f>VLOOKUP(#REF!,Produzione,7,FALSE)</f>
        <v/>
      </c>
      <c r="L549" s="120" t="n"/>
      <c r="M549" s="120" t="n"/>
      <c r="N549" s="118" t="n"/>
      <c r="O549" s="121" t="n"/>
      <c r="P549" s="121" t="n"/>
      <c r="Q549" s="166">
        <f>TODAY()</f>
        <v/>
      </c>
      <c r="R549" s="165">
        <f>ElencoProdotti[[#This Row],[PRODUZIONE]]+20</f>
        <v/>
      </c>
      <c r="S549" s="165">
        <f>TODAY()</f>
        <v/>
      </c>
      <c r="T549" s="133">
        <f>CONCATENATE(A549," - contiene allergni - prodotto il giorno ",TEXT(Q549,"gg/mm/aaaa"),"")</f>
        <v/>
      </c>
    </row>
    <row r="550" ht="15" customHeight="1" s="155">
      <c r="A550" s="134">
        <f>ric!B550</f>
        <v/>
      </c>
      <c r="B550" s="118">
        <f>ric!C550</f>
        <v/>
      </c>
      <c r="C550" s="125">
        <f>ric!D550</f>
        <v/>
      </c>
      <c r="D550" s="125" t="n"/>
      <c r="E550" s="125" t="n"/>
      <c r="F550" s="125" t="n"/>
      <c r="G550" s="118">
        <f>CONCATENATE(A550, " ",#REF!, " / ",H550)</f>
        <v/>
      </c>
      <c r="H550" s="118" t="n"/>
      <c r="I550" s="119">
        <f>CONCATENATE(M550," - ",J550," - Lotto N° ",K550,"")</f>
        <v/>
      </c>
      <c r="J550" s="118" t="n"/>
      <c r="K550" s="118">
        <f>VLOOKUP(#REF!,Produzione,7,FALSE)</f>
        <v/>
      </c>
      <c r="L550" s="120" t="n"/>
      <c r="M550" s="120" t="n"/>
      <c r="N550" s="118" t="n"/>
      <c r="O550" s="121" t="n"/>
      <c r="P550" s="121" t="n"/>
      <c r="Q550" s="166">
        <f>TODAY()</f>
        <v/>
      </c>
      <c r="R550" s="165">
        <f>ElencoProdotti[[#This Row],[PRODUZIONE]]+20</f>
        <v/>
      </c>
      <c r="S550" s="165">
        <f>TODAY()</f>
        <v/>
      </c>
      <c r="T550" s="133">
        <f>CONCATENATE(A550," - contiene allergni - prodotto il giorno ",TEXT(Q550,"gg/mm/aaaa"),"")</f>
        <v/>
      </c>
    </row>
    <row r="551" ht="15" customHeight="1" s="155">
      <c r="A551" s="134">
        <f>ric!B551</f>
        <v/>
      </c>
      <c r="B551" s="118">
        <f>ric!C551</f>
        <v/>
      </c>
      <c r="C551" s="125">
        <f>ric!D551</f>
        <v/>
      </c>
      <c r="D551" s="125" t="n"/>
      <c r="E551" s="125" t="n"/>
      <c r="F551" s="125" t="n"/>
      <c r="G551" s="118">
        <f>CONCATENATE(A551, " ",#REF!, " / ",H551)</f>
        <v/>
      </c>
      <c r="H551" s="118" t="n"/>
      <c r="I551" s="119">
        <f>CONCATENATE(M551," - ",J551," - Lotto N° ",K551,"")</f>
        <v/>
      </c>
      <c r="J551" s="118" t="n"/>
      <c r="K551" s="118">
        <f>VLOOKUP(#REF!,Produzione,7,FALSE)</f>
        <v/>
      </c>
      <c r="L551" s="120" t="n"/>
      <c r="M551" s="120" t="n"/>
      <c r="N551" s="118" t="n"/>
      <c r="O551" s="121" t="n"/>
      <c r="P551" s="121" t="n"/>
      <c r="Q551" s="166">
        <f>TODAY()</f>
        <v/>
      </c>
      <c r="R551" s="165">
        <f>ElencoProdotti[[#This Row],[PRODUZIONE]]+20</f>
        <v/>
      </c>
      <c r="S551" s="165">
        <f>TODAY()</f>
        <v/>
      </c>
      <c r="T551" s="133">
        <f>CONCATENATE(A551," - contiene allergni - prodotto il giorno ",TEXT(Q551,"gg/mm/aaaa"),"")</f>
        <v/>
      </c>
    </row>
    <row r="552" ht="15" customHeight="1" s="155">
      <c r="A552" s="134">
        <f>ric!B552</f>
        <v/>
      </c>
      <c r="B552" s="118">
        <f>ric!C552</f>
        <v/>
      </c>
      <c r="C552" s="125">
        <f>ric!D552</f>
        <v/>
      </c>
      <c r="D552" s="125" t="n"/>
      <c r="E552" s="125" t="n"/>
      <c r="F552" s="125" t="n"/>
      <c r="G552" s="118">
        <f>CONCATENATE(A552, " ",#REF!, " / ",H552)</f>
        <v/>
      </c>
      <c r="H552" s="118" t="n"/>
      <c r="I552" s="119">
        <f>CONCATENATE(M552," - ",J552," - Lotto N° ",K552,"")</f>
        <v/>
      </c>
      <c r="J552" s="118" t="n"/>
      <c r="K552" s="118">
        <f>VLOOKUP(#REF!,Produzione,7,FALSE)</f>
        <v/>
      </c>
      <c r="L552" s="120" t="n"/>
      <c r="M552" s="120" t="n"/>
      <c r="N552" s="118" t="n"/>
      <c r="O552" s="121" t="n"/>
      <c r="P552" s="121" t="n"/>
      <c r="Q552" s="166">
        <f>TODAY()</f>
        <v/>
      </c>
      <c r="R552" s="165">
        <f>ElencoProdotti[[#This Row],[PRODUZIONE]]+20</f>
        <v/>
      </c>
      <c r="S552" s="165">
        <f>TODAY()</f>
        <v/>
      </c>
      <c r="T552" s="133">
        <f>CONCATENATE(A552," - contiene allergni - prodotto il giorno ",TEXT(Q552,"gg/mm/aaaa"),"")</f>
        <v/>
      </c>
    </row>
    <row r="553" ht="15" customHeight="1" s="155">
      <c r="A553" s="134">
        <f>ric!B553</f>
        <v/>
      </c>
      <c r="B553" s="118">
        <f>ric!C553</f>
        <v/>
      </c>
      <c r="C553" s="125">
        <f>ric!D553</f>
        <v/>
      </c>
      <c r="D553" s="125" t="n"/>
      <c r="E553" s="125" t="n"/>
      <c r="F553" s="125" t="n"/>
      <c r="G553" s="118">
        <f>CONCATENATE(A553, " ",#REF!, " / ",H553)</f>
        <v/>
      </c>
      <c r="H553" s="118" t="n"/>
      <c r="I553" s="119">
        <f>CONCATENATE(M553," - ",J553," - Lotto N° ",K553,"")</f>
        <v/>
      </c>
      <c r="J553" s="118" t="n"/>
      <c r="K553" s="118">
        <f>VLOOKUP(#REF!,Produzione,7,FALSE)</f>
        <v/>
      </c>
      <c r="L553" s="120" t="n"/>
      <c r="M553" s="120" t="n"/>
      <c r="N553" s="118" t="n"/>
      <c r="O553" s="121" t="n"/>
      <c r="P553" s="121" t="n"/>
      <c r="Q553" s="166">
        <f>TODAY()</f>
        <v/>
      </c>
      <c r="R553" s="165">
        <f>ElencoProdotti[[#This Row],[PRODUZIONE]]+20</f>
        <v/>
      </c>
      <c r="S553" s="165">
        <f>TODAY()</f>
        <v/>
      </c>
      <c r="T553" s="133">
        <f>CONCATENATE(A553," - contiene allergni - prodotto il giorno ",TEXT(Q553,"gg/mm/aaaa"),"")</f>
        <v/>
      </c>
    </row>
    <row r="554" ht="15" customHeight="1" s="155">
      <c r="A554" s="134">
        <f>ric!B554</f>
        <v/>
      </c>
      <c r="B554" s="118">
        <f>ric!C554</f>
        <v/>
      </c>
      <c r="C554" s="125">
        <f>ric!D554</f>
        <v/>
      </c>
      <c r="D554" s="125" t="n"/>
      <c r="E554" s="125" t="n"/>
      <c r="F554" s="125" t="n"/>
      <c r="G554" s="118">
        <f>CONCATENATE(A554, " ",#REF!, " / ",H554)</f>
        <v/>
      </c>
      <c r="H554" s="118" t="n"/>
      <c r="I554" s="119">
        <f>CONCATENATE(M554," - ",J554," - Lotto N° ",K554,"")</f>
        <v/>
      </c>
      <c r="J554" s="118" t="n"/>
      <c r="K554" s="118">
        <f>VLOOKUP(#REF!,Produzione,7,FALSE)</f>
        <v/>
      </c>
      <c r="L554" s="120" t="n"/>
      <c r="M554" s="120" t="n"/>
      <c r="N554" s="118" t="n"/>
      <c r="O554" s="121" t="n"/>
      <c r="P554" s="121" t="n"/>
      <c r="Q554" s="166">
        <f>TODAY()</f>
        <v/>
      </c>
      <c r="R554" s="165">
        <f>ElencoProdotti[[#This Row],[PRODUZIONE]]+20</f>
        <v/>
      </c>
      <c r="S554" s="165">
        <f>TODAY()</f>
        <v/>
      </c>
      <c r="T554" s="133">
        <f>CONCATENATE(A554," - contiene allergni - prodotto il giorno ",TEXT(Q554,"gg/mm/aaaa"),"")</f>
        <v/>
      </c>
    </row>
    <row r="555" ht="15" customHeight="1" s="155">
      <c r="A555" s="134">
        <f>ric!B555</f>
        <v/>
      </c>
      <c r="B555" s="118">
        <f>ric!C555</f>
        <v/>
      </c>
      <c r="C555" s="125">
        <f>ric!D555</f>
        <v/>
      </c>
      <c r="D555" s="125" t="n"/>
      <c r="E555" s="125" t="n"/>
      <c r="F555" s="125" t="n"/>
      <c r="G555" s="118">
        <f>CONCATENATE(A555, " ",#REF!, " / ",H555)</f>
        <v/>
      </c>
      <c r="H555" s="118" t="n"/>
      <c r="I555" s="119">
        <f>CONCATENATE(M555," - ",J555," - Lotto N° ",K555,"")</f>
        <v/>
      </c>
      <c r="J555" s="118" t="n"/>
      <c r="K555" s="118">
        <f>VLOOKUP(#REF!,Produzione,7,FALSE)</f>
        <v/>
      </c>
      <c r="L555" s="120" t="n"/>
      <c r="M555" s="120" t="n"/>
      <c r="N555" s="118" t="n"/>
      <c r="O555" s="121" t="n"/>
      <c r="P555" s="121" t="n"/>
      <c r="Q555" s="166">
        <f>TODAY()</f>
        <v/>
      </c>
      <c r="R555" s="165">
        <f>ElencoProdotti[[#This Row],[PRODUZIONE]]+20</f>
        <v/>
      </c>
      <c r="S555" s="165">
        <f>TODAY()</f>
        <v/>
      </c>
      <c r="T555" s="133">
        <f>CONCATENATE(A555," - contiene allergni - prodotto il giorno ",TEXT(Q555,"gg/mm/aaaa"),"")</f>
        <v/>
      </c>
    </row>
    <row r="556" ht="15" customHeight="1" s="155">
      <c r="A556" s="134">
        <f>ric!B556</f>
        <v/>
      </c>
      <c r="B556" s="118">
        <f>ric!C556</f>
        <v/>
      </c>
      <c r="C556" s="125">
        <f>ric!D556</f>
        <v/>
      </c>
      <c r="D556" s="125" t="n"/>
      <c r="E556" s="125" t="n"/>
      <c r="F556" s="125" t="n"/>
      <c r="G556" s="118">
        <f>CONCATENATE(A556, " ",#REF!, " / ",H556)</f>
        <v/>
      </c>
      <c r="H556" s="118" t="n"/>
      <c r="I556" s="119">
        <f>CONCATENATE(M556," - ",J556," - Lotto N° ",K556,"")</f>
        <v/>
      </c>
      <c r="J556" s="118" t="n"/>
      <c r="K556" s="118">
        <f>VLOOKUP(#REF!,Produzione,7,FALSE)</f>
        <v/>
      </c>
      <c r="L556" s="120" t="n"/>
      <c r="M556" s="120" t="n"/>
      <c r="N556" s="118" t="n"/>
      <c r="O556" s="121" t="n"/>
      <c r="P556" s="121" t="n"/>
      <c r="Q556" s="166">
        <f>TODAY()</f>
        <v/>
      </c>
      <c r="R556" s="165">
        <f>ElencoProdotti[[#This Row],[PRODUZIONE]]+20</f>
        <v/>
      </c>
      <c r="S556" s="165">
        <f>TODAY()</f>
        <v/>
      </c>
      <c r="T556" s="133">
        <f>CONCATENATE(A556," - contiene allergni - prodotto il giorno ",TEXT(Q556,"gg/mm/aaaa"),"")</f>
        <v/>
      </c>
    </row>
    <row r="557" ht="15" customHeight="1" s="155">
      <c r="A557" s="134">
        <f>ric!B557</f>
        <v/>
      </c>
      <c r="B557" s="118">
        <f>ric!C557</f>
        <v/>
      </c>
      <c r="C557" s="125">
        <f>ric!D557</f>
        <v/>
      </c>
      <c r="D557" s="125" t="n"/>
      <c r="E557" s="125" t="n"/>
      <c r="F557" s="125" t="n"/>
      <c r="G557" s="118">
        <f>CONCATENATE(A557, " ",#REF!, " / ",H557)</f>
        <v/>
      </c>
      <c r="H557" s="118" t="n"/>
      <c r="I557" s="119">
        <f>CONCATENATE(M557," - ",J557," - Lotto N° ",K557,"")</f>
        <v/>
      </c>
      <c r="J557" s="118" t="n"/>
      <c r="K557" s="118">
        <f>VLOOKUP(#REF!,Produzione,7,FALSE)</f>
        <v/>
      </c>
      <c r="L557" s="120" t="n"/>
      <c r="M557" s="120" t="n"/>
      <c r="N557" s="118" t="n"/>
      <c r="O557" s="121" t="n"/>
      <c r="P557" s="121" t="n"/>
      <c r="Q557" s="166">
        <f>TODAY()</f>
        <v/>
      </c>
      <c r="R557" s="165">
        <f>ElencoProdotti[[#This Row],[PRODUZIONE]]+20</f>
        <v/>
      </c>
      <c r="S557" s="165">
        <f>TODAY()</f>
        <v/>
      </c>
      <c r="T557" s="133">
        <f>CONCATENATE(A557," - contiene allergni - prodotto il giorno ",TEXT(Q557,"gg/mm/aaaa"),"")</f>
        <v/>
      </c>
    </row>
    <row r="558" ht="15" customHeight="1" s="155">
      <c r="A558" s="134">
        <f>ric!B558</f>
        <v/>
      </c>
      <c r="B558" s="118">
        <f>ric!C558</f>
        <v/>
      </c>
      <c r="C558" s="125">
        <f>ric!D558</f>
        <v/>
      </c>
      <c r="D558" s="125" t="n"/>
      <c r="E558" s="125" t="n"/>
      <c r="F558" s="125" t="n"/>
      <c r="G558" s="118">
        <f>CONCATENATE(A558, " ",#REF!, " / ",H558)</f>
        <v/>
      </c>
      <c r="H558" s="118" t="n"/>
      <c r="I558" s="119">
        <f>CONCATENATE(M558," - ",J558," - Lotto N° ",K558,"")</f>
        <v/>
      </c>
      <c r="J558" s="118" t="n"/>
      <c r="K558" s="118">
        <f>VLOOKUP(#REF!,Produzione,7,FALSE)</f>
        <v/>
      </c>
      <c r="L558" s="120" t="n"/>
      <c r="M558" s="120" t="n"/>
      <c r="N558" s="118" t="n"/>
      <c r="O558" s="121" t="n"/>
      <c r="P558" s="121" t="n"/>
      <c r="Q558" s="166">
        <f>TODAY()</f>
        <v/>
      </c>
      <c r="R558" s="165">
        <f>ElencoProdotti[[#This Row],[PRODUZIONE]]+20</f>
        <v/>
      </c>
      <c r="S558" s="165">
        <f>TODAY()</f>
        <v/>
      </c>
      <c r="T558" s="133">
        <f>CONCATENATE(A558," - contiene allergni - prodotto il giorno ",TEXT(Q558,"gg/mm/aaaa"),"")</f>
        <v/>
      </c>
    </row>
    <row r="559" ht="15" customHeight="1" s="155">
      <c r="A559" s="134">
        <f>ric!B559</f>
        <v/>
      </c>
      <c r="B559" s="118">
        <f>ric!C559</f>
        <v/>
      </c>
      <c r="C559" s="125">
        <f>ric!D559</f>
        <v/>
      </c>
      <c r="D559" s="125" t="n"/>
      <c r="E559" s="125" t="n"/>
      <c r="F559" s="125" t="n"/>
      <c r="G559" s="118">
        <f>CONCATENATE(A559, " ",#REF!, " / ",H559)</f>
        <v/>
      </c>
      <c r="H559" s="118" t="n"/>
      <c r="I559" s="119">
        <f>CONCATENATE(M559," - ",J559," - Lotto N° ",K559,"")</f>
        <v/>
      </c>
      <c r="J559" s="118" t="n"/>
      <c r="K559" s="118">
        <f>VLOOKUP(#REF!,Produzione,7,FALSE)</f>
        <v/>
      </c>
      <c r="L559" s="120" t="n"/>
      <c r="M559" s="120" t="n"/>
      <c r="N559" s="118" t="n"/>
      <c r="O559" s="121" t="n"/>
      <c r="P559" s="121" t="n"/>
      <c r="Q559" s="166">
        <f>TODAY()</f>
        <v/>
      </c>
      <c r="R559" s="165">
        <f>ElencoProdotti[[#This Row],[PRODUZIONE]]+20</f>
        <v/>
      </c>
      <c r="S559" s="165">
        <f>TODAY()</f>
        <v/>
      </c>
      <c r="T559" s="133">
        <f>CONCATENATE(A559," - contiene allergni - prodotto il giorno ",TEXT(Q559,"gg/mm/aaaa"),"")</f>
        <v/>
      </c>
    </row>
    <row r="560" ht="15" customHeight="1" s="155">
      <c r="A560" s="134">
        <f>ric!B560</f>
        <v/>
      </c>
      <c r="B560" s="118">
        <f>ric!C560</f>
        <v/>
      </c>
      <c r="C560" s="125">
        <f>ric!D560</f>
        <v/>
      </c>
      <c r="D560" s="125" t="n"/>
      <c r="E560" s="125" t="n"/>
      <c r="F560" s="125" t="n"/>
      <c r="G560" s="118">
        <f>CONCATENATE(A560, " ",#REF!, " / ",H560)</f>
        <v/>
      </c>
      <c r="H560" s="118" t="n"/>
      <c r="I560" s="119">
        <f>CONCATENATE(M560," - ",J560," - Lotto N° ",K560,"")</f>
        <v/>
      </c>
      <c r="J560" s="118" t="n"/>
      <c r="K560" s="118">
        <f>VLOOKUP(#REF!,Produzione,7,FALSE)</f>
        <v/>
      </c>
      <c r="L560" s="120" t="n"/>
      <c r="M560" s="120" t="n"/>
      <c r="N560" s="118" t="n"/>
      <c r="O560" s="121" t="n"/>
      <c r="P560" s="121" t="n"/>
      <c r="Q560" s="166">
        <f>TODAY()</f>
        <v/>
      </c>
      <c r="R560" s="165">
        <f>ElencoProdotti[[#This Row],[PRODUZIONE]]+20</f>
        <v/>
      </c>
      <c r="S560" s="165">
        <f>TODAY()</f>
        <v/>
      </c>
      <c r="T560" s="133">
        <f>CONCATENATE(A560," - contiene allergni - prodotto il giorno ",TEXT(Q560,"gg/mm/aaaa"),"")</f>
        <v/>
      </c>
    </row>
    <row r="561" ht="15" customHeight="1" s="155">
      <c r="A561" s="134">
        <f>ric!B561</f>
        <v/>
      </c>
      <c r="B561" s="118">
        <f>ric!C561</f>
        <v/>
      </c>
      <c r="C561" s="125">
        <f>ric!D561</f>
        <v/>
      </c>
      <c r="D561" s="125" t="n"/>
      <c r="E561" s="125" t="n"/>
      <c r="F561" s="125" t="n"/>
      <c r="G561" s="118">
        <f>CONCATENATE(A561, " ",#REF!, " / ",H561)</f>
        <v/>
      </c>
      <c r="H561" s="118" t="n"/>
      <c r="I561" s="119">
        <f>CONCATENATE(M561," - ",J561," - Lotto N° ",K561,"")</f>
        <v/>
      </c>
      <c r="J561" s="118" t="n"/>
      <c r="K561" s="118">
        <f>VLOOKUP(#REF!,Produzione,7,FALSE)</f>
        <v/>
      </c>
      <c r="L561" s="120" t="n"/>
      <c r="M561" s="120" t="n"/>
      <c r="N561" s="118" t="n"/>
      <c r="O561" s="121" t="n"/>
      <c r="P561" s="121" t="n"/>
      <c r="Q561" s="166">
        <f>TODAY()</f>
        <v/>
      </c>
      <c r="R561" s="165">
        <f>ElencoProdotti[[#This Row],[PRODUZIONE]]+20</f>
        <v/>
      </c>
      <c r="S561" s="165">
        <f>TODAY()</f>
        <v/>
      </c>
      <c r="T561" s="133">
        <f>CONCATENATE(A561," - contiene allergni - prodotto il giorno ",TEXT(Q561,"gg/mm/aaaa"),"")</f>
        <v/>
      </c>
    </row>
    <row r="562" ht="15" customHeight="1" s="155">
      <c r="A562" s="134">
        <f>ric!B562</f>
        <v/>
      </c>
      <c r="B562" s="118">
        <f>ric!C562</f>
        <v/>
      </c>
      <c r="C562" s="125">
        <f>ric!D562</f>
        <v/>
      </c>
      <c r="D562" s="125" t="n"/>
      <c r="E562" s="125" t="n"/>
      <c r="F562" s="125" t="n"/>
      <c r="G562" s="118">
        <f>CONCATENATE(A562, " ",#REF!, " / ",H562)</f>
        <v/>
      </c>
      <c r="H562" s="118" t="n"/>
      <c r="I562" s="119">
        <f>CONCATENATE(M562," - ",J562," - Lotto N° ",K562,"")</f>
        <v/>
      </c>
      <c r="J562" s="118" t="n"/>
      <c r="K562" s="118">
        <f>VLOOKUP(#REF!,Produzione,7,FALSE)</f>
        <v/>
      </c>
      <c r="L562" s="120" t="n"/>
      <c r="M562" s="120" t="n"/>
      <c r="N562" s="118" t="n"/>
      <c r="O562" s="121" t="n"/>
      <c r="P562" s="121" t="n"/>
      <c r="Q562" s="166">
        <f>TODAY()</f>
        <v/>
      </c>
      <c r="R562" s="165">
        <f>ElencoProdotti[[#This Row],[PRODUZIONE]]+20</f>
        <v/>
      </c>
      <c r="S562" s="165">
        <f>TODAY()</f>
        <v/>
      </c>
      <c r="T562" s="133">
        <f>CONCATENATE(A562," - contiene allergni - prodotto il giorno ",TEXT(Q562,"gg/mm/aaaa"),"")</f>
        <v/>
      </c>
    </row>
    <row r="563" ht="15" customHeight="1" s="155">
      <c r="A563" s="134">
        <f>ric!B563</f>
        <v/>
      </c>
      <c r="B563" s="118">
        <f>ric!C563</f>
        <v/>
      </c>
      <c r="C563" s="125">
        <f>ric!D563</f>
        <v/>
      </c>
      <c r="D563" s="125" t="n"/>
      <c r="E563" s="125" t="n"/>
      <c r="F563" s="125" t="n"/>
      <c r="G563" s="118">
        <f>CONCATENATE(A563, " ",#REF!, " / ",H563)</f>
        <v/>
      </c>
      <c r="H563" s="118" t="n"/>
      <c r="I563" s="119">
        <f>CONCATENATE(M563," - ",J563," - Lotto N° ",K563,"")</f>
        <v/>
      </c>
      <c r="J563" s="118" t="n"/>
      <c r="K563" s="118">
        <f>VLOOKUP(#REF!,Produzione,7,FALSE)</f>
        <v/>
      </c>
      <c r="L563" s="120" t="n"/>
      <c r="M563" s="120" t="n"/>
      <c r="N563" s="118" t="n"/>
      <c r="O563" s="121" t="n"/>
      <c r="P563" s="121" t="n"/>
      <c r="Q563" s="166">
        <f>TODAY()</f>
        <v/>
      </c>
      <c r="R563" s="165">
        <f>ElencoProdotti[[#This Row],[PRODUZIONE]]+20</f>
        <v/>
      </c>
      <c r="S563" s="165">
        <f>TODAY()</f>
        <v/>
      </c>
      <c r="T563" s="133">
        <f>CONCATENATE(A563," - contiene allergni - prodotto il giorno ",TEXT(Q563,"gg/mm/aaaa"),"")</f>
        <v/>
      </c>
    </row>
    <row r="564" ht="15" customHeight="1" s="155">
      <c r="A564" s="134">
        <f>ric!B564</f>
        <v/>
      </c>
      <c r="B564" s="118">
        <f>ric!C564</f>
        <v/>
      </c>
      <c r="C564" s="125">
        <f>ric!D564</f>
        <v/>
      </c>
      <c r="D564" s="125" t="n"/>
      <c r="E564" s="125" t="n"/>
      <c r="F564" s="125" t="n"/>
      <c r="G564" s="118">
        <f>CONCATENATE(A564, " ",#REF!, " / ",H564)</f>
        <v/>
      </c>
      <c r="H564" s="118" t="n"/>
      <c r="I564" s="119">
        <f>CONCATENATE(M564," - ",J564," - Lotto N° ",K564,"")</f>
        <v/>
      </c>
      <c r="J564" s="118" t="n"/>
      <c r="K564" s="118">
        <f>VLOOKUP(#REF!,Produzione,7,FALSE)</f>
        <v/>
      </c>
      <c r="L564" s="120" t="n"/>
      <c r="M564" s="120" t="n"/>
      <c r="N564" s="118" t="n"/>
      <c r="O564" s="121" t="n"/>
      <c r="P564" s="121" t="n"/>
      <c r="Q564" s="166">
        <f>TODAY()</f>
        <v/>
      </c>
      <c r="R564" s="165">
        <f>ElencoProdotti[[#This Row],[PRODUZIONE]]+20</f>
        <v/>
      </c>
      <c r="S564" s="165">
        <f>TODAY()</f>
        <v/>
      </c>
      <c r="T564" s="133">
        <f>CONCATENATE(A564," - contiene allergni - prodotto il giorno ",TEXT(Q564,"gg/mm/aaaa"),"")</f>
        <v/>
      </c>
    </row>
    <row r="565" ht="15" customHeight="1" s="155">
      <c r="A565" s="134">
        <f>ric!B565</f>
        <v/>
      </c>
      <c r="B565" s="118">
        <f>ric!C565</f>
        <v/>
      </c>
      <c r="C565" s="125">
        <f>ric!D565</f>
        <v/>
      </c>
      <c r="D565" s="125" t="n"/>
      <c r="E565" s="125" t="n"/>
      <c r="F565" s="125" t="n"/>
      <c r="G565" s="118">
        <f>CONCATENATE(A565, " ",#REF!, " / ",H565)</f>
        <v/>
      </c>
      <c r="H565" s="118" t="n"/>
      <c r="I565" s="119">
        <f>CONCATENATE(M565," - ",J565," - Lotto N° ",K565,"")</f>
        <v/>
      </c>
      <c r="J565" s="118" t="n"/>
      <c r="K565" s="118">
        <f>VLOOKUP(#REF!,Produzione,7,FALSE)</f>
        <v/>
      </c>
      <c r="L565" s="120" t="n"/>
      <c r="M565" s="120" t="n"/>
      <c r="N565" s="118" t="n"/>
      <c r="O565" s="121" t="n"/>
      <c r="P565" s="121" t="n"/>
      <c r="Q565" s="166">
        <f>TODAY()</f>
        <v/>
      </c>
      <c r="R565" s="165">
        <f>ElencoProdotti[[#This Row],[PRODUZIONE]]+20</f>
        <v/>
      </c>
      <c r="S565" s="165">
        <f>TODAY()</f>
        <v/>
      </c>
      <c r="T565" s="133">
        <f>CONCATENATE(A565," - contiene allergni - prodotto il giorno ",TEXT(Q565,"gg/mm/aaaa"),"")</f>
        <v/>
      </c>
    </row>
    <row r="566" ht="15" customHeight="1" s="155">
      <c r="A566" s="134">
        <f>ric!B566</f>
        <v/>
      </c>
      <c r="B566" s="118">
        <f>ric!C566</f>
        <v/>
      </c>
      <c r="C566" s="125">
        <f>ric!D566</f>
        <v/>
      </c>
      <c r="D566" s="125" t="n"/>
      <c r="E566" s="125" t="n"/>
      <c r="F566" s="125" t="n"/>
      <c r="G566" s="118">
        <f>CONCATENATE(A566, " ",#REF!, " / ",H566)</f>
        <v/>
      </c>
      <c r="H566" s="118" t="n"/>
      <c r="I566" s="119">
        <f>CONCATENATE(M566," - ",J566," - Lotto N° ",K566,"")</f>
        <v/>
      </c>
      <c r="J566" s="118" t="n"/>
      <c r="K566" s="118">
        <f>VLOOKUP(#REF!,Produzione,7,FALSE)</f>
        <v/>
      </c>
      <c r="L566" s="120" t="n"/>
      <c r="M566" s="120" t="n"/>
      <c r="N566" s="118" t="n"/>
      <c r="O566" s="121" t="n"/>
      <c r="P566" s="121" t="n"/>
      <c r="Q566" s="166">
        <f>TODAY()</f>
        <v/>
      </c>
      <c r="R566" s="165">
        <f>ElencoProdotti[[#This Row],[PRODUZIONE]]+20</f>
        <v/>
      </c>
      <c r="S566" s="165">
        <f>TODAY()</f>
        <v/>
      </c>
      <c r="T566" s="133">
        <f>CONCATENATE(A566," - contiene allergni - prodotto il giorno ",TEXT(Q566,"gg/mm/aaaa"),"")</f>
        <v/>
      </c>
    </row>
    <row r="567" ht="15" customHeight="1" s="155">
      <c r="A567" s="134">
        <f>ric!B567</f>
        <v/>
      </c>
      <c r="B567" s="118">
        <f>ric!C567</f>
        <v/>
      </c>
      <c r="C567" s="125">
        <f>ric!D567</f>
        <v/>
      </c>
      <c r="D567" s="125" t="n"/>
      <c r="E567" s="125" t="n"/>
      <c r="F567" s="125" t="n"/>
      <c r="G567" s="118">
        <f>CONCATENATE(A567, " ",#REF!, " / ",H567)</f>
        <v/>
      </c>
      <c r="H567" s="118" t="n"/>
      <c r="I567" s="119">
        <f>CONCATENATE(M567," - ",J567," - Lotto N° ",K567,"")</f>
        <v/>
      </c>
      <c r="J567" s="118" t="n"/>
      <c r="K567" s="118">
        <f>VLOOKUP(#REF!,Produzione,7,FALSE)</f>
        <v/>
      </c>
      <c r="L567" s="120" t="n"/>
      <c r="M567" s="120" t="n"/>
      <c r="N567" s="118" t="n"/>
      <c r="O567" s="121" t="n"/>
      <c r="P567" s="121" t="n"/>
      <c r="Q567" s="166">
        <f>TODAY()</f>
        <v/>
      </c>
      <c r="R567" s="165">
        <f>ElencoProdotti[[#This Row],[PRODUZIONE]]+20</f>
        <v/>
      </c>
      <c r="S567" s="165">
        <f>TODAY()</f>
        <v/>
      </c>
      <c r="T567" s="133">
        <f>CONCATENATE(A567," - contiene allergni - prodotto il giorno ",TEXT(Q567,"gg/mm/aaaa"),"")</f>
        <v/>
      </c>
    </row>
    <row r="568" ht="15" customHeight="1" s="155">
      <c r="A568" s="134">
        <f>ric!B568</f>
        <v/>
      </c>
      <c r="B568" s="118">
        <f>ric!C568</f>
        <v/>
      </c>
      <c r="C568" s="125">
        <f>ric!D568</f>
        <v/>
      </c>
      <c r="D568" s="125" t="n"/>
      <c r="E568" s="125" t="n"/>
      <c r="F568" s="125" t="n"/>
      <c r="G568" s="118">
        <f>CONCATENATE(A568, " ",#REF!, " / ",H568)</f>
        <v/>
      </c>
      <c r="H568" s="118" t="n"/>
      <c r="I568" s="119">
        <f>CONCATENATE(M568," - ",J568," - Lotto N° ",K568,"")</f>
        <v/>
      </c>
      <c r="J568" s="118" t="n"/>
      <c r="K568" s="118">
        <f>VLOOKUP(#REF!,Produzione,7,FALSE)</f>
        <v/>
      </c>
      <c r="L568" s="120" t="n"/>
      <c r="M568" s="120" t="n"/>
      <c r="N568" s="118" t="n"/>
      <c r="O568" s="121" t="n"/>
      <c r="P568" s="121" t="n"/>
      <c r="Q568" s="166">
        <f>TODAY()</f>
        <v/>
      </c>
      <c r="R568" s="165">
        <f>ElencoProdotti[[#This Row],[PRODUZIONE]]+20</f>
        <v/>
      </c>
      <c r="S568" s="165">
        <f>TODAY()</f>
        <v/>
      </c>
      <c r="T568" s="133">
        <f>CONCATENATE(A568," - contiene allergni - prodotto il giorno ",TEXT(Q568,"gg/mm/aaaa"),"")</f>
        <v/>
      </c>
    </row>
    <row r="569" ht="15" customHeight="1" s="155">
      <c r="A569" s="134">
        <f>ric!B569</f>
        <v/>
      </c>
      <c r="B569" s="118">
        <f>ric!C569</f>
        <v/>
      </c>
      <c r="C569" s="125">
        <f>ric!D569</f>
        <v/>
      </c>
      <c r="D569" s="125" t="n"/>
      <c r="E569" s="125" t="n"/>
      <c r="F569" s="125" t="n"/>
      <c r="G569" s="118">
        <f>CONCATENATE(A569, " ",#REF!, " / ",H569)</f>
        <v/>
      </c>
      <c r="H569" s="118" t="n"/>
      <c r="I569" s="119">
        <f>CONCATENATE(M569," - ",J569," - Lotto N° ",K569,"")</f>
        <v/>
      </c>
      <c r="J569" s="118" t="n"/>
      <c r="K569" s="118">
        <f>VLOOKUP(#REF!,Produzione,7,FALSE)</f>
        <v/>
      </c>
      <c r="L569" s="120" t="n"/>
      <c r="M569" s="120" t="n"/>
      <c r="N569" s="118" t="n"/>
      <c r="O569" s="121" t="n"/>
      <c r="P569" s="121" t="n"/>
      <c r="Q569" s="166">
        <f>TODAY()</f>
        <v/>
      </c>
      <c r="R569" s="165">
        <f>ElencoProdotti[[#This Row],[PRODUZIONE]]+20</f>
        <v/>
      </c>
      <c r="S569" s="165">
        <f>TODAY()</f>
        <v/>
      </c>
      <c r="T569" s="133">
        <f>CONCATENATE(A569," - contiene allergni - prodotto il giorno ",TEXT(Q569,"gg/mm/aaaa"),"")</f>
        <v/>
      </c>
    </row>
    <row r="570" ht="15" customHeight="1" s="155">
      <c r="A570" s="134">
        <f>ric!B570</f>
        <v/>
      </c>
      <c r="B570" s="118">
        <f>ric!C570</f>
        <v/>
      </c>
      <c r="C570" s="125">
        <f>ric!D570</f>
        <v/>
      </c>
      <c r="D570" s="125" t="n"/>
      <c r="E570" s="125" t="n"/>
      <c r="F570" s="125" t="n"/>
      <c r="G570" s="118">
        <f>CONCATENATE(A570, " ",#REF!, " / ",H570)</f>
        <v/>
      </c>
      <c r="H570" s="118" t="n"/>
      <c r="I570" s="119">
        <f>CONCATENATE(M570," - ",J570," - Lotto N° ",K570,"")</f>
        <v/>
      </c>
      <c r="J570" s="118" t="n"/>
      <c r="K570" s="118">
        <f>VLOOKUP(#REF!,Produzione,7,FALSE)</f>
        <v/>
      </c>
      <c r="L570" s="120" t="n"/>
      <c r="M570" s="120" t="n"/>
      <c r="N570" s="118" t="n"/>
      <c r="O570" s="121" t="n"/>
      <c r="P570" s="121" t="n"/>
      <c r="Q570" s="166">
        <f>TODAY()</f>
        <v/>
      </c>
      <c r="R570" s="165">
        <f>ElencoProdotti[[#This Row],[PRODUZIONE]]+20</f>
        <v/>
      </c>
      <c r="S570" s="165">
        <f>TODAY()</f>
        <v/>
      </c>
      <c r="T570" s="133">
        <f>CONCATENATE(A570," - contiene allergni - prodotto il giorno ",TEXT(Q570,"gg/mm/aaaa"),"")</f>
        <v/>
      </c>
    </row>
    <row r="571" ht="15" customHeight="1" s="155">
      <c r="A571" s="134">
        <f>ric!B571</f>
        <v/>
      </c>
      <c r="B571" s="118">
        <f>ric!C571</f>
        <v/>
      </c>
      <c r="C571" s="125">
        <f>ric!D571</f>
        <v/>
      </c>
      <c r="D571" s="125" t="n"/>
      <c r="E571" s="125" t="n"/>
      <c r="F571" s="125" t="n"/>
      <c r="G571" s="118">
        <f>CONCATENATE(A571, " ",#REF!, " / ",H571)</f>
        <v/>
      </c>
      <c r="H571" s="118" t="n"/>
      <c r="I571" s="119">
        <f>CONCATENATE(M571," - ",J571," - Lotto N° ",K571,"")</f>
        <v/>
      </c>
      <c r="J571" s="118" t="n"/>
      <c r="K571" s="118">
        <f>VLOOKUP(#REF!,Produzione,7,FALSE)</f>
        <v/>
      </c>
      <c r="L571" s="120" t="n"/>
      <c r="M571" s="120" t="n"/>
      <c r="N571" s="118" t="n"/>
      <c r="O571" s="121" t="n"/>
      <c r="P571" s="121" t="n"/>
      <c r="Q571" s="166">
        <f>TODAY()</f>
        <v/>
      </c>
      <c r="R571" s="165">
        <f>ElencoProdotti[[#This Row],[PRODUZIONE]]+20</f>
        <v/>
      </c>
      <c r="S571" s="165">
        <f>TODAY()</f>
        <v/>
      </c>
      <c r="T571" s="133">
        <f>CONCATENATE(A571," - contiene allergni - prodotto il giorno ",TEXT(Q571,"gg/mm/aaaa"),"")</f>
        <v/>
      </c>
    </row>
    <row r="572" ht="15" customHeight="1" s="155">
      <c r="A572" s="134">
        <f>ric!B572</f>
        <v/>
      </c>
      <c r="B572" s="118">
        <f>ric!C572</f>
        <v/>
      </c>
      <c r="C572" s="125">
        <f>ric!D572</f>
        <v/>
      </c>
      <c r="D572" s="125" t="n"/>
      <c r="E572" s="125" t="n"/>
      <c r="F572" s="125" t="n"/>
      <c r="G572" s="118">
        <f>CONCATENATE(A572, " ",#REF!, " / ",H572)</f>
        <v/>
      </c>
      <c r="H572" s="118" t="n"/>
      <c r="I572" s="119">
        <f>CONCATENATE(M572," - ",J572," - Lotto N° ",K572,"")</f>
        <v/>
      </c>
      <c r="J572" s="118" t="n"/>
      <c r="K572" s="118">
        <f>VLOOKUP(#REF!,Produzione,7,FALSE)</f>
        <v/>
      </c>
      <c r="L572" s="120" t="n"/>
      <c r="M572" s="120" t="n"/>
      <c r="N572" s="118" t="n"/>
      <c r="O572" s="121" t="n"/>
      <c r="P572" s="121" t="n"/>
      <c r="Q572" s="166">
        <f>TODAY()</f>
        <v/>
      </c>
      <c r="R572" s="165">
        <f>ElencoProdotti[[#This Row],[PRODUZIONE]]+20</f>
        <v/>
      </c>
      <c r="S572" s="165">
        <f>TODAY()</f>
        <v/>
      </c>
      <c r="T572" s="133">
        <f>CONCATENATE(A572," - contiene allergni - prodotto il giorno ",TEXT(Q572,"gg/mm/aaaa"),"")</f>
        <v/>
      </c>
    </row>
    <row r="573" ht="15" customHeight="1" s="155">
      <c r="A573" s="134">
        <f>ric!B573</f>
        <v/>
      </c>
      <c r="B573" s="118">
        <f>ric!C573</f>
        <v/>
      </c>
      <c r="C573" s="125">
        <f>ric!D573</f>
        <v/>
      </c>
      <c r="D573" s="125" t="n"/>
      <c r="E573" s="125" t="n"/>
      <c r="F573" s="125" t="n"/>
      <c r="G573" s="118">
        <f>CONCATENATE(A573, " ",#REF!, " / ",H573)</f>
        <v/>
      </c>
      <c r="H573" s="118" t="n"/>
      <c r="I573" s="119">
        <f>CONCATENATE(M573," - ",J573," - Lotto N° ",K573,"")</f>
        <v/>
      </c>
      <c r="J573" s="118" t="n"/>
      <c r="K573" s="118">
        <f>VLOOKUP(#REF!,Produzione,7,FALSE)</f>
        <v/>
      </c>
      <c r="L573" s="120" t="n"/>
      <c r="M573" s="120" t="n"/>
      <c r="N573" s="118" t="n"/>
      <c r="O573" s="121" t="n"/>
      <c r="P573" s="121" t="n"/>
      <c r="Q573" s="166">
        <f>TODAY()</f>
        <v/>
      </c>
      <c r="R573" s="165">
        <f>ElencoProdotti[[#This Row],[PRODUZIONE]]+20</f>
        <v/>
      </c>
      <c r="S573" s="165">
        <f>TODAY()</f>
        <v/>
      </c>
      <c r="T573" s="133">
        <f>CONCATENATE(A573," - contiene allergni - prodotto il giorno ",TEXT(Q573,"gg/mm/aaaa"),"")</f>
        <v/>
      </c>
    </row>
    <row r="574" ht="15" customHeight="1" s="155">
      <c r="A574" s="134">
        <f>ric!B574</f>
        <v/>
      </c>
      <c r="B574" s="118">
        <f>ric!C574</f>
        <v/>
      </c>
      <c r="C574" s="125">
        <f>ric!D574</f>
        <v/>
      </c>
      <c r="D574" s="125" t="n"/>
      <c r="E574" s="125" t="n"/>
      <c r="F574" s="125" t="n"/>
      <c r="G574" s="118">
        <f>CONCATENATE(A574, " ",#REF!, " / ",H574)</f>
        <v/>
      </c>
      <c r="H574" s="118" t="n"/>
      <c r="I574" s="119">
        <f>CONCATENATE(M574," - ",J574," - Lotto N° ",K574,"")</f>
        <v/>
      </c>
      <c r="J574" s="118" t="n"/>
      <c r="K574" s="118">
        <f>VLOOKUP(#REF!,Produzione,7,FALSE)</f>
        <v/>
      </c>
      <c r="L574" s="120" t="n"/>
      <c r="M574" s="120" t="n"/>
      <c r="N574" s="118" t="n"/>
      <c r="O574" s="121" t="n"/>
      <c r="P574" s="121" t="n"/>
      <c r="Q574" s="166">
        <f>TODAY()</f>
        <v/>
      </c>
      <c r="R574" s="165">
        <f>ElencoProdotti[[#This Row],[PRODUZIONE]]+20</f>
        <v/>
      </c>
      <c r="S574" s="165">
        <f>TODAY()</f>
        <v/>
      </c>
      <c r="T574" s="133">
        <f>CONCATENATE(A574," - contiene allergni - prodotto il giorno ",TEXT(Q574,"gg/mm/aaaa"),"")</f>
        <v/>
      </c>
    </row>
    <row r="575" ht="15" customHeight="1" s="155">
      <c r="A575" s="134">
        <f>ric!B575</f>
        <v/>
      </c>
      <c r="B575" s="118">
        <f>ric!C575</f>
        <v/>
      </c>
      <c r="C575" s="125">
        <f>ric!D575</f>
        <v/>
      </c>
      <c r="D575" s="125" t="n"/>
      <c r="E575" s="125" t="n"/>
      <c r="F575" s="125" t="n"/>
      <c r="G575" s="118">
        <f>CONCATENATE(A575, " ",#REF!, " / ",H575)</f>
        <v/>
      </c>
      <c r="H575" s="118" t="n"/>
      <c r="I575" s="119">
        <f>CONCATENATE(M575," - ",J575," - Lotto N° ",K575,"")</f>
        <v/>
      </c>
      <c r="J575" s="118" t="n"/>
      <c r="K575" s="118">
        <f>VLOOKUP(#REF!,Produzione,7,FALSE)</f>
        <v/>
      </c>
      <c r="L575" s="120" t="n"/>
      <c r="M575" s="120" t="n"/>
      <c r="N575" s="118" t="n"/>
      <c r="O575" s="121" t="n"/>
      <c r="P575" s="121" t="n"/>
      <c r="Q575" s="166">
        <f>TODAY()</f>
        <v/>
      </c>
      <c r="R575" s="165">
        <f>ElencoProdotti[[#This Row],[PRODUZIONE]]+20</f>
        <v/>
      </c>
      <c r="S575" s="165">
        <f>TODAY()</f>
        <v/>
      </c>
      <c r="T575" s="133">
        <f>CONCATENATE(A575," - contiene allergni - prodotto il giorno ",TEXT(Q575,"gg/mm/aaaa"),"")</f>
        <v/>
      </c>
    </row>
    <row r="576" ht="15" customHeight="1" s="155">
      <c r="A576" s="134">
        <f>ric!B576</f>
        <v/>
      </c>
      <c r="B576" s="118">
        <f>ric!C576</f>
        <v/>
      </c>
      <c r="C576" s="125">
        <f>ric!D576</f>
        <v/>
      </c>
      <c r="D576" s="125" t="n"/>
      <c r="E576" s="125" t="n"/>
      <c r="F576" s="125" t="n"/>
      <c r="G576" s="118">
        <f>CONCATENATE(A576, " ",#REF!, " / ",H576)</f>
        <v/>
      </c>
      <c r="H576" s="118" t="n"/>
      <c r="I576" s="119">
        <f>CONCATENATE(M576," - ",J576," - Lotto N° ",K576,"")</f>
        <v/>
      </c>
      <c r="J576" s="118" t="n"/>
      <c r="K576" s="118">
        <f>VLOOKUP(#REF!,Produzione,7,FALSE)</f>
        <v/>
      </c>
      <c r="L576" s="120" t="n"/>
      <c r="M576" s="120" t="n"/>
      <c r="N576" s="118" t="n"/>
      <c r="O576" s="121" t="n"/>
      <c r="P576" s="121" t="n"/>
      <c r="Q576" s="166">
        <f>TODAY()</f>
        <v/>
      </c>
      <c r="R576" s="165">
        <f>ElencoProdotti[[#This Row],[PRODUZIONE]]+20</f>
        <v/>
      </c>
      <c r="S576" s="165">
        <f>TODAY()</f>
        <v/>
      </c>
      <c r="T576" s="133">
        <f>CONCATENATE(A576," - contiene allergni - prodotto il giorno ",TEXT(Q576,"gg/mm/aaaa"),"")</f>
        <v/>
      </c>
    </row>
    <row r="577" ht="15" customHeight="1" s="155">
      <c r="A577" s="134">
        <f>ric!B577</f>
        <v/>
      </c>
      <c r="B577" s="118">
        <f>ric!C577</f>
        <v/>
      </c>
      <c r="C577" s="125">
        <f>ric!D577</f>
        <v/>
      </c>
      <c r="D577" s="125" t="n"/>
      <c r="E577" s="125" t="n"/>
      <c r="F577" s="125" t="n"/>
      <c r="G577" s="118">
        <f>CONCATENATE(A577, " ",#REF!, " / ",H577)</f>
        <v/>
      </c>
      <c r="H577" s="118" t="n"/>
      <c r="I577" s="119">
        <f>CONCATENATE(M577," - ",J577," - Lotto N° ",K577,"")</f>
        <v/>
      </c>
      <c r="J577" s="118" t="n"/>
      <c r="K577" s="118">
        <f>VLOOKUP(#REF!,Produzione,7,FALSE)</f>
        <v/>
      </c>
      <c r="L577" s="120" t="n"/>
      <c r="M577" s="120" t="n"/>
      <c r="N577" s="118" t="n"/>
      <c r="O577" s="121" t="n"/>
      <c r="P577" s="121" t="n"/>
      <c r="Q577" s="166">
        <f>TODAY()</f>
        <v/>
      </c>
      <c r="R577" s="165">
        <f>ElencoProdotti[[#This Row],[PRODUZIONE]]+20</f>
        <v/>
      </c>
      <c r="S577" s="165">
        <f>TODAY()</f>
        <v/>
      </c>
      <c r="T577" s="133">
        <f>CONCATENATE(A577," - contiene allergni - prodotto il giorno ",TEXT(Q577,"gg/mm/aaaa"),"")</f>
        <v/>
      </c>
    </row>
    <row r="578" ht="15" customHeight="1" s="155">
      <c r="A578" s="134">
        <f>ric!B578</f>
        <v/>
      </c>
      <c r="B578" s="118">
        <f>ric!C578</f>
        <v/>
      </c>
      <c r="C578" s="125">
        <f>ric!D578</f>
        <v/>
      </c>
      <c r="D578" s="125" t="n"/>
      <c r="E578" s="125" t="n"/>
      <c r="F578" s="125" t="n"/>
      <c r="G578" s="118">
        <f>CONCATENATE(A578, " ",#REF!, " / ",H578)</f>
        <v/>
      </c>
      <c r="H578" s="118" t="n"/>
      <c r="I578" s="119">
        <f>CONCATENATE(M578," - ",J578," - Lotto N° ",K578,"")</f>
        <v/>
      </c>
      <c r="J578" s="118" t="n"/>
      <c r="K578" s="118">
        <f>VLOOKUP(#REF!,Produzione,7,FALSE)</f>
        <v/>
      </c>
      <c r="L578" s="120" t="n"/>
      <c r="M578" s="120" t="n"/>
      <c r="N578" s="118" t="n"/>
      <c r="O578" s="121" t="n"/>
      <c r="P578" s="121" t="n"/>
      <c r="Q578" s="166">
        <f>TODAY()</f>
        <v/>
      </c>
      <c r="R578" s="165">
        <f>ElencoProdotti[[#This Row],[PRODUZIONE]]+20</f>
        <v/>
      </c>
      <c r="S578" s="165">
        <f>TODAY()</f>
        <v/>
      </c>
      <c r="T578" s="133">
        <f>CONCATENATE(A578," - contiene allergni - prodotto il giorno ",TEXT(Q578,"gg/mm/aaaa"),"")</f>
        <v/>
      </c>
    </row>
    <row r="579" ht="15" customHeight="1" s="155">
      <c r="A579" s="134">
        <f>ric!B579</f>
        <v/>
      </c>
      <c r="B579" s="118">
        <f>ric!C579</f>
        <v/>
      </c>
      <c r="C579" s="125">
        <f>ric!D579</f>
        <v/>
      </c>
      <c r="D579" s="125" t="n"/>
      <c r="E579" s="125" t="n"/>
      <c r="F579" s="125" t="n"/>
      <c r="G579" s="118">
        <f>CONCATENATE(A579, " ",#REF!, " / ",H579)</f>
        <v/>
      </c>
      <c r="H579" s="118" t="n"/>
      <c r="I579" s="119">
        <f>CONCATENATE(M579," - ",J579," - Lotto N° ",K579,"")</f>
        <v/>
      </c>
      <c r="J579" s="118" t="n"/>
      <c r="K579" s="118">
        <f>VLOOKUP(#REF!,Produzione,7,FALSE)</f>
        <v/>
      </c>
      <c r="L579" s="120" t="n"/>
      <c r="M579" s="120" t="n"/>
      <c r="N579" s="118" t="n"/>
      <c r="O579" s="121" t="n"/>
      <c r="P579" s="121" t="n"/>
      <c r="Q579" s="166">
        <f>TODAY()</f>
        <v/>
      </c>
      <c r="R579" s="165">
        <f>ElencoProdotti[[#This Row],[PRODUZIONE]]+20</f>
        <v/>
      </c>
      <c r="S579" s="165">
        <f>TODAY()</f>
        <v/>
      </c>
      <c r="T579" s="133">
        <f>CONCATENATE(A579," - contiene allergni - prodotto il giorno ",TEXT(Q579,"gg/mm/aaaa"),"")</f>
        <v/>
      </c>
    </row>
    <row r="580" ht="15" customHeight="1" s="155">
      <c r="A580" s="134">
        <f>ric!B580</f>
        <v/>
      </c>
      <c r="B580" s="118">
        <f>ric!C580</f>
        <v/>
      </c>
      <c r="C580" s="125">
        <f>ric!D580</f>
        <v/>
      </c>
      <c r="D580" s="125" t="n"/>
      <c r="E580" s="125" t="n"/>
      <c r="F580" s="125" t="n"/>
      <c r="G580" s="118">
        <f>CONCATENATE(A580, " ",#REF!, " / ",H580)</f>
        <v/>
      </c>
      <c r="H580" s="118" t="n"/>
      <c r="I580" s="119">
        <f>CONCATENATE(M580," - ",J580," - Lotto N° ",K580,"")</f>
        <v/>
      </c>
      <c r="J580" s="118" t="n"/>
      <c r="K580" s="118">
        <f>VLOOKUP(#REF!,Produzione,7,FALSE)</f>
        <v/>
      </c>
      <c r="L580" s="120" t="n"/>
      <c r="M580" s="120" t="n"/>
      <c r="N580" s="118" t="n"/>
      <c r="O580" s="121" t="n"/>
      <c r="P580" s="121" t="n"/>
      <c r="Q580" s="166">
        <f>TODAY()</f>
        <v/>
      </c>
      <c r="R580" s="165">
        <f>ElencoProdotti[[#This Row],[PRODUZIONE]]+20</f>
        <v/>
      </c>
      <c r="S580" s="165">
        <f>TODAY()</f>
        <v/>
      </c>
      <c r="T580" s="133">
        <f>CONCATENATE(A580," - contiene allergni - prodotto il giorno ",TEXT(Q580,"gg/mm/aaaa"),"")</f>
        <v/>
      </c>
    </row>
    <row r="581" ht="15" customHeight="1" s="155">
      <c r="A581" s="134">
        <f>ric!B581</f>
        <v/>
      </c>
      <c r="B581" s="118">
        <f>ric!C581</f>
        <v/>
      </c>
      <c r="C581" s="125">
        <f>ric!D581</f>
        <v/>
      </c>
      <c r="D581" s="125" t="n"/>
      <c r="E581" s="125" t="n"/>
      <c r="F581" s="125" t="n"/>
      <c r="G581" s="118">
        <f>CONCATENATE(A581, " ",#REF!, " / ",H581)</f>
        <v/>
      </c>
      <c r="H581" s="118" t="n"/>
      <c r="I581" s="119">
        <f>CONCATENATE(M581," - ",J581," - Lotto N° ",K581,"")</f>
        <v/>
      </c>
      <c r="J581" s="118" t="n"/>
      <c r="K581" s="118">
        <f>VLOOKUP(#REF!,Produzione,7,FALSE)</f>
        <v/>
      </c>
      <c r="L581" s="120" t="n"/>
      <c r="M581" s="120" t="n"/>
      <c r="N581" s="118" t="n"/>
      <c r="O581" s="121" t="n"/>
      <c r="P581" s="121" t="n"/>
      <c r="Q581" s="166">
        <f>TODAY()</f>
        <v/>
      </c>
      <c r="R581" s="165">
        <f>ElencoProdotti[[#This Row],[PRODUZIONE]]+20</f>
        <v/>
      </c>
      <c r="S581" s="165">
        <f>TODAY()</f>
        <v/>
      </c>
      <c r="T581" s="133">
        <f>CONCATENATE(A581," - contiene allergni - prodotto il giorno ",TEXT(Q581,"gg/mm/aaaa"),"")</f>
        <v/>
      </c>
    </row>
    <row r="582" ht="15" customHeight="1" s="155">
      <c r="A582" s="134">
        <f>ric!B582</f>
        <v/>
      </c>
      <c r="B582" s="118">
        <f>ric!C582</f>
        <v/>
      </c>
      <c r="C582" s="125">
        <f>ric!D582</f>
        <v/>
      </c>
      <c r="D582" s="125" t="n"/>
      <c r="E582" s="125" t="n"/>
      <c r="F582" s="125" t="n"/>
      <c r="G582" s="118">
        <f>CONCATENATE(A582, " ",#REF!, " / ",H582)</f>
        <v/>
      </c>
      <c r="H582" s="118" t="n"/>
      <c r="I582" s="119">
        <f>CONCATENATE(M582," - ",J582," - Lotto N° ",K582,"")</f>
        <v/>
      </c>
      <c r="J582" s="118" t="n"/>
      <c r="K582" s="118">
        <f>VLOOKUP(#REF!,Produzione,7,FALSE)</f>
        <v/>
      </c>
      <c r="L582" s="120" t="n"/>
      <c r="M582" s="120" t="n"/>
      <c r="N582" s="118" t="n"/>
      <c r="O582" s="121" t="n"/>
      <c r="P582" s="121" t="n"/>
      <c r="Q582" s="166">
        <f>TODAY()</f>
        <v/>
      </c>
      <c r="R582" s="165">
        <f>ElencoProdotti[[#This Row],[PRODUZIONE]]+20</f>
        <v/>
      </c>
      <c r="S582" s="165">
        <f>TODAY()</f>
        <v/>
      </c>
      <c r="T582" s="133">
        <f>CONCATENATE(A582," - contiene allergni - prodotto il giorno ",TEXT(Q582,"gg/mm/aaaa"),"")</f>
        <v/>
      </c>
    </row>
    <row r="583" ht="15" customHeight="1" s="155">
      <c r="A583" s="134">
        <f>ric!B583</f>
        <v/>
      </c>
      <c r="B583" s="118">
        <f>ric!C583</f>
        <v/>
      </c>
      <c r="C583" s="125">
        <f>ric!D583</f>
        <v/>
      </c>
      <c r="D583" s="125" t="n"/>
      <c r="E583" s="125" t="n"/>
      <c r="F583" s="125" t="n"/>
      <c r="G583" s="118">
        <f>CONCATENATE(A583, " ",#REF!, " / ",H583)</f>
        <v/>
      </c>
      <c r="H583" s="118" t="n"/>
      <c r="I583" s="119">
        <f>CONCATENATE(M583," - ",J583," - Lotto N° ",K583,"")</f>
        <v/>
      </c>
      <c r="J583" s="118" t="n"/>
      <c r="K583" s="118">
        <f>VLOOKUP(#REF!,Produzione,7,FALSE)</f>
        <v/>
      </c>
      <c r="L583" s="120" t="n"/>
      <c r="M583" s="120" t="n"/>
      <c r="N583" s="118" t="n"/>
      <c r="O583" s="121" t="n"/>
      <c r="P583" s="121" t="n"/>
      <c r="Q583" s="166">
        <f>TODAY()</f>
        <v/>
      </c>
      <c r="R583" s="165">
        <f>ElencoProdotti[[#This Row],[PRODUZIONE]]+20</f>
        <v/>
      </c>
      <c r="S583" s="165">
        <f>TODAY()</f>
        <v/>
      </c>
      <c r="T583" s="133">
        <f>CONCATENATE(A583," - contiene allergni - prodotto il giorno ",TEXT(Q583,"gg/mm/aaaa"),"")</f>
        <v/>
      </c>
    </row>
    <row r="584" ht="15" customHeight="1" s="155">
      <c r="A584" s="134">
        <f>ric!B584</f>
        <v/>
      </c>
      <c r="B584" s="118">
        <f>ric!C584</f>
        <v/>
      </c>
      <c r="C584" s="125">
        <f>ric!D584</f>
        <v/>
      </c>
      <c r="D584" s="125" t="n"/>
      <c r="E584" s="125" t="n"/>
      <c r="F584" s="125" t="n"/>
      <c r="G584" s="118">
        <f>CONCATENATE(A584, " ",#REF!, " / ",H584)</f>
        <v/>
      </c>
      <c r="H584" s="118" t="n"/>
      <c r="I584" s="119">
        <f>CONCATENATE(M584," - ",J584," - Lotto N° ",K584,"")</f>
        <v/>
      </c>
      <c r="J584" s="118" t="n"/>
      <c r="K584" s="118">
        <f>VLOOKUP(#REF!,Produzione,7,FALSE)</f>
        <v/>
      </c>
      <c r="L584" s="120" t="n"/>
      <c r="M584" s="120" t="n"/>
      <c r="N584" s="118" t="n"/>
      <c r="O584" s="121" t="n"/>
      <c r="P584" s="121" t="n"/>
      <c r="Q584" s="166">
        <f>TODAY()</f>
        <v/>
      </c>
      <c r="R584" s="165">
        <f>ElencoProdotti[[#This Row],[PRODUZIONE]]+20</f>
        <v/>
      </c>
      <c r="S584" s="165">
        <f>TODAY()</f>
        <v/>
      </c>
      <c r="T584" s="133">
        <f>CONCATENATE(A584," - contiene allergni - prodotto il giorno ",TEXT(Q584,"gg/mm/aaaa"),"")</f>
        <v/>
      </c>
    </row>
    <row r="585" ht="15" customHeight="1" s="155">
      <c r="A585" s="134">
        <f>ric!B585</f>
        <v/>
      </c>
      <c r="B585" s="118">
        <f>ric!C585</f>
        <v/>
      </c>
      <c r="C585" s="125">
        <f>ric!D585</f>
        <v/>
      </c>
      <c r="D585" s="125" t="n"/>
      <c r="E585" s="125" t="n"/>
      <c r="F585" s="125" t="n"/>
      <c r="G585" s="118">
        <f>CONCATENATE(A585, " ",#REF!, " / ",H585)</f>
        <v/>
      </c>
      <c r="H585" s="118" t="n"/>
      <c r="I585" s="119">
        <f>CONCATENATE(M585," - ",J585," - Lotto N° ",K585,"")</f>
        <v/>
      </c>
      <c r="J585" s="118" t="n"/>
      <c r="K585" s="118">
        <f>VLOOKUP(#REF!,Produzione,7,FALSE)</f>
        <v/>
      </c>
      <c r="L585" s="120" t="n"/>
      <c r="M585" s="120" t="n"/>
      <c r="N585" s="118" t="n"/>
      <c r="O585" s="121" t="n"/>
      <c r="P585" s="121" t="n"/>
      <c r="Q585" s="166">
        <f>TODAY()</f>
        <v/>
      </c>
      <c r="R585" s="165">
        <f>ElencoProdotti[[#This Row],[PRODUZIONE]]+20</f>
        <v/>
      </c>
      <c r="S585" s="165">
        <f>TODAY()</f>
        <v/>
      </c>
      <c r="T585" s="133">
        <f>CONCATENATE(A585," - contiene allergni - prodotto il giorno ",TEXT(Q585,"gg/mm/aaaa"),"")</f>
        <v/>
      </c>
    </row>
    <row r="586" ht="15" customHeight="1" s="155">
      <c r="A586" s="134">
        <f>ric!B586</f>
        <v/>
      </c>
      <c r="B586" s="118">
        <f>ric!C586</f>
        <v/>
      </c>
      <c r="C586" s="125">
        <f>ric!D586</f>
        <v/>
      </c>
      <c r="D586" s="125" t="n"/>
      <c r="E586" s="125" t="n"/>
      <c r="F586" s="125" t="n"/>
      <c r="G586" s="118">
        <f>CONCATENATE(A586, " ",#REF!, " / ",H586)</f>
        <v/>
      </c>
      <c r="H586" s="118" t="n"/>
      <c r="I586" s="119">
        <f>CONCATENATE(M586," - ",J586," - Lotto N° ",K586,"")</f>
        <v/>
      </c>
      <c r="J586" s="118" t="n"/>
      <c r="K586" s="118">
        <f>VLOOKUP(#REF!,Produzione,7,FALSE)</f>
        <v/>
      </c>
      <c r="L586" s="120" t="n"/>
      <c r="M586" s="120" t="n"/>
      <c r="N586" s="118" t="n"/>
      <c r="O586" s="121" t="n"/>
      <c r="P586" s="121" t="n"/>
      <c r="Q586" s="166">
        <f>TODAY()</f>
        <v/>
      </c>
      <c r="R586" s="165">
        <f>ElencoProdotti[[#This Row],[PRODUZIONE]]+20</f>
        <v/>
      </c>
      <c r="S586" s="165">
        <f>TODAY()</f>
        <v/>
      </c>
      <c r="T586" s="133">
        <f>CONCATENATE(A586," - contiene allergni - prodotto il giorno ",TEXT(Q586,"gg/mm/aaaa"),"")</f>
        <v/>
      </c>
    </row>
    <row r="587" ht="15" customHeight="1" s="155">
      <c r="A587" s="134">
        <f>ric!B587</f>
        <v/>
      </c>
      <c r="B587" s="118">
        <f>ric!C587</f>
        <v/>
      </c>
      <c r="C587" s="125">
        <f>ric!D587</f>
        <v/>
      </c>
      <c r="D587" s="125" t="n"/>
      <c r="E587" s="125" t="n"/>
      <c r="F587" s="125" t="n"/>
      <c r="G587" s="118">
        <f>CONCATENATE(A587, " ",#REF!, " / ",H587)</f>
        <v/>
      </c>
      <c r="H587" s="118" t="n"/>
      <c r="I587" s="119">
        <f>CONCATENATE(M587," - ",J587," - Lotto N° ",K587,"")</f>
        <v/>
      </c>
      <c r="J587" s="118" t="n"/>
      <c r="K587" s="118">
        <f>VLOOKUP(#REF!,Produzione,7,FALSE)</f>
        <v/>
      </c>
      <c r="L587" s="120" t="n"/>
      <c r="M587" s="120" t="n"/>
      <c r="N587" s="118" t="n"/>
      <c r="O587" s="121" t="n"/>
      <c r="P587" s="121" t="n"/>
      <c r="Q587" s="166">
        <f>TODAY()</f>
        <v/>
      </c>
      <c r="R587" s="165">
        <f>ElencoProdotti[[#This Row],[PRODUZIONE]]+20</f>
        <v/>
      </c>
      <c r="S587" s="165">
        <f>TODAY()</f>
        <v/>
      </c>
      <c r="T587" s="133">
        <f>CONCATENATE(A587," - contiene allergni - prodotto il giorno ",TEXT(Q587,"gg/mm/aaaa"),"")</f>
        <v/>
      </c>
    </row>
    <row r="588" ht="15" customHeight="1" s="155">
      <c r="A588" s="134">
        <f>ric!B588</f>
        <v/>
      </c>
      <c r="B588" s="118">
        <f>ric!C588</f>
        <v/>
      </c>
      <c r="C588" s="125">
        <f>ric!D588</f>
        <v/>
      </c>
      <c r="D588" s="125" t="n"/>
      <c r="E588" s="125" t="n"/>
      <c r="F588" s="125" t="n"/>
      <c r="G588" s="118">
        <f>CONCATENATE(A588, " ",#REF!, " / ",H588)</f>
        <v/>
      </c>
      <c r="H588" s="118" t="n"/>
      <c r="I588" s="119">
        <f>CONCATENATE(M588," - ",J588," - Lotto N° ",K588,"")</f>
        <v/>
      </c>
      <c r="J588" s="118" t="n"/>
      <c r="K588" s="118">
        <f>VLOOKUP(#REF!,Produzione,7,FALSE)</f>
        <v/>
      </c>
      <c r="L588" s="120" t="n"/>
      <c r="M588" s="120" t="n"/>
      <c r="N588" s="118" t="n"/>
      <c r="O588" s="121" t="n"/>
      <c r="P588" s="121" t="n"/>
      <c r="Q588" s="166">
        <f>TODAY()</f>
        <v/>
      </c>
      <c r="R588" s="165">
        <f>ElencoProdotti[[#This Row],[PRODUZIONE]]+20</f>
        <v/>
      </c>
      <c r="S588" s="165">
        <f>TODAY()</f>
        <v/>
      </c>
      <c r="T588" s="133">
        <f>CONCATENATE(A588," - contiene allergni - prodotto il giorno ",TEXT(Q588,"gg/mm/aaaa"),"")</f>
        <v/>
      </c>
    </row>
    <row r="589" ht="15" customHeight="1" s="155">
      <c r="A589" s="134">
        <f>ric!B589</f>
        <v/>
      </c>
      <c r="B589" s="118">
        <f>ric!C589</f>
        <v/>
      </c>
      <c r="C589" s="125">
        <f>ric!D589</f>
        <v/>
      </c>
      <c r="D589" s="125" t="n"/>
      <c r="E589" s="125" t="n"/>
      <c r="F589" s="125" t="n"/>
      <c r="G589" s="118">
        <f>CONCATENATE(A589, " ",#REF!, " / ",H589)</f>
        <v/>
      </c>
      <c r="H589" s="118" t="n"/>
      <c r="I589" s="119">
        <f>CONCATENATE(M589," - ",J589," - Lotto N° ",K589,"")</f>
        <v/>
      </c>
      <c r="J589" s="118" t="n"/>
      <c r="K589" s="118">
        <f>VLOOKUP(#REF!,Produzione,7,FALSE)</f>
        <v/>
      </c>
      <c r="L589" s="120" t="n"/>
      <c r="M589" s="120" t="n"/>
      <c r="N589" s="118" t="n"/>
      <c r="O589" s="121" t="n"/>
      <c r="P589" s="121" t="n"/>
      <c r="Q589" s="166">
        <f>TODAY()</f>
        <v/>
      </c>
      <c r="R589" s="165">
        <f>ElencoProdotti[[#This Row],[PRODUZIONE]]+20</f>
        <v/>
      </c>
      <c r="S589" s="165">
        <f>TODAY()</f>
        <v/>
      </c>
      <c r="T589" s="133">
        <f>CONCATENATE(A589," - contiene allergni - prodotto il giorno ",TEXT(Q589,"gg/mm/aaaa"),"")</f>
        <v/>
      </c>
    </row>
    <row r="590" ht="15" customHeight="1" s="155">
      <c r="A590" s="134">
        <f>ric!B590</f>
        <v/>
      </c>
      <c r="B590" s="118">
        <f>ric!C590</f>
        <v/>
      </c>
      <c r="C590" s="125">
        <f>ric!D590</f>
        <v/>
      </c>
      <c r="D590" s="125" t="n"/>
      <c r="E590" s="125" t="n"/>
      <c r="F590" s="125" t="n"/>
      <c r="G590" s="118">
        <f>CONCATENATE(A590, " ",#REF!, " / ",H590)</f>
        <v/>
      </c>
      <c r="H590" s="118" t="n"/>
      <c r="I590" s="119">
        <f>CONCATENATE(M590," - ",J590," - Lotto N° ",K590,"")</f>
        <v/>
      </c>
      <c r="J590" s="118" t="n"/>
      <c r="K590" s="118">
        <f>VLOOKUP(#REF!,Produzione,7,FALSE)</f>
        <v/>
      </c>
      <c r="L590" s="120" t="n"/>
      <c r="M590" s="120" t="n"/>
      <c r="N590" s="118" t="n"/>
      <c r="O590" s="121" t="n"/>
      <c r="P590" s="121" t="n"/>
      <c r="Q590" s="166">
        <f>TODAY()</f>
        <v/>
      </c>
      <c r="R590" s="165">
        <f>ElencoProdotti[[#This Row],[PRODUZIONE]]+20</f>
        <v/>
      </c>
      <c r="S590" s="165">
        <f>TODAY()</f>
        <v/>
      </c>
      <c r="T590" s="133">
        <f>CONCATENATE(A590," - contiene allergni - prodotto il giorno ",TEXT(Q590,"gg/mm/aaaa"),"")</f>
        <v/>
      </c>
    </row>
    <row r="591" ht="15" customHeight="1" s="155">
      <c r="A591" s="134">
        <f>ric!B591</f>
        <v/>
      </c>
      <c r="B591" s="118">
        <f>ric!C591</f>
        <v/>
      </c>
      <c r="C591" s="125">
        <f>ric!D591</f>
        <v/>
      </c>
      <c r="D591" s="125" t="n"/>
      <c r="E591" s="125" t="n"/>
      <c r="F591" s="125" t="n"/>
      <c r="G591" s="118">
        <f>CONCATENATE(A591, " ",#REF!, " / ",H591)</f>
        <v/>
      </c>
      <c r="H591" s="118" t="n"/>
      <c r="I591" s="119">
        <f>CONCATENATE(M591," - ",J591," - Lotto N° ",K591,"")</f>
        <v/>
      </c>
      <c r="J591" s="118" t="n"/>
      <c r="K591" s="118">
        <f>VLOOKUP(#REF!,Produzione,7,FALSE)</f>
        <v/>
      </c>
      <c r="L591" s="120" t="n"/>
      <c r="M591" s="120" t="n"/>
      <c r="N591" s="118" t="n"/>
      <c r="O591" s="121" t="n"/>
      <c r="P591" s="121" t="n"/>
      <c r="Q591" s="166">
        <f>TODAY()</f>
        <v/>
      </c>
      <c r="R591" s="165">
        <f>ElencoProdotti[[#This Row],[PRODUZIONE]]+20</f>
        <v/>
      </c>
      <c r="S591" s="165">
        <f>TODAY()</f>
        <v/>
      </c>
      <c r="T591" s="133">
        <f>CONCATENATE(A591," - contiene allergni - prodotto il giorno ",TEXT(Q591,"gg/mm/aaaa"),"")</f>
        <v/>
      </c>
    </row>
    <row r="592" ht="15" customHeight="1" s="155">
      <c r="A592" s="134">
        <f>ric!B592</f>
        <v/>
      </c>
      <c r="B592" s="118">
        <f>ric!C592</f>
        <v/>
      </c>
      <c r="C592" s="125">
        <f>ric!D592</f>
        <v/>
      </c>
      <c r="D592" s="125" t="n"/>
      <c r="E592" s="125" t="n"/>
      <c r="F592" s="125" t="n"/>
      <c r="G592" s="118">
        <f>CONCATENATE(A592, " ",#REF!, " / ",H592)</f>
        <v/>
      </c>
      <c r="H592" s="118" t="n"/>
      <c r="I592" s="119">
        <f>CONCATENATE(M592," - ",J592," - Lotto N° ",K592,"")</f>
        <v/>
      </c>
      <c r="J592" s="118" t="n"/>
      <c r="K592" s="118">
        <f>VLOOKUP(#REF!,Produzione,7,FALSE)</f>
        <v/>
      </c>
      <c r="L592" s="120" t="n"/>
      <c r="M592" s="120" t="n"/>
      <c r="N592" s="118" t="n"/>
      <c r="O592" s="121" t="n"/>
      <c r="P592" s="121" t="n"/>
      <c r="Q592" s="166">
        <f>TODAY()</f>
        <v/>
      </c>
      <c r="R592" s="165">
        <f>ElencoProdotti[[#This Row],[PRODUZIONE]]+20</f>
        <v/>
      </c>
      <c r="S592" s="165">
        <f>TODAY()</f>
        <v/>
      </c>
      <c r="T592" s="133">
        <f>CONCATENATE(A592," - contiene allergni - prodotto il giorno ",TEXT(Q592,"gg/mm/aaaa"),"")</f>
        <v/>
      </c>
    </row>
    <row r="593" ht="15" customHeight="1" s="155">
      <c r="A593" s="134">
        <f>ric!B593</f>
        <v/>
      </c>
      <c r="B593" s="118">
        <f>ric!C593</f>
        <v/>
      </c>
      <c r="C593" s="125">
        <f>ric!D593</f>
        <v/>
      </c>
      <c r="D593" s="125" t="n"/>
      <c r="E593" s="125" t="n"/>
      <c r="F593" s="125" t="n"/>
      <c r="G593" s="118">
        <f>CONCATENATE(A593, " ",#REF!, " / ",H593)</f>
        <v/>
      </c>
      <c r="H593" s="118" t="n"/>
      <c r="I593" s="119">
        <f>CONCATENATE(M593," - ",J593," - Lotto N° ",K593,"")</f>
        <v/>
      </c>
      <c r="J593" s="118" t="n"/>
      <c r="K593" s="118">
        <f>VLOOKUP(#REF!,Produzione,7,FALSE)</f>
        <v/>
      </c>
      <c r="L593" s="120" t="n"/>
      <c r="M593" s="120" t="n"/>
      <c r="N593" s="118" t="n"/>
      <c r="O593" s="121" t="n"/>
      <c r="P593" s="121" t="n"/>
      <c r="Q593" s="166">
        <f>TODAY()</f>
        <v/>
      </c>
      <c r="R593" s="165">
        <f>ElencoProdotti[[#This Row],[PRODUZIONE]]+20</f>
        <v/>
      </c>
      <c r="S593" s="165">
        <f>TODAY()</f>
        <v/>
      </c>
      <c r="T593" s="133">
        <f>CONCATENATE(A593," - contiene allergni - prodotto il giorno ",TEXT(Q593,"gg/mm/aaaa"),"")</f>
        <v/>
      </c>
    </row>
    <row r="594" ht="15" customHeight="1" s="155">
      <c r="A594" s="134">
        <f>ric!B594</f>
        <v/>
      </c>
      <c r="B594" s="118">
        <f>ric!C594</f>
        <v/>
      </c>
      <c r="C594" s="125">
        <f>ric!D594</f>
        <v/>
      </c>
      <c r="D594" s="125" t="n"/>
      <c r="E594" s="125" t="n"/>
      <c r="F594" s="125" t="n"/>
      <c r="G594" s="118">
        <f>CONCATENATE(A594, " ",#REF!, " / ",H594)</f>
        <v/>
      </c>
      <c r="H594" s="118" t="n"/>
      <c r="I594" s="119">
        <f>CONCATENATE(M594," - ",J594," - Lotto N° ",K594,"")</f>
        <v/>
      </c>
      <c r="J594" s="118" t="n"/>
      <c r="K594" s="118">
        <f>VLOOKUP(#REF!,Produzione,7,FALSE)</f>
        <v/>
      </c>
      <c r="L594" s="120" t="n"/>
      <c r="M594" s="120" t="n"/>
      <c r="N594" s="118" t="n"/>
      <c r="O594" s="121" t="n"/>
      <c r="P594" s="121" t="n"/>
      <c r="Q594" s="166">
        <f>TODAY()</f>
        <v/>
      </c>
      <c r="R594" s="165">
        <f>ElencoProdotti[[#This Row],[PRODUZIONE]]+20</f>
        <v/>
      </c>
      <c r="S594" s="165">
        <f>TODAY()</f>
        <v/>
      </c>
      <c r="T594" s="133">
        <f>CONCATENATE(A594," - contiene allergni - prodotto il giorno ",TEXT(Q594,"gg/mm/aaaa"),"")</f>
        <v/>
      </c>
    </row>
    <row r="595" ht="15" customHeight="1" s="155">
      <c r="A595" s="134">
        <f>ric!B595</f>
        <v/>
      </c>
      <c r="B595" s="118">
        <f>ric!C595</f>
        <v/>
      </c>
      <c r="C595" s="125">
        <f>ric!D595</f>
        <v/>
      </c>
      <c r="D595" s="125" t="n"/>
      <c r="E595" s="125" t="n"/>
      <c r="F595" s="125" t="n"/>
      <c r="G595" s="118">
        <f>CONCATENATE(A595, " ",#REF!, " / ",H595)</f>
        <v/>
      </c>
      <c r="H595" s="118" t="n"/>
      <c r="I595" s="119">
        <f>CONCATENATE(M595," - ",J595," - Lotto N° ",K595,"")</f>
        <v/>
      </c>
      <c r="J595" s="118" t="n"/>
      <c r="K595" s="118">
        <f>VLOOKUP(#REF!,Produzione,7,FALSE)</f>
        <v/>
      </c>
      <c r="L595" s="120" t="n"/>
      <c r="M595" s="120" t="n"/>
      <c r="N595" s="118" t="n"/>
      <c r="O595" s="121" t="n"/>
      <c r="P595" s="121" t="n"/>
      <c r="Q595" s="166">
        <f>TODAY()</f>
        <v/>
      </c>
      <c r="R595" s="165">
        <f>ElencoProdotti[[#This Row],[PRODUZIONE]]+20</f>
        <v/>
      </c>
      <c r="S595" s="165">
        <f>TODAY()</f>
        <v/>
      </c>
      <c r="T595" s="133">
        <f>CONCATENATE(A595," - contiene allergni - prodotto il giorno ",TEXT(Q595,"gg/mm/aaaa"),"")</f>
        <v/>
      </c>
    </row>
    <row r="596" ht="15" customHeight="1" s="155">
      <c r="A596" s="134">
        <f>ric!B596</f>
        <v/>
      </c>
      <c r="B596" s="118">
        <f>ric!C596</f>
        <v/>
      </c>
      <c r="C596" s="125">
        <f>ric!D596</f>
        <v/>
      </c>
      <c r="D596" s="125" t="n"/>
      <c r="E596" s="125" t="n"/>
      <c r="F596" s="125" t="n"/>
      <c r="G596" s="118">
        <f>CONCATENATE(A596, " ",#REF!, " / ",H596)</f>
        <v/>
      </c>
      <c r="H596" s="118" t="n"/>
      <c r="I596" s="119">
        <f>CONCATENATE(M596," - ",J596," - Lotto N° ",K596,"")</f>
        <v/>
      </c>
      <c r="J596" s="118" t="n"/>
      <c r="K596" s="118">
        <f>VLOOKUP(#REF!,Produzione,7,FALSE)</f>
        <v/>
      </c>
      <c r="L596" s="120" t="n"/>
      <c r="M596" s="120" t="n"/>
      <c r="N596" s="118" t="n"/>
      <c r="O596" s="121" t="n"/>
      <c r="P596" s="121" t="n"/>
      <c r="Q596" s="166">
        <f>TODAY()</f>
        <v/>
      </c>
      <c r="R596" s="165">
        <f>ElencoProdotti[[#This Row],[PRODUZIONE]]+20</f>
        <v/>
      </c>
      <c r="S596" s="165">
        <f>TODAY()</f>
        <v/>
      </c>
      <c r="T596" s="133">
        <f>CONCATENATE(A596," - contiene allergni - prodotto il giorno ",TEXT(Q596,"gg/mm/aaaa"),"")</f>
        <v/>
      </c>
    </row>
    <row r="597" ht="15" customHeight="1" s="155">
      <c r="A597" s="134">
        <f>ric!B597</f>
        <v/>
      </c>
      <c r="B597" s="118">
        <f>ric!C597</f>
        <v/>
      </c>
      <c r="C597" s="125">
        <f>ric!D597</f>
        <v/>
      </c>
      <c r="D597" s="125" t="n"/>
      <c r="E597" s="125" t="n"/>
      <c r="F597" s="125" t="n"/>
      <c r="G597" s="118">
        <f>CONCATENATE(A597, " ",#REF!, " / ",H597)</f>
        <v/>
      </c>
      <c r="H597" s="118" t="n"/>
      <c r="I597" s="119">
        <f>CONCATENATE(M597," - ",J597," - Lotto N° ",K597,"")</f>
        <v/>
      </c>
      <c r="J597" s="118" t="n"/>
      <c r="K597" s="118">
        <f>VLOOKUP(#REF!,Produzione,7,FALSE)</f>
        <v/>
      </c>
      <c r="L597" s="120" t="n"/>
      <c r="M597" s="120" t="n"/>
      <c r="N597" s="118" t="n"/>
      <c r="O597" s="121" t="n"/>
      <c r="P597" s="121" t="n"/>
      <c r="Q597" s="166">
        <f>TODAY()</f>
        <v/>
      </c>
      <c r="R597" s="165">
        <f>ElencoProdotti[[#This Row],[PRODUZIONE]]+20</f>
        <v/>
      </c>
      <c r="S597" s="165">
        <f>TODAY()</f>
        <v/>
      </c>
      <c r="T597" s="133">
        <f>CONCATENATE(A597," - contiene allergni - prodotto il giorno ",TEXT(Q597,"gg/mm/aaaa"),"")</f>
        <v/>
      </c>
    </row>
    <row r="598" ht="15" customHeight="1" s="155">
      <c r="A598" s="134">
        <f>ric!B598</f>
        <v/>
      </c>
      <c r="B598" s="118">
        <f>ric!C598</f>
        <v/>
      </c>
      <c r="C598" s="125">
        <f>ric!D598</f>
        <v/>
      </c>
      <c r="D598" s="125" t="n"/>
      <c r="E598" s="125" t="n"/>
      <c r="F598" s="125" t="n"/>
      <c r="G598" s="118">
        <f>CONCATENATE(A598, " ",#REF!, " / ",H598)</f>
        <v/>
      </c>
      <c r="H598" s="118" t="n"/>
      <c r="I598" s="119">
        <f>CONCATENATE(M598," - ",J598," - Lotto N° ",K598,"")</f>
        <v/>
      </c>
      <c r="J598" s="118" t="n"/>
      <c r="K598" s="118">
        <f>VLOOKUP(#REF!,Produzione,7,FALSE)</f>
        <v/>
      </c>
      <c r="L598" s="120" t="n"/>
      <c r="M598" s="120" t="n"/>
      <c r="N598" s="118" t="n"/>
      <c r="O598" s="121" t="n"/>
      <c r="P598" s="121" t="n"/>
      <c r="Q598" s="166">
        <f>TODAY()</f>
        <v/>
      </c>
      <c r="R598" s="165">
        <f>ElencoProdotti[[#This Row],[PRODUZIONE]]+20</f>
        <v/>
      </c>
      <c r="S598" s="165">
        <f>TODAY()</f>
        <v/>
      </c>
      <c r="T598" s="133">
        <f>CONCATENATE(A598," - contiene allergni - prodotto il giorno ",TEXT(Q598,"gg/mm/aaaa"),"")</f>
        <v/>
      </c>
    </row>
    <row r="599" ht="15" customHeight="1" s="155">
      <c r="A599" s="134">
        <f>ric!B599</f>
        <v/>
      </c>
      <c r="B599" s="118">
        <f>ric!C599</f>
        <v/>
      </c>
      <c r="C599" s="125">
        <f>ric!D599</f>
        <v/>
      </c>
      <c r="D599" s="125" t="n"/>
      <c r="E599" s="125" t="n"/>
      <c r="F599" s="125" t="n"/>
      <c r="G599" s="118">
        <f>CONCATENATE(A599, " ",#REF!, " / ",H599)</f>
        <v/>
      </c>
      <c r="H599" s="118" t="n"/>
      <c r="I599" s="119">
        <f>CONCATENATE(M599," - ",J599," - Lotto N° ",K599,"")</f>
        <v/>
      </c>
      <c r="J599" s="118" t="n"/>
      <c r="K599" s="118">
        <f>VLOOKUP(#REF!,Produzione,7,FALSE)</f>
        <v/>
      </c>
      <c r="L599" s="120" t="n"/>
      <c r="M599" s="120" t="n"/>
      <c r="N599" s="118" t="n"/>
      <c r="O599" s="121" t="n"/>
      <c r="P599" s="121" t="n"/>
      <c r="Q599" s="166">
        <f>TODAY()</f>
        <v/>
      </c>
      <c r="R599" s="165">
        <f>ElencoProdotti[[#This Row],[PRODUZIONE]]+20</f>
        <v/>
      </c>
      <c r="S599" s="165">
        <f>TODAY()</f>
        <v/>
      </c>
      <c r="T599" s="133">
        <f>CONCATENATE(A599," - contiene allergni - prodotto il giorno ",TEXT(Q599,"gg/mm/aaaa"),"")</f>
        <v/>
      </c>
    </row>
    <row r="600" ht="15" customHeight="1" s="155">
      <c r="A600" s="134">
        <f>ric!B600</f>
        <v/>
      </c>
      <c r="B600" s="118">
        <f>ric!C600</f>
        <v/>
      </c>
      <c r="C600" s="125">
        <f>ric!D600</f>
        <v/>
      </c>
      <c r="D600" s="125" t="n"/>
      <c r="E600" s="125" t="n"/>
      <c r="F600" s="125" t="n"/>
      <c r="G600" s="118">
        <f>CONCATENATE(A600, " ",#REF!, " / ",H600)</f>
        <v/>
      </c>
      <c r="H600" s="118" t="n"/>
      <c r="I600" s="119">
        <f>CONCATENATE(M600," - ",J600," - Lotto N° ",K600,"")</f>
        <v/>
      </c>
      <c r="J600" s="118" t="n"/>
      <c r="K600" s="118">
        <f>VLOOKUP(#REF!,Produzione,7,FALSE)</f>
        <v/>
      </c>
      <c r="L600" s="120" t="n"/>
      <c r="M600" s="120" t="n"/>
      <c r="N600" s="118" t="n"/>
      <c r="O600" s="121" t="n"/>
      <c r="P600" s="121" t="n"/>
      <c r="Q600" s="166">
        <f>TODAY()</f>
        <v/>
      </c>
      <c r="R600" s="165">
        <f>ElencoProdotti[[#This Row],[PRODUZIONE]]+20</f>
        <v/>
      </c>
      <c r="S600" s="165">
        <f>TODAY()</f>
        <v/>
      </c>
      <c r="T600" s="133">
        <f>CONCATENATE(A600," - contiene allergni - prodotto il giorno ",TEXT(Q600,"gg/mm/aaaa"),"")</f>
        <v/>
      </c>
    </row>
    <row r="601" ht="15" customHeight="1" s="155">
      <c r="A601" s="134">
        <f>ric!B601</f>
        <v/>
      </c>
      <c r="B601" s="118">
        <f>ric!C601</f>
        <v/>
      </c>
      <c r="C601" s="125">
        <f>ric!D601</f>
        <v/>
      </c>
      <c r="D601" s="125" t="n"/>
      <c r="E601" s="125" t="n"/>
      <c r="F601" s="125" t="n"/>
      <c r="G601" s="118">
        <f>CONCATENATE(A601, " ",#REF!, " / ",H601)</f>
        <v/>
      </c>
      <c r="H601" s="118" t="n"/>
      <c r="I601" s="119">
        <f>CONCATENATE(M601," - ",J601," - Lotto N° ",K601,"")</f>
        <v/>
      </c>
      <c r="J601" s="118" t="n"/>
      <c r="K601" s="118">
        <f>VLOOKUP(#REF!,Produzione,7,FALSE)</f>
        <v/>
      </c>
      <c r="L601" s="120" t="n"/>
      <c r="M601" s="120" t="n"/>
      <c r="N601" s="118" t="n"/>
      <c r="O601" s="121" t="n"/>
      <c r="P601" s="121" t="n"/>
      <c r="Q601" s="166">
        <f>TODAY()</f>
        <v/>
      </c>
      <c r="R601" s="165">
        <f>ElencoProdotti[[#This Row],[PRODUZIONE]]+20</f>
        <v/>
      </c>
      <c r="S601" s="165">
        <f>TODAY()</f>
        <v/>
      </c>
      <c r="T601" s="133">
        <f>CONCATENATE(A601," - contiene allergni - prodotto il giorno ",TEXT(Q601,"gg/mm/aaaa"),"")</f>
        <v/>
      </c>
    </row>
    <row r="602" ht="15" customHeight="1" s="155">
      <c r="A602" s="134">
        <f>ric!B602</f>
        <v/>
      </c>
      <c r="B602" s="118">
        <f>ric!C602</f>
        <v/>
      </c>
      <c r="C602" s="125">
        <f>ric!D602</f>
        <v/>
      </c>
      <c r="D602" s="125" t="n"/>
      <c r="E602" s="125" t="n"/>
      <c r="F602" s="125" t="n"/>
      <c r="G602" s="118">
        <f>CONCATENATE(A602, " ",#REF!, " / ",H602)</f>
        <v/>
      </c>
      <c r="H602" s="118" t="n"/>
      <c r="I602" s="119">
        <f>CONCATENATE(M602," - ",J602," - Lotto N° ",K602,"")</f>
        <v/>
      </c>
      <c r="J602" s="118" t="n"/>
      <c r="K602" s="118">
        <f>VLOOKUP(#REF!,Produzione,7,FALSE)</f>
        <v/>
      </c>
      <c r="L602" s="120" t="n"/>
      <c r="M602" s="120" t="n"/>
      <c r="N602" s="118" t="n"/>
      <c r="O602" s="121" t="n"/>
      <c r="P602" s="121" t="n"/>
      <c r="Q602" s="166">
        <f>TODAY()</f>
        <v/>
      </c>
      <c r="R602" s="165">
        <f>ElencoProdotti[[#This Row],[PRODUZIONE]]+20</f>
        <v/>
      </c>
      <c r="S602" s="165">
        <f>TODAY()</f>
        <v/>
      </c>
      <c r="T602" s="133">
        <f>CONCATENATE(A602," - contiene allergni - prodotto il giorno ",TEXT(Q602,"gg/mm/aaaa"),"")</f>
        <v/>
      </c>
    </row>
    <row r="603" ht="15" customHeight="1" s="155">
      <c r="A603" s="134">
        <f>ric!B603</f>
        <v/>
      </c>
      <c r="B603" s="118">
        <f>ric!C603</f>
        <v/>
      </c>
      <c r="C603" s="125">
        <f>ric!D603</f>
        <v/>
      </c>
      <c r="D603" s="125" t="n"/>
      <c r="E603" s="125" t="n"/>
      <c r="F603" s="125" t="n"/>
      <c r="G603" s="118">
        <f>CONCATENATE(A603, " ",#REF!, " / ",H603)</f>
        <v/>
      </c>
      <c r="H603" s="118" t="n"/>
      <c r="I603" s="119">
        <f>CONCATENATE(M603," - ",J603," - Lotto N° ",K603,"")</f>
        <v/>
      </c>
      <c r="J603" s="118" t="n"/>
      <c r="K603" s="118">
        <f>VLOOKUP(#REF!,Produzione,7,FALSE)</f>
        <v/>
      </c>
      <c r="L603" s="120" t="n"/>
      <c r="M603" s="120" t="n"/>
      <c r="N603" s="118" t="n"/>
      <c r="O603" s="121" t="n"/>
      <c r="P603" s="121" t="n"/>
      <c r="Q603" s="166">
        <f>TODAY()</f>
        <v/>
      </c>
      <c r="R603" s="165">
        <f>ElencoProdotti[[#This Row],[PRODUZIONE]]+20</f>
        <v/>
      </c>
      <c r="S603" s="165">
        <f>TODAY()</f>
        <v/>
      </c>
      <c r="T603" s="133">
        <f>CONCATENATE(A603," - contiene allergni - prodotto il giorno ",TEXT(Q603,"gg/mm/aaaa"),"")</f>
        <v/>
      </c>
    </row>
    <row r="604" ht="15" customHeight="1" s="155">
      <c r="A604" s="134">
        <f>ric!B604</f>
        <v/>
      </c>
      <c r="B604" s="118">
        <f>ric!C604</f>
        <v/>
      </c>
      <c r="C604" s="125">
        <f>ric!D604</f>
        <v/>
      </c>
      <c r="D604" s="125" t="n"/>
      <c r="E604" s="125" t="n"/>
      <c r="F604" s="125" t="n"/>
      <c r="G604" s="118">
        <f>CONCATENATE(A604, " ",#REF!, " / ",H604)</f>
        <v/>
      </c>
      <c r="H604" s="118" t="n"/>
      <c r="I604" s="119">
        <f>CONCATENATE(M604," - ",J604," - Lotto N° ",K604,"")</f>
        <v/>
      </c>
      <c r="J604" s="118" t="n"/>
      <c r="K604" s="118">
        <f>VLOOKUP(#REF!,Produzione,7,FALSE)</f>
        <v/>
      </c>
      <c r="L604" s="120" t="n"/>
      <c r="M604" s="120" t="n"/>
      <c r="N604" s="118" t="n"/>
      <c r="O604" s="121" t="n"/>
      <c r="P604" s="121" t="n"/>
      <c r="Q604" s="166">
        <f>TODAY()</f>
        <v/>
      </c>
      <c r="R604" s="165">
        <f>ElencoProdotti[[#This Row],[PRODUZIONE]]+20</f>
        <v/>
      </c>
      <c r="S604" s="165">
        <f>TODAY()</f>
        <v/>
      </c>
      <c r="T604" s="133">
        <f>CONCATENATE(A604," - contiene allergni - prodotto il giorno ",TEXT(Q604,"gg/mm/aaaa"),"")</f>
        <v/>
      </c>
    </row>
    <row r="605" ht="15" customHeight="1" s="155">
      <c r="A605" s="134">
        <f>ric!B605</f>
        <v/>
      </c>
      <c r="B605" s="118">
        <f>ric!C605</f>
        <v/>
      </c>
      <c r="C605" s="125">
        <f>ric!D605</f>
        <v/>
      </c>
      <c r="D605" s="125" t="n"/>
      <c r="E605" s="125" t="n"/>
      <c r="F605" s="125" t="n"/>
      <c r="G605" s="118">
        <f>CONCATENATE(A605, " ",#REF!, " / ",H605)</f>
        <v/>
      </c>
      <c r="H605" s="118" t="n"/>
      <c r="I605" s="119">
        <f>CONCATENATE(M605," - ",J605," - Lotto N° ",K605,"")</f>
        <v/>
      </c>
      <c r="J605" s="118" t="n"/>
      <c r="K605" s="118">
        <f>VLOOKUP(#REF!,Produzione,7,FALSE)</f>
        <v/>
      </c>
      <c r="L605" s="120" t="n"/>
      <c r="M605" s="120" t="n"/>
      <c r="N605" s="118" t="n"/>
      <c r="O605" s="121" t="n"/>
      <c r="P605" s="121" t="n"/>
      <c r="Q605" s="166">
        <f>TODAY()</f>
        <v/>
      </c>
      <c r="R605" s="165">
        <f>ElencoProdotti[[#This Row],[PRODUZIONE]]+20</f>
        <v/>
      </c>
      <c r="S605" s="165">
        <f>TODAY()</f>
        <v/>
      </c>
      <c r="T605" s="133">
        <f>CONCATENATE(A605," - contiene allergni - prodotto il giorno ",TEXT(Q605,"gg/mm/aaaa"),"")</f>
        <v/>
      </c>
    </row>
    <row r="606" ht="15" customHeight="1" s="155">
      <c r="A606" s="134">
        <f>ric!B606</f>
        <v/>
      </c>
      <c r="B606" s="118">
        <f>ric!C606</f>
        <v/>
      </c>
      <c r="C606" s="125">
        <f>ric!D606</f>
        <v/>
      </c>
      <c r="D606" s="125" t="n"/>
      <c r="E606" s="125" t="n"/>
      <c r="F606" s="125" t="n"/>
      <c r="G606" s="118">
        <f>CONCATENATE(A606, " ",#REF!, " / ",H606)</f>
        <v/>
      </c>
      <c r="H606" s="118" t="n"/>
      <c r="I606" s="119">
        <f>CONCATENATE(M606," - ",J606," - Lotto N° ",K606,"")</f>
        <v/>
      </c>
      <c r="J606" s="118" t="n"/>
      <c r="K606" s="118">
        <f>VLOOKUP(#REF!,Produzione,7,FALSE)</f>
        <v/>
      </c>
      <c r="L606" s="120" t="n"/>
      <c r="M606" s="120" t="n"/>
      <c r="N606" s="118" t="n"/>
      <c r="O606" s="121" t="n"/>
      <c r="P606" s="121" t="n"/>
      <c r="Q606" s="166">
        <f>TODAY()</f>
        <v/>
      </c>
      <c r="R606" s="165">
        <f>ElencoProdotti[[#This Row],[PRODUZIONE]]+20</f>
        <v/>
      </c>
      <c r="S606" s="165">
        <f>TODAY()</f>
        <v/>
      </c>
      <c r="T606" s="133">
        <f>CONCATENATE(A606," - contiene allergni - prodotto il giorno ",TEXT(Q606,"gg/mm/aaaa"),"")</f>
        <v/>
      </c>
    </row>
    <row r="607" ht="15" customHeight="1" s="155">
      <c r="A607" s="134">
        <f>ric!B607</f>
        <v/>
      </c>
      <c r="B607" s="118">
        <f>ric!C607</f>
        <v/>
      </c>
      <c r="C607" s="125">
        <f>ric!D607</f>
        <v/>
      </c>
      <c r="D607" s="125" t="n"/>
      <c r="E607" s="125" t="n"/>
      <c r="F607" s="125" t="n"/>
      <c r="G607" s="118">
        <f>CONCATENATE(A607, " ",#REF!, " / ",H607)</f>
        <v/>
      </c>
      <c r="H607" s="118" t="n"/>
      <c r="I607" s="119">
        <f>CONCATENATE(M607," - ",J607," - Lotto N° ",K607,"")</f>
        <v/>
      </c>
      <c r="J607" s="118" t="n"/>
      <c r="K607" s="118">
        <f>VLOOKUP(#REF!,Produzione,7,FALSE)</f>
        <v/>
      </c>
      <c r="L607" s="120" t="n"/>
      <c r="M607" s="120" t="n"/>
      <c r="N607" s="118" t="n"/>
      <c r="O607" s="121" t="n"/>
      <c r="P607" s="121" t="n"/>
      <c r="Q607" s="166">
        <f>TODAY()</f>
        <v/>
      </c>
      <c r="R607" s="165">
        <f>ElencoProdotti[[#This Row],[PRODUZIONE]]+20</f>
        <v/>
      </c>
      <c r="S607" s="165">
        <f>TODAY()</f>
        <v/>
      </c>
      <c r="T607" s="133">
        <f>CONCATENATE(A607," - contiene allergni - prodotto il giorno ",TEXT(Q607,"gg/mm/aaaa"),"")</f>
        <v/>
      </c>
    </row>
    <row r="608" ht="15" customHeight="1" s="155">
      <c r="A608" s="134">
        <f>ric!B608</f>
        <v/>
      </c>
      <c r="B608" s="118">
        <f>ric!C608</f>
        <v/>
      </c>
      <c r="C608" s="125">
        <f>ric!D608</f>
        <v/>
      </c>
      <c r="D608" s="125" t="n"/>
      <c r="E608" s="125" t="n"/>
      <c r="F608" s="125" t="n"/>
      <c r="G608" s="118">
        <f>CONCATENATE(A608, " ",#REF!, " / ",H608)</f>
        <v/>
      </c>
      <c r="H608" s="118" t="n"/>
      <c r="I608" s="119">
        <f>CONCATENATE(M608," - ",J608," - Lotto N° ",K608,"")</f>
        <v/>
      </c>
      <c r="J608" s="118" t="n"/>
      <c r="K608" s="118">
        <f>VLOOKUP(#REF!,Produzione,7,FALSE)</f>
        <v/>
      </c>
      <c r="L608" s="120" t="n"/>
      <c r="M608" s="120" t="n"/>
      <c r="N608" s="118" t="n"/>
      <c r="O608" s="121" t="n"/>
      <c r="P608" s="121" t="n"/>
      <c r="Q608" s="166">
        <f>TODAY()</f>
        <v/>
      </c>
      <c r="R608" s="165">
        <f>ElencoProdotti[[#This Row],[PRODUZIONE]]+20</f>
        <v/>
      </c>
      <c r="S608" s="165">
        <f>TODAY()</f>
        <v/>
      </c>
      <c r="T608" s="133">
        <f>CONCATENATE(A608," - contiene allergni - prodotto il giorno ",TEXT(Q608,"gg/mm/aaaa"),"")</f>
        <v/>
      </c>
    </row>
    <row r="609" ht="15" customHeight="1" s="155">
      <c r="A609" s="134">
        <f>ric!B609</f>
        <v/>
      </c>
      <c r="B609" s="118">
        <f>ric!C609</f>
        <v/>
      </c>
      <c r="C609" s="125">
        <f>ric!D609</f>
        <v/>
      </c>
      <c r="D609" s="125" t="n"/>
      <c r="E609" s="125" t="n"/>
      <c r="F609" s="125" t="n"/>
      <c r="G609" s="118">
        <f>CONCATENATE(A609, " ",#REF!, " / ",H609)</f>
        <v/>
      </c>
      <c r="H609" s="118" t="n"/>
      <c r="I609" s="119">
        <f>CONCATENATE(M609," - ",J609," - Lotto N° ",K609,"")</f>
        <v/>
      </c>
      <c r="J609" s="118" t="n"/>
      <c r="K609" s="118">
        <f>VLOOKUP(#REF!,Produzione,7,FALSE)</f>
        <v/>
      </c>
      <c r="L609" s="120" t="n"/>
      <c r="M609" s="120" t="n"/>
      <c r="N609" s="118" t="n"/>
      <c r="O609" s="121" t="n"/>
      <c r="P609" s="121" t="n"/>
      <c r="Q609" s="166">
        <f>TODAY()</f>
        <v/>
      </c>
      <c r="R609" s="165">
        <f>ElencoProdotti[[#This Row],[PRODUZIONE]]+20</f>
        <v/>
      </c>
      <c r="S609" s="165">
        <f>TODAY()</f>
        <v/>
      </c>
      <c r="T609" s="133">
        <f>CONCATENATE(A609," - contiene allergni - prodotto il giorno ",TEXT(Q609,"gg/mm/aaaa"),"")</f>
        <v/>
      </c>
    </row>
    <row r="610" ht="15" customHeight="1" s="155">
      <c r="A610" s="134">
        <f>ric!B610</f>
        <v/>
      </c>
      <c r="B610" s="118">
        <f>ric!C610</f>
        <v/>
      </c>
      <c r="C610" s="125">
        <f>ric!D610</f>
        <v/>
      </c>
      <c r="D610" s="125" t="n"/>
      <c r="E610" s="125" t="n"/>
      <c r="F610" s="125" t="n"/>
      <c r="G610" s="118">
        <f>CONCATENATE(A610, " ",#REF!, " / ",H610)</f>
        <v/>
      </c>
      <c r="H610" s="118" t="n"/>
      <c r="I610" s="119">
        <f>CONCATENATE(M610," - ",J610," - Lotto N° ",K610,"")</f>
        <v/>
      </c>
      <c r="J610" s="118" t="n"/>
      <c r="K610" s="118">
        <f>VLOOKUP(#REF!,Produzione,7,FALSE)</f>
        <v/>
      </c>
      <c r="L610" s="120" t="n"/>
      <c r="M610" s="120" t="n"/>
      <c r="N610" s="118" t="n"/>
      <c r="O610" s="121" t="n"/>
      <c r="P610" s="121" t="n"/>
      <c r="Q610" s="166">
        <f>TODAY()</f>
        <v/>
      </c>
      <c r="R610" s="165">
        <f>ElencoProdotti[[#This Row],[PRODUZIONE]]+20</f>
        <v/>
      </c>
      <c r="S610" s="165">
        <f>TODAY()</f>
        <v/>
      </c>
      <c r="T610" s="133">
        <f>CONCATENATE(A610," - contiene allergni - prodotto il giorno ",TEXT(Q610,"gg/mm/aaaa"),"")</f>
        <v/>
      </c>
    </row>
    <row r="611" ht="15" customHeight="1" s="155">
      <c r="A611" s="134">
        <f>ric!B611</f>
        <v/>
      </c>
      <c r="B611" s="118">
        <f>ric!C611</f>
        <v/>
      </c>
      <c r="C611" s="125">
        <f>ric!D611</f>
        <v/>
      </c>
      <c r="D611" s="125" t="n"/>
      <c r="E611" s="125" t="n"/>
      <c r="F611" s="125" t="n"/>
      <c r="G611" s="118">
        <f>CONCATENATE(A611, " ",#REF!, " / ",H611)</f>
        <v/>
      </c>
      <c r="H611" s="118" t="n"/>
      <c r="I611" s="119">
        <f>CONCATENATE(M611," - ",J611," - Lotto N° ",K611,"")</f>
        <v/>
      </c>
      <c r="J611" s="118" t="n"/>
      <c r="K611" s="118">
        <f>VLOOKUP(#REF!,Produzione,7,FALSE)</f>
        <v/>
      </c>
      <c r="L611" s="120" t="n"/>
      <c r="M611" s="120" t="n"/>
      <c r="N611" s="118" t="n"/>
      <c r="O611" s="121" t="n"/>
      <c r="P611" s="121" t="n"/>
      <c r="Q611" s="166">
        <f>TODAY()</f>
        <v/>
      </c>
      <c r="R611" s="165">
        <f>ElencoProdotti[[#This Row],[PRODUZIONE]]+20</f>
        <v/>
      </c>
      <c r="S611" s="165">
        <f>TODAY()</f>
        <v/>
      </c>
      <c r="T611" s="133">
        <f>CONCATENATE(A611," - contiene allergni - prodotto il giorno ",TEXT(Q611,"gg/mm/aaaa"),"")</f>
        <v/>
      </c>
    </row>
    <row r="612" ht="15" customHeight="1" s="155">
      <c r="A612" s="134">
        <f>ric!B612</f>
        <v/>
      </c>
      <c r="B612" s="118">
        <f>ric!C612</f>
        <v/>
      </c>
      <c r="C612" s="125">
        <f>ric!D612</f>
        <v/>
      </c>
      <c r="D612" s="125" t="n"/>
      <c r="E612" s="125" t="n"/>
      <c r="F612" s="125" t="n"/>
      <c r="G612" s="118">
        <f>CONCATENATE(A612, " ",#REF!, " / ",H612)</f>
        <v/>
      </c>
      <c r="H612" s="118" t="n"/>
      <c r="I612" s="119">
        <f>CONCATENATE(M612," - ",J612," - Lotto N° ",K612,"")</f>
        <v/>
      </c>
      <c r="J612" s="118" t="n"/>
      <c r="K612" s="118">
        <f>VLOOKUP(#REF!,Produzione,7,FALSE)</f>
        <v/>
      </c>
      <c r="L612" s="120" t="n"/>
      <c r="M612" s="120" t="n"/>
      <c r="N612" s="118" t="n"/>
      <c r="O612" s="121" t="n"/>
      <c r="P612" s="121" t="n"/>
      <c r="Q612" s="166">
        <f>TODAY()</f>
        <v/>
      </c>
      <c r="R612" s="165">
        <f>ElencoProdotti[[#This Row],[PRODUZIONE]]+20</f>
        <v/>
      </c>
      <c r="S612" s="165">
        <f>TODAY()</f>
        <v/>
      </c>
      <c r="T612" s="133">
        <f>CONCATENATE(A612," - contiene allergni - prodotto il giorno ",TEXT(Q612,"gg/mm/aaaa"),"")</f>
        <v/>
      </c>
    </row>
    <row r="613" ht="15" customHeight="1" s="155">
      <c r="A613" s="134">
        <f>ric!B613</f>
        <v/>
      </c>
      <c r="B613" s="118">
        <f>ric!C613</f>
        <v/>
      </c>
      <c r="C613" s="125">
        <f>ric!D613</f>
        <v/>
      </c>
      <c r="D613" s="125" t="n"/>
      <c r="E613" s="125" t="n"/>
      <c r="F613" s="125" t="n"/>
      <c r="G613" s="118">
        <f>CONCATENATE(A613, " ",#REF!, " / ",H613)</f>
        <v/>
      </c>
      <c r="H613" s="118" t="n"/>
      <c r="I613" s="119">
        <f>CONCATENATE(M613," - ",J613," - Lotto N° ",K613,"")</f>
        <v/>
      </c>
      <c r="J613" s="118" t="n"/>
      <c r="K613" s="118">
        <f>VLOOKUP(#REF!,Produzione,7,FALSE)</f>
        <v/>
      </c>
      <c r="L613" s="120" t="n"/>
      <c r="M613" s="120" t="n"/>
      <c r="N613" s="118" t="n"/>
      <c r="O613" s="121" t="n"/>
      <c r="P613" s="121" t="n"/>
      <c r="Q613" s="166">
        <f>TODAY()</f>
        <v/>
      </c>
      <c r="R613" s="165">
        <f>ElencoProdotti[[#This Row],[PRODUZIONE]]+20</f>
        <v/>
      </c>
      <c r="S613" s="165">
        <f>TODAY()</f>
        <v/>
      </c>
      <c r="T613" s="133">
        <f>CONCATENATE(A613," - contiene allergni - prodotto il giorno ",TEXT(Q613,"gg/mm/aaaa"),"")</f>
        <v/>
      </c>
    </row>
    <row r="614" ht="15" customHeight="1" s="155">
      <c r="A614" s="134">
        <f>ric!B614</f>
        <v/>
      </c>
      <c r="B614" s="118">
        <f>ric!C614</f>
        <v/>
      </c>
      <c r="C614" s="125">
        <f>ric!D614</f>
        <v/>
      </c>
      <c r="D614" s="125" t="n"/>
      <c r="E614" s="125" t="n"/>
      <c r="F614" s="125" t="n"/>
      <c r="G614" s="118">
        <f>CONCATENATE(A614, " ",#REF!, " / ",H614)</f>
        <v/>
      </c>
      <c r="H614" s="118" t="n"/>
      <c r="I614" s="119">
        <f>CONCATENATE(M614," - ",J614," - Lotto N° ",K614,"")</f>
        <v/>
      </c>
      <c r="J614" s="118" t="n"/>
      <c r="K614" s="118">
        <f>VLOOKUP(#REF!,Produzione,7,FALSE)</f>
        <v/>
      </c>
      <c r="L614" s="120" t="n"/>
      <c r="M614" s="120" t="n"/>
      <c r="N614" s="118" t="n"/>
      <c r="O614" s="121" t="n"/>
      <c r="P614" s="121" t="n"/>
      <c r="Q614" s="166">
        <f>TODAY()</f>
        <v/>
      </c>
      <c r="R614" s="165">
        <f>ElencoProdotti[[#This Row],[PRODUZIONE]]+20</f>
        <v/>
      </c>
      <c r="S614" s="165">
        <f>TODAY()</f>
        <v/>
      </c>
      <c r="T614" s="133">
        <f>CONCATENATE(A614," - contiene allergni - prodotto il giorno ",TEXT(Q614,"gg/mm/aaaa"),"")</f>
        <v/>
      </c>
    </row>
    <row r="615" ht="15" customHeight="1" s="155">
      <c r="A615" s="134">
        <f>ric!B615</f>
        <v/>
      </c>
      <c r="B615" s="118">
        <f>ric!C615</f>
        <v/>
      </c>
      <c r="C615" s="125">
        <f>ric!D615</f>
        <v/>
      </c>
      <c r="D615" s="125" t="n"/>
      <c r="E615" s="125" t="n"/>
      <c r="F615" s="125" t="n"/>
      <c r="G615" s="118">
        <f>CONCATENATE(A615, " ",#REF!, " / ",H615)</f>
        <v/>
      </c>
      <c r="H615" s="118" t="n"/>
      <c r="I615" s="119">
        <f>CONCATENATE(M615," - ",J615," - Lotto N° ",K615,"")</f>
        <v/>
      </c>
      <c r="J615" s="118" t="n"/>
      <c r="K615" s="118">
        <f>VLOOKUP(#REF!,Produzione,7,FALSE)</f>
        <v/>
      </c>
      <c r="L615" s="120" t="n"/>
      <c r="M615" s="120" t="n"/>
      <c r="N615" s="118" t="n"/>
      <c r="O615" s="121" t="n"/>
      <c r="P615" s="121" t="n"/>
      <c r="Q615" s="166">
        <f>TODAY()</f>
        <v/>
      </c>
      <c r="R615" s="165">
        <f>ElencoProdotti[[#This Row],[PRODUZIONE]]+20</f>
        <v/>
      </c>
      <c r="S615" s="165">
        <f>TODAY()</f>
        <v/>
      </c>
      <c r="T615" s="133">
        <f>CONCATENATE(A615," - contiene allergni - prodotto il giorno ",TEXT(Q615,"gg/mm/aaaa"),"")</f>
        <v/>
      </c>
    </row>
    <row r="616" ht="15" customHeight="1" s="155">
      <c r="A616" s="134">
        <f>ric!B616</f>
        <v/>
      </c>
      <c r="B616" s="118">
        <f>ric!C616</f>
        <v/>
      </c>
      <c r="C616" s="125">
        <f>ric!D616</f>
        <v/>
      </c>
      <c r="D616" s="125" t="n"/>
      <c r="E616" s="125" t="n"/>
      <c r="F616" s="125" t="n"/>
      <c r="G616" s="118">
        <f>CONCATENATE(A616, " ",#REF!, " / ",H616)</f>
        <v/>
      </c>
      <c r="H616" s="118" t="n"/>
      <c r="I616" s="119">
        <f>CONCATENATE(M616," - ",J616," - Lotto N° ",K616,"")</f>
        <v/>
      </c>
      <c r="J616" s="118" t="n"/>
      <c r="K616" s="118">
        <f>VLOOKUP(#REF!,Produzione,7,FALSE)</f>
        <v/>
      </c>
      <c r="L616" s="120" t="n"/>
      <c r="M616" s="120" t="n"/>
      <c r="N616" s="118" t="n"/>
      <c r="O616" s="121" t="n"/>
      <c r="P616" s="121" t="n"/>
      <c r="Q616" s="166">
        <f>TODAY()</f>
        <v/>
      </c>
      <c r="R616" s="165">
        <f>ElencoProdotti[[#This Row],[PRODUZIONE]]+20</f>
        <v/>
      </c>
      <c r="S616" s="165">
        <f>TODAY()</f>
        <v/>
      </c>
      <c r="T616" s="133">
        <f>CONCATENATE(A616," - contiene allergni - prodotto il giorno ",TEXT(Q616,"gg/mm/aaaa"),"")</f>
        <v/>
      </c>
    </row>
    <row r="617" ht="15" customHeight="1" s="155">
      <c r="A617" s="134">
        <f>ric!B617</f>
        <v/>
      </c>
      <c r="B617" s="118">
        <f>ric!C617</f>
        <v/>
      </c>
      <c r="C617" s="125">
        <f>ric!D617</f>
        <v/>
      </c>
      <c r="D617" s="125" t="n"/>
      <c r="E617" s="125" t="n"/>
      <c r="F617" s="125" t="n"/>
      <c r="G617" s="118">
        <f>CONCATENATE(A617, " ",#REF!, " / ",H617)</f>
        <v/>
      </c>
      <c r="H617" s="118" t="n"/>
      <c r="I617" s="119">
        <f>CONCATENATE(M617," - ",J617," - Lotto N° ",K617,"")</f>
        <v/>
      </c>
      <c r="J617" s="118" t="n"/>
      <c r="K617" s="118">
        <f>VLOOKUP(#REF!,Produzione,7,FALSE)</f>
        <v/>
      </c>
      <c r="L617" s="120" t="n"/>
      <c r="M617" s="120" t="n"/>
      <c r="N617" s="118" t="n"/>
      <c r="O617" s="121" t="n"/>
      <c r="P617" s="121" t="n"/>
      <c r="Q617" s="166">
        <f>TODAY()</f>
        <v/>
      </c>
      <c r="R617" s="165">
        <f>ElencoProdotti[[#This Row],[PRODUZIONE]]+20</f>
        <v/>
      </c>
      <c r="S617" s="165">
        <f>TODAY()</f>
        <v/>
      </c>
      <c r="T617" s="133">
        <f>CONCATENATE(A617," - contiene allergni - prodotto il giorno ",TEXT(Q617,"gg/mm/aaaa"),"")</f>
        <v/>
      </c>
    </row>
    <row r="618" ht="15" customHeight="1" s="155">
      <c r="A618" s="134">
        <f>ric!B618</f>
        <v/>
      </c>
      <c r="B618" s="118">
        <f>ric!C618</f>
        <v/>
      </c>
      <c r="C618" s="125">
        <f>ric!D618</f>
        <v/>
      </c>
      <c r="D618" s="125" t="n"/>
      <c r="E618" s="125" t="n"/>
      <c r="F618" s="125" t="n"/>
      <c r="G618" s="118">
        <f>CONCATENATE(A618, " ",#REF!, " / ",H618)</f>
        <v/>
      </c>
      <c r="H618" s="118" t="n"/>
      <c r="I618" s="119">
        <f>CONCATENATE(M618," - ",J618," - Lotto N° ",K618,"")</f>
        <v/>
      </c>
      <c r="J618" s="118" t="n"/>
      <c r="K618" s="118">
        <f>VLOOKUP(#REF!,Produzione,7,FALSE)</f>
        <v/>
      </c>
      <c r="L618" s="120" t="n"/>
      <c r="M618" s="120" t="n"/>
      <c r="N618" s="118" t="n"/>
      <c r="O618" s="121" t="n"/>
      <c r="P618" s="121" t="n"/>
      <c r="Q618" s="166">
        <f>TODAY()</f>
        <v/>
      </c>
      <c r="R618" s="165">
        <f>ElencoProdotti[[#This Row],[PRODUZIONE]]+20</f>
        <v/>
      </c>
      <c r="S618" s="165">
        <f>TODAY()</f>
        <v/>
      </c>
      <c r="T618" s="133">
        <f>CONCATENATE(A618," - contiene allergni - prodotto il giorno ",TEXT(Q618,"gg/mm/aaaa"),"")</f>
        <v/>
      </c>
    </row>
    <row r="619" ht="15" customHeight="1" s="155">
      <c r="A619" s="134">
        <f>ric!B619</f>
        <v/>
      </c>
      <c r="B619" s="118">
        <f>ric!C619</f>
        <v/>
      </c>
      <c r="C619" s="125">
        <f>ric!D619</f>
        <v/>
      </c>
      <c r="D619" s="125" t="n"/>
      <c r="E619" s="125" t="n"/>
      <c r="F619" s="125" t="n"/>
      <c r="G619" s="118">
        <f>CONCATENATE(A619, " ",#REF!, " / ",H619)</f>
        <v/>
      </c>
      <c r="H619" s="118" t="n"/>
      <c r="I619" s="119">
        <f>CONCATENATE(M619," - ",J619," - Lotto N° ",K619,"")</f>
        <v/>
      </c>
      <c r="J619" s="118" t="n"/>
      <c r="K619" s="118">
        <f>VLOOKUP(#REF!,Produzione,7,FALSE)</f>
        <v/>
      </c>
      <c r="L619" s="120" t="n"/>
      <c r="M619" s="120" t="n"/>
      <c r="N619" s="118" t="n"/>
      <c r="O619" s="121" t="n"/>
      <c r="P619" s="121" t="n"/>
      <c r="Q619" s="166">
        <f>TODAY()</f>
        <v/>
      </c>
      <c r="R619" s="165">
        <f>ElencoProdotti[[#This Row],[PRODUZIONE]]+20</f>
        <v/>
      </c>
      <c r="S619" s="165">
        <f>TODAY()</f>
        <v/>
      </c>
      <c r="T619" s="133">
        <f>CONCATENATE(A619," - contiene allergni - prodotto il giorno ",TEXT(Q619,"gg/mm/aaaa"),"")</f>
        <v/>
      </c>
    </row>
    <row r="620" ht="15" customHeight="1" s="155">
      <c r="A620" s="134">
        <f>ric!B620</f>
        <v/>
      </c>
      <c r="B620" s="118">
        <f>ric!C620</f>
        <v/>
      </c>
      <c r="C620" s="125">
        <f>ric!D620</f>
        <v/>
      </c>
      <c r="D620" s="125" t="n"/>
      <c r="E620" s="125" t="n"/>
      <c r="F620" s="125" t="n"/>
      <c r="G620" s="118">
        <f>CONCATENATE(A620, " ",#REF!, " / ",H620)</f>
        <v/>
      </c>
      <c r="H620" s="118" t="n"/>
      <c r="I620" s="119">
        <f>CONCATENATE(M620," - ",J620," - Lotto N° ",K620,"")</f>
        <v/>
      </c>
      <c r="J620" s="118" t="n"/>
      <c r="K620" s="118">
        <f>VLOOKUP(#REF!,Produzione,7,FALSE)</f>
        <v/>
      </c>
      <c r="L620" s="120" t="n"/>
      <c r="M620" s="120" t="n"/>
      <c r="N620" s="118" t="n"/>
      <c r="O620" s="121" t="n"/>
      <c r="P620" s="121" t="n"/>
      <c r="Q620" s="166">
        <f>TODAY()</f>
        <v/>
      </c>
      <c r="R620" s="165">
        <f>ElencoProdotti[[#This Row],[PRODUZIONE]]+20</f>
        <v/>
      </c>
      <c r="S620" s="165">
        <f>TODAY()</f>
        <v/>
      </c>
      <c r="T620" s="133">
        <f>CONCATENATE(A620," - contiene allergni - prodotto il giorno ",TEXT(Q620,"gg/mm/aaaa"),"")</f>
        <v/>
      </c>
    </row>
    <row r="621" ht="15" customHeight="1" s="155">
      <c r="A621" s="134">
        <f>ric!B621</f>
        <v/>
      </c>
      <c r="B621" s="118">
        <f>ric!C621</f>
        <v/>
      </c>
      <c r="C621" s="125">
        <f>ric!D621</f>
        <v/>
      </c>
      <c r="D621" s="125" t="n"/>
      <c r="E621" s="125" t="n"/>
      <c r="F621" s="125" t="n"/>
      <c r="G621" s="118">
        <f>CONCATENATE(A621, " ",#REF!, " / ",H621)</f>
        <v/>
      </c>
      <c r="H621" s="118" t="n"/>
      <c r="I621" s="119">
        <f>CONCATENATE(M621," - ",J621," - Lotto N° ",K621,"")</f>
        <v/>
      </c>
      <c r="J621" s="118" t="n"/>
      <c r="K621" s="118">
        <f>VLOOKUP(#REF!,Produzione,7,FALSE)</f>
        <v/>
      </c>
      <c r="L621" s="120" t="n"/>
      <c r="M621" s="120" t="n"/>
      <c r="N621" s="118" t="n"/>
      <c r="O621" s="121" t="n"/>
      <c r="P621" s="121" t="n"/>
      <c r="Q621" s="166">
        <f>TODAY()</f>
        <v/>
      </c>
      <c r="R621" s="165">
        <f>ElencoProdotti[[#This Row],[PRODUZIONE]]+20</f>
        <v/>
      </c>
      <c r="S621" s="165">
        <f>TODAY()</f>
        <v/>
      </c>
      <c r="T621" s="133">
        <f>CONCATENATE(A621," - contiene allergni - prodotto il giorno ",TEXT(Q621,"gg/mm/aaaa"),"")</f>
        <v/>
      </c>
    </row>
    <row r="622" ht="15" customHeight="1" s="155">
      <c r="A622" s="134">
        <f>ric!B622</f>
        <v/>
      </c>
      <c r="B622" s="118">
        <f>ric!C622</f>
        <v/>
      </c>
      <c r="C622" s="125">
        <f>ric!D622</f>
        <v/>
      </c>
      <c r="D622" s="125" t="n"/>
      <c r="E622" s="125" t="n"/>
      <c r="F622" s="125" t="n"/>
      <c r="G622" s="118">
        <f>CONCATENATE(A622, " ",#REF!, " / ",H622)</f>
        <v/>
      </c>
      <c r="H622" s="118" t="n"/>
      <c r="I622" s="119">
        <f>CONCATENATE(M622," - ",J622," - Lotto N° ",K622,"")</f>
        <v/>
      </c>
      <c r="J622" s="118" t="n"/>
      <c r="K622" s="118">
        <f>VLOOKUP(#REF!,Produzione,7,FALSE)</f>
        <v/>
      </c>
      <c r="L622" s="120" t="n"/>
      <c r="M622" s="120" t="n"/>
      <c r="N622" s="118" t="n"/>
      <c r="O622" s="121" t="n"/>
      <c r="P622" s="121" t="n"/>
      <c r="Q622" s="166">
        <f>TODAY()</f>
        <v/>
      </c>
      <c r="R622" s="165">
        <f>ElencoProdotti[[#This Row],[PRODUZIONE]]+20</f>
        <v/>
      </c>
      <c r="S622" s="165">
        <f>TODAY()</f>
        <v/>
      </c>
      <c r="T622" s="133">
        <f>CONCATENATE(A622," - contiene allergni - prodotto il giorno ",TEXT(Q622,"gg/mm/aaaa"),"")</f>
        <v/>
      </c>
    </row>
    <row r="623" ht="15" customHeight="1" s="155">
      <c r="A623" s="134">
        <f>ric!B623</f>
        <v/>
      </c>
      <c r="B623" s="118">
        <f>ric!C623</f>
        <v/>
      </c>
      <c r="C623" s="125">
        <f>ric!D623</f>
        <v/>
      </c>
      <c r="D623" s="125" t="n"/>
      <c r="E623" s="125" t="n"/>
      <c r="F623" s="125" t="n"/>
      <c r="G623" s="118">
        <f>CONCATENATE(A623, " ",#REF!, " / ",H623)</f>
        <v/>
      </c>
      <c r="H623" s="118" t="n"/>
      <c r="I623" s="119">
        <f>CONCATENATE(M623," - ",J623," - Lotto N° ",K623,"")</f>
        <v/>
      </c>
      <c r="J623" s="118" t="n"/>
      <c r="K623" s="118">
        <f>VLOOKUP(#REF!,Produzione,7,FALSE)</f>
        <v/>
      </c>
      <c r="L623" s="120" t="n"/>
      <c r="M623" s="120" t="n"/>
      <c r="N623" s="118" t="n"/>
      <c r="O623" s="121" t="n"/>
      <c r="P623" s="121" t="n"/>
      <c r="Q623" s="166">
        <f>TODAY()</f>
        <v/>
      </c>
      <c r="R623" s="165">
        <f>ElencoProdotti[[#This Row],[PRODUZIONE]]+20</f>
        <v/>
      </c>
      <c r="S623" s="165">
        <f>TODAY()</f>
        <v/>
      </c>
      <c r="T623" s="133">
        <f>CONCATENATE(A623," - contiene allergni - prodotto il giorno ",TEXT(Q623,"gg/mm/aaaa"),"")</f>
        <v/>
      </c>
    </row>
    <row r="624" ht="15" customHeight="1" s="155">
      <c r="A624" s="134">
        <f>ric!B624</f>
        <v/>
      </c>
      <c r="B624" s="118">
        <f>ric!C624</f>
        <v/>
      </c>
      <c r="C624" s="125">
        <f>ric!D624</f>
        <v/>
      </c>
      <c r="D624" s="125" t="n"/>
      <c r="E624" s="125" t="n"/>
      <c r="F624" s="125" t="n"/>
      <c r="G624" s="118">
        <f>CONCATENATE(A624, " ",#REF!, " / ",H624)</f>
        <v/>
      </c>
      <c r="H624" s="118" t="n"/>
      <c r="I624" s="119">
        <f>CONCATENATE(M624," - ",J624," - Lotto N° ",K624,"")</f>
        <v/>
      </c>
      <c r="J624" s="118" t="n"/>
      <c r="K624" s="118">
        <f>VLOOKUP(#REF!,Produzione,7,FALSE)</f>
        <v/>
      </c>
      <c r="L624" s="120" t="n"/>
      <c r="M624" s="120" t="n"/>
      <c r="N624" s="118" t="n"/>
      <c r="O624" s="121" t="n"/>
      <c r="P624" s="121" t="n"/>
      <c r="Q624" s="166">
        <f>TODAY()</f>
        <v/>
      </c>
      <c r="R624" s="165">
        <f>ElencoProdotti[[#This Row],[PRODUZIONE]]+20</f>
        <v/>
      </c>
      <c r="S624" s="165">
        <f>TODAY()</f>
        <v/>
      </c>
      <c r="T624" s="133">
        <f>CONCATENATE(A624," - contiene allergni - prodotto il giorno ",TEXT(Q624,"gg/mm/aaaa"),"")</f>
        <v/>
      </c>
    </row>
    <row r="625" ht="15" customHeight="1" s="155">
      <c r="A625" s="134">
        <f>ric!B625</f>
        <v/>
      </c>
      <c r="B625" s="118">
        <f>ric!C625</f>
        <v/>
      </c>
      <c r="C625" s="125">
        <f>ric!D625</f>
        <v/>
      </c>
      <c r="D625" s="125" t="n"/>
      <c r="E625" s="125" t="n"/>
      <c r="F625" s="125" t="n"/>
      <c r="G625" s="118">
        <f>CONCATENATE(A625, " ",#REF!, " / ",H625)</f>
        <v/>
      </c>
      <c r="H625" s="118" t="n"/>
      <c r="I625" s="119">
        <f>CONCATENATE(M625," - ",J625," - Lotto N° ",K625,"")</f>
        <v/>
      </c>
      <c r="J625" s="118" t="n"/>
      <c r="K625" s="118">
        <f>VLOOKUP(#REF!,Produzione,7,FALSE)</f>
        <v/>
      </c>
      <c r="L625" s="120" t="n"/>
      <c r="M625" s="120" t="n"/>
      <c r="N625" s="118" t="n"/>
      <c r="O625" s="121" t="n"/>
      <c r="P625" s="121" t="n"/>
      <c r="Q625" s="166">
        <f>TODAY()</f>
        <v/>
      </c>
      <c r="R625" s="165">
        <f>ElencoProdotti[[#This Row],[PRODUZIONE]]+20</f>
        <v/>
      </c>
      <c r="S625" s="165">
        <f>TODAY()</f>
        <v/>
      </c>
      <c r="T625" s="133">
        <f>CONCATENATE(A625," - contiene allergni - prodotto il giorno ",TEXT(Q625,"gg/mm/aaaa"),"")</f>
        <v/>
      </c>
    </row>
    <row r="626" ht="15" customHeight="1" s="155">
      <c r="A626" s="134">
        <f>ric!B626</f>
        <v/>
      </c>
      <c r="B626" s="118">
        <f>ric!C626</f>
        <v/>
      </c>
      <c r="C626" s="125">
        <f>ric!D626</f>
        <v/>
      </c>
      <c r="D626" s="125" t="n"/>
      <c r="E626" s="125" t="n"/>
      <c r="F626" s="125" t="n"/>
      <c r="G626" s="118">
        <f>CONCATENATE(A626, " ",#REF!, " / ",H626)</f>
        <v/>
      </c>
      <c r="H626" s="118" t="n"/>
      <c r="I626" s="119">
        <f>CONCATENATE(M626," - ",J626," - Lotto N° ",K626,"")</f>
        <v/>
      </c>
      <c r="J626" s="118" t="n"/>
      <c r="K626" s="118">
        <f>VLOOKUP(#REF!,Produzione,7,FALSE)</f>
        <v/>
      </c>
      <c r="L626" s="120" t="n"/>
      <c r="M626" s="120" t="n"/>
      <c r="N626" s="118" t="n"/>
      <c r="O626" s="121" t="n"/>
      <c r="P626" s="121" t="n"/>
      <c r="Q626" s="166">
        <f>TODAY()</f>
        <v/>
      </c>
      <c r="R626" s="165">
        <f>ElencoProdotti[[#This Row],[PRODUZIONE]]+20</f>
        <v/>
      </c>
      <c r="S626" s="165">
        <f>TODAY()</f>
        <v/>
      </c>
      <c r="T626" s="133">
        <f>CONCATENATE(A626," - contiene allergni - prodotto il giorno ",TEXT(Q626,"gg/mm/aaaa"),"")</f>
        <v/>
      </c>
    </row>
    <row r="627" ht="15" customHeight="1" s="155">
      <c r="A627" s="134">
        <f>ric!B627</f>
        <v/>
      </c>
      <c r="B627" s="118">
        <f>ric!C627</f>
        <v/>
      </c>
      <c r="C627" s="125">
        <f>ric!D627</f>
        <v/>
      </c>
      <c r="D627" s="125" t="n"/>
      <c r="E627" s="125" t="n"/>
      <c r="F627" s="125" t="n"/>
      <c r="G627" s="118">
        <f>CONCATENATE(A627, " ",#REF!, " / ",H627)</f>
        <v/>
      </c>
      <c r="H627" s="118" t="n"/>
      <c r="I627" s="119">
        <f>CONCATENATE(M627," - ",J627," - Lotto N° ",K627,"")</f>
        <v/>
      </c>
      <c r="J627" s="118" t="n"/>
      <c r="K627" s="118">
        <f>VLOOKUP(#REF!,Produzione,7,FALSE)</f>
        <v/>
      </c>
      <c r="L627" s="120" t="n"/>
      <c r="M627" s="120" t="n"/>
      <c r="N627" s="118" t="n"/>
      <c r="O627" s="121" t="n"/>
      <c r="P627" s="121" t="n"/>
      <c r="Q627" s="166">
        <f>TODAY()</f>
        <v/>
      </c>
      <c r="R627" s="165">
        <f>ElencoProdotti[[#This Row],[PRODUZIONE]]+20</f>
        <v/>
      </c>
      <c r="S627" s="165">
        <f>TODAY()</f>
        <v/>
      </c>
      <c r="T627" s="133">
        <f>CONCATENATE(A627," - contiene allergni - prodotto il giorno ",TEXT(Q627,"gg/mm/aaaa"),"")</f>
        <v/>
      </c>
    </row>
    <row r="628" ht="15" customHeight="1" s="155">
      <c r="A628" s="134">
        <f>ric!B628</f>
        <v/>
      </c>
      <c r="B628" s="118">
        <f>ric!C628</f>
        <v/>
      </c>
      <c r="C628" s="125">
        <f>ric!D628</f>
        <v/>
      </c>
      <c r="D628" s="125" t="n"/>
      <c r="E628" s="125" t="n"/>
      <c r="F628" s="125" t="n"/>
      <c r="G628" s="118">
        <f>CONCATENATE(A628, " ",#REF!, " / ",H628)</f>
        <v/>
      </c>
      <c r="H628" s="118" t="n"/>
      <c r="I628" s="119">
        <f>CONCATENATE(M628," - ",J628," - Lotto N° ",K628,"")</f>
        <v/>
      </c>
      <c r="J628" s="118" t="n"/>
      <c r="K628" s="118">
        <f>VLOOKUP(#REF!,Produzione,7,FALSE)</f>
        <v/>
      </c>
      <c r="L628" s="120" t="n"/>
      <c r="M628" s="120" t="n"/>
      <c r="N628" s="118" t="n"/>
      <c r="O628" s="121" t="n"/>
      <c r="P628" s="121" t="n"/>
      <c r="Q628" s="166">
        <f>TODAY()</f>
        <v/>
      </c>
      <c r="R628" s="165">
        <f>ElencoProdotti[[#This Row],[PRODUZIONE]]+20</f>
        <v/>
      </c>
      <c r="S628" s="165">
        <f>TODAY()</f>
        <v/>
      </c>
      <c r="T628" s="133">
        <f>CONCATENATE(A628," - contiene allergni - prodotto il giorno ",TEXT(Q628,"gg/mm/aaaa"),"")</f>
        <v/>
      </c>
    </row>
    <row r="629" ht="15" customHeight="1" s="155">
      <c r="A629" s="134">
        <f>ric!B629</f>
        <v/>
      </c>
      <c r="B629" s="118">
        <f>ric!C629</f>
        <v/>
      </c>
      <c r="C629" s="125">
        <f>ric!D629</f>
        <v/>
      </c>
      <c r="D629" s="125" t="n"/>
      <c r="E629" s="125" t="n"/>
      <c r="F629" s="125" t="n"/>
      <c r="G629" s="118">
        <f>CONCATENATE(A629, " ",#REF!, " / ",H629)</f>
        <v/>
      </c>
      <c r="H629" s="118" t="n"/>
      <c r="I629" s="119">
        <f>CONCATENATE(M629," - ",J629," - Lotto N° ",K629,"")</f>
        <v/>
      </c>
      <c r="J629" s="118" t="n"/>
      <c r="K629" s="118">
        <f>VLOOKUP(#REF!,Produzione,7,FALSE)</f>
        <v/>
      </c>
      <c r="L629" s="120" t="n"/>
      <c r="M629" s="120" t="n"/>
      <c r="N629" s="118" t="n"/>
      <c r="O629" s="121" t="n"/>
      <c r="P629" s="121" t="n"/>
      <c r="Q629" s="166">
        <f>TODAY()</f>
        <v/>
      </c>
      <c r="R629" s="165">
        <f>ElencoProdotti[[#This Row],[PRODUZIONE]]+20</f>
        <v/>
      </c>
      <c r="S629" s="165">
        <f>TODAY()</f>
        <v/>
      </c>
      <c r="T629" s="133">
        <f>CONCATENATE(A629," - contiene allergni - prodotto il giorno ",TEXT(Q629,"gg/mm/aaaa"),"")</f>
        <v/>
      </c>
    </row>
    <row r="630" ht="15" customHeight="1" s="155">
      <c r="A630" s="134">
        <f>ric!B630</f>
        <v/>
      </c>
      <c r="B630" s="118">
        <f>ric!C630</f>
        <v/>
      </c>
      <c r="C630" s="125">
        <f>ric!D630</f>
        <v/>
      </c>
      <c r="D630" s="125" t="n"/>
      <c r="E630" s="125" t="n"/>
      <c r="F630" s="125" t="n"/>
      <c r="G630" s="118">
        <f>CONCATENATE(A630, " ",#REF!, " / ",H630)</f>
        <v/>
      </c>
      <c r="H630" s="118" t="n"/>
      <c r="I630" s="119">
        <f>CONCATENATE(M630," - ",J630," - Lotto N° ",K630,"")</f>
        <v/>
      </c>
      <c r="J630" s="118" t="n"/>
      <c r="K630" s="118">
        <f>VLOOKUP(#REF!,Produzione,7,FALSE)</f>
        <v/>
      </c>
      <c r="L630" s="120" t="n"/>
      <c r="M630" s="120" t="n"/>
      <c r="N630" s="118" t="n"/>
      <c r="O630" s="121" t="n"/>
      <c r="P630" s="121" t="n"/>
      <c r="Q630" s="166">
        <f>TODAY()</f>
        <v/>
      </c>
      <c r="R630" s="165">
        <f>ElencoProdotti[[#This Row],[PRODUZIONE]]+20</f>
        <v/>
      </c>
      <c r="S630" s="165">
        <f>TODAY()</f>
        <v/>
      </c>
      <c r="T630" s="133">
        <f>CONCATENATE(A630," - contiene allergni - prodotto il giorno ",TEXT(Q630,"gg/mm/aaaa"),"")</f>
        <v/>
      </c>
    </row>
    <row r="631" ht="15" customHeight="1" s="155">
      <c r="A631" s="134">
        <f>ric!B631</f>
        <v/>
      </c>
      <c r="B631" s="118">
        <f>ric!C631</f>
        <v/>
      </c>
      <c r="C631" s="125">
        <f>ric!D631</f>
        <v/>
      </c>
      <c r="D631" s="125" t="n"/>
      <c r="E631" s="125" t="n"/>
      <c r="F631" s="125" t="n"/>
      <c r="G631" s="118">
        <f>CONCATENATE(A631, " ",#REF!, " / ",H631)</f>
        <v/>
      </c>
      <c r="H631" s="118" t="n"/>
      <c r="I631" s="119">
        <f>CONCATENATE(M631," - ",J631," - Lotto N° ",K631,"")</f>
        <v/>
      </c>
      <c r="J631" s="118" t="n"/>
      <c r="K631" s="118">
        <f>VLOOKUP(#REF!,Produzione,7,FALSE)</f>
        <v/>
      </c>
      <c r="L631" s="120" t="n"/>
      <c r="M631" s="120" t="n"/>
      <c r="N631" s="118" t="n"/>
      <c r="O631" s="121" t="n"/>
      <c r="P631" s="121" t="n"/>
      <c r="Q631" s="166">
        <f>TODAY()</f>
        <v/>
      </c>
      <c r="R631" s="165">
        <f>ElencoProdotti[[#This Row],[PRODUZIONE]]+20</f>
        <v/>
      </c>
      <c r="S631" s="165">
        <f>TODAY()</f>
        <v/>
      </c>
      <c r="T631" s="133">
        <f>CONCATENATE(A631," - contiene allergni - prodotto il giorno ",TEXT(Q631,"gg/mm/aaaa"),"")</f>
        <v/>
      </c>
    </row>
    <row r="632" ht="15" customHeight="1" s="155">
      <c r="A632" s="134">
        <f>ric!B632</f>
        <v/>
      </c>
      <c r="B632" s="118">
        <f>ric!C632</f>
        <v/>
      </c>
      <c r="C632" s="125">
        <f>ric!D632</f>
        <v/>
      </c>
      <c r="D632" s="125" t="n"/>
      <c r="E632" s="125" t="n"/>
      <c r="F632" s="125" t="n"/>
      <c r="G632" s="118">
        <f>CONCATENATE(A632, " ",#REF!, " / ",H632)</f>
        <v/>
      </c>
      <c r="H632" s="118" t="n"/>
      <c r="I632" s="119">
        <f>CONCATENATE(M632," - ",J632," - Lotto N° ",K632,"")</f>
        <v/>
      </c>
      <c r="J632" s="118" t="n"/>
      <c r="K632" s="118">
        <f>VLOOKUP(#REF!,Produzione,7,FALSE)</f>
        <v/>
      </c>
      <c r="L632" s="120" t="n"/>
      <c r="M632" s="120" t="n"/>
      <c r="N632" s="118" t="n"/>
      <c r="O632" s="121" t="n"/>
      <c r="P632" s="121" t="n"/>
      <c r="Q632" s="166">
        <f>TODAY()</f>
        <v/>
      </c>
      <c r="R632" s="165">
        <f>ElencoProdotti[[#This Row],[PRODUZIONE]]+20</f>
        <v/>
      </c>
      <c r="S632" s="165">
        <f>TODAY()</f>
        <v/>
      </c>
      <c r="T632" s="133">
        <f>CONCATENATE(A632," - contiene allergni - prodotto il giorno ",TEXT(Q632,"gg/mm/aaaa"),"")</f>
        <v/>
      </c>
    </row>
    <row r="633" ht="15" customHeight="1" s="155">
      <c r="A633" s="134">
        <f>ric!B633</f>
        <v/>
      </c>
      <c r="B633" s="118">
        <f>ric!C633</f>
        <v/>
      </c>
      <c r="C633" s="125">
        <f>ric!D633</f>
        <v/>
      </c>
      <c r="D633" s="125" t="n"/>
      <c r="E633" s="125" t="n"/>
      <c r="F633" s="125" t="n"/>
      <c r="G633" s="118">
        <f>CONCATENATE(A633, " ",#REF!, " / ",H633)</f>
        <v/>
      </c>
      <c r="H633" s="118" t="n"/>
      <c r="I633" s="119">
        <f>CONCATENATE(M633," - ",J633," - Lotto N° ",K633,"")</f>
        <v/>
      </c>
      <c r="J633" s="118" t="n"/>
      <c r="K633" s="118">
        <f>VLOOKUP(#REF!,Produzione,7,FALSE)</f>
        <v/>
      </c>
      <c r="L633" s="120" t="n"/>
      <c r="M633" s="120" t="n"/>
      <c r="N633" s="118" t="n"/>
      <c r="O633" s="121" t="n"/>
      <c r="P633" s="121" t="n"/>
      <c r="Q633" s="166">
        <f>TODAY()</f>
        <v/>
      </c>
      <c r="R633" s="165">
        <f>ElencoProdotti[[#This Row],[PRODUZIONE]]+20</f>
        <v/>
      </c>
      <c r="S633" s="165">
        <f>TODAY()</f>
        <v/>
      </c>
      <c r="T633" s="133">
        <f>CONCATENATE(A633," - contiene allergni - prodotto il giorno ",TEXT(Q633,"gg/mm/aaaa"),"")</f>
        <v/>
      </c>
    </row>
    <row r="634" ht="15" customHeight="1" s="155">
      <c r="A634" s="134">
        <f>ric!B634</f>
        <v/>
      </c>
      <c r="B634" s="118">
        <f>ric!C634</f>
        <v/>
      </c>
      <c r="C634" s="125">
        <f>ric!D634</f>
        <v/>
      </c>
      <c r="D634" s="125" t="n"/>
      <c r="E634" s="125" t="n"/>
      <c r="F634" s="125" t="n"/>
      <c r="G634" s="118">
        <f>CONCATENATE(A634, " ",#REF!, " / ",H634)</f>
        <v/>
      </c>
      <c r="H634" s="118" t="n"/>
      <c r="I634" s="119">
        <f>CONCATENATE(M634," - ",J634," - Lotto N° ",K634,"")</f>
        <v/>
      </c>
      <c r="J634" s="118" t="n"/>
      <c r="K634" s="118">
        <f>VLOOKUP(#REF!,Produzione,7,FALSE)</f>
        <v/>
      </c>
      <c r="L634" s="120" t="n"/>
      <c r="M634" s="120" t="n"/>
      <c r="N634" s="118" t="n"/>
      <c r="O634" s="121" t="n"/>
      <c r="P634" s="121" t="n"/>
      <c r="Q634" s="166">
        <f>TODAY()</f>
        <v/>
      </c>
      <c r="R634" s="165">
        <f>ElencoProdotti[[#This Row],[PRODUZIONE]]+20</f>
        <v/>
      </c>
      <c r="S634" s="165">
        <f>TODAY()</f>
        <v/>
      </c>
      <c r="T634" s="133">
        <f>CONCATENATE(A634," - contiene allergni - prodotto il giorno ",TEXT(Q634,"gg/mm/aaaa"),"")</f>
        <v/>
      </c>
    </row>
    <row r="635" ht="15" customHeight="1" s="155">
      <c r="A635" s="134">
        <f>ric!B635</f>
        <v/>
      </c>
      <c r="B635" s="118">
        <f>ric!C635</f>
        <v/>
      </c>
      <c r="C635" s="125">
        <f>ric!D635</f>
        <v/>
      </c>
      <c r="D635" s="125" t="n"/>
      <c r="E635" s="125" t="n"/>
      <c r="F635" s="125" t="n"/>
      <c r="G635" s="118">
        <f>CONCATENATE(A635, " ",#REF!, " / ",H635)</f>
        <v/>
      </c>
      <c r="H635" s="118" t="n"/>
      <c r="I635" s="119">
        <f>CONCATENATE(M635," - ",J635," - Lotto N° ",K635,"")</f>
        <v/>
      </c>
      <c r="J635" s="118" t="n"/>
      <c r="K635" s="118">
        <f>VLOOKUP(#REF!,Produzione,7,FALSE)</f>
        <v/>
      </c>
      <c r="L635" s="120" t="n"/>
      <c r="M635" s="120" t="n"/>
      <c r="N635" s="118" t="n"/>
      <c r="O635" s="121" t="n"/>
      <c r="P635" s="121" t="n"/>
      <c r="Q635" s="166">
        <f>TODAY()</f>
        <v/>
      </c>
      <c r="R635" s="165">
        <f>ElencoProdotti[[#This Row],[PRODUZIONE]]+20</f>
        <v/>
      </c>
      <c r="S635" s="165">
        <f>TODAY()</f>
        <v/>
      </c>
      <c r="T635" s="133">
        <f>CONCATENATE(A635," - contiene allergni - prodotto il giorno ",TEXT(Q635,"gg/mm/aaaa"),"")</f>
        <v/>
      </c>
    </row>
    <row r="636" ht="15" customHeight="1" s="155">
      <c r="A636" s="134">
        <f>ric!B636</f>
        <v/>
      </c>
      <c r="B636" s="118">
        <f>ric!C636</f>
        <v/>
      </c>
      <c r="C636" s="125">
        <f>ric!D636</f>
        <v/>
      </c>
      <c r="D636" s="125" t="n"/>
      <c r="E636" s="125" t="n"/>
      <c r="F636" s="125" t="n"/>
      <c r="G636" s="118">
        <f>CONCATENATE(A636, " ",#REF!, " / ",H636)</f>
        <v/>
      </c>
      <c r="H636" s="118" t="n"/>
      <c r="I636" s="119">
        <f>CONCATENATE(M636," - ",J636," - Lotto N° ",K636,"")</f>
        <v/>
      </c>
      <c r="J636" s="118" t="n"/>
      <c r="K636" s="118">
        <f>VLOOKUP(#REF!,Produzione,7,FALSE)</f>
        <v/>
      </c>
      <c r="L636" s="120" t="n"/>
      <c r="M636" s="120" t="n"/>
      <c r="N636" s="118" t="n"/>
      <c r="O636" s="121" t="n"/>
      <c r="P636" s="121" t="n"/>
      <c r="Q636" s="166">
        <f>TODAY()</f>
        <v/>
      </c>
      <c r="R636" s="165">
        <f>ElencoProdotti[[#This Row],[PRODUZIONE]]+20</f>
        <v/>
      </c>
      <c r="S636" s="165">
        <f>TODAY()</f>
        <v/>
      </c>
      <c r="T636" s="133">
        <f>CONCATENATE(A636," - contiene allergni - prodotto il giorno ",TEXT(Q636,"gg/mm/aaaa"),"")</f>
        <v/>
      </c>
    </row>
    <row r="637" ht="15" customHeight="1" s="155">
      <c r="A637" s="134">
        <f>ric!B637</f>
        <v/>
      </c>
      <c r="B637" s="118">
        <f>ric!C637</f>
        <v/>
      </c>
      <c r="C637" s="125">
        <f>ric!D637</f>
        <v/>
      </c>
      <c r="D637" s="125" t="n"/>
      <c r="E637" s="125" t="n"/>
      <c r="F637" s="125" t="n"/>
      <c r="G637" s="118">
        <f>CONCATENATE(A637, " ",#REF!, " / ",H637)</f>
        <v/>
      </c>
      <c r="H637" s="118" t="n"/>
      <c r="I637" s="119">
        <f>CONCATENATE(M637," - ",J637," - Lotto N° ",K637,"")</f>
        <v/>
      </c>
      <c r="J637" s="118" t="n"/>
      <c r="K637" s="118">
        <f>VLOOKUP(#REF!,Produzione,7,FALSE)</f>
        <v/>
      </c>
      <c r="L637" s="120" t="n"/>
      <c r="M637" s="120" t="n"/>
      <c r="N637" s="118" t="n"/>
      <c r="O637" s="121" t="n"/>
      <c r="P637" s="121" t="n"/>
      <c r="Q637" s="166">
        <f>TODAY()</f>
        <v/>
      </c>
      <c r="R637" s="165">
        <f>ElencoProdotti[[#This Row],[PRODUZIONE]]+20</f>
        <v/>
      </c>
      <c r="S637" s="165">
        <f>TODAY()</f>
        <v/>
      </c>
      <c r="T637" s="133">
        <f>CONCATENATE(A637," - contiene allergni - prodotto il giorno ",TEXT(Q637,"gg/mm/aaaa"),"")</f>
        <v/>
      </c>
    </row>
    <row r="638" ht="15" customHeight="1" s="155">
      <c r="A638" s="134">
        <f>ric!B638</f>
        <v/>
      </c>
      <c r="B638" s="118">
        <f>ric!C638</f>
        <v/>
      </c>
      <c r="C638" s="125">
        <f>ric!D638</f>
        <v/>
      </c>
      <c r="D638" s="125" t="n"/>
      <c r="E638" s="125" t="n"/>
      <c r="F638" s="125" t="n"/>
      <c r="G638" s="118">
        <f>CONCATENATE(A638, " ",#REF!, " / ",H638)</f>
        <v/>
      </c>
      <c r="H638" s="118" t="n"/>
      <c r="I638" s="119">
        <f>CONCATENATE(M638," - ",J638," - Lotto N° ",K638,"")</f>
        <v/>
      </c>
      <c r="J638" s="118" t="n"/>
      <c r="K638" s="118">
        <f>VLOOKUP(#REF!,Produzione,7,FALSE)</f>
        <v/>
      </c>
      <c r="L638" s="120" t="n"/>
      <c r="M638" s="120" t="n"/>
      <c r="N638" s="118" t="n"/>
      <c r="O638" s="121" t="n"/>
      <c r="P638" s="121" t="n"/>
      <c r="Q638" s="166">
        <f>TODAY()</f>
        <v/>
      </c>
      <c r="R638" s="165">
        <f>ElencoProdotti[[#This Row],[PRODUZIONE]]+20</f>
        <v/>
      </c>
      <c r="S638" s="165">
        <f>TODAY()</f>
        <v/>
      </c>
      <c r="T638" s="133">
        <f>CONCATENATE(A638," - contiene allergni - prodotto il giorno ",TEXT(Q638,"gg/mm/aaaa"),"")</f>
        <v/>
      </c>
    </row>
    <row r="639" ht="15" customHeight="1" s="155">
      <c r="A639" s="134">
        <f>ric!B639</f>
        <v/>
      </c>
      <c r="B639" s="118">
        <f>ric!C639</f>
        <v/>
      </c>
      <c r="C639" s="125">
        <f>ric!D639</f>
        <v/>
      </c>
      <c r="D639" s="125" t="n"/>
      <c r="E639" s="125" t="n"/>
      <c r="F639" s="125" t="n"/>
      <c r="G639" s="118">
        <f>CONCATENATE(A639, " ",#REF!, " / ",H639)</f>
        <v/>
      </c>
      <c r="H639" s="118" t="n"/>
      <c r="I639" s="119">
        <f>CONCATENATE(M639," - ",J639," - Lotto N° ",K639,"")</f>
        <v/>
      </c>
      <c r="J639" s="118" t="n"/>
      <c r="K639" s="118">
        <f>VLOOKUP(#REF!,Produzione,7,FALSE)</f>
        <v/>
      </c>
      <c r="L639" s="120" t="n"/>
      <c r="M639" s="120" t="n"/>
      <c r="N639" s="118" t="n"/>
      <c r="O639" s="121" t="n"/>
      <c r="P639" s="121" t="n"/>
      <c r="Q639" s="166">
        <f>TODAY()</f>
        <v/>
      </c>
      <c r="R639" s="165">
        <f>ElencoProdotti[[#This Row],[PRODUZIONE]]+20</f>
        <v/>
      </c>
      <c r="S639" s="165">
        <f>TODAY()</f>
        <v/>
      </c>
      <c r="T639" s="133">
        <f>CONCATENATE(A639," - contiene allergni - prodotto il giorno ",TEXT(Q639,"gg/mm/aaaa"),"")</f>
        <v/>
      </c>
    </row>
    <row r="640" ht="15" customHeight="1" s="155">
      <c r="A640" s="134">
        <f>ric!B640</f>
        <v/>
      </c>
      <c r="B640" s="118">
        <f>ric!C640</f>
        <v/>
      </c>
      <c r="C640" s="125">
        <f>ric!D640</f>
        <v/>
      </c>
      <c r="D640" s="125" t="n"/>
      <c r="E640" s="125" t="n"/>
      <c r="F640" s="125" t="n"/>
      <c r="G640" s="118">
        <f>CONCATENATE(A640, " ",#REF!, " / ",H640)</f>
        <v/>
      </c>
      <c r="H640" s="118" t="n"/>
      <c r="I640" s="119">
        <f>CONCATENATE(M640," - ",J640," - Lotto N° ",K640,"")</f>
        <v/>
      </c>
      <c r="J640" s="118" t="n"/>
      <c r="K640" s="118">
        <f>VLOOKUP(#REF!,Produzione,7,FALSE)</f>
        <v/>
      </c>
      <c r="L640" s="120" t="n"/>
      <c r="M640" s="120" t="n"/>
      <c r="N640" s="118" t="n"/>
      <c r="O640" s="121" t="n"/>
      <c r="P640" s="121" t="n"/>
      <c r="Q640" s="166">
        <f>TODAY()</f>
        <v/>
      </c>
      <c r="R640" s="165">
        <f>ElencoProdotti[[#This Row],[PRODUZIONE]]+20</f>
        <v/>
      </c>
      <c r="S640" s="165">
        <f>TODAY()</f>
        <v/>
      </c>
      <c r="T640" s="133">
        <f>CONCATENATE(A640," - contiene allergni - prodotto il giorno ",TEXT(Q640,"gg/mm/aaaa"),"")</f>
        <v/>
      </c>
    </row>
    <row r="641" ht="15" customHeight="1" s="155">
      <c r="A641" s="134">
        <f>ric!B641</f>
        <v/>
      </c>
      <c r="B641" s="118">
        <f>ric!C641</f>
        <v/>
      </c>
      <c r="C641" s="125">
        <f>ric!D641</f>
        <v/>
      </c>
      <c r="D641" s="125" t="n"/>
      <c r="E641" s="125" t="n"/>
      <c r="F641" s="125" t="n"/>
      <c r="G641" s="118">
        <f>CONCATENATE(A641, " ",#REF!, " / ",H641)</f>
        <v/>
      </c>
      <c r="H641" s="118" t="n"/>
      <c r="I641" s="119">
        <f>CONCATENATE(M641," - ",J641," - Lotto N° ",K641,"")</f>
        <v/>
      </c>
      <c r="J641" s="118" t="n"/>
      <c r="K641" s="118">
        <f>VLOOKUP(#REF!,Produzione,7,FALSE)</f>
        <v/>
      </c>
      <c r="L641" s="120" t="n"/>
      <c r="M641" s="120" t="n"/>
      <c r="N641" s="118" t="n"/>
      <c r="O641" s="121" t="n"/>
      <c r="P641" s="121" t="n"/>
      <c r="Q641" s="166">
        <f>TODAY()</f>
        <v/>
      </c>
      <c r="R641" s="165">
        <f>ElencoProdotti[[#This Row],[PRODUZIONE]]+20</f>
        <v/>
      </c>
      <c r="S641" s="165">
        <f>TODAY()</f>
        <v/>
      </c>
      <c r="T641" s="133">
        <f>CONCATENATE(A641," - contiene allergni - prodotto il giorno ",TEXT(Q641,"gg/mm/aaaa"),"")</f>
        <v/>
      </c>
    </row>
    <row r="642" ht="15" customHeight="1" s="155">
      <c r="A642" s="134">
        <f>ric!B642</f>
        <v/>
      </c>
      <c r="B642" s="118">
        <f>ric!C642</f>
        <v/>
      </c>
      <c r="C642" s="125">
        <f>ric!D642</f>
        <v/>
      </c>
      <c r="D642" s="125" t="n"/>
      <c r="E642" s="125" t="n"/>
      <c r="F642" s="125" t="n"/>
      <c r="G642" s="118">
        <f>CONCATENATE(A642, " ",#REF!, " / ",H642)</f>
        <v/>
      </c>
      <c r="H642" s="118" t="n"/>
      <c r="I642" s="119">
        <f>CONCATENATE(M642," - ",J642," - Lotto N° ",K642,"")</f>
        <v/>
      </c>
      <c r="J642" s="118" t="n"/>
      <c r="K642" s="118">
        <f>VLOOKUP(#REF!,Produzione,7,FALSE)</f>
        <v/>
      </c>
      <c r="L642" s="120" t="n"/>
      <c r="M642" s="120" t="n"/>
      <c r="N642" s="118" t="n"/>
      <c r="O642" s="121" t="n"/>
      <c r="P642" s="121" t="n"/>
      <c r="Q642" s="166">
        <f>TODAY()</f>
        <v/>
      </c>
      <c r="R642" s="165">
        <f>ElencoProdotti[[#This Row],[PRODUZIONE]]+20</f>
        <v/>
      </c>
      <c r="S642" s="165">
        <f>TODAY()</f>
        <v/>
      </c>
      <c r="T642" s="133">
        <f>CONCATENATE(A642," - contiene allergni - prodotto il giorno ",TEXT(Q642,"gg/mm/aaaa"),"")</f>
        <v/>
      </c>
    </row>
    <row r="643" ht="15" customHeight="1" s="155">
      <c r="A643" s="134">
        <f>ric!B643</f>
        <v/>
      </c>
      <c r="B643" s="118">
        <f>ric!C643</f>
        <v/>
      </c>
      <c r="C643" s="125">
        <f>ric!D643</f>
        <v/>
      </c>
      <c r="D643" s="125" t="n"/>
      <c r="E643" s="125" t="n"/>
      <c r="F643" s="125" t="n"/>
      <c r="G643" s="118">
        <f>CONCATENATE(A643, " ",#REF!, " / ",H643)</f>
        <v/>
      </c>
      <c r="H643" s="118" t="n"/>
      <c r="I643" s="119">
        <f>CONCATENATE(M643," - ",J643," - Lotto N° ",K643,"")</f>
        <v/>
      </c>
      <c r="J643" s="118" t="n"/>
      <c r="K643" s="118">
        <f>VLOOKUP(#REF!,Produzione,7,FALSE)</f>
        <v/>
      </c>
      <c r="L643" s="120" t="n"/>
      <c r="M643" s="120" t="n"/>
      <c r="N643" s="118" t="n"/>
      <c r="O643" s="121" t="n"/>
      <c r="P643" s="121" t="n"/>
      <c r="Q643" s="166">
        <f>TODAY()</f>
        <v/>
      </c>
      <c r="R643" s="165">
        <f>ElencoProdotti[[#This Row],[PRODUZIONE]]+20</f>
        <v/>
      </c>
      <c r="S643" s="165">
        <f>TODAY()</f>
        <v/>
      </c>
      <c r="T643" s="133">
        <f>CONCATENATE(A643," - contiene allergni - prodotto il giorno ",TEXT(Q643,"gg/mm/aaaa"),"")</f>
        <v/>
      </c>
    </row>
    <row r="644" ht="15" customHeight="1" s="155">
      <c r="A644" s="134">
        <f>ric!B644</f>
        <v/>
      </c>
      <c r="B644" s="118">
        <f>ric!C644</f>
        <v/>
      </c>
      <c r="C644" s="125">
        <f>ric!D644</f>
        <v/>
      </c>
      <c r="D644" s="125" t="n"/>
      <c r="E644" s="125" t="n"/>
      <c r="F644" s="125" t="n"/>
      <c r="G644" s="118">
        <f>CONCATENATE(A644, " ",#REF!, " / ",H644)</f>
        <v/>
      </c>
      <c r="H644" s="118" t="n"/>
      <c r="I644" s="119">
        <f>CONCATENATE(M644," - ",J644," - Lotto N° ",K644,"")</f>
        <v/>
      </c>
      <c r="J644" s="118" t="n"/>
      <c r="K644" s="118">
        <f>VLOOKUP(#REF!,Produzione,7,FALSE)</f>
        <v/>
      </c>
      <c r="L644" s="120" t="n"/>
      <c r="M644" s="120" t="n"/>
      <c r="N644" s="118" t="n"/>
      <c r="O644" s="121" t="n"/>
      <c r="P644" s="121" t="n"/>
      <c r="Q644" s="166">
        <f>TODAY()</f>
        <v/>
      </c>
      <c r="R644" s="165">
        <f>ElencoProdotti[[#This Row],[PRODUZIONE]]+20</f>
        <v/>
      </c>
      <c r="S644" s="165">
        <f>TODAY()</f>
        <v/>
      </c>
      <c r="T644" s="133">
        <f>CONCATENATE(A644," - contiene allergni - prodotto il giorno ",TEXT(Q644,"gg/mm/aaaa"),"")</f>
        <v/>
      </c>
    </row>
    <row r="645" ht="15" customHeight="1" s="155">
      <c r="A645" s="134">
        <f>ric!B645</f>
        <v/>
      </c>
      <c r="B645" s="118">
        <f>ric!C645</f>
        <v/>
      </c>
      <c r="C645" s="125">
        <f>ric!D645</f>
        <v/>
      </c>
      <c r="D645" s="125" t="n"/>
      <c r="E645" s="125" t="n"/>
      <c r="F645" s="125" t="n"/>
      <c r="G645" s="118">
        <f>CONCATENATE(A645, " ",#REF!, " / ",H645)</f>
        <v/>
      </c>
      <c r="H645" s="118" t="n"/>
      <c r="I645" s="119">
        <f>CONCATENATE(M645," - ",J645," - Lotto N° ",K645,"")</f>
        <v/>
      </c>
      <c r="J645" s="118" t="n"/>
      <c r="K645" s="118">
        <f>VLOOKUP(#REF!,Produzione,7,FALSE)</f>
        <v/>
      </c>
      <c r="L645" s="120" t="n"/>
      <c r="M645" s="120" t="n"/>
      <c r="N645" s="118" t="n"/>
      <c r="O645" s="121" t="n"/>
      <c r="P645" s="121" t="n"/>
      <c r="Q645" s="166">
        <f>TODAY()</f>
        <v/>
      </c>
      <c r="R645" s="165">
        <f>ElencoProdotti[[#This Row],[PRODUZIONE]]+20</f>
        <v/>
      </c>
      <c r="S645" s="165">
        <f>TODAY()</f>
        <v/>
      </c>
      <c r="T645" s="133">
        <f>CONCATENATE(A645," - contiene allergni - prodotto il giorno ",TEXT(Q645,"gg/mm/aaaa"),"")</f>
        <v/>
      </c>
    </row>
    <row r="646" ht="15" customHeight="1" s="155">
      <c r="A646" s="134">
        <f>ric!B646</f>
        <v/>
      </c>
      <c r="B646" s="118">
        <f>ric!C646</f>
        <v/>
      </c>
      <c r="C646" s="125">
        <f>ric!D646</f>
        <v/>
      </c>
      <c r="D646" s="125" t="n"/>
      <c r="E646" s="125" t="n"/>
      <c r="F646" s="125" t="n"/>
      <c r="G646" s="118">
        <f>CONCATENATE(A646, " ",#REF!, " / ",H646)</f>
        <v/>
      </c>
      <c r="H646" s="118" t="n"/>
      <c r="I646" s="119">
        <f>CONCATENATE(M646," - ",J646," - Lotto N° ",K646,"")</f>
        <v/>
      </c>
      <c r="J646" s="118" t="n"/>
      <c r="K646" s="118">
        <f>VLOOKUP(#REF!,Produzione,7,FALSE)</f>
        <v/>
      </c>
      <c r="L646" s="120" t="n"/>
      <c r="M646" s="120" t="n"/>
      <c r="N646" s="118" t="n"/>
      <c r="O646" s="121" t="n"/>
      <c r="P646" s="121" t="n"/>
      <c r="Q646" s="166">
        <f>TODAY()</f>
        <v/>
      </c>
      <c r="R646" s="165">
        <f>ElencoProdotti[[#This Row],[PRODUZIONE]]+20</f>
        <v/>
      </c>
      <c r="S646" s="165">
        <f>TODAY()</f>
        <v/>
      </c>
      <c r="T646" s="133">
        <f>CONCATENATE(A646," - contiene allergni - prodotto il giorno ",TEXT(Q646,"gg/mm/aaaa"),"")</f>
        <v/>
      </c>
    </row>
    <row r="647" ht="15" customHeight="1" s="155">
      <c r="A647" s="134">
        <f>ric!B647</f>
        <v/>
      </c>
      <c r="B647" s="118">
        <f>ric!C647</f>
        <v/>
      </c>
      <c r="C647" s="125">
        <f>ric!D647</f>
        <v/>
      </c>
      <c r="D647" s="125" t="n"/>
      <c r="E647" s="125" t="n"/>
      <c r="F647" s="125" t="n"/>
      <c r="G647" s="118">
        <f>CONCATENATE(A647, " ",#REF!, " / ",H647)</f>
        <v/>
      </c>
      <c r="H647" s="118" t="n"/>
      <c r="I647" s="119">
        <f>CONCATENATE(M647," - ",J647," - Lotto N° ",K647,"")</f>
        <v/>
      </c>
      <c r="J647" s="118" t="n"/>
      <c r="K647" s="118">
        <f>VLOOKUP(#REF!,Produzione,7,FALSE)</f>
        <v/>
      </c>
      <c r="L647" s="120" t="n"/>
      <c r="M647" s="120" t="n"/>
      <c r="N647" s="118" t="n"/>
      <c r="O647" s="121" t="n"/>
      <c r="P647" s="121" t="n"/>
      <c r="Q647" s="166">
        <f>TODAY()</f>
        <v/>
      </c>
      <c r="R647" s="165">
        <f>ElencoProdotti[[#This Row],[PRODUZIONE]]+20</f>
        <v/>
      </c>
      <c r="S647" s="165">
        <f>TODAY()</f>
        <v/>
      </c>
      <c r="T647" s="133">
        <f>CONCATENATE(A647," - contiene allergni - prodotto il giorno ",TEXT(Q647,"gg/mm/aaaa"),"")</f>
        <v/>
      </c>
    </row>
    <row r="648" ht="15" customHeight="1" s="155">
      <c r="A648" s="134">
        <f>ric!B648</f>
        <v/>
      </c>
      <c r="B648" s="118">
        <f>ric!C648</f>
        <v/>
      </c>
      <c r="C648" s="125">
        <f>ric!D648</f>
        <v/>
      </c>
      <c r="D648" s="125" t="n"/>
      <c r="E648" s="125" t="n"/>
      <c r="F648" s="125" t="n"/>
      <c r="G648" s="118">
        <f>CONCATENATE(A648, " ",#REF!, " / ",H648)</f>
        <v/>
      </c>
      <c r="H648" s="118" t="n"/>
      <c r="I648" s="119">
        <f>CONCATENATE(M648," - ",J648," - Lotto N° ",K648,"")</f>
        <v/>
      </c>
      <c r="J648" s="118" t="n"/>
      <c r="K648" s="118">
        <f>VLOOKUP(#REF!,Produzione,7,FALSE)</f>
        <v/>
      </c>
      <c r="L648" s="120" t="n"/>
      <c r="M648" s="120" t="n"/>
      <c r="N648" s="118" t="n"/>
      <c r="O648" s="121" t="n"/>
      <c r="P648" s="121" t="n"/>
      <c r="Q648" s="166">
        <f>TODAY()</f>
        <v/>
      </c>
      <c r="R648" s="165">
        <f>ElencoProdotti[[#This Row],[PRODUZIONE]]+20</f>
        <v/>
      </c>
      <c r="S648" s="165">
        <f>TODAY()</f>
        <v/>
      </c>
      <c r="T648" s="133">
        <f>CONCATENATE(A648," - contiene allergni - prodotto il giorno ",TEXT(Q648,"gg/mm/aaaa"),"")</f>
        <v/>
      </c>
    </row>
    <row r="649" ht="15" customHeight="1" s="155">
      <c r="A649" s="134">
        <f>ric!B649</f>
        <v/>
      </c>
      <c r="B649" s="118">
        <f>ric!C649</f>
        <v/>
      </c>
      <c r="C649" s="125">
        <f>ric!D649</f>
        <v/>
      </c>
      <c r="D649" s="125" t="n"/>
      <c r="E649" s="125" t="n"/>
      <c r="F649" s="125" t="n"/>
      <c r="G649" s="118">
        <f>CONCATENATE(A649, " ",#REF!, " / ",H649)</f>
        <v/>
      </c>
      <c r="H649" s="118" t="n"/>
      <c r="I649" s="119">
        <f>CONCATENATE(M649," - ",J649," - Lotto N° ",K649,"")</f>
        <v/>
      </c>
      <c r="J649" s="118" t="n"/>
      <c r="K649" s="118">
        <f>VLOOKUP(#REF!,Produzione,7,FALSE)</f>
        <v/>
      </c>
      <c r="L649" s="120" t="n"/>
      <c r="M649" s="120" t="n"/>
      <c r="N649" s="118" t="n"/>
      <c r="O649" s="121" t="n"/>
      <c r="P649" s="121" t="n"/>
      <c r="Q649" s="166">
        <f>TODAY()</f>
        <v/>
      </c>
      <c r="R649" s="165">
        <f>ElencoProdotti[[#This Row],[PRODUZIONE]]+20</f>
        <v/>
      </c>
      <c r="S649" s="165">
        <f>TODAY()</f>
        <v/>
      </c>
      <c r="T649" s="133">
        <f>CONCATENATE(A649," - contiene allergni - prodotto il giorno ",TEXT(Q649,"gg/mm/aaaa"),"")</f>
        <v/>
      </c>
    </row>
    <row r="650" ht="15" customHeight="1" s="155">
      <c r="A650" s="134">
        <f>ric!B650</f>
        <v/>
      </c>
      <c r="B650" s="118">
        <f>ric!C650</f>
        <v/>
      </c>
      <c r="C650" s="125">
        <f>ric!D650</f>
        <v/>
      </c>
      <c r="D650" s="125" t="n"/>
      <c r="E650" s="125" t="n"/>
      <c r="F650" s="125" t="n"/>
      <c r="G650" s="118">
        <f>CONCATENATE(A650, " ",#REF!, " / ",H650)</f>
        <v/>
      </c>
      <c r="H650" s="118" t="n"/>
      <c r="I650" s="119">
        <f>CONCATENATE(M650," - ",J650," - Lotto N° ",K650,"")</f>
        <v/>
      </c>
      <c r="J650" s="118" t="n"/>
      <c r="K650" s="118">
        <f>VLOOKUP(#REF!,Produzione,7,FALSE)</f>
        <v/>
      </c>
      <c r="L650" s="120" t="n"/>
      <c r="M650" s="120" t="n"/>
      <c r="N650" s="118" t="n"/>
      <c r="O650" s="121" t="n"/>
      <c r="P650" s="121" t="n"/>
      <c r="Q650" s="166">
        <f>TODAY()</f>
        <v/>
      </c>
      <c r="R650" s="165">
        <f>ElencoProdotti[[#This Row],[PRODUZIONE]]+20</f>
        <v/>
      </c>
      <c r="S650" s="165">
        <f>TODAY()</f>
        <v/>
      </c>
      <c r="T650" s="133">
        <f>CONCATENATE(A650," - contiene allergni - prodotto il giorno ",TEXT(Q650,"gg/mm/aaaa"),"")</f>
        <v/>
      </c>
    </row>
    <row r="651" ht="15" customHeight="1" s="155">
      <c r="A651" s="134">
        <f>ric!B651</f>
        <v/>
      </c>
      <c r="B651" s="118">
        <f>ric!C651</f>
        <v/>
      </c>
      <c r="C651" s="125">
        <f>ric!D651</f>
        <v/>
      </c>
      <c r="D651" s="125" t="n"/>
      <c r="E651" s="125" t="n"/>
      <c r="F651" s="125" t="n"/>
      <c r="G651" s="118">
        <f>CONCATENATE(A651, " ",#REF!, " / ",H651)</f>
        <v/>
      </c>
      <c r="H651" s="118" t="n"/>
      <c r="I651" s="119">
        <f>CONCATENATE(M651," - ",J651," - Lotto N° ",K651,"")</f>
        <v/>
      </c>
      <c r="J651" s="118" t="n"/>
      <c r="K651" s="118">
        <f>VLOOKUP(#REF!,Produzione,7,FALSE)</f>
        <v/>
      </c>
      <c r="L651" s="120" t="n"/>
      <c r="M651" s="120" t="n"/>
      <c r="N651" s="118" t="n"/>
      <c r="O651" s="121" t="n"/>
      <c r="P651" s="121" t="n"/>
      <c r="Q651" s="166">
        <f>TODAY()</f>
        <v/>
      </c>
      <c r="R651" s="165">
        <f>ElencoProdotti[[#This Row],[PRODUZIONE]]+20</f>
        <v/>
      </c>
      <c r="S651" s="165">
        <f>TODAY()</f>
        <v/>
      </c>
      <c r="T651" s="133">
        <f>CONCATENATE(A651," - contiene allergni - prodotto il giorno ",TEXT(Q651,"gg/mm/aaaa"),"")</f>
        <v/>
      </c>
    </row>
    <row r="652" ht="15" customHeight="1" s="155">
      <c r="A652" s="134">
        <f>ric!B652</f>
        <v/>
      </c>
      <c r="B652" s="118">
        <f>ric!C652</f>
        <v/>
      </c>
      <c r="C652" s="125">
        <f>ric!D652</f>
        <v/>
      </c>
      <c r="D652" s="125" t="n"/>
      <c r="E652" s="125" t="n"/>
      <c r="F652" s="125" t="n"/>
      <c r="G652" s="118">
        <f>CONCATENATE(A652, " ",#REF!, " / ",H652)</f>
        <v/>
      </c>
      <c r="H652" s="118" t="n"/>
      <c r="I652" s="119">
        <f>CONCATENATE(M652," - ",J652," - Lotto N° ",K652,"")</f>
        <v/>
      </c>
      <c r="J652" s="118" t="n"/>
      <c r="K652" s="118">
        <f>VLOOKUP(#REF!,Produzione,7,FALSE)</f>
        <v/>
      </c>
      <c r="L652" s="120" t="n"/>
      <c r="M652" s="120" t="n"/>
      <c r="N652" s="118" t="n"/>
      <c r="O652" s="121" t="n"/>
      <c r="P652" s="121" t="n"/>
      <c r="Q652" s="166">
        <f>TODAY()</f>
        <v/>
      </c>
      <c r="R652" s="165">
        <f>ElencoProdotti[[#This Row],[PRODUZIONE]]+20</f>
        <v/>
      </c>
      <c r="S652" s="165">
        <f>TODAY()</f>
        <v/>
      </c>
      <c r="T652" s="133">
        <f>CONCATENATE(A652," - contiene allergni - prodotto il giorno ",TEXT(Q652,"gg/mm/aaaa"),"")</f>
        <v/>
      </c>
    </row>
    <row r="653" ht="15" customHeight="1" s="155">
      <c r="A653" s="134">
        <f>ric!B653</f>
        <v/>
      </c>
      <c r="B653" s="118">
        <f>ric!C653</f>
        <v/>
      </c>
      <c r="C653" s="125">
        <f>ric!D653</f>
        <v/>
      </c>
      <c r="D653" s="125" t="n"/>
      <c r="E653" s="125" t="n"/>
      <c r="F653" s="125" t="n"/>
      <c r="G653" s="118">
        <f>CONCATENATE(A653, " ",#REF!, " / ",H653)</f>
        <v/>
      </c>
      <c r="H653" s="118" t="n"/>
      <c r="I653" s="119">
        <f>CONCATENATE(M653," - ",J653," - Lotto N° ",K653,"")</f>
        <v/>
      </c>
      <c r="J653" s="118" t="n"/>
      <c r="K653" s="118">
        <f>VLOOKUP(#REF!,Produzione,7,FALSE)</f>
        <v/>
      </c>
      <c r="L653" s="120" t="n"/>
      <c r="M653" s="120" t="n"/>
      <c r="N653" s="118" t="n"/>
      <c r="O653" s="121" t="n"/>
      <c r="P653" s="121" t="n"/>
      <c r="Q653" s="166">
        <f>TODAY()</f>
        <v/>
      </c>
      <c r="R653" s="165">
        <f>ElencoProdotti[[#This Row],[PRODUZIONE]]+20</f>
        <v/>
      </c>
      <c r="S653" s="165">
        <f>TODAY()</f>
        <v/>
      </c>
      <c r="T653" s="133">
        <f>CONCATENATE(A653," - contiene allergni - prodotto il giorno ",TEXT(Q653,"gg/mm/aaaa"),"")</f>
        <v/>
      </c>
    </row>
    <row r="654" ht="15" customHeight="1" s="155">
      <c r="A654" s="134">
        <f>ric!B654</f>
        <v/>
      </c>
      <c r="B654" s="118">
        <f>ric!C654</f>
        <v/>
      </c>
      <c r="C654" s="125">
        <f>ric!D654</f>
        <v/>
      </c>
      <c r="D654" s="125" t="n"/>
      <c r="E654" s="125" t="n"/>
      <c r="F654" s="125" t="n"/>
      <c r="G654" s="118">
        <f>CONCATENATE(A654, " ",#REF!, " / ",H654)</f>
        <v/>
      </c>
      <c r="H654" s="118" t="n"/>
      <c r="I654" s="119">
        <f>CONCATENATE(M654," - ",J654," - Lotto N° ",K654,"")</f>
        <v/>
      </c>
      <c r="J654" s="118" t="n"/>
      <c r="K654" s="118">
        <f>VLOOKUP(#REF!,Produzione,7,FALSE)</f>
        <v/>
      </c>
      <c r="L654" s="120" t="n"/>
      <c r="M654" s="120" t="n"/>
      <c r="N654" s="118" t="n"/>
      <c r="O654" s="121" t="n"/>
      <c r="P654" s="121" t="n"/>
      <c r="Q654" s="166">
        <f>TODAY()</f>
        <v/>
      </c>
      <c r="R654" s="165">
        <f>ElencoProdotti[[#This Row],[PRODUZIONE]]+20</f>
        <v/>
      </c>
      <c r="S654" s="165">
        <f>TODAY()</f>
        <v/>
      </c>
      <c r="T654" s="133">
        <f>CONCATENATE(A654," - contiene allergni - prodotto il giorno ",TEXT(Q654,"gg/mm/aaaa"),"")</f>
        <v/>
      </c>
    </row>
    <row r="655" ht="15" customHeight="1" s="155">
      <c r="A655" s="134">
        <f>ric!B655</f>
        <v/>
      </c>
      <c r="B655" s="118">
        <f>ric!C655</f>
        <v/>
      </c>
      <c r="C655" s="125">
        <f>ric!D655</f>
        <v/>
      </c>
      <c r="D655" s="125" t="n"/>
      <c r="E655" s="125" t="n"/>
      <c r="F655" s="125" t="n"/>
      <c r="G655" s="118">
        <f>CONCATENATE(A655, " ",#REF!, " / ",H655)</f>
        <v/>
      </c>
      <c r="H655" s="118" t="n"/>
      <c r="I655" s="119">
        <f>CONCATENATE(M655," - ",J655," - Lotto N° ",K655,"")</f>
        <v/>
      </c>
      <c r="J655" s="118" t="n"/>
      <c r="K655" s="118">
        <f>VLOOKUP(#REF!,Produzione,7,FALSE)</f>
        <v/>
      </c>
      <c r="L655" s="120" t="n"/>
      <c r="M655" s="120" t="n"/>
      <c r="N655" s="118" t="n"/>
      <c r="O655" s="121" t="n"/>
      <c r="P655" s="121" t="n"/>
      <c r="Q655" s="166">
        <f>TODAY()</f>
        <v/>
      </c>
      <c r="R655" s="165">
        <f>ElencoProdotti[[#This Row],[PRODUZIONE]]+20</f>
        <v/>
      </c>
      <c r="S655" s="165">
        <f>TODAY()</f>
        <v/>
      </c>
      <c r="T655" s="133">
        <f>CONCATENATE(A655," - contiene allergni - prodotto il giorno ",TEXT(Q655,"gg/mm/aaaa"),"")</f>
        <v/>
      </c>
    </row>
    <row r="656" ht="15" customHeight="1" s="155">
      <c r="A656" s="134">
        <f>ric!B656</f>
        <v/>
      </c>
      <c r="B656" s="118">
        <f>ric!C656</f>
        <v/>
      </c>
      <c r="C656" s="125">
        <f>ric!D656</f>
        <v/>
      </c>
      <c r="D656" s="125" t="n"/>
      <c r="E656" s="125" t="n"/>
      <c r="F656" s="125" t="n"/>
      <c r="G656" s="118">
        <f>CONCATENATE(A656, " ",#REF!, " / ",H656)</f>
        <v/>
      </c>
      <c r="H656" s="118" t="n"/>
      <c r="I656" s="119">
        <f>CONCATENATE(M656," - ",J656," - Lotto N° ",K656,"")</f>
        <v/>
      </c>
      <c r="J656" s="118" t="n"/>
      <c r="K656" s="118">
        <f>VLOOKUP(#REF!,Produzione,7,FALSE)</f>
        <v/>
      </c>
      <c r="L656" s="120" t="n"/>
      <c r="M656" s="120" t="n"/>
      <c r="N656" s="118" t="n"/>
      <c r="O656" s="121" t="n"/>
      <c r="P656" s="121" t="n"/>
      <c r="Q656" s="166">
        <f>TODAY()</f>
        <v/>
      </c>
      <c r="R656" s="165">
        <f>ElencoProdotti[[#This Row],[PRODUZIONE]]+20</f>
        <v/>
      </c>
      <c r="S656" s="165">
        <f>TODAY()</f>
        <v/>
      </c>
      <c r="T656" s="133">
        <f>CONCATENATE(A656," - contiene allergni - prodotto il giorno ",TEXT(Q656,"gg/mm/aaaa"),"")</f>
        <v/>
      </c>
    </row>
    <row r="657" ht="15" customHeight="1" s="155">
      <c r="A657" s="134">
        <f>ric!B657</f>
        <v/>
      </c>
      <c r="B657" s="118">
        <f>ric!C657</f>
        <v/>
      </c>
      <c r="C657" s="125">
        <f>ric!D657</f>
        <v/>
      </c>
      <c r="D657" s="125" t="n"/>
      <c r="E657" s="125" t="n"/>
      <c r="F657" s="125" t="n"/>
      <c r="G657" s="118">
        <f>CONCATENATE(A657, " ",#REF!, " / ",H657)</f>
        <v/>
      </c>
      <c r="H657" s="118" t="n"/>
      <c r="I657" s="119">
        <f>CONCATENATE(M657," - ",J657," - Lotto N° ",K657,"")</f>
        <v/>
      </c>
      <c r="J657" s="118" t="n"/>
      <c r="K657" s="118">
        <f>VLOOKUP(#REF!,Produzione,7,FALSE)</f>
        <v/>
      </c>
      <c r="L657" s="120" t="n"/>
      <c r="M657" s="120" t="n"/>
      <c r="N657" s="118" t="n"/>
      <c r="O657" s="121" t="n"/>
      <c r="P657" s="121" t="n"/>
      <c r="Q657" s="166">
        <f>TODAY()</f>
        <v/>
      </c>
      <c r="R657" s="165">
        <f>ElencoProdotti[[#This Row],[PRODUZIONE]]+20</f>
        <v/>
      </c>
      <c r="S657" s="165">
        <f>TODAY()</f>
        <v/>
      </c>
      <c r="T657" s="133">
        <f>CONCATENATE(A657," - contiene allergni - prodotto il giorno ",TEXT(Q657,"gg/mm/aaaa"),"")</f>
        <v/>
      </c>
    </row>
    <row r="658" ht="15" customHeight="1" s="155">
      <c r="A658" s="134">
        <f>ric!B658</f>
        <v/>
      </c>
      <c r="B658" s="118">
        <f>ric!C658</f>
        <v/>
      </c>
      <c r="C658" s="125">
        <f>ric!D658</f>
        <v/>
      </c>
      <c r="D658" s="125" t="n"/>
      <c r="E658" s="125" t="n"/>
      <c r="F658" s="125" t="n"/>
      <c r="G658" s="118">
        <f>CONCATENATE(A658, " ",#REF!, " / ",H658)</f>
        <v/>
      </c>
      <c r="H658" s="118" t="n"/>
      <c r="I658" s="119">
        <f>CONCATENATE(M658," - ",J658," - Lotto N° ",K658,"")</f>
        <v/>
      </c>
      <c r="J658" s="118" t="n"/>
      <c r="K658" s="118">
        <f>VLOOKUP(#REF!,Produzione,7,FALSE)</f>
        <v/>
      </c>
      <c r="L658" s="120" t="n"/>
      <c r="M658" s="120" t="n"/>
      <c r="N658" s="118" t="n"/>
      <c r="O658" s="121" t="n"/>
      <c r="P658" s="121" t="n"/>
      <c r="Q658" s="166">
        <f>TODAY()</f>
        <v/>
      </c>
      <c r="R658" s="165">
        <f>ElencoProdotti[[#This Row],[PRODUZIONE]]+20</f>
        <v/>
      </c>
      <c r="S658" s="165">
        <f>TODAY()</f>
        <v/>
      </c>
      <c r="T658" s="133">
        <f>CONCATENATE(A658," - contiene allergni - prodotto il giorno ",TEXT(Q658,"gg/mm/aaaa"),"")</f>
        <v/>
      </c>
    </row>
    <row r="659" ht="15" customHeight="1" s="155">
      <c r="A659" s="134">
        <f>ric!B659</f>
        <v/>
      </c>
      <c r="B659" s="118">
        <f>ric!C659</f>
        <v/>
      </c>
      <c r="C659" s="125">
        <f>ric!D659</f>
        <v/>
      </c>
      <c r="D659" s="125" t="n"/>
      <c r="E659" s="125" t="n"/>
      <c r="F659" s="125" t="n"/>
      <c r="G659" s="118">
        <f>CONCATENATE(A659, " ",#REF!, " / ",H659)</f>
        <v/>
      </c>
      <c r="H659" s="118" t="n"/>
      <c r="I659" s="119">
        <f>CONCATENATE(M659," - ",J659," - Lotto N° ",K659,"")</f>
        <v/>
      </c>
      <c r="J659" s="118" t="n"/>
      <c r="K659" s="118">
        <f>VLOOKUP(#REF!,Produzione,7,FALSE)</f>
        <v/>
      </c>
      <c r="L659" s="120" t="n"/>
      <c r="M659" s="120" t="n"/>
      <c r="N659" s="118" t="n"/>
      <c r="O659" s="121" t="n"/>
      <c r="P659" s="121" t="n"/>
      <c r="Q659" s="166">
        <f>TODAY()</f>
        <v/>
      </c>
      <c r="R659" s="165">
        <f>ElencoProdotti[[#This Row],[PRODUZIONE]]+20</f>
        <v/>
      </c>
      <c r="S659" s="165">
        <f>TODAY()</f>
        <v/>
      </c>
      <c r="T659" s="133">
        <f>CONCATENATE(A659," - contiene allergni - prodotto il giorno ",TEXT(Q659,"gg/mm/aaaa"),"")</f>
        <v/>
      </c>
    </row>
    <row r="660" ht="15" customHeight="1" s="155">
      <c r="A660" s="134">
        <f>ric!B660</f>
        <v/>
      </c>
      <c r="B660" s="118">
        <f>ric!C660</f>
        <v/>
      </c>
      <c r="C660" s="125">
        <f>ric!D660</f>
        <v/>
      </c>
      <c r="D660" s="125" t="n"/>
      <c r="E660" s="125" t="n"/>
      <c r="F660" s="125" t="n"/>
      <c r="G660" s="118">
        <f>CONCATENATE(A660, " ",#REF!, " / ",H660)</f>
        <v/>
      </c>
      <c r="H660" s="118" t="n"/>
      <c r="I660" s="119">
        <f>CONCATENATE(M660," - ",J660," - Lotto N° ",K660,"")</f>
        <v/>
      </c>
      <c r="J660" s="118" t="n"/>
      <c r="K660" s="118">
        <f>VLOOKUP(#REF!,Produzione,7,FALSE)</f>
        <v/>
      </c>
      <c r="L660" s="120" t="n"/>
      <c r="M660" s="120" t="n"/>
      <c r="N660" s="118" t="n"/>
      <c r="O660" s="121" t="n"/>
      <c r="P660" s="121" t="n"/>
      <c r="Q660" s="166">
        <f>TODAY()</f>
        <v/>
      </c>
      <c r="R660" s="165">
        <f>ElencoProdotti[[#This Row],[PRODUZIONE]]+20</f>
        <v/>
      </c>
      <c r="S660" s="165">
        <f>TODAY()</f>
        <v/>
      </c>
      <c r="T660" s="133">
        <f>CONCATENATE(A660," - contiene allergni - prodotto il giorno ",TEXT(Q660,"gg/mm/aaaa"),"")</f>
        <v/>
      </c>
    </row>
    <row r="661" ht="15" customHeight="1" s="155">
      <c r="A661" s="134">
        <f>ric!B661</f>
        <v/>
      </c>
      <c r="B661" s="118">
        <f>ric!C661</f>
        <v/>
      </c>
      <c r="C661" s="125">
        <f>ric!D661</f>
        <v/>
      </c>
      <c r="D661" s="125" t="n"/>
      <c r="E661" s="125" t="n"/>
      <c r="F661" s="125" t="n"/>
      <c r="G661" s="118">
        <f>CONCATENATE(A661, " ",#REF!, " / ",H661)</f>
        <v/>
      </c>
      <c r="H661" s="118" t="n"/>
      <c r="I661" s="119">
        <f>CONCATENATE(M661," - ",J661," - Lotto N° ",K661,"")</f>
        <v/>
      </c>
      <c r="J661" s="118" t="n"/>
      <c r="K661" s="118">
        <f>VLOOKUP(#REF!,Produzione,7,FALSE)</f>
        <v/>
      </c>
      <c r="L661" s="120" t="n"/>
      <c r="M661" s="120" t="n"/>
      <c r="N661" s="118" t="n"/>
      <c r="O661" s="121" t="n"/>
      <c r="P661" s="121" t="n"/>
      <c r="Q661" s="166">
        <f>TODAY()</f>
        <v/>
      </c>
      <c r="R661" s="165">
        <f>ElencoProdotti[[#This Row],[PRODUZIONE]]+20</f>
        <v/>
      </c>
      <c r="S661" s="165">
        <f>TODAY()</f>
        <v/>
      </c>
      <c r="T661" s="133">
        <f>CONCATENATE(A661," - contiene allergni - prodotto il giorno ",TEXT(Q661,"gg/mm/aaaa"),"")</f>
        <v/>
      </c>
    </row>
    <row r="662" ht="15" customHeight="1" s="155">
      <c r="A662" s="134">
        <f>ric!B662</f>
        <v/>
      </c>
      <c r="B662" s="118">
        <f>ric!C662</f>
        <v/>
      </c>
      <c r="C662" s="125">
        <f>ric!D662</f>
        <v/>
      </c>
      <c r="D662" s="125" t="n"/>
      <c r="E662" s="125" t="n"/>
      <c r="F662" s="125" t="n"/>
      <c r="G662" s="118">
        <f>CONCATENATE(A662, " ",#REF!, " / ",H662)</f>
        <v/>
      </c>
      <c r="H662" s="118" t="n"/>
      <c r="I662" s="119">
        <f>CONCATENATE(M662," - ",J662," - Lotto N° ",K662,"")</f>
        <v/>
      </c>
      <c r="J662" s="118" t="n"/>
      <c r="K662" s="118">
        <f>VLOOKUP(#REF!,Produzione,7,FALSE)</f>
        <v/>
      </c>
      <c r="L662" s="120" t="n"/>
      <c r="M662" s="120" t="n"/>
      <c r="N662" s="118" t="n"/>
      <c r="O662" s="121" t="n"/>
      <c r="P662" s="121" t="n"/>
      <c r="Q662" s="166">
        <f>TODAY()</f>
        <v/>
      </c>
      <c r="R662" s="165">
        <f>ElencoProdotti[[#This Row],[PRODUZIONE]]+20</f>
        <v/>
      </c>
      <c r="S662" s="165">
        <f>TODAY()</f>
        <v/>
      </c>
      <c r="T662" s="133">
        <f>CONCATENATE(A662," - contiene allergni - prodotto il giorno ",TEXT(Q662,"gg/mm/aaaa"),"")</f>
        <v/>
      </c>
    </row>
    <row r="663" ht="15" customHeight="1" s="155">
      <c r="A663" s="134">
        <f>ric!B663</f>
        <v/>
      </c>
      <c r="B663" s="118">
        <f>ric!C663</f>
        <v/>
      </c>
      <c r="C663" s="125">
        <f>ric!D663</f>
        <v/>
      </c>
      <c r="D663" s="125" t="n"/>
      <c r="E663" s="125" t="n"/>
      <c r="F663" s="125" t="n"/>
      <c r="G663" s="118">
        <f>CONCATENATE(A663, " ",#REF!, " / ",H663)</f>
        <v/>
      </c>
      <c r="H663" s="118" t="n"/>
      <c r="I663" s="119">
        <f>CONCATENATE(M663," - ",J663," - Lotto N° ",K663,"")</f>
        <v/>
      </c>
      <c r="J663" s="118" t="n"/>
      <c r="K663" s="118">
        <f>VLOOKUP(#REF!,Produzione,7,FALSE)</f>
        <v/>
      </c>
      <c r="L663" s="120" t="n"/>
      <c r="M663" s="120" t="n"/>
      <c r="N663" s="118" t="n"/>
      <c r="O663" s="121" t="n"/>
      <c r="P663" s="121" t="n"/>
      <c r="Q663" s="166">
        <f>TODAY()</f>
        <v/>
      </c>
      <c r="R663" s="165">
        <f>ElencoProdotti[[#This Row],[PRODUZIONE]]+20</f>
        <v/>
      </c>
      <c r="S663" s="165">
        <f>TODAY()</f>
        <v/>
      </c>
      <c r="T663" s="133">
        <f>CONCATENATE(A663," - contiene allergni - prodotto il giorno ",TEXT(Q663,"gg/mm/aaaa"),"")</f>
        <v/>
      </c>
    </row>
    <row r="664" ht="15" customHeight="1" s="155">
      <c r="A664" s="134">
        <f>ric!B664</f>
        <v/>
      </c>
      <c r="B664" s="118">
        <f>ric!C664</f>
        <v/>
      </c>
      <c r="C664" s="125">
        <f>ric!D664</f>
        <v/>
      </c>
      <c r="D664" s="125" t="n"/>
      <c r="E664" s="125" t="n"/>
      <c r="F664" s="125" t="n"/>
      <c r="G664" s="118">
        <f>CONCATENATE(A664, " ",#REF!, " / ",H664)</f>
        <v/>
      </c>
      <c r="H664" s="118" t="n"/>
      <c r="I664" s="119">
        <f>CONCATENATE(M664," - ",J664," - Lotto N° ",K664,"")</f>
        <v/>
      </c>
      <c r="J664" s="118" t="n"/>
      <c r="K664" s="118">
        <f>VLOOKUP(#REF!,Produzione,7,FALSE)</f>
        <v/>
      </c>
      <c r="L664" s="120" t="n"/>
      <c r="M664" s="120" t="n"/>
      <c r="N664" s="118" t="n"/>
      <c r="O664" s="121" t="n"/>
      <c r="P664" s="121" t="n"/>
      <c r="Q664" s="166">
        <f>TODAY()</f>
        <v/>
      </c>
      <c r="R664" s="165">
        <f>ElencoProdotti[[#This Row],[PRODUZIONE]]+20</f>
        <v/>
      </c>
      <c r="S664" s="165">
        <f>TODAY()</f>
        <v/>
      </c>
      <c r="T664" s="133">
        <f>CONCATENATE(A664," - contiene allergni - prodotto il giorno ",TEXT(Q664,"gg/mm/aaaa"),"")</f>
        <v/>
      </c>
    </row>
    <row r="665" ht="15" customHeight="1" s="155">
      <c r="A665" s="134">
        <f>ric!B665</f>
        <v/>
      </c>
      <c r="B665" s="118">
        <f>ric!C665</f>
        <v/>
      </c>
      <c r="C665" s="125">
        <f>ric!D665</f>
        <v/>
      </c>
      <c r="D665" s="125" t="n"/>
      <c r="E665" s="125" t="n"/>
      <c r="F665" s="125" t="n"/>
      <c r="G665" s="118">
        <f>CONCATENATE(A665, " ",#REF!, " / ",H665)</f>
        <v/>
      </c>
      <c r="H665" s="118" t="n"/>
      <c r="I665" s="119">
        <f>CONCATENATE(M665," - ",J665," - Lotto N° ",K665,"")</f>
        <v/>
      </c>
      <c r="J665" s="118" t="n"/>
      <c r="K665" s="118">
        <f>VLOOKUP(#REF!,Produzione,7,FALSE)</f>
        <v/>
      </c>
      <c r="L665" s="120" t="n"/>
      <c r="M665" s="120" t="n"/>
      <c r="N665" s="118" t="n"/>
      <c r="O665" s="121" t="n"/>
      <c r="P665" s="121" t="n"/>
      <c r="Q665" s="166">
        <f>TODAY()</f>
        <v/>
      </c>
      <c r="R665" s="165">
        <f>ElencoProdotti[[#This Row],[PRODUZIONE]]+20</f>
        <v/>
      </c>
      <c r="S665" s="165">
        <f>TODAY()</f>
        <v/>
      </c>
      <c r="T665" s="133">
        <f>CONCATENATE(A665," - contiene allergni - prodotto il giorno ",TEXT(Q665,"gg/mm/aaaa"),"")</f>
        <v/>
      </c>
    </row>
    <row r="666" ht="15" customHeight="1" s="155">
      <c r="A666" s="134">
        <f>ric!B666</f>
        <v/>
      </c>
      <c r="B666" s="118">
        <f>ric!C666</f>
        <v/>
      </c>
      <c r="C666" s="125">
        <f>ric!D666</f>
        <v/>
      </c>
      <c r="D666" s="125" t="n"/>
      <c r="E666" s="125" t="n"/>
      <c r="F666" s="125" t="n"/>
      <c r="G666" s="118">
        <f>CONCATENATE(A666, " ",#REF!, " / ",H666)</f>
        <v/>
      </c>
      <c r="H666" s="118" t="n"/>
      <c r="I666" s="119">
        <f>CONCATENATE(M666," - ",J666," - Lotto N° ",K666,"")</f>
        <v/>
      </c>
      <c r="J666" s="118" t="n"/>
      <c r="K666" s="118">
        <f>VLOOKUP(#REF!,Produzione,7,FALSE)</f>
        <v/>
      </c>
      <c r="L666" s="120" t="n"/>
      <c r="M666" s="120" t="n"/>
      <c r="N666" s="118" t="n"/>
      <c r="O666" s="121" t="n"/>
      <c r="P666" s="121" t="n"/>
      <c r="Q666" s="166">
        <f>TODAY()</f>
        <v/>
      </c>
      <c r="R666" s="165">
        <f>ElencoProdotti[[#This Row],[PRODUZIONE]]+20</f>
        <v/>
      </c>
      <c r="S666" s="165">
        <f>TODAY()</f>
        <v/>
      </c>
      <c r="T666" s="133">
        <f>CONCATENATE(A666," - contiene allergni - prodotto il giorno ",TEXT(Q666,"gg/mm/aaaa"),"")</f>
        <v/>
      </c>
    </row>
    <row r="667" ht="15" customHeight="1" s="155">
      <c r="A667" s="134">
        <f>ric!B667</f>
        <v/>
      </c>
      <c r="B667" s="118">
        <f>ric!C667</f>
        <v/>
      </c>
      <c r="C667" s="125">
        <f>ric!D667</f>
        <v/>
      </c>
      <c r="D667" s="125" t="n"/>
      <c r="E667" s="125" t="n"/>
      <c r="F667" s="125" t="n"/>
      <c r="G667" s="118">
        <f>CONCATENATE(A667, " ",#REF!, " / ",H667)</f>
        <v/>
      </c>
      <c r="H667" s="118" t="n"/>
      <c r="I667" s="119">
        <f>CONCATENATE(M667," - ",J667," - Lotto N° ",K667,"")</f>
        <v/>
      </c>
      <c r="J667" s="118" t="n"/>
      <c r="K667" s="118">
        <f>VLOOKUP(#REF!,Produzione,7,FALSE)</f>
        <v/>
      </c>
      <c r="L667" s="120" t="n"/>
      <c r="M667" s="120" t="n"/>
      <c r="N667" s="118" t="n"/>
      <c r="O667" s="121" t="n"/>
      <c r="P667" s="121" t="n"/>
      <c r="Q667" s="166">
        <f>TODAY()</f>
        <v/>
      </c>
      <c r="R667" s="165">
        <f>ElencoProdotti[[#This Row],[PRODUZIONE]]+20</f>
        <v/>
      </c>
      <c r="S667" s="165">
        <f>TODAY()</f>
        <v/>
      </c>
      <c r="T667" s="133">
        <f>CONCATENATE(A667," - contiene allergni - prodotto il giorno ",TEXT(Q667,"gg/mm/aaaa"),"")</f>
        <v/>
      </c>
    </row>
    <row r="668" ht="15" customHeight="1" s="155">
      <c r="A668" s="134">
        <f>ric!B668</f>
        <v/>
      </c>
      <c r="B668" s="118">
        <f>ric!C668</f>
        <v/>
      </c>
      <c r="C668" s="125">
        <f>ric!D668</f>
        <v/>
      </c>
      <c r="D668" s="125" t="n"/>
      <c r="E668" s="125" t="n"/>
      <c r="F668" s="125" t="n"/>
      <c r="G668" s="118">
        <f>CONCATENATE(A668, " ",#REF!, " / ",H668)</f>
        <v/>
      </c>
      <c r="H668" s="118" t="n"/>
      <c r="I668" s="119">
        <f>CONCATENATE(M668," - ",J668," - Lotto N° ",K668,"")</f>
        <v/>
      </c>
      <c r="J668" s="118" t="n"/>
      <c r="K668" s="118">
        <f>VLOOKUP(#REF!,Produzione,7,FALSE)</f>
        <v/>
      </c>
      <c r="L668" s="120" t="n"/>
      <c r="M668" s="120" t="n"/>
      <c r="N668" s="118" t="n"/>
      <c r="O668" s="121" t="n"/>
      <c r="P668" s="121" t="n"/>
      <c r="Q668" s="166">
        <f>TODAY()</f>
        <v/>
      </c>
      <c r="R668" s="165">
        <f>ElencoProdotti[[#This Row],[PRODUZIONE]]+20</f>
        <v/>
      </c>
      <c r="S668" s="165">
        <f>TODAY()</f>
        <v/>
      </c>
      <c r="T668" s="133">
        <f>CONCATENATE(A668," - contiene allergni - prodotto il giorno ",TEXT(Q668,"gg/mm/aaaa"),"")</f>
        <v/>
      </c>
    </row>
    <row r="669" ht="15" customHeight="1" s="155">
      <c r="A669" s="134">
        <f>ric!B669</f>
        <v/>
      </c>
      <c r="B669" s="118">
        <f>ric!C669</f>
        <v/>
      </c>
      <c r="C669" s="125">
        <f>ric!D669</f>
        <v/>
      </c>
      <c r="D669" s="125" t="n"/>
      <c r="E669" s="125" t="n"/>
      <c r="F669" s="125" t="n"/>
      <c r="G669" s="118">
        <f>CONCATENATE(A669, " ",#REF!, " / ",H669)</f>
        <v/>
      </c>
      <c r="H669" s="118" t="n"/>
      <c r="I669" s="119">
        <f>CONCATENATE(M669," - ",J669," - Lotto N° ",K669,"")</f>
        <v/>
      </c>
      <c r="J669" s="118" t="n"/>
      <c r="K669" s="118">
        <f>VLOOKUP(#REF!,Produzione,7,FALSE)</f>
        <v/>
      </c>
      <c r="L669" s="120" t="n"/>
      <c r="M669" s="120" t="n"/>
      <c r="N669" s="118" t="n"/>
      <c r="O669" s="121" t="n"/>
      <c r="P669" s="121" t="n"/>
      <c r="Q669" s="166">
        <f>TODAY()</f>
        <v/>
      </c>
      <c r="R669" s="165">
        <f>ElencoProdotti[[#This Row],[PRODUZIONE]]+20</f>
        <v/>
      </c>
      <c r="S669" s="165">
        <f>TODAY()</f>
        <v/>
      </c>
      <c r="T669" s="133">
        <f>CONCATENATE(A669," - contiene allergni - prodotto il giorno ",TEXT(Q669,"gg/mm/aaaa"),"")</f>
        <v/>
      </c>
    </row>
    <row r="670" ht="15" customHeight="1" s="155">
      <c r="A670" s="134">
        <f>ric!B670</f>
        <v/>
      </c>
      <c r="B670" s="118">
        <f>ric!C670</f>
        <v/>
      </c>
      <c r="C670" s="125">
        <f>ric!D670</f>
        <v/>
      </c>
      <c r="D670" s="125" t="n"/>
      <c r="E670" s="125" t="n"/>
      <c r="F670" s="125" t="n"/>
      <c r="G670" s="118">
        <f>CONCATENATE(A670, " ",#REF!, " / ",H670)</f>
        <v/>
      </c>
      <c r="H670" s="118" t="n"/>
      <c r="I670" s="119">
        <f>CONCATENATE(M670," - ",J670," - Lotto N° ",K670,"")</f>
        <v/>
      </c>
      <c r="J670" s="118" t="n"/>
      <c r="K670" s="118">
        <f>VLOOKUP(#REF!,Produzione,7,FALSE)</f>
        <v/>
      </c>
      <c r="L670" s="120" t="n"/>
      <c r="M670" s="120" t="n"/>
      <c r="N670" s="118" t="n"/>
      <c r="O670" s="121" t="n"/>
      <c r="P670" s="121" t="n"/>
      <c r="Q670" s="166">
        <f>TODAY()</f>
        <v/>
      </c>
      <c r="R670" s="165">
        <f>ElencoProdotti[[#This Row],[PRODUZIONE]]+20</f>
        <v/>
      </c>
      <c r="S670" s="165">
        <f>TODAY()</f>
        <v/>
      </c>
      <c r="T670" s="133">
        <f>CONCATENATE(A670," - contiene allergni - prodotto il giorno ",TEXT(Q670,"gg/mm/aaaa"),"")</f>
        <v/>
      </c>
    </row>
    <row r="671" ht="15" customHeight="1" s="155">
      <c r="A671" s="134">
        <f>ric!B671</f>
        <v/>
      </c>
      <c r="B671" s="118">
        <f>ric!C671</f>
        <v/>
      </c>
      <c r="C671" s="125">
        <f>ric!D671</f>
        <v/>
      </c>
      <c r="D671" s="125" t="n"/>
      <c r="E671" s="125" t="n"/>
      <c r="F671" s="125" t="n"/>
      <c r="G671" s="118">
        <f>CONCATENATE(A671, " ",#REF!, " / ",H671)</f>
        <v/>
      </c>
      <c r="H671" s="118" t="n"/>
      <c r="I671" s="119">
        <f>CONCATENATE(M671," - ",J671," - Lotto N° ",K671,"")</f>
        <v/>
      </c>
      <c r="J671" s="118" t="n"/>
      <c r="K671" s="118">
        <f>VLOOKUP(#REF!,Produzione,7,FALSE)</f>
        <v/>
      </c>
      <c r="L671" s="120" t="n"/>
      <c r="M671" s="120" t="n"/>
      <c r="N671" s="118" t="n"/>
      <c r="O671" s="121" t="n"/>
      <c r="P671" s="121" t="n"/>
      <c r="Q671" s="166">
        <f>TODAY()</f>
        <v/>
      </c>
      <c r="R671" s="165">
        <f>ElencoProdotti[[#This Row],[PRODUZIONE]]+20</f>
        <v/>
      </c>
      <c r="S671" s="165">
        <f>TODAY()</f>
        <v/>
      </c>
      <c r="T671" s="133">
        <f>CONCATENATE(A671," - contiene allergni - prodotto il giorno ",TEXT(Q671,"gg/mm/aaaa"),"")</f>
        <v/>
      </c>
    </row>
    <row r="672" ht="15" customHeight="1" s="155">
      <c r="A672" s="134">
        <f>ric!B672</f>
        <v/>
      </c>
      <c r="B672" s="118">
        <f>ric!C672</f>
        <v/>
      </c>
      <c r="C672" s="125">
        <f>ric!D672</f>
        <v/>
      </c>
      <c r="D672" s="125" t="n"/>
      <c r="E672" s="125" t="n"/>
      <c r="F672" s="125" t="n"/>
      <c r="G672" s="118">
        <f>CONCATENATE(A672, " ",#REF!, " / ",H672)</f>
        <v/>
      </c>
      <c r="H672" s="118" t="n"/>
      <c r="I672" s="119">
        <f>CONCATENATE(M672," - ",J672," - Lotto N° ",K672,"")</f>
        <v/>
      </c>
      <c r="J672" s="118" t="n"/>
      <c r="K672" s="118">
        <f>VLOOKUP(#REF!,Produzione,7,FALSE)</f>
        <v/>
      </c>
      <c r="L672" s="120" t="n"/>
      <c r="M672" s="120" t="n"/>
      <c r="N672" s="118" t="n"/>
      <c r="O672" s="121" t="n"/>
      <c r="P672" s="121" t="n"/>
      <c r="Q672" s="166">
        <f>TODAY()</f>
        <v/>
      </c>
      <c r="R672" s="165">
        <f>ElencoProdotti[[#This Row],[PRODUZIONE]]+20</f>
        <v/>
      </c>
      <c r="S672" s="165">
        <f>TODAY()</f>
        <v/>
      </c>
      <c r="T672" s="133">
        <f>CONCATENATE(A672," - contiene allergni - prodotto il giorno ",TEXT(Q672,"gg/mm/aaaa"),"")</f>
        <v/>
      </c>
    </row>
    <row r="673" ht="15" customHeight="1" s="155">
      <c r="A673" s="134">
        <f>ric!B673</f>
        <v/>
      </c>
      <c r="B673" s="118">
        <f>ric!C673</f>
        <v/>
      </c>
      <c r="C673" s="125">
        <f>ric!D673</f>
        <v/>
      </c>
      <c r="D673" s="125" t="n"/>
      <c r="E673" s="125" t="n"/>
      <c r="F673" s="125" t="n"/>
      <c r="G673" s="118">
        <f>CONCATENATE(A673, " ",#REF!, " / ",H673)</f>
        <v/>
      </c>
      <c r="H673" s="118" t="n"/>
      <c r="I673" s="119">
        <f>CONCATENATE(M673," - ",J673," - Lotto N° ",K673,"")</f>
        <v/>
      </c>
      <c r="J673" s="118" t="n"/>
      <c r="K673" s="118">
        <f>VLOOKUP(#REF!,Produzione,7,FALSE)</f>
        <v/>
      </c>
      <c r="L673" s="120" t="n"/>
      <c r="M673" s="120" t="n"/>
      <c r="N673" s="118" t="n"/>
      <c r="O673" s="121" t="n"/>
      <c r="P673" s="121" t="n"/>
      <c r="Q673" s="166">
        <f>TODAY()</f>
        <v/>
      </c>
      <c r="R673" s="165">
        <f>ElencoProdotti[[#This Row],[PRODUZIONE]]+20</f>
        <v/>
      </c>
      <c r="S673" s="165">
        <f>TODAY()</f>
        <v/>
      </c>
      <c r="T673" s="133">
        <f>CONCATENATE(A673," - contiene allergni - prodotto il giorno ",TEXT(Q673,"gg/mm/aaaa"),"")</f>
        <v/>
      </c>
    </row>
    <row r="674" ht="15" customHeight="1" s="155">
      <c r="A674" s="134">
        <f>ric!B674</f>
        <v/>
      </c>
      <c r="B674" s="118">
        <f>ric!C674</f>
        <v/>
      </c>
      <c r="C674" s="125">
        <f>ric!D674</f>
        <v/>
      </c>
      <c r="D674" s="125" t="n"/>
      <c r="E674" s="125" t="n"/>
      <c r="F674" s="125" t="n"/>
      <c r="G674" s="118">
        <f>CONCATENATE(A674, " ",#REF!, " / ",H674)</f>
        <v/>
      </c>
      <c r="H674" s="118" t="n"/>
      <c r="I674" s="119">
        <f>CONCATENATE(M674," - ",J674," - Lotto N° ",K674,"")</f>
        <v/>
      </c>
      <c r="J674" s="118" t="n"/>
      <c r="K674" s="118">
        <f>VLOOKUP(#REF!,Produzione,7,FALSE)</f>
        <v/>
      </c>
      <c r="L674" s="120" t="n"/>
      <c r="M674" s="120" t="n"/>
      <c r="N674" s="118" t="n"/>
      <c r="O674" s="121" t="n"/>
      <c r="P674" s="121" t="n"/>
      <c r="Q674" s="166">
        <f>TODAY()</f>
        <v/>
      </c>
      <c r="R674" s="165">
        <f>ElencoProdotti[[#This Row],[PRODUZIONE]]+20</f>
        <v/>
      </c>
      <c r="S674" s="165">
        <f>TODAY()</f>
        <v/>
      </c>
      <c r="T674" s="133">
        <f>CONCATENATE(A674," - contiene allergni - prodotto il giorno ",TEXT(Q674,"gg/mm/aaaa"),"")</f>
        <v/>
      </c>
    </row>
    <row r="675" ht="15" customHeight="1" s="155">
      <c r="A675" s="134">
        <f>ric!B675</f>
        <v/>
      </c>
      <c r="B675" s="118">
        <f>ric!C675</f>
        <v/>
      </c>
      <c r="C675" s="125">
        <f>ric!D675</f>
        <v/>
      </c>
      <c r="D675" s="125" t="n"/>
      <c r="E675" s="125" t="n"/>
      <c r="F675" s="125" t="n"/>
      <c r="G675" s="118">
        <f>CONCATENATE(A675, " ",#REF!, " / ",H675)</f>
        <v/>
      </c>
      <c r="H675" s="118" t="n"/>
      <c r="I675" s="119">
        <f>CONCATENATE(M675," - ",J675," - Lotto N° ",K675,"")</f>
        <v/>
      </c>
      <c r="J675" s="118" t="n"/>
      <c r="K675" s="118">
        <f>VLOOKUP(#REF!,Produzione,7,FALSE)</f>
        <v/>
      </c>
      <c r="L675" s="120" t="n"/>
      <c r="M675" s="120" t="n"/>
      <c r="N675" s="118" t="n"/>
      <c r="O675" s="121" t="n"/>
      <c r="P675" s="121" t="n"/>
      <c r="Q675" s="166">
        <f>TODAY()</f>
        <v/>
      </c>
      <c r="R675" s="165">
        <f>ElencoProdotti[[#This Row],[PRODUZIONE]]+20</f>
        <v/>
      </c>
      <c r="S675" s="165">
        <f>TODAY()</f>
        <v/>
      </c>
      <c r="T675" s="133">
        <f>CONCATENATE(A675," - contiene allergni - prodotto il giorno ",TEXT(Q675,"gg/mm/aaaa"),"")</f>
        <v/>
      </c>
    </row>
    <row r="676" ht="15" customHeight="1" s="155">
      <c r="A676" s="134">
        <f>ric!B676</f>
        <v/>
      </c>
      <c r="B676" s="118">
        <f>ric!C676</f>
        <v/>
      </c>
      <c r="C676" s="125">
        <f>ric!D676</f>
        <v/>
      </c>
      <c r="D676" s="125" t="n"/>
      <c r="E676" s="125" t="n"/>
      <c r="F676" s="125" t="n"/>
      <c r="G676" s="118">
        <f>CONCATENATE(A676, " ",#REF!, " / ",H676)</f>
        <v/>
      </c>
      <c r="H676" s="118" t="n"/>
      <c r="I676" s="119">
        <f>CONCATENATE(M676," - ",J676," - Lotto N° ",K676,"")</f>
        <v/>
      </c>
      <c r="J676" s="118" t="n"/>
      <c r="K676" s="118">
        <f>VLOOKUP(#REF!,Produzione,7,FALSE)</f>
        <v/>
      </c>
      <c r="L676" s="120" t="n"/>
      <c r="M676" s="120" t="n"/>
      <c r="N676" s="118" t="n"/>
      <c r="O676" s="121" t="n"/>
      <c r="P676" s="121" t="n"/>
      <c r="Q676" s="166">
        <f>TODAY()</f>
        <v/>
      </c>
      <c r="R676" s="165">
        <f>ElencoProdotti[[#This Row],[PRODUZIONE]]+20</f>
        <v/>
      </c>
      <c r="S676" s="165">
        <f>TODAY()</f>
        <v/>
      </c>
      <c r="T676" s="133">
        <f>CONCATENATE(A676," - contiene allergni - prodotto il giorno ",TEXT(Q676,"gg/mm/aaaa"),"")</f>
        <v/>
      </c>
    </row>
    <row r="677" ht="15" customHeight="1" s="155">
      <c r="A677" s="134">
        <f>ric!B677</f>
        <v/>
      </c>
      <c r="B677" s="118">
        <f>ric!C677</f>
        <v/>
      </c>
      <c r="C677" s="125">
        <f>ric!D677</f>
        <v/>
      </c>
      <c r="D677" s="125" t="n"/>
      <c r="E677" s="125" t="n"/>
      <c r="F677" s="125" t="n"/>
      <c r="G677" s="118">
        <f>CONCATENATE(A677, " ",#REF!, " / ",H677)</f>
        <v/>
      </c>
      <c r="H677" s="118" t="n"/>
      <c r="I677" s="119">
        <f>CONCATENATE(M677," - ",J677," - Lotto N° ",K677,"")</f>
        <v/>
      </c>
      <c r="J677" s="118" t="n"/>
      <c r="K677" s="118">
        <f>VLOOKUP(#REF!,Produzione,7,FALSE)</f>
        <v/>
      </c>
      <c r="L677" s="120" t="n"/>
      <c r="M677" s="120" t="n"/>
      <c r="N677" s="118" t="n"/>
      <c r="O677" s="121" t="n"/>
      <c r="P677" s="121" t="n"/>
      <c r="Q677" s="166">
        <f>TODAY()</f>
        <v/>
      </c>
      <c r="R677" s="165">
        <f>ElencoProdotti[[#This Row],[PRODUZIONE]]+20</f>
        <v/>
      </c>
      <c r="S677" s="165">
        <f>TODAY()</f>
        <v/>
      </c>
      <c r="T677" s="133">
        <f>CONCATENATE(A677," - contiene allergni - prodotto il giorno ",TEXT(Q677,"gg/mm/aaaa"),"")</f>
        <v/>
      </c>
    </row>
    <row r="678" ht="15" customHeight="1" s="155">
      <c r="A678" s="134">
        <f>ric!B678</f>
        <v/>
      </c>
      <c r="B678" s="118">
        <f>ric!C678</f>
        <v/>
      </c>
      <c r="C678" s="125">
        <f>ric!D678</f>
        <v/>
      </c>
      <c r="D678" s="125" t="n"/>
      <c r="E678" s="125" t="n"/>
      <c r="F678" s="125" t="n"/>
      <c r="G678" s="118">
        <f>CONCATENATE(A678, " ",#REF!, " / ",H678)</f>
        <v/>
      </c>
      <c r="H678" s="118" t="n"/>
      <c r="I678" s="119">
        <f>CONCATENATE(M678," - ",J678," - Lotto N° ",K678,"")</f>
        <v/>
      </c>
      <c r="J678" s="118" t="n"/>
      <c r="K678" s="118">
        <f>VLOOKUP(#REF!,Produzione,7,FALSE)</f>
        <v/>
      </c>
      <c r="L678" s="120" t="n"/>
      <c r="M678" s="120" t="n"/>
      <c r="N678" s="118" t="n"/>
      <c r="O678" s="121" t="n"/>
      <c r="P678" s="121" t="n"/>
      <c r="Q678" s="166">
        <f>TODAY()</f>
        <v/>
      </c>
      <c r="R678" s="165">
        <f>ElencoProdotti[[#This Row],[PRODUZIONE]]+20</f>
        <v/>
      </c>
      <c r="S678" s="165">
        <f>TODAY()</f>
        <v/>
      </c>
      <c r="T678" s="133">
        <f>CONCATENATE(A678," - contiene allergni - prodotto il giorno ",TEXT(Q678,"gg/mm/aaaa"),"")</f>
        <v/>
      </c>
    </row>
    <row r="679" ht="15" customHeight="1" s="155">
      <c r="A679" s="134">
        <f>ric!B679</f>
        <v/>
      </c>
      <c r="B679" s="118">
        <f>ric!C679</f>
        <v/>
      </c>
      <c r="C679" s="125">
        <f>ric!D679</f>
        <v/>
      </c>
      <c r="D679" s="125" t="n"/>
      <c r="E679" s="125" t="n"/>
      <c r="F679" s="125" t="n"/>
      <c r="G679" s="118">
        <f>CONCATENATE(A679, " ",#REF!, " / ",H679)</f>
        <v/>
      </c>
      <c r="H679" s="118" t="n"/>
      <c r="I679" s="119">
        <f>CONCATENATE(M679," - ",J679," - Lotto N° ",K679,"")</f>
        <v/>
      </c>
      <c r="J679" s="118" t="n"/>
      <c r="K679" s="118">
        <f>VLOOKUP(#REF!,Produzione,7,FALSE)</f>
        <v/>
      </c>
      <c r="L679" s="120" t="n"/>
      <c r="M679" s="120" t="n"/>
      <c r="N679" s="118" t="n"/>
      <c r="O679" s="121" t="n"/>
      <c r="P679" s="121" t="n"/>
      <c r="Q679" s="166">
        <f>TODAY()</f>
        <v/>
      </c>
      <c r="R679" s="165">
        <f>ElencoProdotti[[#This Row],[PRODUZIONE]]+20</f>
        <v/>
      </c>
      <c r="S679" s="165">
        <f>TODAY()</f>
        <v/>
      </c>
      <c r="T679" s="133">
        <f>CONCATENATE(A679," - contiene allergni - prodotto il giorno ",TEXT(Q679,"gg/mm/aaaa"),"")</f>
        <v/>
      </c>
    </row>
    <row r="680" ht="15" customHeight="1" s="155">
      <c r="A680" s="134">
        <f>ric!B680</f>
        <v/>
      </c>
      <c r="B680" s="118">
        <f>ric!C680</f>
        <v/>
      </c>
      <c r="C680" s="125">
        <f>ric!D680</f>
        <v/>
      </c>
      <c r="D680" s="125" t="n"/>
      <c r="E680" s="125" t="n"/>
      <c r="F680" s="125" t="n"/>
      <c r="G680" s="118">
        <f>CONCATENATE(A680, " ",#REF!, " / ",H680)</f>
        <v/>
      </c>
      <c r="H680" s="118" t="n"/>
      <c r="I680" s="119">
        <f>CONCATENATE(M680," - ",J680," - Lotto N° ",K680,"")</f>
        <v/>
      </c>
      <c r="J680" s="118" t="n"/>
      <c r="K680" s="118">
        <f>VLOOKUP(#REF!,Produzione,7,FALSE)</f>
        <v/>
      </c>
      <c r="L680" s="120" t="n"/>
      <c r="M680" s="120" t="n"/>
      <c r="N680" s="118" t="n"/>
      <c r="O680" s="121" t="n"/>
      <c r="P680" s="121" t="n"/>
      <c r="Q680" s="166">
        <f>TODAY()</f>
        <v/>
      </c>
      <c r="R680" s="165">
        <f>ElencoProdotti[[#This Row],[PRODUZIONE]]+20</f>
        <v/>
      </c>
      <c r="S680" s="165">
        <f>TODAY()</f>
        <v/>
      </c>
      <c r="T680" s="133">
        <f>CONCATENATE(A680," - contiene allergni - prodotto il giorno ",TEXT(Q680,"gg/mm/aaaa"),"")</f>
        <v/>
      </c>
    </row>
    <row r="681" ht="15" customHeight="1" s="155">
      <c r="A681" s="134">
        <f>ric!B681</f>
        <v/>
      </c>
      <c r="B681" s="118">
        <f>ric!C681</f>
        <v/>
      </c>
      <c r="C681" s="125">
        <f>ric!D681</f>
        <v/>
      </c>
      <c r="D681" s="125" t="n"/>
      <c r="E681" s="125" t="n"/>
      <c r="F681" s="125" t="n"/>
      <c r="G681" s="118">
        <f>CONCATENATE(A681, " ",#REF!, " / ",H681)</f>
        <v/>
      </c>
      <c r="H681" s="118" t="n"/>
      <c r="I681" s="119">
        <f>CONCATENATE(M681," - ",J681," - Lotto N° ",K681,"")</f>
        <v/>
      </c>
      <c r="J681" s="118" t="n"/>
      <c r="K681" s="118">
        <f>VLOOKUP(#REF!,Produzione,7,FALSE)</f>
        <v/>
      </c>
      <c r="L681" s="120" t="n"/>
      <c r="M681" s="120" t="n"/>
      <c r="N681" s="118" t="n"/>
      <c r="O681" s="121" t="n"/>
      <c r="P681" s="121" t="n"/>
      <c r="Q681" s="166">
        <f>TODAY()</f>
        <v/>
      </c>
      <c r="R681" s="165">
        <f>ElencoProdotti[[#This Row],[PRODUZIONE]]+20</f>
        <v/>
      </c>
      <c r="S681" s="165">
        <f>TODAY()</f>
        <v/>
      </c>
      <c r="T681" s="133">
        <f>CONCATENATE(A681," - contiene allergni - prodotto il giorno ",TEXT(Q681,"gg/mm/aaaa"),"")</f>
        <v/>
      </c>
    </row>
    <row r="682" ht="15" customHeight="1" s="155">
      <c r="A682" s="134">
        <f>ric!B682</f>
        <v/>
      </c>
      <c r="B682" s="118">
        <f>ric!C682</f>
        <v/>
      </c>
      <c r="C682" s="125">
        <f>ric!D682</f>
        <v/>
      </c>
      <c r="D682" s="125" t="n"/>
      <c r="E682" s="125" t="n"/>
      <c r="F682" s="125" t="n"/>
      <c r="G682" s="118">
        <f>CONCATENATE(A682, " ",#REF!, " / ",H682)</f>
        <v/>
      </c>
      <c r="H682" s="118" t="n"/>
      <c r="I682" s="119">
        <f>CONCATENATE(M682," - ",J682," - Lotto N° ",K682,"")</f>
        <v/>
      </c>
      <c r="J682" s="118" t="n"/>
      <c r="K682" s="118">
        <f>VLOOKUP(#REF!,Produzione,7,FALSE)</f>
        <v/>
      </c>
      <c r="L682" s="120" t="n"/>
      <c r="M682" s="120" t="n"/>
      <c r="N682" s="118" t="n"/>
      <c r="O682" s="121" t="n"/>
      <c r="P682" s="121" t="n"/>
      <c r="Q682" s="166">
        <f>TODAY()</f>
        <v/>
      </c>
      <c r="R682" s="165">
        <f>ElencoProdotti[[#This Row],[PRODUZIONE]]+20</f>
        <v/>
      </c>
      <c r="S682" s="165">
        <f>TODAY()</f>
        <v/>
      </c>
      <c r="T682" s="133">
        <f>CONCATENATE(A682," - contiene allergni - prodotto il giorno ",TEXT(Q682,"gg/mm/aaaa"),"")</f>
        <v/>
      </c>
    </row>
    <row r="683" ht="15" customHeight="1" s="155">
      <c r="A683" s="134">
        <f>ric!B683</f>
        <v/>
      </c>
      <c r="B683" s="118">
        <f>ric!C683</f>
        <v/>
      </c>
      <c r="C683" s="125">
        <f>ric!D683</f>
        <v/>
      </c>
      <c r="D683" s="125" t="n"/>
      <c r="E683" s="125" t="n"/>
      <c r="F683" s="125" t="n"/>
      <c r="G683" s="118">
        <f>CONCATENATE(A683, " ",#REF!, " / ",H683)</f>
        <v/>
      </c>
      <c r="H683" s="118" t="n"/>
      <c r="I683" s="119">
        <f>CONCATENATE(M683," - ",J683," - Lotto N° ",K683,"")</f>
        <v/>
      </c>
      <c r="J683" s="118" t="n"/>
      <c r="K683" s="118">
        <f>VLOOKUP(#REF!,Produzione,7,FALSE)</f>
        <v/>
      </c>
      <c r="L683" s="120" t="n"/>
      <c r="M683" s="120" t="n"/>
      <c r="N683" s="118" t="n"/>
      <c r="O683" s="121" t="n"/>
      <c r="P683" s="121" t="n"/>
      <c r="Q683" s="166">
        <f>TODAY()</f>
        <v/>
      </c>
      <c r="R683" s="165">
        <f>ElencoProdotti[[#This Row],[PRODUZIONE]]+20</f>
        <v/>
      </c>
      <c r="S683" s="165">
        <f>TODAY()</f>
        <v/>
      </c>
      <c r="T683" s="133">
        <f>CONCATENATE(A683," - contiene allergni - prodotto il giorno ",TEXT(Q683,"gg/mm/aaaa"),"")</f>
        <v/>
      </c>
    </row>
    <row r="684" ht="15" customHeight="1" s="155">
      <c r="A684" s="134">
        <f>ric!B684</f>
        <v/>
      </c>
      <c r="B684" s="118">
        <f>ric!C684</f>
        <v/>
      </c>
      <c r="C684" s="125">
        <f>ric!D684</f>
        <v/>
      </c>
      <c r="D684" s="125" t="n"/>
      <c r="E684" s="125" t="n"/>
      <c r="F684" s="125" t="n"/>
      <c r="G684" s="118">
        <f>CONCATENATE(A684, " ",#REF!, " / ",H684)</f>
        <v/>
      </c>
      <c r="H684" s="118" t="n"/>
      <c r="I684" s="119">
        <f>CONCATENATE(M684," - ",J684," - Lotto N° ",K684,"")</f>
        <v/>
      </c>
      <c r="J684" s="118" t="n"/>
      <c r="K684" s="118">
        <f>VLOOKUP(#REF!,Produzione,7,FALSE)</f>
        <v/>
      </c>
      <c r="L684" s="120" t="n"/>
      <c r="M684" s="120" t="n"/>
      <c r="N684" s="118" t="n"/>
      <c r="O684" s="121" t="n"/>
      <c r="P684" s="121" t="n"/>
      <c r="Q684" s="166">
        <f>TODAY()</f>
        <v/>
      </c>
      <c r="R684" s="165">
        <f>ElencoProdotti[[#This Row],[PRODUZIONE]]+20</f>
        <v/>
      </c>
      <c r="S684" s="165">
        <f>TODAY()</f>
        <v/>
      </c>
      <c r="T684" s="133">
        <f>CONCATENATE(A684," - contiene allergni - prodotto il giorno ",TEXT(Q684,"gg/mm/aaaa"),"")</f>
        <v/>
      </c>
    </row>
    <row r="685" ht="15" customHeight="1" s="155">
      <c r="A685" s="134">
        <f>ric!B685</f>
        <v/>
      </c>
      <c r="B685" s="118">
        <f>ric!C685</f>
        <v/>
      </c>
      <c r="C685" s="125">
        <f>ric!D685</f>
        <v/>
      </c>
      <c r="D685" s="125" t="n"/>
      <c r="E685" s="125" t="n"/>
      <c r="F685" s="125" t="n"/>
      <c r="G685" s="118">
        <f>CONCATENATE(A685, " ",#REF!, " / ",H685)</f>
        <v/>
      </c>
      <c r="H685" s="118" t="n"/>
      <c r="I685" s="119">
        <f>CONCATENATE(M685," - ",J685," - Lotto N° ",K685,"")</f>
        <v/>
      </c>
      <c r="J685" s="118" t="n"/>
      <c r="K685" s="118">
        <f>VLOOKUP(#REF!,Produzione,7,FALSE)</f>
        <v/>
      </c>
      <c r="L685" s="120" t="n"/>
      <c r="M685" s="120" t="n"/>
      <c r="N685" s="118" t="n"/>
      <c r="O685" s="121" t="n"/>
      <c r="P685" s="121" t="n"/>
      <c r="Q685" s="166">
        <f>TODAY()</f>
        <v/>
      </c>
      <c r="R685" s="165">
        <f>ElencoProdotti[[#This Row],[PRODUZIONE]]+20</f>
        <v/>
      </c>
      <c r="S685" s="165">
        <f>TODAY()</f>
        <v/>
      </c>
      <c r="T685" s="133">
        <f>CONCATENATE(A685," - contiene allergni - prodotto il giorno ",TEXT(Q685,"gg/mm/aaaa"),"")</f>
        <v/>
      </c>
    </row>
    <row r="686" ht="15" customHeight="1" s="155">
      <c r="A686" s="134">
        <f>ric!B686</f>
        <v/>
      </c>
      <c r="B686" s="118">
        <f>ric!C686</f>
        <v/>
      </c>
      <c r="C686" s="125">
        <f>ric!D686</f>
        <v/>
      </c>
      <c r="D686" s="125" t="n"/>
      <c r="E686" s="125" t="n"/>
      <c r="F686" s="125" t="n"/>
      <c r="G686" s="118">
        <f>CONCATENATE(A686, " ",#REF!, " / ",H686)</f>
        <v/>
      </c>
      <c r="H686" s="118" t="n"/>
      <c r="I686" s="119">
        <f>CONCATENATE(M686," - ",J686," - Lotto N° ",K686,"")</f>
        <v/>
      </c>
      <c r="J686" s="118" t="n"/>
      <c r="K686" s="118">
        <f>VLOOKUP(#REF!,Produzione,7,FALSE)</f>
        <v/>
      </c>
      <c r="L686" s="120" t="n"/>
      <c r="M686" s="120" t="n"/>
      <c r="N686" s="118" t="n"/>
      <c r="O686" s="121" t="n"/>
      <c r="P686" s="121" t="n"/>
      <c r="Q686" s="166">
        <f>TODAY()</f>
        <v/>
      </c>
      <c r="R686" s="165">
        <f>ElencoProdotti[[#This Row],[PRODUZIONE]]+20</f>
        <v/>
      </c>
      <c r="S686" s="165">
        <f>TODAY()</f>
        <v/>
      </c>
      <c r="T686" s="133">
        <f>CONCATENATE(A686," - contiene allergni - prodotto il giorno ",TEXT(Q686,"gg/mm/aaaa"),"")</f>
        <v/>
      </c>
    </row>
    <row r="687" ht="15" customHeight="1" s="155">
      <c r="A687" s="134">
        <f>ric!B687</f>
        <v/>
      </c>
      <c r="B687" s="118">
        <f>ric!C687</f>
        <v/>
      </c>
      <c r="C687" s="125">
        <f>ric!D687</f>
        <v/>
      </c>
      <c r="D687" s="125" t="n"/>
      <c r="E687" s="125" t="n"/>
      <c r="F687" s="125" t="n"/>
      <c r="G687" s="118">
        <f>CONCATENATE(A687, " ",#REF!, " / ",H687)</f>
        <v/>
      </c>
      <c r="H687" s="118" t="n"/>
      <c r="I687" s="119">
        <f>CONCATENATE(M687," - ",J687," - Lotto N° ",K687,"")</f>
        <v/>
      </c>
      <c r="J687" s="118" t="n"/>
      <c r="K687" s="118">
        <f>VLOOKUP(#REF!,Produzione,7,FALSE)</f>
        <v/>
      </c>
      <c r="L687" s="120" t="n"/>
      <c r="M687" s="120" t="n"/>
      <c r="N687" s="118" t="n"/>
      <c r="O687" s="121" t="n"/>
      <c r="P687" s="121" t="n"/>
      <c r="Q687" s="166">
        <f>TODAY()</f>
        <v/>
      </c>
      <c r="R687" s="165">
        <f>ElencoProdotti[[#This Row],[PRODUZIONE]]+20</f>
        <v/>
      </c>
      <c r="S687" s="165">
        <f>TODAY()</f>
        <v/>
      </c>
      <c r="T687" s="133">
        <f>CONCATENATE(A687," - contiene allergni - prodotto il giorno ",TEXT(Q687,"gg/mm/aaaa"),"")</f>
        <v/>
      </c>
    </row>
    <row r="688" ht="15" customHeight="1" s="155">
      <c r="A688" s="134">
        <f>ric!B688</f>
        <v/>
      </c>
      <c r="B688" s="118">
        <f>ric!C688</f>
        <v/>
      </c>
      <c r="C688" s="125">
        <f>ric!D688</f>
        <v/>
      </c>
      <c r="D688" s="125" t="n"/>
      <c r="E688" s="125" t="n"/>
      <c r="F688" s="125" t="n"/>
      <c r="G688" s="118">
        <f>CONCATENATE(A688, " ",#REF!, " / ",H688)</f>
        <v/>
      </c>
      <c r="H688" s="118" t="n"/>
      <c r="I688" s="119">
        <f>CONCATENATE(M688," - ",J688," - Lotto N° ",K688,"")</f>
        <v/>
      </c>
      <c r="J688" s="118" t="n"/>
      <c r="K688" s="118">
        <f>VLOOKUP(#REF!,Produzione,7,FALSE)</f>
        <v/>
      </c>
      <c r="L688" s="120" t="n"/>
      <c r="M688" s="120" t="n"/>
      <c r="N688" s="118" t="n"/>
      <c r="O688" s="121" t="n"/>
      <c r="P688" s="121" t="n"/>
      <c r="Q688" s="166">
        <f>TODAY()</f>
        <v/>
      </c>
      <c r="R688" s="165">
        <f>ElencoProdotti[[#This Row],[PRODUZIONE]]+20</f>
        <v/>
      </c>
      <c r="S688" s="165">
        <f>TODAY()</f>
        <v/>
      </c>
      <c r="T688" s="133">
        <f>CONCATENATE(A688," - contiene allergni - prodotto il giorno ",TEXT(Q688,"gg/mm/aaaa"),"")</f>
        <v/>
      </c>
    </row>
    <row r="689" ht="15" customHeight="1" s="155">
      <c r="A689" s="134">
        <f>ric!B689</f>
        <v/>
      </c>
      <c r="B689" s="118">
        <f>ric!C689</f>
        <v/>
      </c>
      <c r="C689" s="125">
        <f>ric!D689</f>
        <v/>
      </c>
      <c r="D689" s="125" t="n"/>
      <c r="E689" s="125" t="n"/>
      <c r="F689" s="125" t="n"/>
      <c r="G689" s="118">
        <f>CONCATENATE(A689, " ",#REF!, " / ",H689)</f>
        <v/>
      </c>
      <c r="H689" s="118" t="n"/>
      <c r="I689" s="119">
        <f>CONCATENATE(M689," - ",J689," - Lotto N° ",K689,"")</f>
        <v/>
      </c>
      <c r="J689" s="118" t="n"/>
      <c r="K689" s="118">
        <f>VLOOKUP(#REF!,Produzione,7,FALSE)</f>
        <v/>
      </c>
      <c r="L689" s="120" t="n"/>
      <c r="M689" s="120" t="n"/>
      <c r="N689" s="118" t="n"/>
      <c r="O689" s="121" t="n"/>
      <c r="P689" s="121" t="n"/>
      <c r="Q689" s="166">
        <f>TODAY()</f>
        <v/>
      </c>
      <c r="R689" s="165">
        <f>ElencoProdotti[[#This Row],[PRODUZIONE]]+20</f>
        <v/>
      </c>
      <c r="S689" s="165">
        <f>TODAY()</f>
        <v/>
      </c>
      <c r="T689" s="133">
        <f>CONCATENATE(A689," - contiene allergni - prodotto il giorno ",TEXT(Q689,"gg/mm/aaaa"),"")</f>
        <v/>
      </c>
    </row>
    <row r="690" ht="15" customHeight="1" s="155">
      <c r="A690" s="134">
        <f>ric!B690</f>
        <v/>
      </c>
      <c r="B690" s="118">
        <f>ric!C690</f>
        <v/>
      </c>
      <c r="C690" s="125">
        <f>ric!D690</f>
        <v/>
      </c>
      <c r="D690" s="125" t="n"/>
      <c r="E690" s="125" t="n"/>
      <c r="F690" s="125" t="n"/>
      <c r="G690" s="118">
        <f>CONCATENATE(A690, " ",#REF!, " / ",H690)</f>
        <v/>
      </c>
      <c r="H690" s="118" t="n"/>
      <c r="I690" s="119">
        <f>CONCATENATE(M690," - ",J690," - Lotto N° ",K690,"")</f>
        <v/>
      </c>
      <c r="J690" s="118" t="n"/>
      <c r="K690" s="118">
        <f>VLOOKUP(#REF!,Produzione,7,FALSE)</f>
        <v/>
      </c>
      <c r="L690" s="120" t="n"/>
      <c r="M690" s="120" t="n"/>
      <c r="N690" s="118" t="n"/>
      <c r="O690" s="121" t="n"/>
      <c r="P690" s="121" t="n"/>
      <c r="Q690" s="166">
        <f>TODAY()</f>
        <v/>
      </c>
      <c r="R690" s="165">
        <f>ElencoProdotti[[#This Row],[PRODUZIONE]]+20</f>
        <v/>
      </c>
      <c r="S690" s="165">
        <f>TODAY()</f>
        <v/>
      </c>
      <c r="T690" s="133">
        <f>CONCATENATE(A690," - contiene allergni - prodotto il giorno ",TEXT(Q690,"gg/mm/aaaa"),"")</f>
        <v/>
      </c>
    </row>
    <row r="691" ht="15" customHeight="1" s="155">
      <c r="A691" s="134">
        <f>ric!B691</f>
        <v/>
      </c>
      <c r="B691" s="118">
        <f>ric!C691</f>
        <v/>
      </c>
      <c r="C691" s="125">
        <f>ric!D691</f>
        <v/>
      </c>
      <c r="D691" s="125" t="n"/>
      <c r="E691" s="125" t="n"/>
      <c r="F691" s="125" t="n"/>
      <c r="G691" s="118">
        <f>CONCATENATE(A691, " ",#REF!, " / ",H691)</f>
        <v/>
      </c>
      <c r="H691" s="118" t="n"/>
      <c r="I691" s="119">
        <f>CONCATENATE(M691," - ",J691," - Lotto N° ",K691,"")</f>
        <v/>
      </c>
      <c r="J691" s="118" t="n"/>
      <c r="K691" s="118">
        <f>VLOOKUP(#REF!,Produzione,7,FALSE)</f>
        <v/>
      </c>
      <c r="L691" s="120" t="n"/>
      <c r="M691" s="120" t="n"/>
      <c r="N691" s="118" t="n"/>
      <c r="O691" s="121" t="n"/>
      <c r="P691" s="121" t="n"/>
      <c r="Q691" s="166">
        <f>TODAY()</f>
        <v/>
      </c>
      <c r="R691" s="165">
        <f>ElencoProdotti[[#This Row],[PRODUZIONE]]+20</f>
        <v/>
      </c>
      <c r="S691" s="165">
        <f>TODAY()</f>
        <v/>
      </c>
      <c r="T691" s="133">
        <f>CONCATENATE(A691," - contiene allergni - prodotto il giorno ",TEXT(Q691,"gg/mm/aaaa"),"")</f>
        <v/>
      </c>
    </row>
    <row r="692" ht="15" customHeight="1" s="155">
      <c r="A692" s="134">
        <f>ric!B692</f>
        <v/>
      </c>
      <c r="B692" s="118">
        <f>ric!C692</f>
        <v/>
      </c>
      <c r="C692" s="125">
        <f>ric!D692</f>
        <v/>
      </c>
      <c r="D692" s="125" t="n"/>
      <c r="E692" s="125" t="n"/>
      <c r="F692" s="125" t="n"/>
      <c r="G692" s="118">
        <f>CONCATENATE(A692, " ",#REF!, " / ",H692)</f>
        <v/>
      </c>
      <c r="H692" s="118" t="n"/>
      <c r="I692" s="119">
        <f>CONCATENATE(M692," - ",J692," - Lotto N° ",K692,"")</f>
        <v/>
      </c>
      <c r="J692" s="118" t="n"/>
      <c r="K692" s="118">
        <f>VLOOKUP(#REF!,Produzione,7,FALSE)</f>
        <v/>
      </c>
      <c r="L692" s="120" t="n"/>
      <c r="M692" s="120" t="n"/>
      <c r="N692" s="118" t="n"/>
      <c r="O692" s="121" t="n"/>
      <c r="P692" s="121" t="n"/>
      <c r="Q692" s="166">
        <f>TODAY()</f>
        <v/>
      </c>
      <c r="R692" s="165">
        <f>ElencoProdotti[[#This Row],[PRODUZIONE]]+20</f>
        <v/>
      </c>
      <c r="S692" s="165">
        <f>TODAY()</f>
        <v/>
      </c>
      <c r="T692" s="133">
        <f>CONCATENATE(A692," - contiene allergni - prodotto il giorno ",TEXT(Q692,"gg/mm/aaaa"),"")</f>
        <v/>
      </c>
    </row>
    <row r="693" ht="15" customHeight="1" s="155">
      <c r="A693" s="134">
        <f>ric!B693</f>
        <v/>
      </c>
      <c r="B693" s="118">
        <f>ric!C693</f>
        <v/>
      </c>
      <c r="C693" s="125">
        <f>ric!D693</f>
        <v/>
      </c>
      <c r="D693" s="125" t="n"/>
      <c r="E693" s="125" t="n"/>
      <c r="F693" s="125" t="n"/>
      <c r="G693" s="118">
        <f>CONCATENATE(A693, " ",#REF!, " / ",H693)</f>
        <v/>
      </c>
      <c r="H693" s="118" t="n"/>
      <c r="I693" s="119">
        <f>CONCATENATE(M693," - ",J693," - Lotto N° ",K693,"")</f>
        <v/>
      </c>
      <c r="J693" s="118" t="n"/>
      <c r="K693" s="118">
        <f>VLOOKUP(#REF!,Produzione,7,FALSE)</f>
        <v/>
      </c>
      <c r="L693" s="120" t="n"/>
      <c r="M693" s="120" t="n"/>
      <c r="N693" s="118" t="n"/>
      <c r="O693" s="121" t="n"/>
      <c r="P693" s="121" t="n"/>
      <c r="Q693" s="166">
        <f>TODAY()</f>
        <v/>
      </c>
      <c r="R693" s="165">
        <f>ElencoProdotti[[#This Row],[PRODUZIONE]]+20</f>
        <v/>
      </c>
      <c r="S693" s="165">
        <f>TODAY()</f>
        <v/>
      </c>
      <c r="T693" s="133">
        <f>CONCATENATE(A693," - contiene allergni - prodotto il giorno ",TEXT(Q693,"gg/mm/aaaa"),"")</f>
        <v/>
      </c>
    </row>
    <row r="694" ht="15" customHeight="1" s="155">
      <c r="A694" s="134">
        <f>ric!B694</f>
        <v/>
      </c>
      <c r="B694" s="118">
        <f>ric!C694</f>
        <v/>
      </c>
      <c r="C694" s="125">
        <f>ric!D694</f>
        <v/>
      </c>
      <c r="D694" s="125" t="n"/>
      <c r="E694" s="125" t="n"/>
      <c r="F694" s="125" t="n"/>
      <c r="G694" s="118">
        <f>CONCATENATE(A694, " ",#REF!, " / ",H694)</f>
        <v/>
      </c>
      <c r="H694" s="118" t="n"/>
      <c r="I694" s="119">
        <f>CONCATENATE(M694," - ",J694," - Lotto N° ",K694,"")</f>
        <v/>
      </c>
      <c r="J694" s="118" t="n"/>
      <c r="K694" s="118">
        <f>VLOOKUP(#REF!,Produzione,7,FALSE)</f>
        <v/>
      </c>
      <c r="L694" s="120" t="n"/>
      <c r="M694" s="120" t="n"/>
      <c r="N694" s="118" t="n"/>
      <c r="O694" s="121" t="n"/>
      <c r="P694" s="121" t="n"/>
      <c r="Q694" s="166">
        <f>TODAY()</f>
        <v/>
      </c>
      <c r="R694" s="165">
        <f>ElencoProdotti[[#This Row],[PRODUZIONE]]+20</f>
        <v/>
      </c>
      <c r="S694" s="165">
        <f>TODAY()</f>
        <v/>
      </c>
      <c r="T694" s="133">
        <f>CONCATENATE(A694," - contiene allergni - prodotto il giorno ",TEXT(Q694,"gg/mm/aaaa"),"")</f>
        <v/>
      </c>
    </row>
    <row r="695" ht="15" customHeight="1" s="155">
      <c r="A695" s="134">
        <f>ric!B695</f>
        <v/>
      </c>
      <c r="B695" s="118">
        <f>ric!C695</f>
        <v/>
      </c>
      <c r="C695" s="125">
        <f>ric!D695</f>
        <v/>
      </c>
      <c r="D695" s="125" t="n"/>
      <c r="E695" s="125" t="n"/>
      <c r="F695" s="125" t="n"/>
      <c r="G695" s="118">
        <f>CONCATENATE(A695, " ",#REF!, " / ",H695)</f>
        <v/>
      </c>
      <c r="H695" s="118" t="n"/>
      <c r="I695" s="119">
        <f>CONCATENATE(M695," - ",J695," - Lotto N° ",K695,"")</f>
        <v/>
      </c>
      <c r="J695" s="118" t="n"/>
      <c r="K695" s="118">
        <f>VLOOKUP(#REF!,Produzione,7,FALSE)</f>
        <v/>
      </c>
      <c r="L695" s="120" t="n"/>
      <c r="M695" s="120" t="n"/>
      <c r="N695" s="118" t="n"/>
      <c r="O695" s="121" t="n"/>
      <c r="P695" s="121" t="n"/>
      <c r="Q695" s="166">
        <f>TODAY()</f>
        <v/>
      </c>
      <c r="R695" s="165">
        <f>ElencoProdotti[[#This Row],[PRODUZIONE]]+20</f>
        <v/>
      </c>
      <c r="S695" s="165">
        <f>TODAY()</f>
        <v/>
      </c>
      <c r="T695" s="133">
        <f>CONCATENATE(A695," - contiene allergni - prodotto il giorno ",TEXT(Q695,"gg/mm/aaaa"),"")</f>
        <v/>
      </c>
    </row>
    <row r="696" ht="15" customHeight="1" s="155">
      <c r="A696" s="134">
        <f>ric!B696</f>
        <v/>
      </c>
      <c r="B696" s="118">
        <f>ric!C696</f>
        <v/>
      </c>
      <c r="C696" s="125">
        <f>ric!D696</f>
        <v/>
      </c>
      <c r="D696" s="125" t="n"/>
      <c r="E696" s="125" t="n"/>
      <c r="F696" s="125" t="n"/>
      <c r="G696" s="118">
        <f>CONCATENATE(A696, " ",#REF!, " / ",H696)</f>
        <v/>
      </c>
      <c r="H696" s="118" t="n"/>
      <c r="I696" s="119">
        <f>CONCATENATE(M696," - ",J696," - Lotto N° ",K696,"")</f>
        <v/>
      </c>
      <c r="J696" s="118" t="n"/>
      <c r="K696" s="118">
        <f>VLOOKUP(#REF!,Produzione,7,FALSE)</f>
        <v/>
      </c>
      <c r="L696" s="120" t="n"/>
      <c r="M696" s="120" t="n"/>
      <c r="N696" s="118" t="n"/>
      <c r="O696" s="121" t="n"/>
      <c r="P696" s="121" t="n"/>
      <c r="Q696" s="166">
        <f>TODAY()</f>
        <v/>
      </c>
      <c r="R696" s="165">
        <f>ElencoProdotti[[#This Row],[PRODUZIONE]]+20</f>
        <v/>
      </c>
      <c r="S696" s="165">
        <f>TODAY()</f>
        <v/>
      </c>
      <c r="T696" s="133">
        <f>CONCATENATE(A696," - contiene allergni - prodotto il giorno ",TEXT(Q696,"gg/mm/aaaa"),"")</f>
        <v/>
      </c>
    </row>
    <row r="697" ht="15" customHeight="1" s="155">
      <c r="A697" s="134">
        <f>ric!B697</f>
        <v/>
      </c>
      <c r="B697" s="118">
        <f>ric!C697</f>
        <v/>
      </c>
      <c r="C697" s="125">
        <f>ric!D697</f>
        <v/>
      </c>
      <c r="D697" s="125" t="n"/>
      <c r="E697" s="125" t="n"/>
      <c r="F697" s="125" t="n"/>
      <c r="G697" s="118">
        <f>CONCATENATE(A697, " ",#REF!, " / ",H697)</f>
        <v/>
      </c>
      <c r="H697" s="118" t="n"/>
      <c r="I697" s="119">
        <f>CONCATENATE(M697," - ",J697," - Lotto N° ",K697,"")</f>
        <v/>
      </c>
      <c r="J697" s="118" t="n"/>
      <c r="K697" s="118">
        <f>VLOOKUP(#REF!,Produzione,7,FALSE)</f>
        <v/>
      </c>
      <c r="L697" s="120" t="n"/>
      <c r="M697" s="120" t="n"/>
      <c r="N697" s="118" t="n"/>
      <c r="O697" s="121" t="n"/>
      <c r="P697" s="121" t="n"/>
      <c r="Q697" s="166">
        <f>TODAY()</f>
        <v/>
      </c>
      <c r="R697" s="165">
        <f>ElencoProdotti[[#This Row],[PRODUZIONE]]+20</f>
        <v/>
      </c>
      <c r="S697" s="165">
        <f>TODAY()</f>
        <v/>
      </c>
      <c r="T697" s="133">
        <f>CONCATENATE(A697," - contiene allergni - prodotto il giorno ",TEXT(Q697,"gg/mm/aaaa"),"")</f>
        <v/>
      </c>
    </row>
    <row r="698" ht="15" customHeight="1" s="155">
      <c r="A698" s="134">
        <f>ric!B698</f>
        <v/>
      </c>
      <c r="B698" s="118">
        <f>ric!C698</f>
        <v/>
      </c>
      <c r="C698" s="125">
        <f>ric!D698</f>
        <v/>
      </c>
      <c r="D698" s="125" t="n"/>
      <c r="E698" s="125" t="n"/>
      <c r="F698" s="125" t="n"/>
      <c r="G698" s="118">
        <f>CONCATENATE(A698, " ",#REF!, " / ",H698)</f>
        <v/>
      </c>
      <c r="H698" s="118" t="n"/>
      <c r="I698" s="119">
        <f>CONCATENATE(M698," - ",J698," - Lotto N° ",K698,"")</f>
        <v/>
      </c>
      <c r="J698" s="118" t="n"/>
      <c r="K698" s="118">
        <f>VLOOKUP(#REF!,Produzione,7,FALSE)</f>
        <v/>
      </c>
      <c r="L698" s="120" t="n"/>
      <c r="M698" s="120" t="n"/>
      <c r="N698" s="118" t="n"/>
      <c r="O698" s="121" t="n"/>
      <c r="P698" s="121" t="n"/>
      <c r="Q698" s="166">
        <f>TODAY()</f>
        <v/>
      </c>
      <c r="R698" s="165">
        <f>ElencoProdotti[[#This Row],[PRODUZIONE]]+20</f>
        <v/>
      </c>
      <c r="S698" s="165">
        <f>TODAY()</f>
        <v/>
      </c>
      <c r="T698" s="133">
        <f>CONCATENATE(A698," - contiene allergni - prodotto il giorno ",TEXT(Q698,"gg/mm/aaaa"),"")</f>
        <v/>
      </c>
    </row>
    <row r="699" ht="15" customHeight="1" s="155">
      <c r="A699" s="134">
        <f>ric!B699</f>
        <v/>
      </c>
      <c r="B699" s="118">
        <f>ric!C699</f>
        <v/>
      </c>
      <c r="C699" s="125">
        <f>ric!D699</f>
        <v/>
      </c>
      <c r="D699" s="125" t="n"/>
      <c r="E699" s="125" t="n"/>
      <c r="F699" s="125" t="n"/>
      <c r="G699" s="118">
        <f>CONCATENATE(A699, " ",#REF!, " / ",H699)</f>
        <v/>
      </c>
      <c r="H699" s="118" t="n"/>
      <c r="I699" s="119">
        <f>CONCATENATE(M699," - ",J699," - Lotto N° ",K699,"")</f>
        <v/>
      </c>
      <c r="J699" s="118" t="n"/>
      <c r="K699" s="118">
        <f>VLOOKUP(#REF!,Produzione,7,FALSE)</f>
        <v/>
      </c>
      <c r="L699" s="120" t="n"/>
      <c r="M699" s="120" t="n"/>
      <c r="N699" s="118" t="n"/>
      <c r="O699" s="121" t="n"/>
      <c r="P699" s="121" t="n"/>
      <c r="Q699" s="166">
        <f>TODAY()</f>
        <v/>
      </c>
      <c r="R699" s="165">
        <f>ElencoProdotti[[#This Row],[PRODUZIONE]]+20</f>
        <v/>
      </c>
      <c r="S699" s="165">
        <f>TODAY()</f>
        <v/>
      </c>
      <c r="T699" s="133">
        <f>CONCATENATE(A699," - contiene allergni - prodotto il giorno ",TEXT(Q699,"gg/mm/aaaa"),"")</f>
        <v/>
      </c>
    </row>
    <row r="700" ht="15" customHeight="1" s="155">
      <c r="A700" s="134">
        <f>ric!B700</f>
        <v/>
      </c>
      <c r="B700" s="118">
        <f>ric!C700</f>
        <v/>
      </c>
      <c r="C700" s="125">
        <f>ric!D700</f>
        <v/>
      </c>
      <c r="D700" s="125" t="n"/>
      <c r="E700" s="125" t="n"/>
      <c r="F700" s="125" t="n"/>
      <c r="G700" s="118">
        <f>CONCATENATE(A700, " ",#REF!, " / ",H700)</f>
        <v/>
      </c>
      <c r="H700" s="118" t="n"/>
      <c r="I700" s="119">
        <f>CONCATENATE(M700," - ",J700," - Lotto N° ",K700,"")</f>
        <v/>
      </c>
      <c r="J700" s="118" t="n"/>
      <c r="K700" s="118">
        <f>VLOOKUP(#REF!,Produzione,7,FALSE)</f>
        <v/>
      </c>
      <c r="L700" s="120" t="n"/>
      <c r="M700" s="120" t="n"/>
      <c r="N700" s="118" t="n"/>
      <c r="O700" s="121" t="n"/>
      <c r="P700" s="121" t="n"/>
      <c r="Q700" s="166">
        <f>TODAY()</f>
        <v/>
      </c>
      <c r="R700" s="165">
        <f>ElencoProdotti[[#This Row],[PRODUZIONE]]+20</f>
        <v/>
      </c>
      <c r="S700" s="165">
        <f>TODAY()</f>
        <v/>
      </c>
      <c r="T700" s="133">
        <f>CONCATENATE(A700," - contiene allergni - prodotto il giorno ",TEXT(Q700,"gg/mm/aaaa"),"")</f>
        <v/>
      </c>
    </row>
    <row r="701" ht="15" customHeight="1" s="155">
      <c r="A701" s="134">
        <f>ric!B701</f>
        <v/>
      </c>
      <c r="B701" s="118">
        <f>ric!C701</f>
        <v/>
      </c>
      <c r="C701" s="125">
        <f>ric!D701</f>
        <v/>
      </c>
      <c r="D701" s="125" t="n"/>
      <c r="E701" s="125" t="n"/>
      <c r="F701" s="125" t="n"/>
      <c r="G701" s="118">
        <f>CONCATENATE(A701, " ",#REF!, " / ",H701)</f>
        <v/>
      </c>
      <c r="H701" s="118" t="n"/>
      <c r="I701" s="119">
        <f>CONCATENATE(M701," - ",J701," - Lotto N° ",K701,"")</f>
        <v/>
      </c>
      <c r="J701" s="118" t="n"/>
      <c r="K701" s="118">
        <f>VLOOKUP(#REF!,Produzione,7,FALSE)</f>
        <v/>
      </c>
      <c r="L701" s="120" t="n"/>
      <c r="M701" s="120" t="n"/>
      <c r="N701" s="118" t="n"/>
      <c r="O701" s="121" t="n"/>
      <c r="P701" s="121" t="n"/>
      <c r="Q701" s="166">
        <f>TODAY()</f>
        <v/>
      </c>
      <c r="R701" s="165">
        <f>ElencoProdotti[[#This Row],[PRODUZIONE]]+20</f>
        <v/>
      </c>
      <c r="S701" s="165">
        <f>TODAY()</f>
        <v/>
      </c>
      <c r="T701" s="133">
        <f>CONCATENATE(A701," - contiene allergni - prodotto il giorno ",TEXT(Q701,"gg/mm/aaaa"),"")</f>
        <v/>
      </c>
    </row>
    <row r="702" ht="15" customHeight="1" s="155">
      <c r="A702" s="134">
        <f>ric!B702</f>
        <v/>
      </c>
      <c r="B702" s="118">
        <f>ric!C702</f>
        <v/>
      </c>
      <c r="C702" s="125">
        <f>ric!D702</f>
        <v/>
      </c>
      <c r="D702" s="125" t="n"/>
      <c r="E702" s="125" t="n"/>
      <c r="F702" s="125" t="n"/>
      <c r="G702" s="118">
        <f>CONCATENATE(A702, " ",#REF!, " / ",H702)</f>
        <v/>
      </c>
      <c r="H702" s="118" t="n"/>
      <c r="I702" s="119">
        <f>CONCATENATE(M702," - ",J702," - Lotto N° ",K702,"")</f>
        <v/>
      </c>
      <c r="J702" s="118" t="n"/>
      <c r="K702" s="118">
        <f>VLOOKUP(#REF!,Produzione,7,FALSE)</f>
        <v/>
      </c>
      <c r="L702" s="120" t="n"/>
      <c r="M702" s="120" t="n"/>
      <c r="N702" s="118" t="n"/>
      <c r="O702" s="121" t="n"/>
      <c r="P702" s="121" t="n"/>
      <c r="Q702" s="166">
        <f>TODAY()</f>
        <v/>
      </c>
      <c r="R702" s="165">
        <f>ElencoProdotti[[#This Row],[PRODUZIONE]]+20</f>
        <v/>
      </c>
      <c r="S702" s="165">
        <f>TODAY()</f>
        <v/>
      </c>
      <c r="T702" s="133">
        <f>CONCATENATE(A702," - contiene allergni - prodotto il giorno ",TEXT(Q702,"gg/mm/aaaa"),"")</f>
        <v/>
      </c>
    </row>
    <row r="703" ht="15" customHeight="1" s="155">
      <c r="A703" s="134">
        <f>ric!B703</f>
        <v/>
      </c>
      <c r="B703" s="118">
        <f>ric!C703</f>
        <v/>
      </c>
      <c r="C703" s="125">
        <f>ric!D703</f>
        <v/>
      </c>
      <c r="D703" s="125" t="n"/>
      <c r="E703" s="125" t="n"/>
      <c r="F703" s="125" t="n"/>
      <c r="G703" s="118">
        <f>CONCATENATE(A703, " ",#REF!, " / ",H703)</f>
        <v/>
      </c>
      <c r="H703" s="118" t="n"/>
      <c r="I703" s="119">
        <f>CONCATENATE(M703," - ",J703," - Lotto N° ",K703,"")</f>
        <v/>
      </c>
      <c r="J703" s="118" t="n"/>
      <c r="K703" s="118">
        <f>VLOOKUP(#REF!,Produzione,7,FALSE)</f>
        <v/>
      </c>
      <c r="L703" s="120" t="n"/>
      <c r="M703" s="120" t="n"/>
      <c r="N703" s="118" t="n"/>
      <c r="O703" s="121" t="n"/>
      <c r="P703" s="121" t="n"/>
      <c r="Q703" s="166">
        <f>TODAY()</f>
        <v/>
      </c>
      <c r="R703" s="165">
        <f>ElencoProdotti[[#This Row],[PRODUZIONE]]+20</f>
        <v/>
      </c>
      <c r="S703" s="165">
        <f>TODAY()</f>
        <v/>
      </c>
      <c r="T703" s="133">
        <f>CONCATENATE(A703," - contiene allergni - prodotto il giorno ",TEXT(Q703,"gg/mm/aaaa"),"")</f>
        <v/>
      </c>
    </row>
    <row r="704" ht="15" customHeight="1" s="155">
      <c r="A704" s="134">
        <f>ric!B704</f>
        <v/>
      </c>
      <c r="B704" s="118">
        <f>ric!C704</f>
        <v/>
      </c>
      <c r="C704" s="125">
        <f>ric!D704</f>
        <v/>
      </c>
      <c r="D704" s="125" t="n"/>
      <c r="E704" s="125" t="n"/>
      <c r="F704" s="125" t="n"/>
      <c r="G704" s="118">
        <f>CONCATENATE(A704, " ",#REF!, " / ",H704)</f>
        <v/>
      </c>
      <c r="H704" s="118" t="n"/>
      <c r="I704" s="119">
        <f>CONCATENATE(M704," - ",J704," - Lotto N° ",K704,"")</f>
        <v/>
      </c>
      <c r="J704" s="118" t="n"/>
      <c r="K704" s="118">
        <f>VLOOKUP(#REF!,Produzione,7,FALSE)</f>
        <v/>
      </c>
      <c r="L704" s="120" t="n"/>
      <c r="M704" s="120" t="n"/>
      <c r="N704" s="118" t="n"/>
      <c r="O704" s="121" t="n"/>
      <c r="P704" s="121" t="n"/>
      <c r="Q704" s="166">
        <f>TODAY()</f>
        <v/>
      </c>
      <c r="R704" s="165">
        <f>ElencoProdotti[[#This Row],[PRODUZIONE]]+20</f>
        <v/>
      </c>
      <c r="S704" s="165">
        <f>TODAY()</f>
        <v/>
      </c>
      <c r="T704" s="133">
        <f>CONCATENATE(A704," - contiene allergni - prodotto il giorno ",TEXT(Q704,"gg/mm/aaaa"),"")</f>
        <v/>
      </c>
    </row>
    <row r="705" ht="15" customHeight="1" s="155">
      <c r="A705" s="134">
        <f>ric!B705</f>
        <v/>
      </c>
      <c r="B705" s="118">
        <f>ric!C705</f>
        <v/>
      </c>
      <c r="C705" s="125">
        <f>ric!D705</f>
        <v/>
      </c>
      <c r="D705" s="125" t="n"/>
      <c r="E705" s="125" t="n"/>
      <c r="F705" s="125" t="n"/>
      <c r="G705" s="118">
        <f>CONCATENATE(A705, " ",#REF!, " / ",H705)</f>
        <v/>
      </c>
      <c r="H705" s="118" t="n"/>
      <c r="I705" s="119">
        <f>CONCATENATE(M705," - ",J705," - Lotto N° ",K705,"")</f>
        <v/>
      </c>
      <c r="J705" s="118" t="n"/>
      <c r="K705" s="118">
        <f>VLOOKUP(#REF!,Produzione,7,FALSE)</f>
        <v/>
      </c>
      <c r="L705" s="120" t="n"/>
      <c r="M705" s="120" t="n"/>
      <c r="N705" s="118" t="n"/>
      <c r="O705" s="121" t="n"/>
      <c r="P705" s="121" t="n"/>
      <c r="Q705" s="166">
        <f>TODAY()</f>
        <v/>
      </c>
      <c r="R705" s="165">
        <f>ElencoProdotti[[#This Row],[PRODUZIONE]]+20</f>
        <v/>
      </c>
      <c r="S705" s="165">
        <f>TODAY()</f>
        <v/>
      </c>
      <c r="T705" s="133">
        <f>CONCATENATE(A705," - contiene allergni - prodotto il giorno ",TEXT(Q705,"gg/mm/aaaa"),"")</f>
        <v/>
      </c>
    </row>
    <row r="706" ht="15" customHeight="1" s="155">
      <c r="A706" s="134">
        <f>ric!B706</f>
        <v/>
      </c>
      <c r="B706" s="118">
        <f>ric!C706</f>
        <v/>
      </c>
      <c r="C706" s="125">
        <f>ric!D706</f>
        <v/>
      </c>
      <c r="D706" s="125" t="n"/>
      <c r="E706" s="125" t="n"/>
      <c r="F706" s="125" t="n"/>
      <c r="G706" s="118">
        <f>CONCATENATE(A706, " ",#REF!, " / ",H706)</f>
        <v/>
      </c>
      <c r="H706" s="118" t="n"/>
      <c r="I706" s="119">
        <f>CONCATENATE(M706," - ",J706," - Lotto N° ",K706,"")</f>
        <v/>
      </c>
      <c r="J706" s="118" t="n"/>
      <c r="K706" s="118">
        <f>VLOOKUP(#REF!,Produzione,7,FALSE)</f>
        <v/>
      </c>
      <c r="L706" s="120" t="n"/>
      <c r="M706" s="120" t="n"/>
      <c r="N706" s="118" t="n"/>
      <c r="O706" s="121" t="n"/>
      <c r="P706" s="121" t="n"/>
      <c r="Q706" s="166">
        <f>TODAY()</f>
        <v/>
      </c>
      <c r="R706" s="165">
        <f>ElencoProdotti[[#This Row],[PRODUZIONE]]+20</f>
        <v/>
      </c>
      <c r="S706" s="165">
        <f>TODAY()</f>
        <v/>
      </c>
      <c r="T706" s="133">
        <f>CONCATENATE(A706," - contiene allergni - prodotto il giorno ",TEXT(Q706,"gg/mm/aaaa"),"")</f>
        <v/>
      </c>
    </row>
    <row r="707" ht="15" customHeight="1" s="155">
      <c r="A707" s="134">
        <f>ric!B707</f>
        <v/>
      </c>
      <c r="B707" s="118">
        <f>ric!C707</f>
        <v/>
      </c>
      <c r="C707" s="125">
        <f>ric!D707</f>
        <v/>
      </c>
      <c r="D707" s="125" t="n"/>
      <c r="E707" s="125" t="n"/>
      <c r="F707" s="125" t="n"/>
      <c r="G707" s="118">
        <f>CONCATENATE(A707, " ",#REF!, " / ",H707)</f>
        <v/>
      </c>
      <c r="H707" s="118" t="n"/>
      <c r="I707" s="119">
        <f>CONCATENATE(M707," - ",J707," - Lotto N° ",K707,"")</f>
        <v/>
      </c>
      <c r="J707" s="118" t="n"/>
      <c r="K707" s="118">
        <f>VLOOKUP(#REF!,Produzione,7,FALSE)</f>
        <v/>
      </c>
      <c r="L707" s="120" t="n"/>
      <c r="M707" s="120" t="n"/>
      <c r="N707" s="118" t="n"/>
      <c r="O707" s="121" t="n"/>
      <c r="P707" s="121" t="n"/>
      <c r="Q707" s="166">
        <f>TODAY()</f>
        <v/>
      </c>
      <c r="R707" s="165">
        <f>ElencoProdotti[[#This Row],[PRODUZIONE]]+20</f>
        <v/>
      </c>
      <c r="S707" s="165">
        <f>TODAY()</f>
        <v/>
      </c>
      <c r="T707" s="133">
        <f>CONCATENATE(A707," - contiene allergni - prodotto il giorno ",TEXT(Q707,"gg/mm/aaaa"),"")</f>
        <v/>
      </c>
    </row>
    <row r="708" ht="15" customHeight="1" s="155">
      <c r="A708" s="134">
        <f>ric!B708</f>
        <v/>
      </c>
      <c r="B708" s="118">
        <f>ric!C708</f>
        <v/>
      </c>
      <c r="C708" s="125">
        <f>ric!D708</f>
        <v/>
      </c>
      <c r="D708" s="125" t="n"/>
      <c r="E708" s="125" t="n"/>
      <c r="F708" s="125" t="n"/>
      <c r="G708" s="118">
        <f>CONCATENATE(A708, " ",#REF!, " / ",H708)</f>
        <v/>
      </c>
      <c r="H708" s="118" t="n"/>
      <c r="I708" s="119">
        <f>CONCATENATE(M708," - ",J708," - Lotto N° ",K708,"")</f>
        <v/>
      </c>
      <c r="J708" s="118" t="n"/>
      <c r="K708" s="118">
        <f>VLOOKUP(#REF!,Produzione,7,FALSE)</f>
        <v/>
      </c>
      <c r="L708" s="120" t="n"/>
      <c r="M708" s="120" t="n"/>
      <c r="N708" s="118" t="n"/>
      <c r="O708" s="121" t="n"/>
      <c r="P708" s="121" t="n"/>
      <c r="Q708" s="166">
        <f>TODAY()</f>
        <v/>
      </c>
      <c r="R708" s="165">
        <f>ElencoProdotti[[#This Row],[PRODUZIONE]]+20</f>
        <v/>
      </c>
      <c r="S708" s="165">
        <f>TODAY()</f>
        <v/>
      </c>
      <c r="T708" s="133">
        <f>CONCATENATE(A708," - contiene allergni - prodotto il giorno ",TEXT(Q708,"gg/mm/aaaa"),"")</f>
        <v/>
      </c>
    </row>
    <row r="709" ht="15" customHeight="1" s="155">
      <c r="A709" s="134">
        <f>ric!B709</f>
        <v/>
      </c>
      <c r="B709" s="118">
        <f>ric!C709</f>
        <v/>
      </c>
      <c r="C709" s="125">
        <f>ric!D709</f>
        <v/>
      </c>
      <c r="D709" s="125" t="n"/>
      <c r="E709" s="125" t="n"/>
      <c r="F709" s="125" t="n"/>
      <c r="G709" s="118">
        <f>CONCATENATE(A709, " ",#REF!, " / ",H709)</f>
        <v/>
      </c>
      <c r="H709" s="118" t="n"/>
      <c r="I709" s="119">
        <f>CONCATENATE(M709," - ",J709," - Lotto N° ",K709,"")</f>
        <v/>
      </c>
      <c r="J709" s="118" t="n"/>
      <c r="K709" s="118">
        <f>VLOOKUP(#REF!,Produzione,7,FALSE)</f>
        <v/>
      </c>
      <c r="L709" s="120" t="n"/>
      <c r="M709" s="120" t="n"/>
      <c r="N709" s="118" t="n"/>
      <c r="O709" s="121" t="n"/>
      <c r="P709" s="121" t="n"/>
      <c r="Q709" s="166">
        <f>TODAY()</f>
        <v/>
      </c>
      <c r="R709" s="165">
        <f>ElencoProdotti[[#This Row],[PRODUZIONE]]+20</f>
        <v/>
      </c>
      <c r="S709" s="165">
        <f>TODAY()</f>
        <v/>
      </c>
      <c r="T709" s="133">
        <f>CONCATENATE(A709," - contiene allergni - prodotto il giorno ",TEXT(Q709,"gg/mm/aaaa"),"")</f>
        <v/>
      </c>
    </row>
    <row r="710" ht="15" customHeight="1" s="155">
      <c r="A710" s="134">
        <f>ric!B710</f>
        <v/>
      </c>
      <c r="B710" s="118">
        <f>ric!C710</f>
        <v/>
      </c>
      <c r="C710" s="125">
        <f>ric!D710</f>
        <v/>
      </c>
      <c r="D710" s="125" t="n"/>
      <c r="E710" s="125" t="n"/>
      <c r="F710" s="125" t="n"/>
      <c r="G710" s="118">
        <f>CONCATENATE(A710, " ",#REF!, " / ",H710)</f>
        <v/>
      </c>
      <c r="H710" s="118" t="n"/>
      <c r="I710" s="119">
        <f>CONCATENATE(M710," - ",J710," - Lotto N° ",K710,"")</f>
        <v/>
      </c>
      <c r="J710" s="118" t="n"/>
      <c r="K710" s="118">
        <f>VLOOKUP(#REF!,Produzione,7,FALSE)</f>
        <v/>
      </c>
      <c r="L710" s="120" t="n"/>
      <c r="M710" s="120" t="n"/>
      <c r="N710" s="118" t="n"/>
      <c r="O710" s="121" t="n"/>
      <c r="P710" s="121" t="n"/>
      <c r="Q710" s="166">
        <f>TODAY()</f>
        <v/>
      </c>
      <c r="R710" s="165">
        <f>ElencoProdotti[[#This Row],[PRODUZIONE]]+20</f>
        <v/>
      </c>
      <c r="S710" s="165">
        <f>TODAY()</f>
        <v/>
      </c>
      <c r="T710" s="133">
        <f>CONCATENATE(A710," - contiene allergni - prodotto il giorno ",TEXT(Q710,"gg/mm/aaaa"),"")</f>
        <v/>
      </c>
    </row>
    <row r="711" ht="15" customHeight="1" s="155">
      <c r="A711" s="134">
        <f>ric!B711</f>
        <v/>
      </c>
      <c r="B711" s="118">
        <f>ric!C711</f>
        <v/>
      </c>
      <c r="C711" s="125">
        <f>ric!D711</f>
        <v/>
      </c>
      <c r="D711" s="125" t="n"/>
      <c r="E711" s="125" t="n"/>
      <c r="F711" s="125" t="n"/>
      <c r="G711" s="118">
        <f>CONCATENATE(A711, " ",#REF!, " / ",H711)</f>
        <v/>
      </c>
      <c r="H711" s="118" t="n"/>
      <c r="I711" s="119">
        <f>CONCATENATE(M711," - ",J711," - Lotto N° ",K711,"")</f>
        <v/>
      </c>
      <c r="J711" s="118" t="n"/>
      <c r="K711" s="118">
        <f>VLOOKUP(#REF!,Produzione,7,FALSE)</f>
        <v/>
      </c>
      <c r="L711" s="120" t="n"/>
      <c r="M711" s="120" t="n"/>
      <c r="N711" s="118" t="n"/>
      <c r="O711" s="121" t="n"/>
      <c r="P711" s="121" t="n"/>
      <c r="Q711" s="166">
        <f>TODAY()</f>
        <v/>
      </c>
      <c r="R711" s="165">
        <f>ElencoProdotti[[#This Row],[PRODUZIONE]]+20</f>
        <v/>
      </c>
      <c r="S711" s="165">
        <f>TODAY()</f>
        <v/>
      </c>
      <c r="T711" s="133">
        <f>CONCATENATE(A711," - contiene allergni - prodotto il giorno ",TEXT(Q711,"gg/mm/aaaa"),"")</f>
        <v/>
      </c>
    </row>
    <row r="712" ht="15" customHeight="1" s="155">
      <c r="A712" s="134">
        <f>ric!B712</f>
        <v/>
      </c>
      <c r="B712" s="118">
        <f>ric!C712</f>
        <v/>
      </c>
      <c r="C712" s="125">
        <f>ric!D712</f>
        <v/>
      </c>
      <c r="D712" s="125" t="n"/>
      <c r="E712" s="125" t="n"/>
      <c r="F712" s="125" t="n"/>
      <c r="G712" s="118">
        <f>CONCATENATE(A712, " ",#REF!, " / ",H712)</f>
        <v/>
      </c>
      <c r="H712" s="118" t="n"/>
      <c r="I712" s="119">
        <f>CONCATENATE(M712," - ",J712," - Lotto N° ",K712,"")</f>
        <v/>
      </c>
      <c r="J712" s="118" t="n"/>
      <c r="K712" s="118">
        <f>VLOOKUP(#REF!,Produzione,7,FALSE)</f>
        <v/>
      </c>
      <c r="L712" s="120" t="n"/>
      <c r="M712" s="120" t="n"/>
      <c r="N712" s="118" t="n"/>
      <c r="O712" s="121" t="n"/>
      <c r="P712" s="121" t="n"/>
      <c r="Q712" s="166">
        <f>TODAY()</f>
        <v/>
      </c>
      <c r="R712" s="165">
        <f>ElencoProdotti[[#This Row],[PRODUZIONE]]+20</f>
        <v/>
      </c>
      <c r="S712" s="165">
        <f>TODAY()</f>
        <v/>
      </c>
      <c r="T712" s="133">
        <f>CONCATENATE(A712," - contiene allergni - prodotto il giorno ",TEXT(Q712,"gg/mm/aaaa"),"")</f>
        <v/>
      </c>
    </row>
    <row r="713" ht="15" customHeight="1" s="155">
      <c r="A713" s="134">
        <f>ric!B713</f>
        <v/>
      </c>
      <c r="B713" s="118">
        <f>ric!C713</f>
        <v/>
      </c>
      <c r="C713" s="125">
        <f>ric!D713</f>
        <v/>
      </c>
      <c r="D713" s="125" t="n"/>
      <c r="E713" s="125" t="n"/>
      <c r="F713" s="125" t="n"/>
      <c r="G713" s="118">
        <f>CONCATENATE(A713, " ",#REF!, " / ",H713)</f>
        <v/>
      </c>
      <c r="H713" s="118" t="n"/>
      <c r="I713" s="119">
        <f>CONCATENATE(M713," - ",J713," - Lotto N° ",K713,"")</f>
        <v/>
      </c>
      <c r="J713" s="118" t="n"/>
      <c r="K713" s="118">
        <f>VLOOKUP(#REF!,Produzione,7,FALSE)</f>
        <v/>
      </c>
      <c r="L713" s="120" t="n"/>
      <c r="M713" s="120" t="n"/>
      <c r="N713" s="118" t="n"/>
      <c r="O713" s="121" t="n"/>
      <c r="P713" s="121" t="n"/>
      <c r="Q713" s="166">
        <f>TODAY()</f>
        <v/>
      </c>
      <c r="R713" s="165">
        <f>ElencoProdotti[[#This Row],[PRODUZIONE]]+20</f>
        <v/>
      </c>
      <c r="S713" s="165">
        <f>TODAY()</f>
        <v/>
      </c>
      <c r="T713" s="133">
        <f>CONCATENATE(A713," - contiene allergni - prodotto il giorno ",TEXT(Q713,"gg/mm/aaaa"),"")</f>
        <v/>
      </c>
    </row>
    <row r="714" ht="15" customHeight="1" s="155">
      <c r="A714" s="134">
        <f>ric!B714</f>
        <v/>
      </c>
      <c r="B714" s="118">
        <f>ric!C714</f>
        <v/>
      </c>
      <c r="C714" s="125">
        <f>ric!D714</f>
        <v/>
      </c>
      <c r="D714" s="125" t="n"/>
      <c r="E714" s="125" t="n"/>
      <c r="F714" s="125" t="n"/>
      <c r="G714" s="118">
        <f>CONCATENATE(A714, " ",#REF!, " / ",H714)</f>
        <v/>
      </c>
      <c r="H714" s="118" t="n"/>
      <c r="I714" s="119">
        <f>CONCATENATE(M714," - ",J714," - Lotto N° ",K714,"")</f>
        <v/>
      </c>
      <c r="J714" s="118" t="n"/>
      <c r="K714" s="118">
        <f>VLOOKUP(#REF!,Produzione,7,FALSE)</f>
        <v/>
      </c>
      <c r="L714" s="120" t="n"/>
      <c r="M714" s="120" t="n"/>
      <c r="N714" s="118" t="n"/>
      <c r="O714" s="121" t="n"/>
      <c r="P714" s="121" t="n"/>
      <c r="Q714" s="166">
        <f>TODAY()</f>
        <v/>
      </c>
      <c r="R714" s="165">
        <f>ElencoProdotti[[#This Row],[PRODUZIONE]]+20</f>
        <v/>
      </c>
      <c r="S714" s="165">
        <f>TODAY()</f>
        <v/>
      </c>
      <c r="T714" s="133">
        <f>CONCATENATE(A714," - contiene allergni - prodotto il giorno ",TEXT(Q714,"gg/mm/aaaa"),"")</f>
        <v/>
      </c>
    </row>
    <row r="715" ht="15" customHeight="1" s="155">
      <c r="A715" s="134">
        <f>ric!B715</f>
        <v/>
      </c>
      <c r="B715" s="118">
        <f>ric!C715</f>
        <v/>
      </c>
      <c r="C715" s="125">
        <f>ric!D715</f>
        <v/>
      </c>
      <c r="D715" s="125" t="n"/>
      <c r="E715" s="125" t="n"/>
      <c r="F715" s="125" t="n"/>
      <c r="G715" s="118">
        <f>CONCATENATE(A715, " ",#REF!, " / ",H715)</f>
        <v/>
      </c>
      <c r="H715" s="118" t="n"/>
      <c r="I715" s="119">
        <f>CONCATENATE(M715," - ",J715," - Lotto N° ",K715,"")</f>
        <v/>
      </c>
      <c r="J715" s="118" t="n"/>
      <c r="K715" s="118">
        <f>VLOOKUP(#REF!,Produzione,7,FALSE)</f>
        <v/>
      </c>
      <c r="L715" s="120" t="n"/>
      <c r="M715" s="120" t="n"/>
      <c r="N715" s="118" t="n"/>
      <c r="O715" s="121" t="n"/>
      <c r="P715" s="121" t="n"/>
      <c r="Q715" s="166">
        <f>TODAY()</f>
        <v/>
      </c>
      <c r="R715" s="165">
        <f>ElencoProdotti[[#This Row],[PRODUZIONE]]+20</f>
        <v/>
      </c>
      <c r="S715" s="165">
        <f>TODAY()</f>
        <v/>
      </c>
      <c r="T715" s="133">
        <f>CONCATENATE(A715," - contiene allergni - prodotto il giorno ",TEXT(Q715,"gg/mm/aaaa"),"")</f>
        <v/>
      </c>
    </row>
    <row r="716" ht="15" customHeight="1" s="155">
      <c r="A716" s="134">
        <f>ric!B716</f>
        <v/>
      </c>
      <c r="B716" s="118">
        <f>ric!C716</f>
        <v/>
      </c>
      <c r="C716" s="125">
        <f>ric!D716</f>
        <v/>
      </c>
      <c r="D716" s="125" t="n"/>
      <c r="E716" s="125" t="n"/>
      <c r="F716" s="125" t="n"/>
      <c r="G716" s="118">
        <f>CONCATENATE(A716, " ",#REF!, " / ",H716)</f>
        <v/>
      </c>
      <c r="H716" s="118" t="n"/>
      <c r="I716" s="119">
        <f>CONCATENATE(M716," - ",J716," - Lotto N° ",K716,"")</f>
        <v/>
      </c>
      <c r="J716" s="118" t="n"/>
      <c r="K716" s="118">
        <f>VLOOKUP(#REF!,Produzione,7,FALSE)</f>
        <v/>
      </c>
      <c r="L716" s="120" t="n"/>
      <c r="M716" s="120" t="n"/>
      <c r="N716" s="118" t="n"/>
      <c r="O716" s="121" t="n"/>
      <c r="P716" s="121" t="n"/>
      <c r="Q716" s="166">
        <f>TODAY()</f>
        <v/>
      </c>
      <c r="R716" s="165">
        <f>ElencoProdotti[[#This Row],[PRODUZIONE]]+20</f>
        <v/>
      </c>
      <c r="S716" s="165">
        <f>TODAY()</f>
        <v/>
      </c>
      <c r="T716" s="133">
        <f>CONCATENATE(A716," - contiene allergni - prodotto il giorno ",TEXT(Q716,"gg/mm/aaaa"),"")</f>
        <v/>
      </c>
    </row>
    <row r="717" ht="15" customHeight="1" s="155">
      <c r="A717" s="134">
        <f>ric!B717</f>
        <v/>
      </c>
      <c r="B717" s="118">
        <f>ric!C717</f>
        <v/>
      </c>
      <c r="C717" s="125">
        <f>ric!D717</f>
        <v/>
      </c>
      <c r="D717" s="125" t="n"/>
      <c r="E717" s="125" t="n"/>
      <c r="F717" s="125" t="n"/>
      <c r="G717" s="118">
        <f>CONCATENATE(A717, " ",#REF!, " / ",H717)</f>
        <v/>
      </c>
      <c r="H717" s="118" t="n"/>
      <c r="I717" s="119">
        <f>CONCATENATE(M717," - ",J717," - Lotto N° ",K717,"")</f>
        <v/>
      </c>
      <c r="J717" s="118" t="n"/>
      <c r="K717" s="118">
        <f>VLOOKUP(#REF!,Produzione,7,FALSE)</f>
        <v/>
      </c>
      <c r="L717" s="120" t="n"/>
      <c r="M717" s="120" t="n"/>
      <c r="N717" s="118" t="n"/>
      <c r="O717" s="121" t="n"/>
      <c r="P717" s="121" t="n"/>
      <c r="Q717" s="166">
        <f>TODAY()</f>
        <v/>
      </c>
      <c r="R717" s="165">
        <f>ElencoProdotti[[#This Row],[PRODUZIONE]]+20</f>
        <v/>
      </c>
      <c r="S717" s="165">
        <f>TODAY()</f>
        <v/>
      </c>
      <c r="T717" s="133">
        <f>CONCATENATE(A717," - contiene allergni - prodotto il giorno ",TEXT(Q717,"gg/mm/aaaa"),"")</f>
        <v/>
      </c>
    </row>
    <row r="718" ht="15" customHeight="1" s="155">
      <c r="A718" s="134">
        <f>ric!B718</f>
        <v/>
      </c>
      <c r="B718" s="118">
        <f>ric!C718</f>
        <v/>
      </c>
      <c r="C718" s="125">
        <f>ric!D718</f>
        <v/>
      </c>
      <c r="D718" s="125" t="n"/>
      <c r="E718" s="125" t="n"/>
      <c r="F718" s="125" t="n"/>
      <c r="G718" s="118">
        <f>CONCATENATE(A718, " ",#REF!, " / ",H718)</f>
        <v/>
      </c>
      <c r="H718" s="118" t="n"/>
      <c r="I718" s="119">
        <f>CONCATENATE(M718," - ",J718," - Lotto N° ",K718,"")</f>
        <v/>
      </c>
      <c r="J718" s="118" t="n"/>
      <c r="K718" s="118">
        <f>VLOOKUP(#REF!,Produzione,7,FALSE)</f>
        <v/>
      </c>
      <c r="L718" s="120" t="n"/>
      <c r="M718" s="120" t="n"/>
      <c r="N718" s="118" t="n"/>
      <c r="O718" s="121" t="n"/>
      <c r="P718" s="121" t="n"/>
      <c r="Q718" s="166">
        <f>TODAY()</f>
        <v/>
      </c>
      <c r="R718" s="165">
        <f>ElencoProdotti[[#This Row],[PRODUZIONE]]+20</f>
        <v/>
      </c>
      <c r="S718" s="165">
        <f>TODAY()</f>
        <v/>
      </c>
      <c r="T718" s="133">
        <f>CONCATENATE(A718," - contiene allergni - prodotto il giorno ",TEXT(Q718,"gg/mm/aaaa"),"")</f>
        <v/>
      </c>
    </row>
    <row r="719" ht="15" customHeight="1" s="155">
      <c r="A719" s="134">
        <f>ric!B719</f>
        <v/>
      </c>
      <c r="B719" s="118">
        <f>ric!C719</f>
        <v/>
      </c>
      <c r="C719" s="125">
        <f>ric!D719</f>
        <v/>
      </c>
      <c r="D719" s="125" t="n"/>
      <c r="E719" s="125" t="n"/>
      <c r="F719" s="125" t="n"/>
      <c r="G719" s="118">
        <f>CONCATENATE(A719, " ",#REF!, " / ",H719)</f>
        <v/>
      </c>
      <c r="H719" s="118" t="n"/>
      <c r="I719" s="119">
        <f>CONCATENATE(M719," - ",J719," - Lotto N° ",K719,"")</f>
        <v/>
      </c>
      <c r="J719" s="118" t="n"/>
      <c r="K719" s="118">
        <f>VLOOKUP(#REF!,Produzione,7,FALSE)</f>
        <v/>
      </c>
      <c r="L719" s="120" t="n"/>
      <c r="M719" s="120" t="n"/>
      <c r="N719" s="118" t="n"/>
      <c r="O719" s="121" t="n"/>
      <c r="P719" s="121" t="n"/>
      <c r="Q719" s="166">
        <f>TODAY()</f>
        <v/>
      </c>
      <c r="R719" s="165">
        <f>ElencoProdotti[[#This Row],[PRODUZIONE]]+20</f>
        <v/>
      </c>
      <c r="S719" s="165">
        <f>TODAY()</f>
        <v/>
      </c>
      <c r="T719" s="133">
        <f>CONCATENATE(A719," - contiene allergni - prodotto il giorno ",TEXT(Q719,"gg/mm/aaaa"),"")</f>
        <v/>
      </c>
    </row>
    <row r="720" ht="15" customHeight="1" s="155">
      <c r="A720" s="134">
        <f>ric!B720</f>
        <v/>
      </c>
      <c r="B720" s="118">
        <f>ric!C720</f>
        <v/>
      </c>
      <c r="C720" s="125">
        <f>ric!D720</f>
        <v/>
      </c>
      <c r="D720" s="125" t="n"/>
      <c r="E720" s="125" t="n"/>
      <c r="F720" s="125" t="n"/>
      <c r="G720" s="118">
        <f>CONCATENATE(A720, " ",#REF!, " / ",H720)</f>
        <v/>
      </c>
      <c r="H720" s="118" t="n"/>
      <c r="I720" s="119">
        <f>CONCATENATE(M720," - ",J720," - Lotto N° ",K720,"")</f>
        <v/>
      </c>
      <c r="J720" s="118" t="n"/>
      <c r="K720" s="118">
        <f>VLOOKUP(#REF!,Produzione,7,FALSE)</f>
        <v/>
      </c>
      <c r="L720" s="120" t="n"/>
      <c r="M720" s="120" t="n"/>
      <c r="N720" s="118" t="n"/>
      <c r="O720" s="121" t="n"/>
      <c r="P720" s="121" t="n"/>
      <c r="Q720" s="166">
        <f>TODAY()</f>
        <v/>
      </c>
      <c r="R720" s="165">
        <f>ElencoProdotti[[#This Row],[PRODUZIONE]]+20</f>
        <v/>
      </c>
      <c r="S720" s="165">
        <f>TODAY()</f>
        <v/>
      </c>
      <c r="T720" s="133">
        <f>CONCATENATE(A720," - contiene allergni - prodotto il giorno ",TEXT(Q720,"gg/mm/aaaa"),"")</f>
        <v/>
      </c>
    </row>
    <row r="721" ht="15" customHeight="1" s="155">
      <c r="A721" s="134">
        <f>ric!B721</f>
        <v/>
      </c>
      <c r="B721" s="118">
        <f>ric!C721</f>
        <v/>
      </c>
      <c r="C721" s="125">
        <f>ric!D721</f>
        <v/>
      </c>
      <c r="D721" s="125" t="n"/>
      <c r="E721" s="125" t="n"/>
      <c r="F721" s="125" t="n"/>
      <c r="G721" s="118">
        <f>CONCATENATE(A721, " ",#REF!, " / ",H721)</f>
        <v/>
      </c>
      <c r="H721" s="118" t="n"/>
      <c r="I721" s="119">
        <f>CONCATENATE(M721," - ",J721," - Lotto N° ",K721,"")</f>
        <v/>
      </c>
      <c r="J721" s="118" t="n"/>
      <c r="K721" s="118">
        <f>VLOOKUP(#REF!,Produzione,7,FALSE)</f>
        <v/>
      </c>
      <c r="L721" s="120" t="n"/>
      <c r="M721" s="120" t="n"/>
      <c r="N721" s="118" t="n"/>
      <c r="O721" s="121" t="n"/>
      <c r="P721" s="121" t="n"/>
      <c r="Q721" s="166">
        <f>TODAY()</f>
        <v/>
      </c>
      <c r="R721" s="165">
        <f>ElencoProdotti[[#This Row],[PRODUZIONE]]+20</f>
        <v/>
      </c>
      <c r="S721" s="165">
        <f>TODAY()</f>
        <v/>
      </c>
      <c r="T721" s="133">
        <f>CONCATENATE(A721," - contiene allergni - prodotto il giorno ",TEXT(Q721,"gg/mm/aaaa"),"")</f>
        <v/>
      </c>
    </row>
    <row r="722" ht="15" customHeight="1" s="155">
      <c r="A722" s="134">
        <f>ric!B722</f>
        <v/>
      </c>
      <c r="B722" s="118">
        <f>ric!C722</f>
        <v/>
      </c>
      <c r="C722" s="125">
        <f>ric!D722</f>
        <v/>
      </c>
      <c r="D722" s="125" t="n"/>
      <c r="E722" s="125" t="n"/>
      <c r="F722" s="125" t="n"/>
      <c r="G722" s="118">
        <f>CONCATENATE(A722, " ",#REF!, " / ",H722)</f>
        <v/>
      </c>
      <c r="H722" s="118" t="n"/>
      <c r="I722" s="119">
        <f>CONCATENATE(M722," - ",J722," - Lotto N° ",K722,"")</f>
        <v/>
      </c>
      <c r="J722" s="118" t="n"/>
      <c r="K722" s="118">
        <f>VLOOKUP(#REF!,Produzione,7,FALSE)</f>
        <v/>
      </c>
      <c r="L722" s="120" t="n"/>
      <c r="M722" s="120" t="n"/>
      <c r="N722" s="118" t="n"/>
      <c r="O722" s="121" t="n"/>
      <c r="P722" s="121" t="n"/>
      <c r="Q722" s="166">
        <f>TODAY()</f>
        <v/>
      </c>
      <c r="R722" s="165">
        <f>ElencoProdotti[[#This Row],[PRODUZIONE]]+20</f>
        <v/>
      </c>
      <c r="S722" s="165">
        <f>TODAY()</f>
        <v/>
      </c>
      <c r="T722" s="133">
        <f>CONCATENATE(A722," - contiene allergni - prodotto il giorno ",TEXT(Q722,"gg/mm/aaaa"),"")</f>
        <v/>
      </c>
    </row>
    <row r="723" ht="15" customHeight="1" s="155">
      <c r="A723" s="134">
        <f>ric!B723</f>
        <v/>
      </c>
      <c r="B723" s="118">
        <f>ric!C723</f>
        <v/>
      </c>
      <c r="C723" s="125">
        <f>ric!D723</f>
        <v/>
      </c>
      <c r="D723" s="125" t="n"/>
      <c r="E723" s="125" t="n"/>
      <c r="F723" s="125" t="n"/>
      <c r="G723" s="118">
        <f>CONCATENATE(A723, " ",#REF!, " / ",H723)</f>
        <v/>
      </c>
      <c r="H723" s="118" t="n"/>
      <c r="I723" s="119">
        <f>CONCATENATE(M723," - ",J723," - Lotto N° ",K723,"")</f>
        <v/>
      </c>
      <c r="J723" s="118" t="n"/>
      <c r="K723" s="118">
        <f>VLOOKUP(#REF!,Produzione,7,FALSE)</f>
        <v/>
      </c>
      <c r="L723" s="120" t="n"/>
      <c r="M723" s="120" t="n"/>
      <c r="N723" s="118" t="n"/>
      <c r="O723" s="121" t="n"/>
      <c r="P723" s="121" t="n"/>
      <c r="Q723" s="166">
        <f>TODAY()</f>
        <v/>
      </c>
      <c r="R723" s="165">
        <f>ElencoProdotti[[#This Row],[PRODUZIONE]]+20</f>
        <v/>
      </c>
      <c r="S723" s="165">
        <f>TODAY()</f>
        <v/>
      </c>
      <c r="T723" s="133">
        <f>CONCATENATE(A723," - contiene allergni - prodotto il giorno ",TEXT(Q723,"gg/mm/aaaa"),"")</f>
        <v/>
      </c>
    </row>
    <row r="724" ht="15" customHeight="1" s="155">
      <c r="A724" s="134">
        <f>ric!B724</f>
        <v/>
      </c>
      <c r="B724" s="118">
        <f>ric!C724</f>
        <v/>
      </c>
      <c r="C724" s="125">
        <f>ric!D724</f>
        <v/>
      </c>
      <c r="D724" s="125" t="n"/>
      <c r="E724" s="125" t="n"/>
      <c r="F724" s="125" t="n"/>
      <c r="G724" s="118">
        <f>CONCATENATE(A724, " ",#REF!, " / ",H724)</f>
        <v/>
      </c>
      <c r="H724" s="118" t="n"/>
      <c r="I724" s="119">
        <f>CONCATENATE(M724," - ",J724," - Lotto N° ",K724,"")</f>
        <v/>
      </c>
      <c r="J724" s="118" t="n"/>
      <c r="K724" s="118">
        <f>VLOOKUP(#REF!,Produzione,7,FALSE)</f>
        <v/>
      </c>
      <c r="L724" s="120" t="n"/>
      <c r="M724" s="120" t="n"/>
      <c r="N724" s="118" t="n"/>
      <c r="O724" s="121" t="n"/>
      <c r="P724" s="121" t="n"/>
      <c r="Q724" s="166">
        <f>TODAY()</f>
        <v/>
      </c>
      <c r="R724" s="165">
        <f>ElencoProdotti[[#This Row],[PRODUZIONE]]+20</f>
        <v/>
      </c>
      <c r="S724" s="165">
        <f>TODAY()</f>
        <v/>
      </c>
      <c r="T724" s="133">
        <f>CONCATENATE(A724," - contiene allergni - prodotto il giorno ",TEXT(Q724,"gg/mm/aaaa"),"")</f>
        <v/>
      </c>
    </row>
    <row r="725" ht="15" customHeight="1" s="155">
      <c r="A725" s="134">
        <f>ric!B725</f>
        <v/>
      </c>
      <c r="B725" s="118">
        <f>ric!C725</f>
        <v/>
      </c>
      <c r="C725" s="125">
        <f>ric!D725</f>
        <v/>
      </c>
      <c r="D725" s="125" t="n"/>
      <c r="E725" s="125" t="n"/>
      <c r="F725" s="125" t="n"/>
      <c r="G725" s="118">
        <f>CONCATENATE(A725, " ",#REF!, " / ",H725)</f>
        <v/>
      </c>
      <c r="H725" s="118" t="n"/>
      <c r="I725" s="119">
        <f>CONCATENATE(M725," - ",J725," - Lotto N° ",K725,"")</f>
        <v/>
      </c>
      <c r="J725" s="118" t="n"/>
      <c r="K725" s="118">
        <f>VLOOKUP(#REF!,Produzione,7,FALSE)</f>
        <v/>
      </c>
      <c r="L725" s="120" t="n"/>
      <c r="M725" s="120" t="n"/>
      <c r="N725" s="118" t="n"/>
      <c r="O725" s="121" t="n"/>
      <c r="P725" s="121" t="n"/>
      <c r="Q725" s="166">
        <f>TODAY()</f>
        <v/>
      </c>
      <c r="R725" s="165">
        <f>ElencoProdotti[[#This Row],[PRODUZIONE]]+20</f>
        <v/>
      </c>
      <c r="S725" s="165">
        <f>TODAY()</f>
        <v/>
      </c>
      <c r="T725" s="133">
        <f>CONCATENATE(A725," - contiene allergni - prodotto il giorno ",TEXT(Q725,"gg/mm/aaaa"),"")</f>
        <v/>
      </c>
    </row>
    <row r="726" ht="15" customHeight="1" s="155">
      <c r="A726" s="134">
        <f>ric!B726</f>
        <v/>
      </c>
      <c r="B726" s="118">
        <f>ric!C726</f>
        <v/>
      </c>
      <c r="C726" s="125">
        <f>ric!D726</f>
        <v/>
      </c>
      <c r="D726" s="125" t="n"/>
      <c r="E726" s="125" t="n"/>
      <c r="F726" s="125" t="n"/>
      <c r="G726" s="118">
        <f>CONCATENATE(A726, " ",#REF!, " / ",H726)</f>
        <v/>
      </c>
      <c r="H726" s="118" t="n"/>
      <c r="I726" s="119">
        <f>CONCATENATE(M726," - ",J726," - Lotto N° ",K726,"")</f>
        <v/>
      </c>
      <c r="J726" s="118" t="n"/>
      <c r="K726" s="118">
        <f>VLOOKUP(#REF!,Produzione,7,FALSE)</f>
        <v/>
      </c>
      <c r="L726" s="120" t="n"/>
      <c r="M726" s="120" t="n"/>
      <c r="N726" s="118" t="n"/>
      <c r="O726" s="121" t="n"/>
      <c r="P726" s="121" t="n"/>
      <c r="Q726" s="166">
        <f>TODAY()</f>
        <v/>
      </c>
      <c r="R726" s="165">
        <f>ElencoProdotti[[#This Row],[PRODUZIONE]]+20</f>
        <v/>
      </c>
      <c r="S726" s="165">
        <f>TODAY()</f>
        <v/>
      </c>
      <c r="T726" s="133">
        <f>CONCATENATE(A726," - contiene allergni - prodotto il giorno ",TEXT(Q726,"gg/mm/aaaa"),"")</f>
        <v/>
      </c>
    </row>
    <row r="727" ht="15" customHeight="1" s="155">
      <c r="A727" s="134">
        <f>ric!B727</f>
        <v/>
      </c>
      <c r="B727" s="118">
        <f>ric!C727</f>
        <v/>
      </c>
      <c r="C727" s="125">
        <f>ric!D727</f>
        <v/>
      </c>
      <c r="D727" s="125" t="n"/>
      <c r="E727" s="125" t="n"/>
      <c r="F727" s="125" t="n"/>
      <c r="G727" s="118">
        <f>CONCATENATE(A727, " ",#REF!, " / ",H727)</f>
        <v/>
      </c>
      <c r="H727" s="118" t="n"/>
      <c r="I727" s="119">
        <f>CONCATENATE(M727," - ",J727," - Lotto N° ",K727,"")</f>
        <v/>
      </c>
      <c r="J727" s="118" t="n"/>
      <c r="K727" s="118">
        <f>VLOOKUP(#REF!,Produzione,7,FALSE)</f>
        <v/>
      </c>
      <c r="L727" s="120" t="n"/>
      <c r="M727" s="120" t="n"/>
      <c r="N727" s="118" t="n"/>
      <c r="O727" s="121" t="n"/>
      <c r="P727" s="121" t="n"/>
      <c r="Q727" s="166">
        <f>TODAY()</f>
        <v/>
      </c>
      <c r="R727" s="165">
        <f>ElencoProdotti[[#This Row],[PRODUZIONE]]+20</f>
        <v/>
      </c>
      <c r="S727" s="165">
        <f>TODAY()</f>
        <v/>
      </c>
      <c r="T727" s="133">
        <f>CONCATENATE(A727," - contiene allergni - prodotto il giorno ",TEXT(Q727,"gg/mm/aaaa"),"")</f>
        <v/>
      </c>
    </row>
    <row r="728" ht="15" customHeight="1" s="155">
      <c r="A728" s="134">
        <f>ric!B728</f>
        <v/>
      </c>
      <c r="B728" s="118">
        <f>ric!C728</f>
        <v/>
      </c>
      <c r="C728" s="125">
        <f>ric!D728</f>
        <v/>
      </c>
      <c r="D728" s="125" t="n"/>
      <c r="E728" s="125" t="n"/>
      <c r="F728" s="125" t="n"/>
      <c r="G728" s="118">
        <f>CONCATENATE(A728, " ",#REF!, " / ",H728)</f>
        <v/>
      </c>
      <c r="H728" s="118" t="n"/>
      <c r="I728" s="119">
        <f>CONCATENATE(M728," - ",J728," - Lotto N° ",K728,"")</f>
        <v/>
      </c>
      <c r="J728" s="118" t="n"/>
      <c r="K728" s="118">
        <f>VLOOKUP(#REF!,Produzione,7,FALSE)</f>
        <v/>
      </c>
      <c r="L728" s="120" t="n"/>
      <c r="M728" s="120" t="n"/>
      <c r="N728" s="118" t="n"/>
      <c r="O728" s="121" t="n"/>
      <c r="P728" s="121" t="n"/>
      <c r="Q728" s="166">
        <f>TODAY()</f>
        <v/>
      </c>
      <c r="R728" s="165">
        <f>ElencoProdotti[[#This Row],[PRODUZIONE]]+20</f>
        <v/>
      </c>
      <c r="S728" s="165">
        <f>TODAY()</f>
        <v/>
      </c>
      <c r="T728" s="133">
        <f>CONCATENATE(A728," - contiene allergni - prodotto il giorno ",TEXT(Q728,"gg/mm/aaaa"),"")</f>
        <v/>
      </c>
    </row>
    <row r="729" ht="15" customHeight="1" s="155">
      <c r="A729" s="134">
        <f>ric!B729</f>
        <v/>
      </c>
      <c r="B729" s="118">
        <f>ric!C729</f>
        <v/>
      </c>
      <c r="C729" s="125">
        <f>ric!D729</f>
        <v/>
      </c>
      <c r="D729" s="125" t="n"/>
      <c r="E729" s="125" t="n"/>
      <c r="F729" s="125" t="n"/>
      <c r="G729" s="118">
        <f>CONCATENATE(A729, " ",#REF!, " / ",H729)</f>
        <v/>
      </c>
      <c r="H729" s="118" t="n"/>
      <c r="I729" s="119">
        <f>CONCATENATE(M729," - ",J729," - Lotto N° ",K729,"")</f>
        <v/>
      </c>
      <c r="J729" s="118" t="n"/>
      <c r="K729" s="118">
        <f>VLOOKUP(#REF!,Produzione,7,FALSE)</f>
        <v/>
      </c>
      <c r="L729" s="120" t="n"/>
      <c r="M729" s="120" t="n"/>
      <c r="N729" s="118" t="n"/>
      <c r="O729" s="121" t="n"/>
      <c r="P729" s="121" t="n"/>
      <c r="Q729" s="166">
        <f>TODAY()</f>
        <v/>
      </c>
      <c r="R729" s="165">
        <f>ElencoProdotti[[#This Row],[PRODUZIONE]]+20</f>
        <v/>
      </c>
      <c r="S729" s="165">
        <f>TODAY()</f>
        <v/>
      </c>
      <c r="T729" s="133">
        <f>CONCATENATE(A729," - contiene allergni - prodotto il giorno ",TEXT(Q729,"gg/mm/aaaa"),"")</f>
        <v/>
      </c>
    </row>
    <row r="730" ht="15" customHeight="1" s="155">
      <c r="A730" s="134">
        <f>ric!B730</f>
        <v/>
      </c>
      <c r="B730" s="118">
        <f>ric!C730</f>
        <v/>
      </c>
      <c r="C730" s="125">
        <f>ric!D730</f>
        <v/>
      </c>
      <c r="D730" s="125" t="n"/>
      <c r="E730" s="125" t="n"/>
      <c r="F730" s="125" t="n"/>
      <c r="G730" s="118">
        <f>CONCATENATE(A730, " ",#REF!, " / ",H730)</f>
        <v/>
      </c>
      <c r="H730" s="118" t="n"/>
      <c r="I730" s="119">
        <f>CONCATENATE(M730," - ",J730," - Lotto N° ",K730,"")</f>
        <v/>
      </c>
      <c r="J730" s="118" t="n"/>
      <c r="K730" s="118">
        <f>VLOOKUP(#REF!,Produzione,7,FALSE)</f>
        <v/>
      </c>
      <c r="L730" s="120" t="n"/>
      <c r="M730" s="120" t="n"/>
      <c r="N730" s="118" t="n"/>
      <c r="O730" s="121" t="n"/>
      <c r="P730" s="121" t="n"/>
      <c r="Q730" s="166">
        <f>TODAY()</f>
        <v/>
      </c>
      <c r="R730" s="165">
        <f>ElencoProdotti[[#This Row],[PRODUZIONE]]+20</f>
        <v/>
      </c>
      <c r="S730" s="165">
        <f>TODAY()</f>
        <v/>
      </c>
      <c r="T730" s="133">
        <f>CONCATENATE(A730," - contiene allergni - prodotto il giorno ",TEXT(Q730,"gg/mm/aaaa"),"")</f>
        <v/>
      </c>
    </row>
    <row r="731" ht="15" customHeight="1" s="155">
      <c r="A731" s="134">
        <f>ric!B731</f>
        <v/>
      </c>
      <c r="B731" s="118">
        <f>ric!C731</f>
        <v/>
      </c>
      <c r="C731" s="125">
        <f>ric!D731</f>
        <v/>
      </c>
      <c r="D731" s="125" t="n"/>
      <c r="E731" s="125" t="n"/>
      <c r="F731" s="125" t="n"/>
      <c r="G731" s="118">
        <f>CONCATENATE(A731, " ",#REF!, " / ",H731)</f>
        <v/>
      </c>
      <c r="H731" s="118" t="n"/>
      <c r="I731" s="119">
        <f>CONCATENATE(M731," - ",J731," - Lotto N° ",K731,"")</f>
        <v/>
      </c>
      <c r="J731" s="118" t="n"/>
      <c r="K731" s="118">
        <f>VLOOKUP(#REF!,Produzione,7,FALSE)</f>
        <v/>
      </c>
      <c r="L731" s="120" t="n"/>
      <c r="M731" s="120" t="n"/>
      <c r="N731" s="118" t="n"/>
      <c r="O731" s="121" t="n"/>
      <c r="P731" s="121" t="n"/>
      <c r="Q731" s="166">
        <f>TODAY()</f>
        <v/>
      </c>
      <c r="R731" s="165">
        <f>ElencoProdotti[[#This Row],[PRODUZIONE]]+20</f>
        <v/>
      </c>
      <c r="S731" s="165">
        <f>TODAY()</f>
        <v/>
      </c>
      <c r="T731" s="133">
        <f>CONCATENATE(A731," - contiene allergni - prodotto il giorno ",TEXT(Q731,"gg/mm/aaaa"),"")</f>
        <v/>
      </c>
    </row>
    <row r="732" ht="15" customHeight="1" s="155">
      <c r="A732" s="134">
        <f>ric!B732</f>
        <v/>
      </c>
      <c r="B732" s="118">
        <f>ric!C732</f>
        <v/>
      </c>
      <c r="C732" s="125">
        <f>ric!D732</f>
        <v/>
      </c>
      <c r="D732" s="125" t="n"/>
      <c r="E732" s="125" t="n"/>
      <c r="F732" s="125" t="n"/>
      <c r="G732" s="118">
        <f>CONCATENATE(A732, " ",#REF!, " / ",H732)</f>
        <v/>
      </c>
      <c r="H732" s="118" t="n"/>
      <c r="I732" s="119">
        <f>CONCATENATE(M732," - ",J732," - Lotto N° ",K732,"")</f>
        <v/>
      </c>
      <c r="J732" s="118" t="n"/>
      <c r="K732" s="118">
        <f>VLOOKUP(#REF!,Produzione,7,FALSE)</f>
        <v/>
      </c>
      <c r="L732" s="120" t="n"/>
      <c r="M732" s="120" t="n"/>
      <c r="N732" s="118" t="n"/>
      <c r="O732" s="121" t="n"/>
      <c r="P732" s="121" t="n"/>
      <c r="Q732" s="166">
        <f>TODAY()</f>
        <v/>
      </c>
      <c r="R732" s="165">
        <f>ElencoProdotti[[#This Row],[PRODUZIONE]]+20</f>
        <v/>
      </c>
      <c r="S732" s="165">
        <f>TODAY()</f>
        <v/>
      </c>
      <c r="T732" s="133">
        <f>CONCATENATE(A732," - contiene allergni - prodotto il giorno ",TEXT(Q732,"gg/mm/aaaa"),"")</f>
        <v/>
      </c>
    </row>
    <row r="733" ht="15" customHeight="1" s="155">
      <c r="A733" s="134">
        <f>ric!B733</f>
        <v/>
      </c>
      <c r="B733" s="118">
        <f>ric!C733</f>
        <v/>
      </c>
      <c r="C733" s="125">
        <f>ric!D733</f>
        <v/>
      </c>
      <c r="D733" s="125" t="n"/>
      <c r="E733" s="125" t="n"/>
      <c r="F733" s="125" t="n"/>
      <c r="G733" s="118">
        <f>CONCATENATE(A733, " ",#REF!, " / ",H733)</f>
        <v/>
      </c>
      <c r="H733" s="118" t="n"/>
      <c r="I733" s="119">
        <f>CONCATENATE(M733," - ",J733," - Lotto N° ",K733,"")</f>
        <v/>
      </c>
      <c r="J733" s="118" t="n"/>
      <c r="K733" s="118">
        <f>VLOOKUP(#REF!,Produzione,7,FALSE)</f>
        <v/>
      </c>
      <c r="L733" s="120" t="n"/>
      <c r="M733" s="120" t="n"/>
      <c r="N733" s="118" t="n"/>
      <c r="O733" s="121" t="n"/>
      <c r="P733" s="121" t="n"/>
      <c r="Q733" s="166">
        <f>TODAY()</f>
        <v/>
      </c>
      <c r="R733" s="165">
        <f>ElencoProdotti[[#This Row],[PRODUZIONE]]+20</f>
        <v/>
      </c>
      <c r="S733" s="165">
        <f>TODAY()</f>
        <v/>
      </c>
      <c r="T733" s="133">
        <f>CONCATENATE(A733," - contiene allergni - prodotto il giorno ",TEXT(Q733,"gg/mm/aaaa"),"")</f>
        <v/>
      </c>
    </row>
    <row r="734" ht="15" customHeight="1" s="155">
      <c r="A734" s="134">
        <f>ric!B734</f>
        <v/>
      </c>
      <c r="B734" s="118">
        <f>ric!C734</f>
        <v/>
      </c>
      <c r="C734" s="125">
        <f>ric!D734</f>
        <v/>
      </c>
      <c r="D734" s="125" t="n"/>
      <c r="E734" s="125" t="n"/>
      <c r="F734" s="125" t="n"/>
      <c r="G734" s="118">
        <f>CONCATENATE(A734, " ",#REF!, " / ",H734)</f>
        <v/>
      </c>
      <c r="H734" s="118" t="n"/>
      <c r="I734" s="119">
        <f>CONCATENATE(M734," - ",J734," - Lotto N° ",K734,"")</f>
        <v/>
      </c>
      <c r="J734" s="118" t="n"/>
      <c r="K734" s="118">
        <f>VLOOKUP(#REF!,Produzione,7,FALSE)</f>
        <v/>
      </c>
      <c r="L734" s="120" t="n"/>
      <c r="M734" s="120" t="n"/>
      <c r="N734" s="118" t="n"/>
      <c r="O734" s="121" t="n"/>
      <c r="P734" s="121" t="n"/>
      <c r="Q734" s="166">
        <f>TODAY()</f>
        <v/>
      </c>
      <c r="R734" s="165">
        <f>ElencoProdotti[[#This Row],[PRODUZIONE]]+20</f>
        <v/>
      </c>
      <c r="S734" s="165">
        <f>TODAY()</f>
        <v/>
      </c>
      <c r="T734" s="133">
        <f>CONCATENATE(A734," - contiene allergni - prodotto il giorno ",TEXT(Q734,"gg/mm/aaaa"),"")</f>
        <v/>
      </c>
    </row>
    <row r="735" ht="15" customHeight="1" s="155">
      <c r="A735" s="134">
        <f>ric!B735</f>
        <v/>
      </c>
      <c r="B735" s="118">
        <f>ric!C735</f>
        <v/>
      </c>
      <c r="C735" s="125">
        <f>ric!D735</f>
        <v/>
      </c>
      <c r="D735" s="125" t="n"/>
      <c r="E735" s="125" t="n"/>
      <c r="F735" s="125" t="n"/>
      <c r="G735" s="118">
        <f>CONCATENATE(A735, " ",#REF!, " / ",H735)</f>
        <v/>
      </c>
      <c r="H735" s="118" t="n"/>
      <c r="I735" s="119">
        <f>CONCATENATE(M735," - ",J735," - Lotto N° ",K735,"")</f>
        <v/>
      </c>
      <c r="J735" s="118" t="n"/>
      <c r="K735" s="118">
        <f>VLOOKUP(#REF!,Produzione,7,FALSE)</f>
        <v/>
      </c>
      <c r="L735" s="120" t="n"/>
      <c r="M735" s="120" t="n"/>
      <c r="N735" s="118" t="n"/>
      <c r="O735" s="121" t="n"/>
      <c r="P735" s="121" t="n"/>
      <c r="Q735" s="166">
        <f>TODAY()</f>
        <v/>
      </c>
      <c r="R735" s="165">
        <f>ElencoProdotti[[#This Row],[PRODUZIONE]]+20</f>
        <v/>
      </c>
      <c r="S735" s="165">
        <f>TODAY()</f>
        <v/>
      </c>
      <c r="T735" s="133">
        <f>CONCATENATE(A735," - contiene allergni - prodotto il giorno ",TEXT(Q735,"gg/mm/aaaa"),"")</f>
        <v/>
      </c>
    </row>
    <row r="736" ht="15" customHeight="1" s="155">
      <c r="A736" s="134">
        <f>ric!B736</f>
        <v/>
      </c>
      <c r="B736" s="118">
        <f>ric!C736</f>
        <v/>
      </c>
      <c r="C736" s="125">
        <f>ric!D736</f>
        <v/>
      </c>
      <c r="D736" s="125" t="n"/>
      <c r="E736" s="125" t="n"/>
      <c r="F736" s="125" t="n"/>
      <c r="G736" s="118">
        <f>CONCATENATE(A736, " ",#REF!, " / ",H736)</f>
        <v/>
      </c>
      <c r="H736" s="118" t="n"/>
      <c r="I736" s="119">
        <f>CONCATENATE(M736," - ",J736," - Lotto N° ",K736,"")</f>
        <v/>
      </c>
      <c r="J736" s="118" t="n"/>
      <c r="K736" s="118">
        <f>VLOOKUP(#REF!,Produzione,7,FALSE)</f>
        <v/>
      </c>
      <c r="L736" s="120" t="n"/>
      <c r="M736" s="120" t="n"/>
      <c r="N736" s="118" t="n"/>
      <c r="O736" s="121" t="n"/>
      <c r="P736" s="121" t="n"/>
      <c r="Q736" s="166">
        <f>TODAY()</f>
        <v/>
      </c>
      <c r="R736" s="165">
        <f>ElencoProdotti[[#This Row],[PRODUZIONE]]+20</f>
        <v/>
      </c>
      <c r="S736" s="165">
        <f>TODAY()</f>
        <v/>
      </c>
      <c r="T736" s="133">
        <f>CONCATENATE(A736," - contiene allergni - prodotto il giorno ",TEXT(Q736,"gg/mm/aaaa"),"")</f>
        <v/>
      </c>
    </row>
    <row r="737" ht="15" customHeight="1" s="155">
      <c r="A737" s="134">
        <f>ric!B737</f>
        <v/>
      </c>
      <c r="B737" s="118">
        <f>ric!C737</f>
        <v/>
      </c>
      <c r="C737" s="125">
        <f>ric!D737</f>
        <v/>
      </c>
      <c r="D737" s="125" t="n"/>
      <c r="E737" s="125" t="n"/>
      <c r="F737" s="125" t="n"/>
      <c r="G737" s="118">
        <f>CONCATENATE(A737, " ",#REF!, " / ",H737)</f>
        <v/>
      </c>
      <c r="H737" s="118" t="n"/>
      <c r="I737" s="119">
        <f>CONCATENATE(M737," - ",J737," - Lotto N° ",K737,"")</f>
        <v/>
      </c>
      <c r="J737" s="118" t="n"/>
      <c r="K737" s="118">
        <f>VLOOKUP(#REF!,Produzione,7,FALSE)</f>
        <v/>
      </c>
      <c r="L737" s="120" t="n"/>
      <c r="M737" s="120" t="n"/>
      <c r="N737" s="118" t="n"/>
      <c r="O737" s="121" t="n"/>
      <c r="P737" s="121" t="n"/>
      <c r="Q737" s="166">
        <f>TODAY()</f>
        <v/>
      </c>
      <c r="R737" s="165">
        <f>ElencoProdotti[[#This Row],[PRODUZIONE]]+20</f>
        <v/>
      </c>
      <c r="S737" s="165">
        <f>TODAY()</f>
        <v/>
      </c>
      <c r="T737" s="133">
        <f>CONCATENATE(A737," - contiene allergni - prodotto il giorno ",TEXT(Q737,"gg/mm/aaaa"),"")</f>
        <v/>
      </c>
    </row>
    <row r="738" ht="15" customHeight="1" s="155">
      <c r="A738" s="134">
        <f>ric!B738</f>
        <v/>
      </c>
      <c r="B738" s="118">
        <f>ric!C738</f>
        <v/>
      </c>
      <c r="C738" s="125">
        <f>ric!D738</f>
        <v/>
      </c>
      <c r="D738" s="125" t="n"/>
      <c r="E738" s="125" t="n"/>
      <c r="F738" s="125" t="n"/>
      <c r="G738" s="118">
        <f>CONCATENATE(A738, " ",#REF!, " / ",H738)</f>
        <v/>
      </c>
      <c r="H738" s="118" t="n"/>
      <c r="I738" s="119">
        <f>CONCATENATE(M738," - ",J738," - Lotto N° ",K738,"")</f>
        <v/>
      </c>
      <c r="J738" s="118" t="n"/>
      <c r="K738" s="118">
        <f>VLOOKUP(#REF!,Produzione,7,FALSE)</f>
        <v/>
      </c>
      <c r="L738" s="120" t="n"/>
      <c r="M738" s="120" t="n"/>
      <c r="N738" s="118" t="n"/>
      <c r="O738" s="121" t="n"/>
      <c r="P738" s="121" t="n"/>
      <c r="Q738" s="166">
        <f>TODAY()</f>
        <v/>
      </c>
      <c r="R738" s="165">
        <f>ElencoProdotti[[#This Row],[PRODUZIONE]]+20</f>
        <v/>
      </c>
      <c r="S738" s="165">
        <f>TODAY()</f>
        <v/>
      </c>
      <c r="T738" s="133">
        <f>CONCATENATE(A738," - contiene allergni - prodotto il giorno ",TEXT(Q738,"gg/mm/aaaa"),"")</f>
        <v/>
      </c>
    </row>
    <row r="739" ht="15" customHeight="1" s="155">
      <c r="A739" s="134">
        <f>ric!B739</f>
        <v/>
      </c>
      <c r="B739" s="118">
        <f>ric!C739</f>
        <v/>
      </c>
      <c r="C739" s="125">
        <f>ric!D739</f>
        <v/>
      </c>
      <c r="D739" s="125" t="n"/>
      <c r="E739" s="125" t="n"/>
      <c r="F739" s="125" t="n"/>
      <c r="G739" s="118">
        <f>CONCATENATE(A739, " ",#REF!, " / ",H739)</f>
        <v/>
      </c>
      <c r="H739" s="118" t="n"/>
      <c r="I739" s="119">
        <f>CONCATENATE(M739," - ",J739," - Lotto N° ",K739,"")</f>
        <v/>
      </c>
      <c r="J739" s="118" t="n"/>
      <c r="K739" s="118">
        <f>VLOOKUP(#REF!,Produzione,7,FALSE)</f>
        <v/>
      </c>
      <c r="L739" s="120" t="n"/>
      <c r="M739" s="120" t="n"/>
      <c r="N739" s="118" t="n"/>
      <c r="O739" s="121" t="n"/>
      <c r="P739" s="121" t="n"/>
      <c r="Q739" s="166">
        <f>TODAY()</f>
        <v/>
      </c>
      <c r="R739" s="165">
        <f>ElencoProdotti[[#This Row],[PRODUZIONE]]+20</f>
        <v/>
      </c>
      <c r="S739" s="165">
        <f>TODAY()</f>
        <v/>
      </c>
      <c r="T739" s="133">
        <f>CONCATENATE(A739," - contiene allergni - prodotto il giorno ",TEXT(Q739,"gg/mm/aaaa"),"")</f>
        <v/>
      </c>
    </row>
    <row r="740" ht="15" customHeight="1" s="155">
      <c r="A740" s="134">
        <f>ric!B740</f>
        <v/>
      </c>
      <c r="B740" s="118">
        <f>ric!C740</f>
        <v/>
      </c>
      <c r="C740" s="125">
        <f>ric!D740</f>
        <v/>
      </c>
      <c r="D740" s="125" t="n"/>
      <c r="E740" s="125" t="n"/>
      <c r="F740" s="125" t="n"/>
      <c r="G740" s="118">
        <f>CONCATENATE(A740, " ",#REF!, " / ",H740)</f>
        <v/>
      </c>
      <c r="H740" s="118" t="n"/>
      <c r="I740" s="119">
        <f>CONCATENATE(M740," - ",J740," - Lotto N° ",K740,"")</f>
        <v/>
      </c>
      <c r="J740" s="118" t="n"/>
      <c r="K740" s="118">
        <f>VLOOKUP(#REF!,Produzione,7,FALSE)</f>
        <v/>
      </c>
      <c r="L740" s="120" t="n"/>
      <c r="M740" s="120" t="n"/>
      <c r="N740" s="118" t="n"/>
      <c r="O740" s="121" t="n"/>
      <c r="P740" s="121" t="n"/>
      <c r="Q740" s="166">
        <f>TODAY()</f>
        <v/>
      </c>
      <c r="R740" s="165">
        <f>ElencoProdotti[[#This Row],[PRODUZIONE]]+20</f>
        <v/>
      </c>
      <c r="S740" s="165">
        <f>TODAY()</f>
        <v/>
      </c>
      <c r="T740" s="133">
        <f>CONCATENATE(A740," - contiene allergni - prodotto il giorno ",TEXT(Q740,"gg/mm/aaaa"),"")</f>
        <v/>
      </c>
    </row>
    <row r="741" ht="15" customHeight="1" s="155">
      <c r="A741" s="134">
        <f>ric!B741</f>
        <v/>
      </c>
      <c r="B741" s="118">
        <f>ric!C741</f>
        <v/>
      </c>
      <c r="C741" s="125">
        <f>ric!D741</f>
        <v/>
      </c>
      <c r="D741" s="125" t="n"/>
      <c r="E741" s="125" t="n"/>
      <c r="F741" s="125" t="n"/>
      <c r="G741" s="118">
        <f>CONCATENATE(A741, " ",#REF!, " / ",H741)</f>
        <v/>
      </c>
      <c r="H741" s="118" t="n"/>
      <c r="I741" s="119">
        <f>CONCATENATE(M741," - ",J741," - Lotto N° ",K741,"")</f>
        <v/>
      </c>
      <c r="J741" s="118" t="n"/>
      <c r="K741" s="118">
        <f>VLOOKUP(#REF!,Produzione,7,FALSE)</f>
        <v/>
      </c>
      <c r="L741" s="120" t="n"/>
      <c r="M741" s="120" t="n"/>
      <c r="N741" s="118" t="n"/>
      <c r="O741" s="121" t="n"/>
      <c r="P741" s="121" t="n"/>
      <c r="Q741" s="166">
        <f>TODAY()</f>
        <v/>
      </c>
      <c r="R741" s="165">
        <f>ElencoProdotti[[#This Row],[PRODUZIONE]]+20</f>
        <v/>
      </c>
      <c r="S741" s="165">
        <f>TODAY()</f>
        <v/>
      </c>
      <c r="T741" s="133">
        <f>CONCATENATE(A741," - contiene allergni - prodotto il giorno ",TEXT(Q741,"gg/mm/aaaa"),"")</f>
        <v/>
      </c>
    </row>
    <row r="742" ht="15" customHeight="1" s="155">
      <c r="A742" s="134">
        <f>ric!B742</f>
        <v/>
      </c>
      <c r="B742" s="118">
        <f>ric!C742</f>
        <v/>
      </c>
      <c r="C742" s="125">
        <f>ric!D742</f>
        <v/>
      </c>
      <c r="D742" s="125" t="n"/>
      <c r="E742" s="125" t="n"/>
      <c r="F742" s="125" t="n"/>
      <c r="G742" s="118">
        <f>CONCATENATE(A742, " ",#REF!, " / ",H742)</f>
        <v/>
      </c>
      <c r="H742" s="118" t="n"/>
      <c r="I742" s="119">
        <f>CONCATENATE(M742," - ",J742," - Lotto N° ",K742,"")</f>
        <v/>
      </c>
      <c r="J742" s="118" t="n"/>
      <c r="K742" s="118">
        <f>VLOOKUP(#REF!,Produzione,7,FALSE)</f>
        <v/>
      </c>
      <c r="L742" s="120" t="n"/>
      <c r="M742" s="120" t="n"/>
      <c r="N742" s="118" t="n"/>
      <c r="O742" s="121" t="n"/>
      <c r="P742" s="121" t="n"/>
      <c r="Q742" s="166">
        <f>TODAY()</f>
        <v/>
      </c>
      <c r="R742" s="165">
        <f>ElencoProdotti[[#This Row],[PRODUZIONE]]+20</f>
        <v/>
      </c>
      <c r="S742" s="165">
        <f>TODAY()</f>
        <v/>
      </c>
      <c r="T742" s="133">
        <f>CONCATENATE(A742," - contiene allergni - prodotto il giorno ",TEXT(Q742,"gg/mm/aaaa"),"")</f>
        <v/>
      </c>
    </row>
    <row r="743" ht="15" customHeight="1" s="155">
      <c r="A743" s="134">
        <f>ric!B743</f>
        <v/>
      </c>
      <c r="B743" s="118">
        <f>ric!C743</f>
        <v/>
      </c>
      <c r="C743" s="125">
        <f>ric!D743</f>
        <v/>
      </c>
      <c r="D743" s="125" t="n"/>
      <c r="E743" s="125" t="n"/>
      <c r="F743" s="125" t="n"/>
      <c r="G743" s="118">
        <f>CONCATENATE(A743, " ",#REF!, " / ",H743)</f>
        <v/>
      </c>
      <c r="H743" s="118" t="n"/>
      <c r="I743" s="119">
        <f>CONCATENATE(M743," - ",J743," - Lotto N° ",K743,"")</f>
        <v/>
      </c>
      <c r="J743" s="118" t="n"/>
      <c r="K743" s="118">
        <f>VLOOKUP(#REF!,Produzione,7,FALSE)</f>
        <v/>
      </c>
      <c r="L743" s="120" t="n"/>
      <c r="M743" s="120" t="n"/>
      <c r="N743" s="118" t="n"/>
      <c r="O743" s="121" t="n"/>
      <c r="P743" s="121" t="n"/>
      <c r="Q743" s="166">
        <f>TODAY()</f>
        <v/>
      </c>
      <c r="R743" s="165">
        <f>ElencoProdotti[[#This Row],[PRODUZIONE]]+20</f>
        <v/>
      </c>
      <c r="S743" s="165">
        <f>TODAY()</f>
        <v/>
      </c>
      <c r="T743" s="133">
        <f>CONCATENATE(A743," - contiene allergni - prodotto il giorno ",TEXT(Q743,"gg/mm/aaaa"),"")</f>
        <v/>
      </c>
    </row>
    <row r="744" ht="15" customHeight="1" s="155">
      <c r="A744" s="134">
        <f>ric!B744</f>
        <v/>
      </c>
      <c r="B744" s="118">
        <f>ric!C744</f>
        <v/>
      </c>
      <c r="C744" s="125">
        <f>ric!D744</f>
        <v/>
      </c>
      <c r="D744" s="125" t="n"/>
      <c r="E744" s="125" t="n"/>
      <c r="F744" s="125" t="n"/>
      <c r="G744" s="118">
        <f>CONCATENATE(A744, " ",#REF!, " / ",H744)</f>
        <v/>
      </c>
      <c r="H744" s="118" t="n"/>
      <c r="I744" s="119">
        <f>CONCATENATE(M744," - ",J744," - Lotto N° ",K744,"")</f>
        <v/>
      </c>
      <c r="J744" s="118" t="n"/>
      <c r="K744" s="118">
        <f>VLOOKUP(#REF!,Produzione,7,FALSE)</f>
        <v/>
      </c>
      <c r="L744" s="120" t="n"/>
      <c r="M744" s="120" t="n"/>
      <c r="N744" s="118" t="n"/>
      <c r="O744" s="121" t="n"/>
      <c r="P744" s="121" t="n"/>
      <c r="Q744" s="166">
        <f>TODAY()</f>
        <v/>
      </c>
      <c r="R744" s="165">
        <f>ElencoProdotti[[#This Row],[PRODUZIONE]]+20</f>
        <v/>
      </c>
      <c r="S744" s="165">
        <f>TODAY()</f>
        <v/>
      </c>
      <c r="T744" s="133">
        <f>CONCATENATE(A744," - contiene allergni - prodotto il giorno ",TEXT(Q744,"gg/mm/aaaa"),"")</f>
        <v/>
      </c>
    </row>
    <row r="745" ht="15" customHeight="1" s="155">
      <c r="A745" s="134">
        <f>ric!B745</f>
        <v/>
      </c>
      <c r="B745" s="118">
        <f>ric!C745</f>
        <v/>
      </c>
      <c r="C745" s="125">
        <f>ric!D745</f>
        <v/>
      </c>
      <c r="D745" s="125" t="n"/>
      <c r="E745" s="125" t="n"/>
      <c r="F745" s="125" t="n"/>
      <c r="G745" s="118">
        <f>CONCATENATE(A745, " ",#REF!, " / ",H745)</f>
        <v/>
      </c>
      <c r="H745" s="118" t="n"/>
      <c r="I745" s="119">
        <f>CONCATENATE(M745," - ",J745," - Lotto N° ",K745,"")</f>
        <v/>
      </c>
      <c r="J745" s="118" t="n"/>
      <c r="K745" s="118">
        <f>VLOOKUP(#REF!,Produzione,7,FALSE)</f>
        <v/>
      </c>
      <c r="L745" s="120" t="n"/>
      <c r="M745" s="120" t="n"/>
      <c r="N745" s="118" t="n"/>
      <c r="O745" s="121" t="n"/>
      <c r="P745" s="121" t="n"/>
      <c r="Q745" s="166">
        <f>TODAY()</f>
        <v/>
      </c>
      <c r="R745" s="165">
        <f>ElencoProdotti[[#This Row],[PRODUZIONE]]+20</f>
        <v/>
      </c>
      <c r="S745" s="165">
        <f>TODAY()</f>
        <v/>
      </c>
      <c r="T745" s="133">
        <f>CONCATENATE(A745," - contiene allergni - prodotto il giorno ",TEXT(Q745,"gg/mm/aaaa"),"")</f>
        <v/>
      </c>
    </row>
    <row r="746" ht="15" customHeight="1" s="155">
      <c r="A746" s="134">
        <f>ric!B746</f>
        <v/>
      </c>
      <c r="B746" s="118">
        <f>ric!C746</f>
        <v/>
      </c>
      <c r="C746" s="125">
        <f>ric!D746</f>
        <v/>
      </c>
      <c r="D746" s="125" t="n"/>
      <c r="E746" s="125" t="n"/>
      <c r="F746" s="125" t="n"/>
      <c r="G746" s="118">
        <f>CONCATENATE(A746, " ",#REF!, " / ",H746)</f>
        <v/>
      </c>
      <c r="H746" s="118" t="n"/>
      <c r="I746" s="119">
        <f>CONCATENATE(M746," - ",J746," - Lotto N° ",K746,"")</f>
        <v/>
      </c>
      <c r="J746" s="118" t="n"/>
      <c r="K746" s="118">
        <f>VLOOKUP(#REF!,Produzione,7,FALSE)</f>
        <v/>
      </c>
      <c r="L746" s="120" t="n"/>
      <c r="M746" s="120" t="n"/>
      <c r="N746" s="118" t="n"/>
      <c r="O746" s="121" t="n"/>
      <c r="P746" s="121" t="n"/>
      <c r="Q746" s="166">
        <f>TODAY()</f>
        <v/>
      </c>
      <c r="R746" s="165">
        <f>ElencoProdotti[[#This Row],[PRODUZIONE]]+20</f>
        <v/>
      </c>
      <c r="S746" s="165">
        <f>TODAY()</f>
        <v/>
      </c>
      <c r="T746" s="133">
        <f>CONCATENATE(A746," - contiene allergni - prodotto il giorno ",TEXT(Q746,"gg/mm/aaaa"),"")</f>
        <v/>
      </c>
    </row>
    <row r="747" ht="15" customHeight="1" s="155">
      <c r="A747" s="134">
        <f>ric!B747</f>
        <v/>
      </c>
      <c r="B747" s="118">
        <f>ric!C747</f>
        <v/>
      </c>
      <c r="C747" s="125">
        <f>ric!D747</f>
        <v/>
      </c>
      <c r="D747" s="125" t="n"/>
      <c r="E747" s="125" t="n"/>
      <c r="F747" s="125" t="n"/>
      <c r="G747" s="118">
        <f>CONCATENATE(A747, " ",#REF!, " / ",H747)</f>
        <v/>
      </c>
      <c r="H747" s="118" t="n"/>
      <c r="I747" s="119">
        <f>CONCATENATE(M747," - ",J747," - Lotto N° ",K747,"")</f>
        <v/>
      </c>
      <c r="J747" s="118" t="n"/>
      <c r="K747" s="118">
        <f>VLOOKUP(#REF!,Produzione,7,FALSE)</f>
        <v/>
      </c>
      <c r="L747" s="120" t="n"/>
      <c r="M747" s="120" t="n"/>
      <c r="N747" s="118" t="n"/>
      <c r="O747" s="121" t="n"/>
      <c r="P747" s="121" t="n"/>
      <c r="Q747" s="166">
        <f>TODAY()</f>
        <v/>
      </c>
      <c r="R747" s="165">
        <f>ElencoProdotti[[#This Row],[PRODUZIONE]]+20</f>
        <v/>
      </c>
      <c r="S747" s="165">
        <f>TODAY()</f>
        <v/>
      </c>
      <c r="T747" s="133">
        <f>CONCATENATE(A747," - contiene allergni - prodotto il giorno ",TEXT(Q747,"gg/mm/aaaa"),"")</f>
        <v/>
      </c>
    </row>
    <row r="748" ht="15" customHeight="1" s="155">
      <c r="A748" s="134">
        <f>ric!B748</f>
        <v/>
      </c>
      <c r="B748" s="118">
        <f>ric!C748</f>
        <v/>
      </c>
      <c r="C748" s="125">
        <f>ric!D748</f>
        <v/>
      </c>
      <c r="D748" s="125" t="n"/>
      <c r="E748" s="125" t="n"/>
      <c r="F748" s="125" t="n"/>
      <c r="G748" s="118">
        <f>CONCATENATE(A748, " ",#REF!, " / ",H748)</f>
        <v/>
      </c>
      <c r="H748" s="118" t="n"/>
      <c r="I748" s="119">
        <f>CONCATENATE(M748," - ",J748," - Lotto N° ",K748,"")</f>
        <v/>
      </c>
      <c r="J748" s="118" t="n"/>
      <c r="K748" s="118">
        <f>VLOOKUP(#REF!,Produzione,7,FALSE)</f>
        <v/>
      </c>
      <c r="L748" s="120" t="n"/>
      <c r="M748" s="120" t="n"/>
      <c r="N748" s="118" t="n"/>
      <c r="O748" s="121" t="n"/>
      <c r="P748" s="121" t="n"/>
      <c r="Q748" s="166">
        <f>TODAY()</f>
        <v/>
      </c>
      <c r="R748" s="165">
        <f>ElencoProdotti[[#This Row],[PRODUZIONE]]+20</f>
        <v/>
      </c>
      <c r="S748" s="165">
        <f>TODAY()</f>
        <v/>
      </c>
      <c r="T748" s="133">
        <f>CONCATENATE(A748," - contiene allergni - prodotto il giorno ",TEXT(Q748,"gg/mm/aaaa"),"")</f>
        <v/>
      </c>
    </row>
    <row r="749" ht="15" customHeight="1" s="155">
      <c r="A749" s="134">
        <f>ric!B749</f>
        <v/>
      </c>
      <c r="B749" s="118">
        <f>ric!C749</f>
        <v/>
      </c>
      <c r="C749" s="125">
        <f>ric!D749</f>
        <v/>
      </c>
      <c r="D749" s="125" t="n"/>
      <c r="E749" s="125" t="n"/>
      <c r="F749" s="125" t="n"/>
      <c r="G749" s="118">
        <f>CONCATENATE(A749, " ",#REF!, " / ",H749)</f>
        <v/>
      </c>
      <c r="H749" s="118" t="n"/>
      <c r="I749" s="119">
        <f>CONCATENATE(M749," - ",J749," - Lotto N° ",K749,"")</f>
        <v/>
      </c>
      <c r="J749" s="118" t="n"/>
      <c r="K749" s="118">
        <f>VLOOKUP(#REF!,Produzione,7,FALSE)</f>
        <v/>
      </c>
      <c r="L749" s="120" t="n"/>
      <c r="M749" s="120" t="n"/>
      <c r="N749" s="118" t="n"/>
      <c r="O749" s="121" t="n"/>
      <c r="P749" s="121" t="n"/>
      <c r="Q749" s="166">
        <f>TODAY()</f>
        <v/>
      </c>
      <c r="R749" s="165">
        <f>ElencoProdotti[[#This Row],[PRODUZIONE]]+20</f>
        <v/>
      </c>
      <c r="S749" s="165">
        <f>TODAY()</f>
        <v/>
      </c>
      <c r="T749" s="133">
        <f>CONCATENATE(A749," - contiene allergni - prodotto il giorno ",TEXT(Q749,"gg/mm/aaaa"),"")</f>
        <v/>
      </c>
    </row>
    <row r="750" ht="15" customHeight="1" s="155">
      <c r="A750" s="134">
        <f>ric!B750</f>
        <v/>
      </c>
      <c r="B750" s="118">
        <f>ric!C750</f>
        <v/>
      </c>
      <c r="C750" s="125">
        <f>ric!D750</f>
        <v/>
      </c>
      <c r="D750" s="125" t="n"/>
      <c r="E750" s="125" t="n"/>
      <c r="F750" s="125" t="n"/>
      <c r="G750" s="118">
        <f>CONCATENATE(A750, " ",#REF!, " / ",H750)</f>
        <v/>
      </c>
      <c r="H750" s="118" t="n"/>
      <c r="I750" s="119">
        <f>CONCATENATE(M750," - ",J750," - Lotto N° ",K750,"")</f>
        <v/>
      </c>
      <c r="J750" s="118" t="n"/>
      <c r="K750" s="118">
        <f>VLOOKUP(#REF!,Produzione,7,FALSE)</f>
        <v/>
      </c>
      <c r="L750" s="120" t="n"/>
      <c r="M750" s="120" t="n"/>
      <c r="N750" s="118" t="n"/>
      <c r="O750" s="121" t="n"/>
      <c r="P750" s="121" t="n"/>
      <c r="Q750" s="166">
        <f>TODAY()</f>
        <v/>
      </c>
      <c r="R750" s="165">
        <f>ElencoProdotti[[#This Row],[PRODUZIONE]]+20</f>
        <v/>
      </c>
      <c r="S750" s="165">
        <f>TODAY()</f>
        <v/>
      </c>
      <c r="T750" s="133">
        <f>CONCATENATE(A750," - contiene allergni - prodotto il giorno ",TEXT(Q750,"gg/mm/aaaa"),"")</f>
        <v/>
      </c>
    </row>
    <row r="751" ht="15" customHeight="1" s="155">
      <c r="A751" s="134">
        <f>ric!B751</f>
        <v/>
      </c>
      <c r="B751" s="118">
        <f>ric!C751</f>
        <v/>
      </c>
      <c r="C751" s="125">
        <f>ric!D751</f>
        <v/>
      </c>
      <c r="D751" s="125" t="n"/>
      <c r="E751" s="125" t="n"/>
      <c r="F751" s="125" t="n"/>
      <c r="G751" s="118">
        <f>CONCATENATE(A751, " ",#REF!, " / ",H751)</f>
        <v/>
      </c>
      <c r="H751" s="118" t="n"/>
      <c r="I751" s="119">
        <f>CONCATENATE(M751," - ",J751," - Lotto N° ",K751,"")</f>
        <v/>
      </c>
      <c r="J751" s="118" t="n"/>
      <c r="K751" s="118">
        <f>VLOOKUP(#REF!,Produzione,7,FALSE)</f>
        <v/>
      </c>
      <c r="L751" s="120" t="n"/>
      <c r="M751" s="120" t="n"/>
      <c r="N751" s="118" t="n"/>
      <c r="O751" s="121" t="n"/>
      <c r="P751" s="121" t="n"/>
      <c r="Q751" s="166">
        <f>TODAY()</f>
        <v/>
      </c>
      <c r="R751" s="165">
        <f>ElencoProdotti[[#This Row],[PRODUZIONE]]+20</f>
        <v/>
      </c>
      <c r="S751" s="165">
        <f>TODAY()</f>
        <v/>
      </c>
      <c r="T751" s="133">
        <f>CONCATENATE(A751," - contiene allergni - prodotto il giorno ",TEXT(Q751,"gg/mm/aaaa"),"")</f>
        <v/>
      </c>
    </row>
    <row r="752" ht="15" customHeight="1" s="155">
      <c r="A752" s="134">
        <f>ric!B752</f>
        <v/>
      </c>
      <c r="B752" s="118">
        <f>ric!C752</f>
        <v/>
      </c>
      <c r="C752" s="125">
        <f>ric!D752</f>
        <v/>
      </c>
      <c r="D752" s="125" t="n"/>
      <c r="E752" s="125" t="n"/>
      <c r="F752" s="125" t="n"/>
      <c r="G752" s="118">
        <f>CONCATENATE(A752, " ",#REF!, " / ",H752)</f>
        <v/>
      </c>
      <c r="H752" s="118" t="n"/>
      <c r="I752" s="119">
        <f>CONCATENATE(M752," - ",J752," - Lotto N° ",K752,"")</f>
        <v/>
      </c>
      <c r="J752" s="118" t="n"/>
      <c r="K752" s="118">
        <f>VLOOKUP(#REF!,Produzione,7,FALSE)</f>
        <v/>
      </c>
      <c r="L752" s="120" t="n"/>
      <c r="M752" s="120" t="n"/>
      <c r="N752" s="118" t="n"/>
      <c r="O752" s="121" t="n"/>
      <c r="P752" s="121" t="n"/>
      <c r="Q752" s="166">
        <f>TODAY()</f>
        <v/>
      </c>
      <c r="R752" s="165">
        <f>ElencoProdotti[[#This Row],[PRODUZIONE]]+20</f>
        <v/>
      </c>
      <c r="S752" s="165">
        <f>TODAY()</f>
        <v/>
      </c>
      <c r="T752" s="133">
        <f>CONCATENATE(A752," - contiene allergni - prodotto il giorno ",TEXT(Q752,"gg/mm/aaaa"),"")</f>
        <v/>
      </c>
    </row>
    <row r="753" ht="15" customHeight="1" s="155">
      <c r="A753" s="134">
        <f>ric!B753</f>
        <v/>
      </c>
      <c r="B753" s="118">
        <f>ric!C753</f>
        <v/>
      </c>
      <c r="C753" s="125">
        <f>ric!D753</f>
        <v/>
      </c>
      <c r="D753" s="125" t="n"/>
      <c r="E753" s="125" t="n"/>
      <c r="F753" s="125" t="n"/>
      <c r="G753" s="118">
        <f>CONCATENATE(A753, " ",#REF!, " / ",H753)</f>
        <v/>
      </c>
      <c r="H753" s="118" t="n"/>
      <c r="I753" s="119">
        <f>CONCATENATE(M753," - ",J753," - Lotto N° ",K753,"")</f>
        <v/>
      </c>
      <c r="J753" s="118" t="n"/>
      <c r="K753" s="118">
        <f>VLOOKUP(#REF!,Produzione,7,FALSE)</f>
        <v/>
      </c>
      <c r="L753" s="120" t="n"/>
      <c r="M753" s="120" t="n"/>
      <c r="N753" s="118" t="n"/>
      <c r="O753" s="121" t="n"/>
      <c r="P753" s="121" t="n"/>
      <c r="Q753" s="166">
        <f>TODAY()</f>
        <v/>
      </c>
      <c r="R753" s="165">
        <f>ElencoProdotti[[#This Row],[PRODUZIONE]]+20</f>
        <v/>
      </c>
      <c r="S753" s="165">
        <f>TODAY()</f>
        <v/>
      </c>
      <c r="T753" s="133">
        <f>CONCATENATE(A753," - contiene allergni - prodotto il giorno ",TEXT(Q753,"gg/mm/aaaa"),"")</f>
        <v/>
      </c>
    </row>
    <row r="754" ht="15" customHeight="1" s="155">
      <c r="A754" s="134">
        <f>ric!B754</f>
        <v/>
      </c>
      <c r="B754" s="118">
        <f>ric!C754</f>
        <v/>
      </c>
      <c r="C754" s="125">
        <f>ric!D754</f>
        <v/>
      </c>
      <c r="D754" s="125" t="n"/>
      <c r="E754" s="125" t="n"/>
      <c r="F754" s="125" t="n"/>
      <c r="G754" s="118">
        <f>CONCATENATE(A754, " ",#REF!, " / ",H754)</f>
        <v/>
      </c>
      <c r="H754" s="118" t="n"/>
      <c r="I754" s="119">
        <f>CONCATENATE(M754," - ",J754," - Lotto N° ",K754,"")</f>
        <v/>
      </c>
      <c r="J754" s="118" t="n"/>
      <c r="K754" s="118">
        <f>VLOOKUP(#REF!,Produzione,7,FALSE)</f>
        <v/>
      </c>
      <c r="L754" s="120" t="n"/>
      <c r="M754" s="120" t="n"/>
      <c r="N754" s="118" t="n"/>
      <c r="O754" s="121" t="n"/>
      <c r="P754" s="121" t="n"/>
      <c r="Q754" s="166">
        <f>TODAY()</f>
        <v/>
      </c>
      <c r="R754" s="165">
        <f>ElencoProdotti[[#This Row],[PRODUZIONE]]+20</f>
        <v/>
      </c>
      <c r="S754" s="165">
        <f>TODAY()</f>
        <v/>
      </c>
      <c r="T754" s="133">
        <f>CONCATENATE(A754," - contiene allergni - prodotto il giorno ",TEXT(Q754,"gg/mm/aaaa"),"")</f>
        <v/>
      </c>
    </row>
    <row r="755" ht="15" customHeight="1" s="155">
      <c r="A755" s="134">
        <f>ric!B755</f>
        <v/>
      </c>
      <c r="B755" s="118">
        <f>ric!C755</f>
        <v/>
      </c>
      <c r="C755" s="125">
        <f>ric!D755</f>
        <v/>
      </c>
      <c r="D755" s="125" t="n"/>
      <c r="E755" s="125" t="n"/>
      <c r="F755" s="125" t="n"/>
      <c r="G755" s="118">
        <f>CONCATENATE(A755, " ",#REF!, " / ",H755)</f>
        <v/>
      </c>
      <c r="H755" s="118" t="n"/>
      <c r="I755" s="119">
        <f>CONCATENATE(M755," - ",J755," - Lotto N° ",K755,"")</f>
        <v/>
      </c>
      <c r="J755" s="118" t="n"/>
      <c r="K755" s="118">
        <f>VLOOKUP(#REF!,Produzione,7,FALSE)</f>
        <v/>
      </c>
      <c r="L755" s="120" t="n"/>
      <c r="M755" s="120" t="n"/>
      <c r="N755" s="118" t="n"/>
      <c r="O755" s="121" t="n"/>
      <c r="P755" s="121" t="n"/>
      <c r="Q755" s="166">
        <f>TODAY()</f>
        <v/>
      </c>
      <c r="R755" s="165">
        <f>ElencoProdotti[[#This Row],[PRODUZIONE]]+20</f>
        <v/>
      </c>
      <c r="S755" s="165">
        <f>TODAY()</f>
        <v/>
      </c>
      <c r="T755" s="133">
        <f>CONCATENATE(A755," - contiene allergni - prodotto il giorno ",TEXT(Q755,"gg/mm/aaaa"),"")</f>
        <v/>
      </c>
    </row>
    <row r="756" ht="15" customHeight="1" s="155">
      <c r="A756" s="134">
        <f>ric!B756</f>
        <v/>
      </c>
      <c r="B756" s="118">
        <f>ric!C756</f>
        <v/>
      </c>
      <c r="C756" s="125">
        <f>ric!D756</f>
        <v/>
      </c>
      <c r="D756" s="125" t="n"/>
      <c r="E756" s="125" t="n"/>
      <c r="F756" s="125" t="n"/>
      <c r="G756" s="118">
        <f>CONCATENATE(A756, " ",#REF!, " / ",H756)</f>
        <v/>
      </c>
      <c r="H756" s="118" t="n"/>
      <c r="I756" s="119">
        <f>CONCATENATE(M756," - ",J756," - Lotto N° ",K756,"")</f>
        <v/>
      </c>
      <c r="J756" s="118" t="n"/>
      <c r="K756" s="118">
        <f>VLOOKUP(#REF!,Produzione,7,FALSE)</f>
        <v/>
      </c>
      <c r="L756" s="120" t="n"/>
      <c r="M756" s="120" t="n"/>
      <c r="N756" s="118" t="n"/>
      <c r="O756" s="121" t="n"/>
      <c r="P756" s="121" t="n"/>
      <c r="Q756" s="166">
        <f>TODAY()</f>
        <v/>
      </c>
      <c r="R756" s="165">
        <f>ElencoProdotti[[#This Row],[PRODUZIONE]]+20</f>
        <v/>
      </c>
      <c r="S756" s="165">
        <f>TODAY()</f>
        <v/>
      </c>
      <c r="T756" s="133">
        <f>CONCATENATE(A756," - contiene allergni - prodotto il giorno ",TEXT(Q756,"gg/mm/aaaa"),"")</f>
        <v/>
      </c>
    </row>
    <row r="757" ht="15" customHeight="1" s="155">
      <c r="A757" s="134">
        <f>ric!B757</f>
        <v/>
      </c>
      <c r="B757" s="118">
        <f>ric!C757</f>
        <v/>
      </c>
      <c r="C757" s="125">
        <f>ric!D757</f>
        <v/>
      </c>
      <c r="D757" s="125" t="n"/>
      <c r="E757" s="125" t="n"/>
      <c r="F757" s="125" t="n"/>
      <c r="G757" s="118">
        <f>CONCATENATE(A757, " ",#REF!, " / ",H757)</f>
        <v/>
      </c>
      <c r="H757" s="118" t="n"/>
      <c r="I757" s="119">
        <f>CONCATENATE(M757," - ",J757," - Lotto N° ",K757,"")</f>
        <v/>
      </c>
      <c r="J757" s="118" t="n"/>
      <c r="K757" s="118">
        <f>VLOOKUP(#REF!,Produzione,7,FALSE)</f>
        <v/>
      </c>
      <c r="L757" s="120" t="n"/>
      <c r="M757" s="120" t="n"/>
      <c r="N757" s="118" t="n"/>
      <c r="O757" s="121" t="n"/>
      <c r="P757" s="121" t="n"/>
      <c r="Q757" s="166">
        <f>TODAY()</f>
        <v/>
      </c>
      <c r="R757" s="165">
        <f>ElencoProdotti[[#This Row],[PRODUZIONE]]+20</f>
        <v/>
      </c>
      <c r="S757" s="165">
        <f>TODAY()</f>
        <v/>
      </c>
      <c r="T757" s="133">
        <f>CONCATENATE(A757," - contiene allergni - prodotto il giorno ",TEXT(Q757,"gg/mm/aaaa"),"")</f>
        <v/>
      </c>
    </row>
    <row r="758" ht="15" customHeight="1" s="155">
      <c r="A758" s="134">
        <f>ric!B758</f>
        <v/>
      </c>
      <c r="B758" s="118">
        <f>ric!C758</f>
        <v/>
      </c>
      <c r="C758" s="125">
        <f>ric!D758</f>
        <v/>
      </c>
      <c r="D758" s="125" t="n"/>
      <c r="E758" s="125" t="n"/>
      <c r="F758" s="125" t="n"/>
      <c r="G758" s="118">
        <f>CONCATENATE(A758, " ",#REF!, " / ",H758)</f>
        <v/>
      </c>
      <c r="H758" s="118" t="n"/>
      <c r="I758" s="119">
        <f>CONCATENATE(M758," - ",J758," - Lotto N° ",K758,"")</f>
        <v/>
      </c>
      <c r="J758" s="118" t="n"/>
      <c r="K758" s="118">
        <f>VLOOKUP(#REF!,Produzione,7,FALSE)</f>
        <v/>
      </c>
      <c r="L758" s="120" t="n"/>
      <c r="M758" s="120" t="n"/>
      <c r="N758" s="118" t="n"/>
      <c r="O758" s="121" t="n"/>
      <c r="P758" s="121" t="n"/>
      <c r="Q758" s="166">
        <f>TODAY()</f>
        <v/>
      </c>
      <c r="R758" s="165">
        <f>ElencoProdotti[[#This Row],[PRODUZIONE]]+20</f>
        <v/>
      </c>
      <c r="S758" s="165">
        <f>TODAY()</f>
        <v/>
      </c>
      <c r="T758" s="133">
        <f>CONCATENATE(A758," - contiene allergni - prodotto il giorno ",TEXT(Q758,"gg/mm/aaaa"),"")</f>
        <v/>
      </c>
    </row>
    <row r="759" ht="15" customHeight="1" s="155">
      <c r="A759" s="134">
        <f>ric!B759</f>
        <v/>
      </c>
      <c r="B759" s="118">
        <f>ric!C759</f>
        <v/>
      </c>
      <c r="C759" s="125">
        <f>ric!D759</f>
        <v/>
      </c>
      <c r="D759" s="125" t="n"/>
      <c r="E759" s="125" t="n"/>
      <c r="F759" s="125" t="n"/>
      <c r="G759" s="118">
        <f>CONCATENATE(A759, " ",#REF!, " / ",H759)</f>
        <v/>
      </c>
      <c r="H759" s="118" t="n"/>
      <c r="I759" s="119">
        <f>CONCATENATE(M759," - ",J759," - Lotto N° ",K759,"")</f>
        <v/>
      </c>
      <c r="J759" s="118" t="n"/>
      <c r="K759" s="118">
        <f>VLOOKUP(#REF!,Produzione,7,FALSE)</f>
        <v/>
      </c>
      <c r="L759" s="120" t="n"/>
      <c r="M759" s="120" t="n"/>
      <c r="N759" s="118" t="n"/>
      <c r="O759" s="121" t="n"/>
      <c r="P759" s="121" t="n"/>
      <c r="Q759" s="166">
        <f>TODAY()</f>
        <v/>
      </c>
      <c r="R759" s="165">
        <f>ElencoProdotti[[#This Row],[PRODUZIONE]]+20</f>
        <v/>
      </c>
      <c r="S759" s="165">
        <f>TODAY()</f>
        <v/>
      </c>
      <c r="T759" s="133">
        <f>CONCATENATE(A759," - contiene allergni - prodotto il giorno ",TEXT(Q759,"gg/mm/aaaa"),"")</f>
        <v/>
      </c>
    </row>
    <row r="760" ht="15" customHeight="1" s="155">
      <c r="A760" s="134">
        <f>ric!B760</f>
        <v/>
      </c>
      <c r="B760" s="118">
        <f>ric!C760</f>
        <v/>
      </c>
      <c r="C760" s="125">
        <f>ric!D760</f>
        <v/>
      </c>
      <c r="D760" s="125" t="n"/>
      <c r="E760" s="125" t="n"/>
      <c r="F760" s="125" t="n"/>
      <c r="G760" s="118">
        <f>CONCATENATE(A760, " ",#REF!, " / ",H760)</f>
        <v/>
      </c>
      <c r="H760" s="118" t="n"/>
      <c r="I760" s="119">
        <f>CONCATENATE(M760," - ",J760," - Lotto N° ",K760,"")</f>
        <v/>
      </c>
      <c r="J760" s="118" t="n"/>
      <c r="K760" s="118">
        <f>VLOOKUP(#REF!,Produzione,7,FALSE)</f>
        <v/>
      </c>
      <c r="L760" s="120" t="n"/>
      <c r="M760" s="120" t="n"/>
      <c r="N760" s="118" t="n"/>
      <c r="O760" s="121" t="n"/>
      <c r="P760" s="121" t="n"/>
      <c r="Q760" s="166">
        <f>TODAY()</f>
        <v/>
      </c>
      <c r="R760" s="165">
        <f>ElencoProdotti[[#This Row],[PRODUZIONE]]+20</f>
        <v/>
      </c>
      <c r="S760" s="165">
        <f>TODAY()</f>
        <v/>
      </c>
      <c r="T760" s="133">
        <f>CONCATENATE(A760," - contiene allergni - prodotto il giorno ",TEXT(Q760,"gg/mm/aaaa"),"")</f>
        <v/>
      </c>
    </row>
    <row r="761" ht="15" customHeight="1" s="155">
      <c r="A761" s="134">
        <f>ric!B761</f>
        <v/>
      </c>
      <c r="B761" s="118">
        <f>ric!C761</f>
        <v/>
      </c>
      <c r="C761" s="125">
        <f>ric!D761</f>
        <v/>
      </c>
      <c r="D761" s="125" t="n"/>
      <c r="E761" s="125" t="n"/>
      <c r="F761" s="125" t="n"/>
      <c r="G761" s="118">
        <f>CONCATENATE(A761, " ",#REF!, " / ",H761)</f>
        <v/>
      </c>
      <c r="H761" s="118" t="n"/>
      <c r="I761" s="119">
        <f>CONCATENATE(M761," - ",J761," - Lotto N° ",K761,"")</f>
        <v/>
      </c>
      <c r="J761" s="118" t="n"/>
      <c r="K761" s="118">
        <f>VLOOKUP(#REF!,Produzione,7,FALSE)</f>
        <v/>
      </c>
      <c r="L761" s="120" t="n"/>
      <c r="M761" s="120" t="n"/>
      <c r="N761" s="118" t="n"/>
      <c r="O761" s="121" t="n"/>
      <c r="P761" s="121" t="n"/>
      <c r="Q761" s="166">
        <f>TODAY()</f>
        <v/>
      </c>
      <c r="R761" s="165">
        <f>ElencoProdotti[[#This Row],[PRODUZIONE]]+20</f>
        <v/>
      </c>
      <c r="S761" s="165">
        <f>TODAY()</f>
        <v/>
      </c>
      <c r="T761" s="133">
        <f>CONCATENATE(A761," - contiene allergni - prodotto il giorno ",TEXT(Q761,"gg/mm/aaaa"),"")</f>
        <v/>
      </c>
    </row>
    <row r="762" ht="15" customHeight="1" s="155">
      <c r="A762" s="134">
        <f>ric!B762</f>
        <v/>
      </c>
      <c r="B762" s="118">
        <f>ric!C762</f>
        <v/>
      </c>
      <c r="C762" s="125">
        <f>ric!D762</f>
        <v/>
      </c>
      <c r="D762" s="125" t="n"/>
      <c r="E762" s="125" t="n"/>
      <c r="F762" s="125" t="n"/>
      <c r="G762" s="118">
        <f>CONCATENATE(A762, " ",#REF!, " / ",H762)</f>
        <v/>
      </c>
      <c r="H762" s="118" t="n"/>
      <c r="I762" s="119">
        <f>CONCATENATE(M762," - ",J762," - Lotto N° ",K762,"")</f>
        <v/>
      </c>
      <c r="J762" s="118" t="n"/>
      <c r="K762" s="118">
        <f>VLOOKUP(#REF!,Produzione,7,FALSE)</f>
        <v/>
      </c>
      <c r="L762" s="120" t="n"/>
      <c r="M762" s="120" t="n"/>
      <c r="N762" s="118" t="n"/>
      <c r="O762" s="121" t="n"/>
      <c r="P762" s="121" t="n"/>
      <c r="Q762" s="166">
        <f>TODAY()</f>
        <v/>
      </c>
      <c r="R762" s="165">
        <f>ElencoProdotti[[#This Row],[PRODUZIONE]]+20</f>
        <v/>
      </c>
      <c r="S762" s="165">
        <f>TODAY()</f>
        <v/>
      </c>
      <c r="T762" s="133">
        <f>CONCATENATE(A762," - contiene allergni - prodotto il giorno ",TEXT(Q762,"gg/mm/aaaa"),"")</f>
        <v/>
      </c>
    </row>
    <row r="763" ht="15" customHeight="1" s="155">
      <c r="A763" s="134">
        <f>ric!B763</f>
        <v/>
      </c>
      <c r="B763" s="118">
        <f>ric!C763</f>
        <v/>
      </c>
      <c r="C763" s="125">
        <f>ric!D763</f>
        <v/>
      </c>
      <c r="D763" s="125" t="n"/>
      <c r="E763" s="125" t="n"/>
      <c r="F763" s="125" t="n"/>
      <c r="G763" s="118">
        <f>CONCATENATE(A763, " ",#REF!, " / ",H763)</f>
        <v/>
      </c>
      <c r="H763" s="118" t="n"/>
      <c r="I763" s="119">
        <f>CONCATENATE(M763," - ",J763," - Lotto N° ",K763,"")</f>
        <v/>
      </c>
      <c r="J763" s="118" t="n"/>
      <c r="K763" s="118">
        <f>VLOOKUP(#REF!,Produzione,7,FALSE)</f>
        <v/>
      </c>
      <c r="L763" s="120" t="n"/>
      <c r="M763" s="120" t="n"/>
      <c r="N763" s="118" t="n"/>
      <c r="O763" s="121" t="n"/>
      <c r="P763" s="121" t="n"/>
      <c r="Q763" s="166">
        <f>TODAY()</f>
        <v/>
      </c>
      <c r="R763" s="165">
        <f>ElencoProdotti[[#This Row],[PRODUZIONE]]+20</f>
        <v/>
      </c>
      <c r="S763" s="165">
        <f>TODAY()</f>
        <v/>
      </c>
      <c r="T763" s="133">
        <f>CONCATENATE(A763," - contiene allergni - prodotto il giorno ",TEXT(Q763,"gg/mm/aaaa"),"")</f>
        <v/>
      </c>
    </row>
    <row r="764" ht="15" customHeight="1" s="155">
      <c r="A764" s="134">
        <f>ric!B764</f>
        <v/>
      </c>
      <c r="B764" s="118">
        <f>ric!C764</f>
        <v/>
      </c>
      <c r="C764" s="125">
        <f>ric!D764</f>
        <v/>
      </c>
      <c r="D764" s="125" t="n"/>
      <c r="E764" s="125" t="n"/>
      <c r="F764" s="125" t="n"/>
      <c r="G764" s="118">
        <f>CONCATENATE(A764, " ",#REF!, " / ",H764)</f>
        <v/>
      </c>
      <c r="H764" s="118" t="n"/>
      <c r="I764" s="119">
        <f>CONCATENATE(M764," - ",J764," - Lotto N° ",K764,"")</f>
        <v/>
      </c>
      <c r="J764" s="118" t="n"/>
      <c r="K764" s="118">
        <f>VLOOKUP(#REF!,Produzione,7,FALSE)</f>
        <v/>
      </c>
      <c r="L764" s="120" t="n"/>
      <c r="M764" s="120" t="n"/>
      <c r="N764" s="118" t="n"/>
      <c r="O764" s="121" t="n"/>
      <c r="P764" s="121" t="n"/>
      <c r="Q764" s="166">
        <f>TODAY()</f>
        <v/>
      </c>
      <c r="R764" s="165">
        <f>ElencoProdotti[[#This Row],[PRODUZIONE]]+20</f>
        <v/>
      </c>
      <c r="S764" s="165">
        <f>TODAY()</f>
        <v/>
      </c>
      <c r="T764" s="133">
        <f>CONCATENATE(A764," - contiene allergni - prodotto il giorno ",TEXT(Q764,"gg/mm/aaaa"),"")</f>
        <v/>
      </c>
    </row>
    <row r="765" ht="15" customHeight="1" s="155">
      <c r="A765" s="134">
        <f>ric!B765</f>
        <v/>
      </c>
      <c r="B765" s="118">
        <f>ric!C765</f>
        <v/>
      </c>
      <c r="C765" s="125">
        <f>ric!D765</f>
        <v/>
      </c>
      <c r="D765" s="125" t="n"/>
      <c r="E765" s="125" t="n"/>
      <c r="F765" s="125" t="n"/>
      <c r="G765" s="118">
        <f>CONCATENATE(A765, " ",#REF!, " / ",H765)</f>
        <v/>
      </c>
      <c r="H765" s="118" t="n"/>
      <c r="I765" s="119">
        <f>CONCATENATE(M765," - ",J765," - Lotto N° ",K765,"")</f>
        <v/>
      </c>
      <c r="J765" s="118" t="n"/>
      <c r="K765" s="118">
        <f>VLOOKUP(#REF!,Produzione,7,FALSE)</f>
        <v/>
      </c>
      <c r="L765" s="120" t="n"/>
      <c r="M765" s="120" t="n"/>
      <c r="N765" s="118" t="n"/>
      <c r="O765" s="121" t="n"/>
      <c r="P765" s="121" t="n"/>
      <c r="Q765" s="166">
        <f>TODAY()</f>
        <v/>
      </c>
      <c r="R765" s="165">
        <f>ElencoProdotti[[#This Row],[PRODUZIONE]]+20</f>
        <v/>
      </c>
      <c r="S765" s="165">
        <f>TODAY()</f>
        <v/>
      </c>
      <c r="T765" s="133">
        <f>CONCATENATE(A765," - contiene allergni - prodotto il giorno ",TEXT(Q765,"gg/mm/aaaa"),"")</f>
        <v/>
      </c>
    </row>
    <row r="766" ht="15" customHeight="1" s="155">
      <c r="A766" s="134">
        <f>ric!B766</f>
        <v/>
      </c>
      <c r="B766" s="118">
        <f>ric!C766</f>
        <v/>
      </c>
      <c r="C766" s="125">
        <f>ric!D766</f>
        <v/>
      </c>
      <c r="D766" s="125" t="n"/>
      <c r="E766" s="125" t="n"/>
      <c r="F766" s="125" t="n"/>
      <c r="G766" s="118">
        <f>CONCATENATE(A766, " ",#REF!, " / ",H766)</f>
        <v/>
      </c>
      <c r="H766" s="118" t="n"/>
      <c r="I766" s="119">
        <f>CONCATENATE(M766," - ",J766," - Lotto N° ",K766,"")</f>
        <v/>
      </c>
      <c r="J766" s="118" t="n"/>
      <c r="K766" s="118">
        <f>VLOOKUP(#REF!,Produzione,7,FALSE)</f>
        <v/>
      </c>
      <c r="L766" s="120" t="n"/>
      <c r="M766" s="120" t="n"/>
      <c r="N766" s="118" t="n"/>
      <c r="O766" s="121" t="n"/>
      <c r="P766" s="121" t="n"/>
      <c r="Q766" s="166">
        <f>TODAY()</f>
        <v/>
      </c>
      <c r="R766" s="165">
        <f>ElencoProdotti[[#This Row],[PRODUZIONE]]+20</f>
        <v/>
      </c>
      <c r="S766" s="165">
        <f>TODAY()</f>
        <v/>
      </c>
      <c r="T766" s="133">
        <f>CONCATENATE(A766," - contiene allergni - prodotto il giorno ",TEXT(Q766,"gg/mm/aaaa"),"")</f>
        <v/>
      </c>
    </row>
    <row r="767" ht="15" customHeight="1" s="155">
      <c r="A767" s="134">
        <f>ric!B767</f>
        <v/>
      </c>
      <c r="B767" s="118">
        <f>ric!C767</f>
        <v/>
      </c>
      <c r="C767" s="125">
        <f>ric!D767</f>
        <v/>
      </c>
      <c r="D767" s="125" t="n"/>
      <c r="E767" s="125" t="n"/>
      <c r="F767" s="125" t="n"/>
      <c r="G767" s="118">
        <f>CONCATENATE(A767, " ",#REF!, " / ",H767)</f>
        <v/>
      </c>
      <c r="H767" s="118" t="n"/>
      <c r="I767" s="119">
        <f>CONCATENATE(M767," - ",J767," - Lotto N° ",K767,"")</f>
        <v/>
      </c>
      <c r="J767" s="118" t="n"/>
      <c r="K767" s="118">
        <f>VLOOKUP(#REF!,Produzione,7,FALSE)</f>
        <v/>
      </c>
      <c r="L767" s="120" t="n"/>
      <c r="M767" s="120" t="n"/>
      <c r="N767" s="118" t="n"/>
      <c r="O767" s="121" t="n"/>
      <c r="P767" s="121" t="n"/>
      <c r="Q767" s="166">
        <f>TODAY()</f>
        <v/>
      </c>
      <c r="R767" s="165">
        <f>ElencoProdotti[[#This Row],[PRODUZIONE]]+20</f>
        <v/>
      </c>
      <c r="S767" s="165">
        <f>TODAY()</f>
        <v/>
      </c>
      <c r="T767" s="133">
        <f>CONCATENATE(A767," - contiene allergni - prodotto il giorno ",TEXT(Q767,"gg/mm/aaaa"),"")</f>
        <v/>
      </c>
    </row>
    <row r="768" ht="15" customHeight="1" s="155">
      <c r="A768" s="134">
        <f>ric!B768</f>
        <v/>
      </c>
      <c r="B768" s="118">
        <f>ric!C768</f>
        <v/>
      </c>
      <c r="C768" s="125">
        <f>ric!D768</f>
        <v/>
      </c>
      <c r="D768" s="125" t="n"/>
      <c r="E768" s="125" t="n"/>
      <c r="F768" s="125" t="n"/>
      <c r="G768" s="118">
        <f>CONCATENATE(A768, " ",#REF!, " / ",H768)</f>
        <v/>
      </c>
      <c r="H768" s="118" t="n"/>
      <c r="I768" s="119">
        <f>CONCATENATE(M768," - ",J768," - Lotto N° ",K768,"")</f>
        <v/>
      </c>
      <c r="J768" s="118" t="n"/>
      <c r="K768" s="118">
        <f>VLOOKUP(#REF!,Produzione,7,FALSE)</f>
        <v/>
      </c>
      <c r="L768" s="120" t="n"/>
      <c r="M768" s="120" t="n"/>
      <c r="N768" s="118" t="n"/>
      <c r="O768" s="121" t="n"/>
      <c r="P768" s="121" t="n"/>
      <c r="Q768" s="166">
        <f>TODAY()</f>
        <v/>
      </c>
      <c r="R768" s="165">
        <f>ElencoProdotti[[#This Row],[PRODUZIONE]]+20</f>
        <v/>
      </c>
      <c r="S768" s="165">
        <f>TODAY()</f>
        <v/>
      </c>
      <c r="T768" s="133">
        <f>CONCATENATE(A768," - contiene allergni - prodotto il giorno ",TEXT(Q768,"gg/mm/aaaa"),"")</f>
        <v/>
      </c>
    </row>
    <row r="769" ht="15" customHeight="1" s="155">
      <c r="A769" s="134">
        <f>ric!B769</f>
        <v/>
      </c>
      <c r="B769" s="118">
        <f>ric!C769</f>
        <v/>
      </c>
      <c r="C769" s="125">
        <f>ric!D769</f>
        <v/>
      </c>
      <c r="D769" s="125" t="n"/>
      <c r="E769" s="125" t="n"/>
      <c r="F769" s="125" t="n"/>
      <c r="G769" s="118">
        <f>CONCATENATE(A769, " ",#REF!, " / ",H769)</f>
        <v/>
      </c>
      <c r="H769" s="118" t="n"/>
      <c r="I769" s="119">
        <f>CONCATENATE(M769," - ",J769," - Lotto N° ",K769,"")</f>
        <v/>
      </c>
      <c r="J769" s="118" t="n"/>
      <c r="K769" s="118">
        <f>VLOOKUP(#REF!,Produzione,7,FALSE)</f>
        <v/>
      </c>
      <c r="L769" s="120" t="n"/>
      <c r="M769" s="120" t="n"/>
      <c r="N769" s="118" t="n"/>
      <c r="O769" s="121" t="n"/>
      <c r="P769" s="121" t="n"/>
      <c r="Q769" s="166">
        <f>TODAY()</f>
        <v/>
      </c>
      <c r="R769" s="165">
        <f>ElencoProdotti[[#This Row],[PRODUZIONE]]+20</f>
        <v/>
      </c>
      <c r="S769" s="165">
        <f>TODAY()</f>
        <v/>
      </c>
      <c r="T769" s="133">
        <f>CONCATENATE(A769," - contiene allergni - prodotto il giorno ",TEXT(Q769,"gg/mm/aaaa"),"")</f>
        <v/>
      </c>
    </row>
    <row r="770" ht="15" customHeight="1" s="155">
      <c r="A770" s="134">
        <f>ric!B770</f>
        <v/>
      </c>
      <c r="B770" s="118">
        <f>ric!C770</f>
        <v/>
      </c>
      <c r="C770" s="125">
        <f>ric!D770</f>
        <v/>
      </c>
      <c r="D770" s="125" t="n"/>
      <c r="E770" s="125" t="n"/>
      <c r="F770" s="125" t="n"/>
      <c r="G770" s="118">
        <f>CONCATENATE(A770, " ",#REF!, " / ",H770)</f>
        <v/>
      </c>
      <c r="H770" s="118" t="n"/>
      <c r="I770" s="119">
        <f>CONCATENATE(M770," - ",J770," - Lotto N° ",K770,"")</f>
        <v/>
      </c>
      <c r="J770" s="118" t="n"/>
      <c r="K770" s="118">
        <f>VLOOKUP(#REF!,Produzione,7,FALSE)</f>
        <v/>
      </c>
      <c r="L770" s="120" t="n"/>
      <c r="M770" s="120" t="n"/>
      <c r="N770" s="118" t="n"/>
      <c r="O770" s="121" t="n"/>
      <c r="P770" s="121" t="n"/>
      <c r="Q770" s="166">
        <f>TODAY()</f>
        <v/>
      </c>
      <c r="R770" s="165">
        <f>ElencoProdotti[[#This Row],[PRODUZIONE]]+20</f>
        <v/>
      </c>
      <c r="S770" s="165">
        <f>TODAY()</f>
        <v/>
      </c>
      <c r="T770" s="133">
        <f>CONCATENATE(A770," - contiene allergni - prodotto il giorno ",TEXT(Q770,"gg/mm/aaaa"),"")</f>
        <v/>
      </c>
    </row>
    <row r="771" ht="15" customHeight="1" s="155">
      <c r="A771" s="134">
        <f>ric!B771</f>
        <v/>
      </c>
      <c r="B771" s="118">
        <f>ric!C771</f>
        <v/>
      </c>
      <c r="C771" s="125">
        <f>ric!D771</f>
        <v/>
      </c>
      <c r="D771" s="125" t="n"/>
      <c r="E771" s="125" t="n"/>
      <c r="F771" s="125" t="n"/>
      <c r="G771" s="118">
        <f>CONCATENATE(A771, " ",#REF!, " / ",H771)</f>
        <v/>
      </c>
      <c r="H771" s="118" t="n"/>
      <c r="I771" s="119">
        <f>CONCATENATE(M771," - ",J771," - Lotto N° ",K771,"")</f>
        <v/>
      </c>
      <c r="J771" s="118" t="n"/>
      <c r="K771" s="118">
        <f>VLOOKUP(#REF!,Produzione,7,FALSE)</f>
        <v/>
      </c>
      <c r="L771" s="120" t="n"/>
      <c r="M771" s="120" t="n"/>
      <c r="N771" s="118" t="n"/>
      <c r="O771" s="121" t="n"/>
      <c r="P771" s="121" t="n"/>
      <c r="Q771" s="166">
        <f>TODAY()</f>
        <v/>
      </c>
      <c r="R771" s="165">
        <f>ElencoProdotti[[#This Row],[PRODUZIONE]]+20</f>
        <v/>
      </c>
      <c r="S771" s="165">
        <f>TODAY()</f>
        <v/>
      </c>
      <c r="T771" s="133">
        <f>CONCATENATE(A771," - contiene allergni - prodotto il giorno ",TEXT(Q771,"gg/mm/aaaa"),"")</f>
        <v/>
      </c>
    </row>
    <row r="772" ht="15" customHeight="1" s="155">
      <c r="A772" s="134">
        <f>ric!B772</f>
        <v/>
      </c>
      <c r="B772" s="118">
        <f>ric!C772</f>
        <v/>
      </c>
      <c r="C772" s="125">
        <f>ric!D772</f>
        <v/>
      </c>
      <c r="D772" s="125" t="n"/>
      <c r="E772" s="125" t="n"/>
      <c r="F772" s="125" t="n"/>
      <c r="G772" s="118">
        <f>CONCATENATE(A772, " ",#REF!, " / ",H772)</f>
        <v/>
      </c>
      <c r="H772" s="118" t="n"/>
      <c r="I772" s="119">
        <f>CONCATENATE(M772," - ",J772," - Lotto N° ",K772,"")</f>
        <v/>
      </c>
      <c r="J772" s="118" t="n"/>
      <c r="K772" s="118">
        <f>VLOOKUP(#REF!,Produzione,7,FALSE)</f>
        <v/>
      </c>
      <c r="L772" s="120" t="n"/>
      <c r="M772" s="120" t="n"/>
      <c r="N772" s="118" t="n"/>
      <c r="O772" s="121" t="n"/>
      <c r="P772" s="121" t="n"/>
      <c r="Q772" s="166">
        <f>TODAY()</f>
        <v/>
      </c>
      <c r="R772" s="165">
        <f>ElencoProdotti[[#This Row],[PRODUZIONE]]+20</f>
        <v/>
      </c>
      <c r="S772" s="165">
        <f>TODAY()</f>
        <v/>
      </c>
      <c r="T772" s="133">
        <f>CONCATENATE(A772," - contiene allergni - prodotto il giorno ",TEXT(Q772,"gg/mm/aaaa"),"")</f>
        <v/>
      </c>
    </row>
    <row r="773" ht="15" customHeight="1" s="155">
      <c r="A773" s="134">
        <f>ric!B773</f>
        <v/>
      </c>
      <c r="B773" s="118">
        <f>ric!C773</f>
        <v/>
      </c>
      <c r="C773" s="125">
        <f>ric!D773</f>
        <v/>
      </c>
      <c r="D773" s="125" t="n"/>
      <c r="E773" s="125" t="n"/>
      <c r="F773" s="125" t="n"/>
      <c r="G773" s="118">
        <f>CONCATENATE(A773, " ",#REF!, " / ",H773)</f>
        <v/>
      </c>
      <c r="H773" s="118" t="n"/>
      <c r="I773" s="119">
        <f>CONCATENATE(M773," - ",J773," - Lotto N° ",K773,"")</f>
        <v/>
      </c>
      <c r="J773" s="118" t="n"/>
      <c r="K773" s="118">
        <f>VLOOKUP(#REF!,Produzione,7,FALSE)</f>
        <v/>
      </c>
      <c r="L773" s="120" t="n"/>
      <c r="M773" s="120" t="n"/>
      <c r="N773" s="118" t="n"/>
      <c r="O773" s="121" t="n"/>
      <c r="P773" s="121" t="n"/>
      <c r="Q773" s="166">
        <f>TODAY()</f>
        <v/>
      </c>
      <c r="R773" s="165">
        <f>ElencoProdotti[[#This Row],[PRODUZIONE]]+20</f>
        <v/>
      </c>
      <c r="S773" s="165">
        <f>TODAY()</f>
        <v/>
      </c>
      <c r="T773" s="133">
        <f>CONCATENATE(A773," - contiene allergni - prodotto il giorno ",TEXT(Q773,"gg/mm/aaaa"),"")</f>
        <v/>
      </c>
    </row>
    <row r="774" ht="15" customHeight="1" s="155">
      <c r="A774" s="134">
        <f>ric!B774</f>
        <v/>
      </c>
      <c r="B774" s="118">
        <f>ric!C774</f>
        <v/>
      </c>
      <c r="C774" s="125">
        <f>ric!D774</f>
        <v/>
      </c>
      <c r="D774" s="125" t="n"/>
      <c r="E774" s="125" t="n"/>
      <c r="F774" s="125" t="n"/>
      <c r="G774" s="118">
        <f>CONCATENATE(A774, " ",#REF!, " / ",H774)</f>
        <v/>
      </c>
      <c r="H774" s="118" t="n"/>
      <c r="I774" s="119">
        <f>CONCATENATE(M774," - ",J774," - Lotto N° ",K774,"")</f>
        <v/>
      </c>
      <c r="J774" s="118" t="n"/>
      <c r="K774" s="118">
        <f>VLOOKUP(#REF!,Produzione,7,FALSE)</f>
        <v/>
      </c>
      <c r="L774" s="120" t="n"/>
      <c r="M774" s="120" t="n"/>
      <c r="N774" s="118" t="n"/>
      <c r="O774" s="121" t="n"/>
      <c r="P774" s="121" t="n"/>
      <c r="Q774" s="166">
        <f>TODAY()</f>
        <v/>
      </c>
      <c r="R774" s="165">
        <f>ElencoProdotti[[#This Row],[PRODUZIONE]]+20</f>
        <v/>
      </c>
      <c r="S774" s="165">
        <f>TODAY()</f>
        <v/>
      </c>
      <c r="T774" s="133">
        <f>CONCATENATE(A774," - contiene allergni - prodotto il giorno ",TEXT(Q774,"gg/mm/aaaa"),"")</f>
        <v/>
      </c>
    </row>
    <row r="775" ht="15" customHeight="1" s="155">
      <c r="A775" s="134">
        <f>ric!B775</f>
        <v/>
      </c>
      <c r="B775" s="118">
        <f>ric!C775</f>
        <v/>
      </c>
      <c r="C775" s="125">
        <f>ric!D775</f>
        <v/>
      </c>
      <c r="D775" s="125" t="n"/>
      <c r="E775" s="125" t="n"/>
      <c r="F775" s="125" t="n"/>
      <c r="G775" s="118">
        <f>CONCATENATE(A775, " ",#REF!, " / ",H775)</f>
        <v/>
      </c>
      <c r="H775" s="118" t="n"/>
      <c r="I775" s="119">
        <f>CONCATENATE(M775," - ",J775," - Lotto N° ",K775,"")</f>
        <v/>
      </c>
      <c r="J775" s="118" t="n"/>
      <c r="K775" s="118">
        <f>VLOOKUP(#REF!,Produzione,7,FALSE)</f>
        <v/>
      </c>
      <c r="L775" s="120" t="n"/>
      <c r="M775" s="120" t="n"/>
      <c r="N775" s="118" t="n"/>
      <c r="O775" s="121" t="n"/>
      <c r="P775" s="121" t="n"/>
      <c r="Q775" s="166">
        <f>TODAY()</f>
        <v/>
      </c>
      <c r="R775" s="165">
        <f>ElencoProdotti[[#This Row],[PRODUZIONE]]+20</f>
        <v/>
      </c>
      <c r="S775" s="165">
        <f>TODAY()</f>
        <v/>
      </c>
      <c r="T775" s="133">
        <f>CONCATENATE(A775," - contiene allergni - prodotto il giorno ",TEXT(Q775,"gg/mm/aaaa"),"")</f>
        <v/>
      </c>
    </row>
    <row r="776" ht="15" customHeight="1" s="155">
      <c r="A776" s="134">
        <f>ric!B776</f>
        <v/>
      </c>
      <c r="B776" s="118">
        <f>ric!C776</f>
        <v/>
      </c>
      <c r="C776" s="125">
        <f>ric!D776</f>
        <v/>
      </c>
      <c r="D776" s="125" t="n"/>
      <c r="E776" s="125" t="n"/>
      <c r="F776" s="125" t="n"/>
      <c r="G776" s="118">
        <f>CONCATENATE(A776, " ",#REF!, " / ",H776)</f>
        <v/>
      </c>
      <c r="H776" s="118" t="n"/>
      <c r="I776" s="119">
        <f>CONCATENATE(M776," - ",J776," - Lotto N° ",K776,"")</f>
        <v/>
      </c>
      <c r="J776" s="118" t="n"/>
      <c r="K776" s="118">
        <f>VLOOKUP(#REF!,Produzione,7,FALSE)</f>
        <v/>
      </c>
      <c r="L776" s="120" t="n"/>
      <c r="M776" s="120" t="n"/>
      <c r="N776" s="118" t="n"/>
      <c r="O776" s="121" t="n"/>
      <c r="P776" s="121" t="n"/>
      <c r="Q776" s="166">
        <f>TODAY()</f>
        <v/>
      </c>
      <c r="R776" s="165">
        <f>ElencoProdotti[[#This Row],[PRODUZIONE]]+20</f>
        <v/>
      </c>
      <c r="S776" s="165">
        <f>TODAY()</f>
        <v/>
      </c>
      <c r="T776" s="133">
        <f>CONCATENATE(A776," - contiene allergni - prodotto il giorno ",TEXT(Q776,"gg/mm/aaaa"),"")</f>
        <v/>
      </c>
    </row>
    <row r="777" ht="15" customHeight="1" s="155">
      <c r="A777" s="134">
        <f>ric!B777</f>
        <v/>
      </c>
      <c r="B777" s="118">
        <f>ric!C777</f>
        <v/>
      </c>
      <c r="C777" s="125">
        <f>ric!D777</f>
        <v/>
      </c>
      <c r="D777" s="125" t="n"/>
      <c r="E777" s="125" t="n"/>
      <c r="F777" s="125" t="n"/>
      <c r="G777" s="118">
        <f>CONCATENATE(A777, " ",#REF!, " / ",H777)</f>
        <v/>
      </c>
      <c r="H777" s="118" t="n"/>
      <c r="I777" s="119">
        <f>CONCATENATE(M777," - ",J777," - Lotto N° ",K777,"")</f>
        <v/>
      </c>
      <c r="J777" s="118" t="n"/>
      <c r="K777" s="118">
        <f>VLOOKUP(#REF!,Produzione,7,FALSE)</f>
        <v/>
      </c>
      <c r="L777" s="120" t="n"/>
      <c r="M777" s="120" t="n"/>
      <c r="N777" s="118" t="n"/>
      <c r="O777" s="121" t="n"/>
      <c r="P777" s="121" t="n"/>
      <c r="Q777" s="166">
        <f>TODAY()</f>
        <v/>
      </c>
      <c r="R777" s="165">
        <f>ElencoProdotti[[#This Row],[PRODUZIONE]]+20</f>
        <v/>
      </c>
      <c r="S777" s="165">
        <f>TODAY()</f>
        <v/>
      </c>
      <c r="T777" s="133">
        <f>CONCATENATE(A777," - contiene allergni - prodotto il giorno ",TEXT(Q777,"gg/mm/aaaa"),"")</f>
        <v/>
      </c>
    </row>
    <row r="778" ht="15" customHeight="1" s="155">
      <c r="A778" s="134">
        <f>ric!B778</f>
        <v/>
      </c>
      <c r="B778" s="118">
        <f>ric!C778</f>
        <v/>
      </c>
      <c r="C778" s="125">
        <f>ric!D778</f>
        <v/>
      </c>
      <c r="D778" s="125" t="n"/>
      <c r="E778" s="125" t="n"/>
      <c r="F778" s="125" t="n"/>
      <c r="G778" s="118">
        <f>CONCATENATE(A778, " ",#REF!, " / ",H778)</f>
        <v/>
      </c>
      <c r="H778" s="118" t="n"/>
      <c r="I778" s="119">
        <f>CONCATENATE(M778," - ",J778," - Lotto N° ",K778,"")</f>
        <v/>
      </c>
      <c r="J778" s="118" t="n"/>
      <c r="K778" s="118">
        <f>VLOOKUP(#REF!,Produzione,7,FALSE)</f>
        <v/>
      </c>
      <c r="L778" s="120" t="n"/>
      <c r="M778" s="120" t="n"/>
      <c r="N778" s="118" t="n"/>
      <c r="O778" s="121" t="n"/>
      <c r="P778" s="121" t="n"/>
      <c r="Q778" s="166">
        <f>TODAY()</f>
        <v/>
      </c>
      <c r="R778" s="165">
        <f>ElencoProdotti[[#This Row],[PRODUZIONE]]+20</f>
        <v/>
      </c>
      <c r="S778" s="165">
        <f>TODAY()</f>
        <v/>
      </c>
      <c r="T778" s="133">
        <f>CONCATENATE(A778," - contiene allergni - prodotto il giorno ",TEXT(Q778,"gg/mm/aaaa"),"")</f>
        <v/>
      </c>
    </row>
    <row r="779" ht="15" customHeight="1" s="155">
      <c r="A779" s="134">
        <f>ric!B779</f>
        <v/>
      </c>
      <c r="B779" s="118">
        <f>ric!C779</f>
        <v/>
      </c>
      <c r="C779" s="125">
        <f>ric!D779</f>
        <v/>
      </c>
      <c r="D779" s="125" t="n"/>
      <c r="E779" s="125" t="n"/>
      <c r="F779" s="125" t="n"/>
      <c r="G779" s="118">
        <f>CONCATENATE(A779, " ",#REF!, " / ",H779)</f>
        <v/>
      </c>
      <c r="H779" s="118" t="n"/>
      <c r="I779" s="119">
        <f>CONCATENATE(M779," - ",J779," - Lotto N° ",K779,"")</f>
        <v/>
      </c>
      <c r="J779" s="118" t="n"/>
      <c r="K779" s="118">
        <f>VLOOKUP(#REF!,Produzione,7,FALSE)</f>
        <v/>
      </c>
      <c r="L779" s="120" t="n"/>
      <c r="M779" s="120" t="n"/>
      <c r="N779" s="118" t="n"/>
      <c r="O779" s="121" t="n"/>
      <c r="P779" s="121" t="n"/>
      <c r="Q779" s="166">
        <f>TODAY()</f>
        <v/>
      </c>
      <c r="R779" s="165">
        <f>ElencoProdotti[[#This Row],[PRODUZIONE]]+20</f>
        <v/>
      </c>
      <c r="S779" s="165">
        <f>TODAY()</f>
        <v/>
      </c>
      <c r="T779" s="133">
        <f>CONCATENATE(A779," - contiene allergni - prodotto il giorno ",TEXT(Q779,"gg/mm/aaaa"),"")</f>
        <v/>
      </c>
    </row>
    <row r="780" ht="15" customHeight="1" s="155">
      <c r="A780" s="134">
        <f>ric!B780</f>
        <v/>
      </c>
      <c r="B780" s="118">
        <f>ric!C780</f>
        <v/>
      </c>
      <c r="C780" s="125">
        <f>ric!D780</f>
        <v/>
      </c>
      <c r="D780" s="125" t="n"/>
      <c r="E780" s="125" t="n"/>
      <c r="F780" s="125" t="n"/>
      <c r="G780" s="118">
        <f>CONCATENATE(A780, " ",#REF!, " / ",H780)</f>
        <v/>
      </c>
      <c r="H780" s="118" t="n"/>
      <c r="I780" s="119">
        <f>CONCATENATE(M780," - ",J780," - Lotto N° ",K780,"")</f>
        <v/>
      </c>
      <c r="J780" s="118" t="n"/>
      <c r="K780" s="118">
        <f>VLOOKUP(#REF!,Produzione,7,FALSE)</f>
        <v/>
      </c>
      <c r="L780" s="120" t="n"/>
      <c r="M780" s="120" t="n"/>
      <c r="N780" s="118" t="n"/>
      <c r="O780" s="121" t="n"/>
      <c r="P780" s="121" t="n"/>
      <c r="Q780" s="166">
        <f>TODAY()</f>
        <v/>
      </c>
      <c r="R780" s="165">
        <f>ElencoProdotti[[#This Row],[PRODUZIONE]]+20</f>
        <v/>
      </c>
      <c r="S780" s="165">
        <f>TODAY()</f>
        <v/>
      </c>
      <c r="T780" s="133">
        <f>CONCATENATE(A780," - contiene allergni - prodotto il giorno ",TEXT(Q780,"gg/mm/aaaa"),"")</f>
        <v/>
      </c>
    </row>
    <row r="781" ht="15" customHeight="1" s="155">
      <c r="A781" s="134">
        <f>ric!B781</f>
        <v/>
      </c>
      <c r="B781" s="118">
        <f>ric!C781</f>
        <v/>
      </c>
      <c r="C781" s="125">
        <f>ric!D781</f>
        <v/>
      </c>
      <c r="D781" s="125" t="n"/>
      <c r="E781" s="125" t="n"/>
      <c r="F781" s="125" t="n"/>
      <c r="G781" s="118">
        <f>CONCATENATE(A781, " ",#REF!, " / ",H781)</f>
        <v/>
      </c>
      <c r="H781" s="118" t="n"/>
      <c r="I781" s="119">
        <f>CONCATENATE(M781," - ",J781," - Lotto N° ",K781,"")</f>
        <v/>
      </c>
      <c r="J781" s="118" t="n"/>
      <c r="K781" s="118">
        <f>VLOOKUP(#REF!,Produzione,7,FALSE)</f>
        <v/>
      </c>
      <c r="L781" s="120" t="n"/>
      <c r="M781" s="120" t="n"/>
      <c r="N781" s="118" t="n"/>
      <c r="O781" s="121" t="n"/>
      <c r="P781" s="121" t="n"/>
      <c r="Q781" s="166">
        <f>TODAY()</f>
        <v/>
      </c>
      <c r="R781" s="165">
        <f>ElencoProdotti[[#This Row],[PRODUZIONE]]+20</f>
        <v/>
      </c>
      <c r="S781" s="165">
        <f>TODAY()</f>
        <v/>
      </c>
      <c r="T781" s="133">
        <f>CONCATENATE(A781," - contiene allergni - prodotto il giorno ",TEXT(Q781,"gg/mm/aaaa"),"")</f>
        <v/>
      </c>
    </row>
    <row r="782" ht="15" customHeight="1" s="155">
      <c r="A782" s="134">
        <f>ric!B782</f>
        <v/>
      </c>
      <c r="B782" s="118">
        <f>ric!C782</f>
        <v/>
      </c>
      <c r="C782" s="125">
        <f>ric!D782</f>
        <v/>
      </c>
      <c r="D782" s="125" t="n"/>
      <c r="E782" s="125" t="n"/>
      <c r="F782" s="125" t="n"/>
      <c r="G782" s="118">
        <f>CONCATENATE(A782, " ",#REF!, " / ",H782)</f>
        <v/>
      </c>
      <c r="H782" s="118" t="n"/>
      <c r="I782" s="119">
        <f>CONCATENATE(M782," - ",J782," - Lotto N° ",K782,"")</f>
        <v/>
      </c>
      <c r="J782" s="118" t="n"/>
      <c r="K782" s="118">
        <f>VLOOKUP(#REF!,Produzione,7,FALSE)</f>
        <v/>
      </c>
      <c r="L782" s="120" t="n"/>
      <c r="M782" s="120" t="n"/>
      <c r="N782" s="118" t="n"/>
      <c r="O782" s="121" t="n"/>
      <c r="P782" s="121" t="n"/>
      <c r="Q782" s="166">
        <f>TODAY()</f>
        <v/>
      </c>
      <c r="R782" s="165">
        <f>ElencoProdotti[[#This Row],[PRODUZIONE]]+20</f>
        <v/>
      </c>
      <c r="S782" s="165">
        <f>TODAY()</f>
        <v/>
      </c>
      <c r="T782" s="133">
        <f>CONCATENATE(A782," - contiene allergni - prodotto il giorno ",TEXT(Q782,"gg/mm/aaaa"),"")</f>
        <v/>
      </c>
    </row>
    <row r="783" ht="15" customHeight="1" s="155">
      <c r="A783" s="134">
        <f>ric!B783</f>
        <v/>
      </c>
      <c r="B783" s="118">
        <f>ric!C783</f>
        <v/>
      </c>
      <c r="C783" s="125">
        <f>ric!D783</f>
        <v/>
      </c>
      <c r="D783" s="125" t="n"/>
      <c r="E783" s="125" t="n"/>
      <c r="F783" s="125" t="n"/>
      <c r="G783" s="118">
        <f>CONCATENATE(A783, " ",#REF!, " / ",H783)</f>
        <v/>
      </c>
      <c r="H783" s="118" t="n"/>
      <c r="I783" s="119">
        <f>CONCATENATE(M783," - ",J783," - Lotto N° ",K783,"")</f>
        <v/>
      </c>
      <c r="J783" s="118" t="n"/>
      <c r="K783" s="118">
        <f>VLOOKUP(#REF!,Produzione,7,FALSE)</f>
        <v/>
      </c>
      <c r="L783" s="120" t="n"/>
      <c r="M783" s="120" t="n"/>
      <c r="N783" s="118" t="n"/>
      <c r="O783" s="121" t="n"/>
      <c r="P783" s="121" t="n"/>
      <c r="Q783" s="166">
        <f>TODAY()</f>
        <v/>
      </c>
      <c r="R783" s="165">
        <f>ElencoProdotti[[#This Row],[PRODUZIONE]]+20</f>
        <v/>
      </c>
      <c r="S783" s="165">
        <f>TODAY()</f>
        <v/>
      </c>
      <c r="T783" s="133">
        <f>CONCATENATE(A783," - contiene allergni - prodotto il giorno ",TEXT(Q783,"gg/mm/aaaa"),"")</f>
        <v/>
      </c>
    </row>
    <row r="784" ht="15" customHeight="1" s="155">
      <c r="A784" s="134">
        <f>ric!B784</f>
        <v/>
      </c>
      <c r="B784" s="118">
        <f>ric!C784</f>
        <v/>
      </c>
      <c r="C784" s="125">
        <f>ric!D784</f>
        <v/>
      </c>
      <c r="D784" s="125" t="n"/>
      <c r="E784" s="125" t="n"/>
      <c r="F784" s="125" t="n"/>
      <c r="G784" s="118">
        <f>CONCATENATE(A784, " ",#REF!, " / ",H784)</f>
        <v/>
      </c>
      <c r="H784" s="118" t="n"/>
      <c r="I784" s="119">
        <f>CONCATENATE(M784," - ",J784," - Lotto N° ",K784,"")</f>
        <v/>
      </c>
      <c r="J784" s="118" t="n"/>
      <c r="K784" s="118">
        <f>VLOOKUP(#REF!,Produzione,7,FALSE)</f>
        <v/>
      </c>
      <c r="L784" s="120" t="n"/>
      <c r="M784" s="120" t="n"/>
      <c r="N784" s="118" t="n"/>
      <c r="O784" s="121" t="n"/>
      <c r="P784" s="121" t="n"/>
      <c r="Q784" s="166">
        <f>TODAY()</f>
        <v/>
      </c>
      <c r="R784" s="165">
        <f>ElencoProdotti[[#This Row],[PRODUZIONE]]+20</f>
        <v/>
      </c>
      <c r="S784" s="165">
        <f>TODAY()</f>
        <v/>
      </c>
      <c r="T784" s="133">
        <f>CONCATENATE(A784," - contiene allergni - prodotto il giorno ",TEXT(Q784,"gg/mm/aaaa"),"")</f>
        <v/>
      </c>
    </row>
    <row r="785" ht="15" customHeight="1" s="155">
      <c r="A785" s="134">
        <f>ric!B785</f>
        <v/>
      </c>
      <c r="B785" s="118">
        <f>ric!C785</f>
        <v/>
      </c>
      <c r="C785" s="125">
        <f>ric!D785</f>
        <v/>
      </c>
      <c r="D785" s="125" t="n"/>
      <c r="E785" s="125" t="n"/>
      <c r="F785" s="125" t="n"/>
      <c r="G785" s="118">
        <f>CONCATENATE(A785, " ",#REF!, " / ",H785)</f>
        <v/>
      </c>
      <c r="H785" s="118" t="n"/>
      <c r="I785" s="119">
        <f>CONCATENATE(M785," - ",J785," - Lotto N° ",K785,"")</f>
        <v/>
      </c>
      <c r="J785" s="118" t="n"/>
      <c r="K785" s="118">
        <f>VLOOKUP(#REF!,Produzione,7,FALSE)</f>
        <v/>
      </c>
      <c r="L785" s="120" t="n"/>
      <c r="M785" s="120" t="n"/>
      <c r="N785" s="118" t="n"/>
      <c r="O785" s="121" t="n"/>
      <c r="P785" s="121" t="n"/>
      <c r="Q785" s="166">
        <f>TODAY()</f>
        <v/>
      </c>
      <c r="R785" s="165">
        <f>ElencoProdotti[[#This Row],[PRODUZIONE]]+20</f>
        <v/>
      </c>
      <c r="S785" s="165">
        <f>TODAY()</f>
        <v/>
      </c>
      <c r="T785" s="133">
        <f>CONCATENATE(A785," - contiene allergni - prodotto il giorno ",TEXT(Q785,"gg/mm/aaaa"),"")</f>
        <v/>
      </c>
    </row>
    <row r="786" ht="15" customHeight="1" s="155">
      <c r="A786" s="134">
        <f>ric!B786</f>
        <v/>
      </c>
      <c r="B786" s="118">
        <f>ric!C786</f>
        <v/>
      </c>
      <c r="C786" s="125">
        <f>ric!D786</f>
        <v/>
      </c>
      <c r="D786" s="125" t="n"/>
      <c r="E786" s="125" t="n"/>
      <c r="F786" s="125" t="n"/>
      <c r="G786" s="118">
        <f>CONCATENATE(A786, " ",#REF!, " / ",H786)</f>
        <v/>
      </c>
      <c r="H786" s="118" t="n"/>
      <c r="I786" s="119">
        <f>CONCATENATE(M786," - ",J786," - Lotto N° ",K786,"")</f>
        <v/>
      </c>
      <c r="J786" s="118" t="n"/>
      <c r="K786" s="118">
        <f>VLOOKUP(#REF!,Produzione,7,FALSE)</f>
        <v/>
      </c>
      <c r="L786" s="120" t="n"/>
      <c r="M786" s="120" t="n"/>
      <c r="N786" s="118" t="n"/>
      <c r="O786" s="121" t="n"/>
      <c r="P786" s="121" t="n"/>
      <c r="Q786" s="166">
        <f>TODAY()</f>
        <v/>
      </c>
      <c r="R786" s="165">
        <f>ElencoProdotti[[#This Row],[PRODUZIONE]]+20</f>
        <v/>
      </c>
      <c r="S786" s="165">
        <f>TODAY()</f>
        <v/>
      </c>
      <c r="T786" s="133">
        <f>CONCATENATE(A786," - contiene allergni - prodotto il giorno ",TEXT(Q786,"gg/mm/aaaa"),"")</f>
        <v/>
      </c>
    </row>
    <row r="787" ht="15" customHeight="1" s="155">
      <c r="A787" s="134">
        <f>ric!B787</f>
        <v/>
      </c>
      <c r="B787" s="118">
        <f>ric!C787</f>
        <v/>
      </c>
      <c r="C787" s="125">
        <f>ric!D787</f>
        <v/>
      </c>
      <c r="D787" s="125" t="n"/>
      <c r="E787" s="125" t="n"/>
      <c r="F787" s="125" t="n"/>
      <c r="G787" s="118">
        <f>CONCATENATE(A787, " ",#REF!, " / ",H787)</f>
        <v/>
      </c>
      <c r="H787" s="118" t="n"/>
      <c r="I787" s="119">
        <f>CONCATENATE(M787," - ",J787," - Lotto N° ",K787,"")</f>
        <v/>
      </c>
      <c r="J787" s="118" t="n"/>
      <c r="K787" s="118">
        <f>VLOOKUP(#REF!,Produzione,7,FALSE)</f>
        <v/>
      </c>
      <c r="L787" s="120" t="n"/>
      <c r="M787" s="120" t="n"/>
      <c r="N787" s="118" t="n"/>
      <c r="O787" s="121" t="n"/>
      <c r="P787" s="121" t="n"/>
      <c r="Q787" s="166">
        <f>TODAY()</f>
        <v/>
      </c>
      <c r="R787" s="165">
        <f>ElencoProdotti[[#This Row],[PRODUZIONE]]+20</f>
        <v/>
      </c>
      <c r="S787" s="165">
        <f>TODAY()</f>
        <v/>
      </c>
      <c r="T787" s="133">
        <f>CONCATENATE(A787," - contiene allergni - prodotto il giorno ",TEXT(Q787,"gg/mm/aaaa"),"")</f>
        <v/>
      </c>
    </row>
    <row r="788" ht="15" customHeight="1" s="155">
      <c r="A788" s="134">
        <f>ric!B788</f>
        <v/>
      </c>
      <c r="B788" s="118">
        <f>ric!C788</f>
        <v/>
      </c>
      <c r="C788" s="125">
        <f>ric!D788</f>
        <v/>
      </c>
      <c r="D788" s="125" t="n"/>
      <c r="E788" s="125" t="n"/>
      <c r="F788" s="125" t="n"/>
      <c r="G788" s="118">
        <f>CONCATENATE(A788, " ",#REF!, " / ",H788)</f>
        <v/>
      </c>
      <c r="H788" s="118" t="n"/>
      <c r="I788" s="119">
        <f>CONCATENATE(M788," - ",J788," - Lotto N° ",K788,"")</f>
        <v/>
      </c>
      <c r="J788" s="118" t="n"/>
      <c r="K788" s="118">
        <f>VLOOKUP(#REF!,Produzione,7,FALSE)</f>
        <v/>
      </c>
      <c r="L788" s="120" t="n"/>
      <c r="M788" s="120" t="n"/>
      <c r="N788" s="118" t="n"/>
      <c r="O788" s="121" t="n"/>
      <c r="P788" s="121" t="n"/>
      <c r="Q788" s="166">
        <f>TODAY()</f>
        <v/>
      </c>
      <c r="R788" s="165">
        <f>ElencoProdotti[[#This Row],[PRODUZIONE]]+20</f>
        <v/>
      </c>
      <c r="S788" s="165">
        <f>TODAY()</f>
        <v/>
      </c>
      <c r="T788" s="133">
        <f>CONCATENATE(A788," - contiene allergni - prodotto il giorno ",TEXT(Q788,"gg/mm/aaaa"),"")</f>
        <v/>
      </c>
    </row>
    <row r="789" ht="15" customHeight="1" s="155">
      <c r="A789" s="134">
        <f>ric!B789</f>
        <v/>
      </c>
      <c r="B789" s="118">
        <f>ric!C789</f>
        <v/>
      </c>
      <c r="C789" s="125">
        <f>ric!D789</f>
        <v/>
      </c>
      <c r="D789" s="125" t="n"/>
      <c r="E789" s="125" t="n"/>
      <c r="F789" s="125" t="n"/>
      <c r="G789" s="118">
        <f>CONCATENATE(A789, " ",#REF!, " / ",H789)</f>
        <v/>
      </c>
      <c r="H789" s="118" t="n"/>
      <c r="I789" s="119">
        <f>CONCATENATE(M789," - ",J789," - Lotto N° ",K789,"")</f>
        <v/>
      </c>
      <c r="J789" s="118" t="n"/>
      <c r="K789" s="118">
        <f>VLOOKUP(#REF!,Produzione,7,FALSE)</f>
        <v/>
      </c>
      <c r="L789" s="120" t="n"/>
      <c r="M789" s="120" t="n"/>
      <c r="N789" s="118" t="n"/>
      <c r="O789" s="121" t="n"/>
      <c r="P789" s="121" t="n"/>
      <c r="Q789" s="166">
        <f>TODAY()</f>
        <v/>
      </c>
      <c r="R789" s="165">
        <f>ElencoProdotti[[#This Row],[PRODUZIONE]]+20</f>
        <v/>
      </c>
      <c r="S789" s="165">
        <f>TODAY()</f>
        <v/>
      </c>
      <c r="T789" s="133">
        <f>CONCATENATE(A789," - contiene allergni - prodotto il giorno ",TEXT(Q789,"gg/mm/aaaa"),"")</f>
        <v/>
      </c>
    </row>
    <row r="790" ht="15" customHeight="1" s="155">
      <c r="A790" s="134">
        <f>ric!B790</f>
        <v/>
      </c>
      <c r="B790" s="118">
        <f>ric!C790</f>
        <v/>
      </c>
      <c r="C790" s="125">
        <f>ric!D790</f>
        <v/>
      </c>
      <c r="D790" s="125" t="n"/>
      <c r="E790" s="125" t="n"/>
      <c r="F790" s="125" t="n"/>
      <c r="G790" s="118">
        <f>CONCATENATE(A790, " ",#REF!, " / ",H790)</f>
        <v/>
      </c>
      <c r="H790" s="118" t="n"/>
      <c r="I790" s="119">
        <f>CONCATENATE(M790," - ",J790," - Lotto N° ",K790,"")</f>
        <v/>
      </c>
      <c r="J790" s="118" t="n"/>
      <c r="K790" s="118">
        <f>VLOOKUP(#REF!,Produzione,7,FALSE)</f>
        <v/>
      </c>
      <c r="L790" s="120" t="n"/>
      <c r="M790" s="120" t="n"/>
      <c r="N790" s="118" t="n"/>
      <c r="O790" s="121" t="n"/>
      <c r="P790" s="121" t="n"/>
      <c r="Q790" s="166">
        <f>TODAY()</f>
        <v/>
      </c>
      <c r="R790" s="165">
        <f>ElencoProdotti[[#This Row],[PRODUZIONE]]+20</f>
        <v/>
      </c>
      <c r="S790" s="165">
        <f>TODAY()</f>
        <v/>
      </c>
      <c r="T790" s="133">
        <f>CONCATENATE(A790," - contiene allergni - prodotto il giorno ",TEXT(Q790,"gg/mm/aaaa"),"")</f>
        <v/>
      </c>
    </row>
    <row r="791" ht="15" customHeight="1" s="155">
      <c r="A791" s="134">
        <f>ric!B791</f>
        <v/>
      </c>
      <c r="B791" s="118">
        <f>ric!C791</f>
        <v/>
      </c>
      <c r="C791" s="125">
        <f>ric!D791</f>
        <v/>
      </c>
      <c r="D791" s="125" t="n"/>
      <c r="E791" s="125" t="n"/>
      <c r="F791" s="125" t="n"/>
      <c r="G791" s="118">
        <f>CONCATENATE(A791, " ",#REF!, " / ",H791)</f>
        <v/>
      </c>
      <c r="H791" s="118" t="n"/>
      <c r="I791" s="119">
        <f>CONCATENATE(M791," - ",J791," - Lotto N° ",K791,"")</f>
        <v/>
      </c>
      <c r="J791" s="118" t="n"/>
      <c r="K791" s="118">
        <f>VLOOKUP(#REF!,Produzione,7,FALSE)</f>
        <v/>
      </c>
      <c r="L791" s="120" t="n"/>
      <c r="M791" s="120" t="n"/>
      <c r="N791" s="118" t="n"/>
      <c r="O791" s="121" t="n"/>
      <c r="P791" s="121" t="n"/>
      <c r="Q791" s="166">
        <f>TODAY()</f>
        <v/>
      </c>
      <c r="R791" s="165">
        <f>ElencoProdotti[[#This Row],[PRODUZIONE]]+20</f>
        <v/>
      </c>
      <c r="S791" s="165">
        <f>TODAY()</f>
        <v/>
      </c>
      <c r="T791" s="133">
        <f>CONCATENATE(A791," - contiene allergni - prodotto il giorno ",TEXT(Q791,"gg/mm/aaaa"),"")</f>
        <v/>
      </c>
    </row>
    <row r="792" ht="15" customHeight="1" s="155">
      <c r="A792" s="134">
        <f>ric!B792</f>
        <v/>
      </c>
      <c r="B792" s="118">
        <f>ric!C792</f>
        <v/>
      </c>
      <c r="C792" s="125">
        <f>ric!D792</f>
        <v/>
      </c>
      <c r="D792" s="125" t="n"/>
      <c r="E792" s="125" t="n"/>
      <c r="F792" s="125" t="n"/>
      <c r="G792" s="118">
        <f>CONCATENATE(A792, " ",#REF!, " / ",H792)</f>
        <v/>
      </c>
      <c r="H792" s="118" t="n"/>
      <c r="I792" s="119">
        <f>CONCATENATE(M792," - ",J792," - Lotto N° ",K792,"")</f>
        <v/>
      </c>
      <c r="J792" s="118" t="n"/>
      <c r="K792" s="118">
        <f>VLOOKUP(#REF!,Produzione,7,FALSE)</f>
        <v/>
      </c>
      <c r="L792" s="120" t="n"/>
      <c r="M792" s="120" t="n"/>
      <c r="N792" s="118" t="n"/>
      <c r="O792" s="121" t="n"/>
      <c r="P792" s="121" t="n"/>
      <c r="Q792" s="166">
        <f>TODAY()</f>
        <v/>
      </c>
      <c r="R792" s="165">
        <f>ElencoProdotti[[#This Row],[PRODUZIONE]]+20</f>
        <v/>
      </c>
      <c r="S792" s="165">
        <f>TODAY()</f>
        <v/>
      </c>
      <c r="T792" s="133">
        <f>CONCATENATE(A792," - contiene allergni - prodotto il giorno ",TEXT(Q792,"gg/mm/aaaa"),"")</f>
        <v/>
      </c>
    </row>
    <row r="793" ht="15" customHeight="1" s="155">
      <c r="A793" s="134">
        <f>ric!B793</f>
        <v/>
      </c>
      <c r="B793" s="118">
        <f>ric!C793</f>
        <v/>
      </c>
      <c r="C793" s="125">
        <f>ric!D793</f>
        <v/>
      </c>
      <c r="D793" s="125" t="n"/>
      <c r="E793" s="125" t="n"/>
      <c r="F793" s="125" t="n"/>
      <c r="G793" s="118">
        <f>CONCATENATE(A793, " ",#REF!, " / ",H793)</f>
        <v/>
      </c>
      <c r="H793" s="118" t="n"/>
      <c r="I793" s="119">
        <f>CONCATENATE(M793," - ",J793," - Lotto N° ",K793,"")</f>
        <v/>
      </c>
      <c r="J793" s="118" t="n"/>
      <c r="K793" s="118">
        <f>VLOOKUP(#REF!,Produzione,7,FALSE)</f>
        <v/>
      </c>
      <c r="L793" s="120" t="n"/>
      <c r="M793" s="120" t="n"/>
      <c r="N793" s="118" t="n"/>
      <c r="O793" s="121" t="n"/>
      <c r="P793" s="121" t="n"/>
      <c r="Q793" s="166">
        <f>TODAY()</f>
        <v/>
      </c>
      <c r="R793" s="165">
        <f>ElencoProdotti[[#This Row],[PRODUZIONE]]+20</f>
        <v/>
      </c>
      <c r="S793" s="165">
        <f>TODAY()</f>
        <v/>
      </c>
      <c r="T793" s="133">
        <f>CONCATENATE(A793," - contiene allergni - prodotto il giorno ",TEXT(Q793,"gg/mm/aaaa"),"")</f>
        <v/>
      </c>
    </row>
    <row r="794" ht="15" customHeight="1" s="155">
      <c r="A794" s="134">
        <f>ric!B794</f>
        <v/>
      </c>
      <c r="B794" s="118">
        <f>ric!C794</f>
        <v/>
      </c>
      <c r="C794" s="125">
        <f>ric!D794</f>
        <v/>
      </c>
      <c r="D794" s="125" t="n"/>
      <c r="E794" s="125" t="n"/>
      <c r="F794" s="125" t="n"/>
      <c r="G794" s="118">
        <f>CONCATENATE(A794, " ",#REF!, " / ",H794)</f>
        <v/>
      </c>
      <c r="H794" s="118" t="n"/>
      <c r="I794" s="119">
        <f>CONCATENATE(M794," - ",J794," - Lotto N° ",K794,"")</f>
        <v/>
      </c>
      <c r="J794" s="118" t="n"/>
      <c r="K794" s="118">
        <f>VLOOKUP(#REF!,Produzione,7,FALSE)</f>
        <v/>
      </c>
      <c r="L794" s="120" t="n"/>
      <c r="M794" s="120" t="n"/>
      <c r="N794" s="118" t="n"/>
      <c r="O794" s="121" t="n"/>
      <c r="P794" s="121" t="n"/>
      <c r="Q794" s="166">
        <f>TODAY()</f>
        <v/>
      </c>
      <c r="R794" s="165">
        <f>ElencoProdotti[[#This Row],[PRODUZIONE]]+20</f>
        <v/>
      </c>
      <c r="S794" s="165">
        <f>TODAY()</f>
        <v/>
      </c>
      <c r="T794" s="133">
        <f>CONCATENATE(A794," - contiene allergni - prodotto il giorno ",TEXT(Q794,"gg/mm/aaaa"),"")</f>
        <v/>
      </c>
    </row>
    <row r="795" ht="15" customHeight="1" s="155">
      <c r="A795" s="134">
        <f>ric!B795</f>
        <v/>
      </c>
      <c r="B795" s="118">
        <f>ric!C795</f>
        <v/>
      </c>
      <c r="C795" s="125">
        <f>ric!D795</f>
        <v/>
      </c>
      <c r="D795" s="125" t="n"/>
      <c r="E795" s="125" t="n"/>
      <c r="F795" s="125" t="n"/>
      <c r="G795" s="118">
        <f>CONCATENATE(A795, " ",#REF!, " / ",H795)</f>
        <v/>
      </c>
      <c r="H795" s="118" t="n"/>
      <c r="I795" s="119">
        <f>CONCATENATE(M795," - ",J795," - Lotto N° ",K795,"")</f>
        <v/>
      </c>
      <c r="J795" s="118" t="n"/>
      <c r="K795" s="118">
        <f>VLOOKUP(#REF!,Produzione,7,FALSE)</f>
        <v/>
      </c>
      <c r="L795" s="120" t="n"/>
      <c r="M795" s="120" t="n"/>
      <c r="N795" s="118" t="n"/>
      <c r="O795" s="121" t="n"/>
      <c r="P795" s="121" t="n"/>
      <c r="Q795" s="166">
        <f>TODAY()</f>
        <v/>
      </c>
      <c r="R795" s="165">
        <f>ElencoProdotti[[#This Row],[PRODUZIONE]]+20</f>
        <v/>
      </c>
      <c r="S795" s="165">
        <f>TODAY()</f>
        <v/>
      </c>
      <c r="T795" s="133">
        <f>CONCATENATE(A795," - contiene allergni - prodotto il giorno ",TEXT(Q795,"gg/mm/aaaa"),"")</f>
        <v/>
      </c>
    </row>
    <row r="796" ht="15" customHeight="1" s="155">
      <c r="A796" s="134">
        <f>ric!B796</f>
        <v/>
      </c>
      <c r="B796" s="118">
        <f>ric!C796</f>
        <v/>
      </c>
      <c r="C796" s="125">
        <f>ric!D796</f>
        <v/>
      </c>
      <c r="D796" s="125" t="n"/>
      <c r="E796" s="125" t="n"/>
      <c r="F796" s="125" t="n"/>
      <c r="G796" s="118">
        <f>CONCATENATE(A796, " ",#REF!, " / ",H796)</f>
        <v/>
      </c>
      <c r="H796" s="118" t="n"/>
      <c r="I796" s="119">
        <f>CONCATENATE(M796," - ",J796," - Lotto N° ",K796,"")</f>
        <v/>
      </c>
      <c r="J796" s="118" t="n"/>
      <c r="K796" s="118">
        <f>VLOOKUP(#REF!,Produzione,7,FALSE)</f>
        <v/>
      </c>
      <c r="L796" s="120" t="n"/>
      <c r="M796" s="120" t="n"/>
      <c r="N796" s="118" t="n"/>
      <c r="O796" s="121" t="n"/>
      <c r="P796" s="121" t="n"/>
      <c r="Q796" s="166">
        <f>TODAY()</f>
        <v/>
      </c>
      <c r="R796" s="165">
        <f>ElencoProdotti[[#This Row],[PRODUZIONE]]+20</f>
        <v/>
      </c>
      <c r="S796" s="165">
        <f>TODAY()</f>
        <v/>
      </c>
      <c r="T796" s="133">
        <f>CONCATENATE(A796," - contiene allergni - prodotto il giorno ",TEXT(Q796,"gg/mm/aaaa"),"")</f>
        <v/>
      </c>
    </row>
    <row r="797" ht="15" customHeight="1" s="155">
      <c r="A797" s="134">
        <f>ric!B797</f>
        <v/>
      </c>
      <c r="B797" s="118">
        <f>ric!C797</f>
        <v/>
      </c>
      <c r="C797" s="125">
        <f>ric!D797</f>
        <v/>
      </c>
      <c r="D797" s="125" t="n"/>
      <c r="E797" s="125" t="n"/>
      <c r="F797" s="125" t="n"/>
      <c r="G797" s="118">
        <f>CONCATENATE(A797, " ",#REF!, " / ",H797)</f>
        <v/>
      </c>
      <c r="H797" s="118" t="n"/>
      <c r="I797" s="119">
        <f>CONCATENATE(M797," - ",J797," - Lotto N° ",K797,"")</f>
        <v/>
      </c>
      <c r="J797" s="118" t="n"/>
      <c r="K797" s="118">
        <f>VLOOKUP(#REF!,Produzione,7,FALSE)</f>
        <v/>
      </c>
      <c r="L797" s="120" t="n"/>
      <c r="M797" s="120" t="n"/>
      <c r="N797" s="118" t="n"/>
      <c r="O797" s="121" t="n"/>
      <c r="P797" s="121" t="n"/>
      <c r="Q797" s="166">
        <f>TODAY()</f>
        <v/>
      </c>
      <c r="R797" s="165">
        <f>ElencoProdotti[[#This Row],[PRODUZIONE]]+20</f>
        <v/>
      </c>
      <c r="S797" s="165">
        <f>TODAY()</f>
        <v/>
      </c>
      <c r="T797" s="133">
        <f>CONCATENATE(A797," - contiene allergni - prodotto il giorno ",TEXT(Q797,"gg/mm/aaaa"),"")</f>
        <v/>
      </c>
    </row>
    <row r="798" ht="15" customHeight="1" s="155">
      <c r="A798" s="134">
        <f>ric!B798</f>
        <v/>
      </c>
      <c r="B798" s="118">
        <f>ric!C798</f>
        <v/>
      </c>
      <c r="C798" s="125">
        <f>ric!D798</f>
        <v/>
      </c>
      <c r="D798" s="125" t="n"/>
      <c r="E798" s="125" t="n"/>
      <c r="F798" s="125" t="n"/>
      <c r="G798" s="118">
        <f>CONCATENATE(A798, " ",#REF!, " / ",H798)</f>
        <v/>
      </c>
      <c r="H798" s="118" t="n"/>
      <c r="I798" s="119">
        <f>CONCATENATE(M798," - ",J798," - Lotto N° ",K798,"")</f>
        <v/>
      </c>
      <c r="J798" s="118" t="n"/>
      <c r="K798" s="118">
        <f>VLOOKUP(#REF!,Produzione,7,FALSE)</f>
        <v/>
      </c>
      <c r="L798" s="120" t="n"/>
      <c r="M798" s="120" t="n"/>
      <c r="N798" s="118" t="n"/>
      <c r="O798" s="121" t="n"/>
      <c r="P798" s="121" t="n"/>
      <c r="Q798" s="166">
        <f>TODAY()</f>
        <v/>
      </c>
      <c r="R798" s="165">
        <f>ElencoProdotti[[#This Row],[PRODUZIONE]]+20</f>
        <v/>
      </c>
      <c r="S798" s="165">
        <f>TODAY()</f>
        <v/>
      </c>
      <c r="T798" s="133">
        <f>CONCATENATE(A798," - contiene allergni - prodotto il giorno ",TEXT(Q798,"gg/mm/aaaa"),"")</f>
        <v/>
      </c>
    </row>
    <row r="799" ht="15" customHeight="1" s="155">
      <c r="A799" s="134">
        <f>ric!B799</f>
        <v/>
      </c>
      <c r="B799" s="118">
        <f>ric!C799</f>
        <v/>
      </c>
      <c r="C799" s="125">
        <f>ric!D799</f>
        <v/>
      </c>
      <c r="D799" s="125" t="n"/>
      <c r="E799" s="125" t="n"/>
      <c r="F799" s="125" t="n"/>
      <c r="G799" s="118">
        <f>CONCATENATE(A799, " ",#REF!, " / ",H799)</f>
        <v/>
      </c>
      <c r="H799" s="118" t="n"/>
      <c r="I799" s="119">
        <f>CONCATENATE(M799," - ",J799," - Lotto N° ",K799,"")</f>
        <v/>
      </c>
      <c r="J799" s="118" t="n"/>
      <c r="K799" s="118">
        <f>VLOOKUP(#REF!,Produzione,7,FALSE)</f>
        <v/>
      </c>
      <c r="L799" s="120" t="n"/>
      <c r="M799" s="120" t="n"/>
      <c r="N799" s="118" t="n"/>
      <c r="O799" s="121" t="n"/>
      <c r="P799" s="121" t="n"/>
      <c r="Q799" s="166">
        <f>TODAY()</f>
        <v/>
      </c>
      <c r="R799" s="165">
        <f>ElencoProdotti[[#This Row],[PRODUZIONE]]+20</f>
        <v/>
      </c>
      <c r="S799" s="165">
        <f>TODAY()</f>
        <v/>
      </c>
      <c r="T799" s="133">
        <f>CONCATENATE(A799," - contiene allergni - prodotto il giorno ",TEXT(Q799,"gg/mm/aaaa"),"")</f>
        <v/>
      </c>
    </row>
    <row r="800" ht="15" customHeight="1" s="155">
      <c r="A800" s="134">
        <f>ric!B800</f>
        <v/>
      </c>
      <c r="B800" s="118">
        <f>ric!C800</f>
        <v/>
      </c>
      <c r="C800" s="125">
        <f>ric!D800</f>
        <v/>
      </c>
      <c r="D800" s="125" t="n"/>
      <c r="E800" s="125" t="n"/>
      <c r="F800" s="125" t="n"/>
      <c r="G800" s="118">
        <f>CONCATENATE(A800, " ",#REF!, " / ",H800)</f>
        <v/>
      </c>
      <c r="H800" s="118" t="n"/>
      <c r="I800" s="119">
        <f>CONCATENATE(M800," - ",J800," - Lotto N° ",K800,"")</f>
        <v/>
      </c>
      <c r="J800" s="118" t="n"/>
      <c r="K800" s="118">
        <f>VLOOKUP(#REF!,Produzione,7,FALSE)</f>
        <v/>
      </c>
      <c r="L800" s="120" t="n"/>
      <c r="M800" s="120" t="n"/>
      <c r="N800" s="118" t="n"/>
      <c r="O800" s="121" t="n"/>
      <c r="P800" s="121" t="n"/>
      <c r="Q800" s="166">
        <f>TODAY()</f>
        <v/>
      </c>
      <c r="R800" s="165">
        <f>ElencoProdotti[[#This Row],[PRODUZIONE]]+20</f>
        <v/>
      </c>
      <c r="S800" s="165">
        <f>TODAY()</f>
        <v/>
      </c>
      <c r="T800" s="133">
        <f>CONCATENATE(A800," - contiene allergni - prodotto il giorno ",TEXT(Q800,"gg/mm/aaaa"),"")</f>
        <v/>
      </c>
    </row>
    <row r="801" ht="15" customHeight="1" s="155">
      <c r="A801" s="134">
        <f>ric!B801</f>
        <v/>
      </c>
      <c r="B801" s="118">
        <f>ric!C801</f>
        <v/>
      </c>
      <c r="C801" s="125">
        <f>ric!D801</f>
        <v/>
      </c>
      <c r="D801" s="125" t="n"/>
      <c r="E801" s="125" t="n"/>
      <c r="F801" s="125" t="n"/>
      <c r="G801" s="118">
        <f>CONCATENATE(A801, " ",#REF!, " / ",H801)</f>
        <v/>
      </c>
      <c r="H801" s="118" t="n"/>
      <c r="I801" s="119">
        <f>CONCATENATE(M801," - ",J801," - Lotto N° ",K801,"")</f>
        <v/>
      </c>
      <c r="J801" s="118" t="n"/>
      <c r="K801" s="118">
        <f>VLOOKUP(#REF!,Produzione,7,FALSE)</f>
        <v/>
      </c>
      <c r="L801" s="120" t="n"/>
      <c r="M801" s="120" t="n"/>
      <c r="N801" s="118" t="n"/>
      <c r="O801" s="121" t="n"/>
      <c r="P801" s="121" t="n"/>
      <c r="Q801" s="166">
        <f>TODAY()</f>
        <v/>
      </c>
      <c r="R801" s="165">
        <f>ElencoProdotti[[#This Row],[PRODUZIONE]]+20</f>
        <v/>
      </c>
      <c r="S801" s="165">
        <f>TODAY()</f>
        <v/>
      </c>
      <c r="T801" s="133">
        <f>CONCATENATE(A801," - contiene allergni - prodotto il giorno ",TEXT(Q801,"gg/mm/aaaa"),"")</f>
        <v/>
      </c>
    </row>
    <row r="802" ht="15" customHeight="1" s="155">
      <c r="A802" s="134">
        <f>ric!B802</f>
        <v/>
      </c>
      <c r="B802" s="118">
        <f>ric!C802</f>
        <v/>
      </c>
      <c r="C802" s="125">
        <f>ric!D802</f>
        <v/>
      </c>
      <c r="D802" s="125" t="n"/>
      <c r="E802" s="125" t="n"/>
      <c r="F802" s="125" t="n"/>
      <c r="G802" s="118">
        <f>CONCATENATE(A802, " ",#REF!, " / ",H802)</f>
        <v/>
      </c>
      <c r="H802" s="118" t="n"/>
      <c r="I802" s="119">
        <f>CONCATENATE(M802," - ",J802," - Lotto N° ",K802,"")</f>
        <v/>
      </c>
      <c r="J802" s="118" t="n"/>
      <c r="K802" s="118">
        <f>VLOOKUP(#REF!,Produzione,7,FALSE)</f>
        <v/>
      </c>
      <c r="L802" s="120" t="n"/>
      <c r="M802" s="120" t="n"/>
      <c r="N802" s="118" t="n"/>
      <c r="O802" s="121" t="n"/>
      <c r="P802" s="121" t="n"/>
      <c r="Q802" s="166">
        <f>TODAY()</f>
        <v/>
      </c>
      <c r="R802" s="165">
        <f>ElencoProdotti[[#This Row],[PRODUZIONE]]+20</f>
        <v/>
      </c>
      <c r="S802" s="165">
        <f>TODAY()</f>
        <v/>
      </c>
      <c r="T802" s="133">
        <f>CONCATENATE(A802," - contiene allergni - prodotto il giorno ",TEXT(Q802,"gg/mm/aaaa"),"")</f>
        <v/>
      </c>
    </row>
    <row r="803" ht="15" customHeight="1" s="155">
      <c r="A803" s="134">
        <f>ric!B803</f>
        <v/>
      </c>
      <c r="B803" s="118">
        <f>ric!C803</f>
        <v/>
      </c>
      <c r="C803" s="125">
        <f>ric!D803</f>
        <v/>
      </c>
      <c r="D803" s="125" t="n"/>
      <c r="E803" s="125" t="n"/>
      <c r="F803" s="125" t="n"/>
      <c r="G803" s="118">
        <f>CONCATENATE(A803, " ",#REF!, " / ",H803)</f>
        <v/>
      </c>
      <c r="H803" s="118" t="n"/>
      <c r="I803" s="119">
        <f>CONCATENATE(M803," - ",J803," - Lotto N° ",K803,"")</f>
        <v/>
      </c>
      <c r="J803" s="118" t="n"/>
      <c r="K803" s="118">
        <f>VLOOKUP(#REF!,Produzione,7,FALSE)</f>
        <v/>
      </c>
      <c r="L803" s="120" t="n"/>
      <c r="M803" s="120" t="n"/>
      <c r="N803" s="118" t="n"/>
      <c r="O803" s="121" t="n"/>
      <c r="P803" s="121" t="n"/>
      <c r="Q803" s="166">
        <f>TODAY()</f>
        <v/>
      </c>
      <c r="R803" s="165">
        <f>ElencoProdotti[[#This Row],[PRODUZIONE]]+20</f>
        <v/>
      </c>
      <c r="S803" s="165">
        <f>TODAY()</f>
        <v/>
      </c>
      <c r="T803" s="133">
        <f>CONCATENATE(A803," - contiene allergni - prodotto il giorno ",TEXT(Q803,"gg/mm/aaaa"),"")</f>
        <v/>
      </c>
    </row>
    <row r="804" ht="15" customHeight="1" s="155">
      <c r="A804" s="134">
        <f>ric!B804</f>
        <v/>
      </c>
      <c r="B804" s="118">
        <f>ric!C804</f>
        <v/>
      </c>
      <c r="C804" s="125">
        <f>ric!D804</f>
        <v/>
      </c>
      <c r="D804" s="125" t="n"/>
      <c r="E804" s="125" t="n"/>
      <c r="F804" s="125" t="n"/>
      <c r="G804" s="118">
        <f>CONCATENATE(A804, " ",#REF!, " / ",H804)</f>
        <v/>
      </c>
      <c r="H804" s="118" t="n"/>
      <c r="I804" s="119">
        <f>CONCATENATE(M804," - ",J804," - Lotto N° ",K804,"")</f>
        <v/>
      </c>
      <c r="J804" s="118" t="n"/>
      <c r="K804" s="118">
        <f>VLOOKUP(#REF!,Produzione,7,FALSE)</f>
        <v/>
      </c>
      <c r="L804" s="120" t="n"/>
      <c r="M804" s="120" t="n"/>
      <c r="N804" s="118" t="n"/>
      <c r="O804" s="121" t="n"/>
      <c r="P804" s="121" t="n"/>
      <c r="Q804" s="166">
        <f>TODAY()</f>
        <v/>
      </c>
      <c r="R804" s="165">
        <f>ElencoProdotti[[#This Row],[PRODUZIONE]]+20</f>
        <v/>
      </c>
      <c r="S804" s="165">
        <f>TODAY()</f>
        <v/>
      </c>
      <c r="T804" s="133">
        <f>CONCATENATE(A804," - contiene allergni - prodotto il giorno ",TEXT(Q804,"gg/mm/aaaa"),"")</f>
        <v/>
      </c>
    </row>
    <row r="805" ht="15" customHeight="1" s="155">
      <c r="A805" s="134">
        <f>ric!B805</f>
        <v/>
      </c>
      <c r="B805" s="118">
        <f>ric!C805</f>
        <v/>
      </c>
      <c r="C805" s="125">
        <f>ric!D805</f>
        <v/>
      </c>
      <c r="D805" s="125" t="n"/>
      <c r="E805" s="125" t="n"/>
      <c r="F805" s="125" t="n"/>
      <c r="G805" s="118">
        <f>CONCATENATE(A805, " ",#REF!, " / ",H805)</f>
        <v/>
      </c>
      <c r="H805" s="118" t="n"/>
      <c r="I805" s="119">
        <f>CONCATENATE(M805," - ",J805," - Lotto N° ",K805,"")</f>
        <v/>
      </c>
      <c r="J805" s="118" t="n"/>
      <c r="K805" s="118">
        <f>VLOOKUP(#REF!,Produzione,7,FALSE)</f>
        <v/>
      </c>
      <c r="L805" s="120" t="n"/>
      <c r="M805" s="120" t="n"/>
      <c r="N805" s="118" t="n"/>
      <c r="O805" s="121" t="n"/>
      <c r="P805" s="121" t="n"/>
      <c r="Q805" s="166">
        <f>TODAY()</f>
        <v/>
      </c>
      <c r="R805" s="165">
        <f>ElencoProdotti[[#This Row],[PRODUZIONE]]+20</f>
        <v/>
      </c>
      <c r="S805" s="165">
        <f>TODAY()</f>
        <v/>
      </c>
      <c r="T805" s="133">
        <f>CONCATENATE(A805," - contiene allergni - prodotto il giorno ",TEXT(Q805,"gg/mm/aaaa"),"")</f>
        <v/>
      </c>
    </row>
    <row r="806" ht="15" customHeight="1" s="155">
      <c r="A806" s="134">
        <f>ric!B806</f>
        <v/>
      </c>
      <c r="B806" s="118">
        <f>ric!C806</f>
        <v/>
      </c>
      <c r="C806" s="125">
        <f>ric!D806</f>
        <v/>
      </c>
      <c r="D806" s="125" t="n"/>
      <c r="E806" s="125" t="n"/>
      <c r="F806" s="125" t="n"/>
      <c r="G806" s="118">
        <f>CONCATENATE(A806, " ",#REF!, " / ",H806)</f>
        <v/>
      </c>
      <c r="H806" s="118" t="n"/>
      <c r="I806" s="119">
        <f>CONCATENATE(M806," - ",J806," - Lotto N° ",K806,"")</f>
        <v/>
      </c>
      <c r="J806" s="118" t="n"/>
      <c r="K806" s="118">
        <f>VLOOKUP(#REF!,Produzione,7,FALSE)</f>
        <v/>
      </c>
      <c r="L806" s="120" t="n"/>
      <c r="M806" s="120" t="n"/>
      <c r="N806" s="118" t="n"/>
      <c r="O806" s="121" t="n"/>
      <c r="P806" s="121" t="n"/>
      <c r="Q806" s="166">
        <f>TODAY()</f>
        <v/>
      </c>
      <c r="R806" s="165">
        <f>ElencoProdotti[[#This Row],[PRODUZIONE]]+20</f>
        <v/>
      </c>
      <c r="S806" s="165">
        <f>TODAY()</f>
        <v/>
      </c>
      <c r="T806" s="133">
        <f>CONCATENATE(A806," - contiene allergni - prodotto il giorno ",TEXT(Q806,"gg/mm/aaaa"),"")</f>
        <v/>
      </c>
    </row>
    <row r="807" ht="15" customHeight="1" s="155">
      <c r="A807" s="134">
        <f>ric!B807</f>
        <v/>
      </c>
      <c r="B807" s="118">
        <f>ric!C807</f>
        <v/>
      </c>
      <c r="C807" s="125">
        <f>ric!D807</f>
        <v/>
      </c>
      <c r="D807" s="125" t="n"/>
      <c r="E807" s="125" t="n"/>
      <c r="F807" s="125" t="n"/>
      <c r="G807" s="118">
        <f>CONCATENATE(A807, " ",#REF!, " / ",H807)</f>
        <v/>
      </c>
      <c r="H807" s="118" t="n"/>
      <c r="I807" s="119">
        <f>CONCATENATE(M807," - ",J807," - Lotto N° ",K807,"")</f>
        <v/>
      </c>
      <c r="J807" s="118" t="n"/>
      <c r="K807" s="118">
        <f>VLOOKUP(#REF!,Produzione,7,FALSE)</f>
        <v/>
      </c>
      <c r="L807" s="120" t="n"/>
      <c r="M807" s="120" t="n"/>
      <c r="N807" s="118" t="n"/>
      <c r="O807" s="121" t="n"/>
      <c r="P807" s="121" t="n"/>
      <c r="Q807" s="166">
        <f>TODAY()</f>
        <v/>
      </c>
      <c r="R807" s="165">
        <f>ElencoProdotti[[#This Row],[PRODUZIONE]]+20</f>
        <v/>
      </c>
      <c r="S807" s="165">
        <f>TODAY()</f>
        <v/>
      </c>
      <c r="T807" s="133">
        <f>CONCATENATE(A807," - contiene allergni - prodotto il giorno ",TEXT(Q807,"gg/mm/aaaa"),"")</f>
        <v/>
      </c>
    </row>
    <row r="808" ht="15" customHeight="1" s="155">
      <c r="A808" s="134">
        <f>ric!B808</f>
        <v/>
      </c>
      <c r="B808" s="118">
        <f>ric!C808</f>
        <v/>
      </c>
      <c r="C808" s="125">
        <f>ric!D808</f>
        <v/>
      </c>
      <c r="D808" s="125" t="n"/>
      <c r="E808" s="125" t="n"/>
      <c r="F808" s="125" t="n"/>
      <c r="G808" s="118">
        <f>CONCATENATE(A808, " ",#REF!, " / ",H808)</f>
        <v/>
      </c>
      <c r="H808" s="118" t="n"/>
      <c r="I808" s="119">
        <f>CONCATENATE(M808," - ",J808," - Lotto N° ",K808,"")</f>
        <v/>
      </c>
      <c r="J808" s="118" t="n"/>
      <c r="K808" s="118">
        <f>VLOOKUP(#REF!,Produzione,7,FALSE)</f>
        <v/>
      </c>
      <c r="L808" s="120" t="n"/>
      <c r="M808" s="120" t="n"/>
      <c r="N808" s="118" t="n"/>
      <c r="O808" s="121" t="n"/>
      <c r="P808" s="121" t="n"/>
      <c r="Q808" s="166">
        <f>TODAY()</f>
        <v/>
      </c>
      <c r="R808" s="165">
        <f>ElencoProdotti[[#This Row],[PRODUZIONE]]+20</f>
        <v/>
      </c>
      <c r="S808" s="165">
        <f>TODAY()</f>
        <v/>
      </c>
      <c r="T808" s="133">
        <f>CONCATENATE(A808," - contiene allergni - prodotto il giorno ",TEXT(Q808,"gg/mm/aaaa"),"")</f>
        <v/>
      </c>
    </row>
    <row r="809" ht="15" customHeight="1" s="155">
      <c r="A809" s="134">
        <f>ric!B809</f>
        <v/>
      </c>
      <c r="B809" s="118">
        <f>ric!C809</f>
        <v/>
      </c>
      <c r="C809" s="125">
        <f>ric!D809</f>
        <v/>
      </c>
      <c r="D809" s="125" t="n"/>
      <c r="E809" s="125" t="n"/>
      <c r="F809" s="125" t="n"/>
      <c r="G809" s="118">
        <f>CONCATENATE(A809, " ",#REF!, " / ",H809)</f>
        <v/>
      </c>
      <c r="H809" s="118" t="n"/>
      <c r="I809" s="119">
        <f>CONCATENATE(M809," - ",J809," - Lotto N° ",K809,"")</f>
        <v/>
      </c>
      <c r="J809" s="118" t="n"/>
      <c r="K809" s="118">
        <f>VLOOKUP(#REF!,Produzione,7,FALSE)</f>
        <v/>
      </c>
      <c r="L809" s="120" t="n"/>
      <c r="M809" s="120" t="n"/>
      <c r="N809" s="118" t="n"/>
      <c r="O809" s="121" t="n"/>
      <c r="P809" s="121" t="n"/>
      <c r="Q809" s="166">
        <f>TODAY()</f>
        <v/>
      </c>
      <c r="R809" s="165">
        <f>ElencoProdotti[[#This Row],[PRODUZIONE]]+20</f>
        <v/>
      </c>
      <c r="S809" s="165">
        <f>TODAY()</f>
        <v/>
      </c>
      <c r="T809" s="133">
        <f>CONCATENATE(A809," - contiene allergni - prodotto il giorno ",TEXT(Q809,"gg/mm/aaaa"),"")</f>
        <v/>
      </c>
    </row>
    <row r="810" ht="15" customHeight="1" s="155">
      <c r="A810" s="134">
        <f>ric!B810</f>
        <v/>
      </c>
      <c r="B810" s="118">
        <f>ric!C810</f>
        <v/>
      </c>
      <c r="C810" s="125">
        <f>ric!D810</f>
        <v/>
      </c>
      <c r="D810" s="125" t="n"/>
      <c r="E810" s="125" t="n"/>
      <c r="F810" s="125" t="n"/>
      <c r="G810" s="118">
        <f>CONCATENATE(A810, " ",#REF!, " / ",H810)</f>
        <v/>
      </c>
      <c r="H810" s="118" t="n"/>
      <c r="I810" s="119">
        <f>CONCATENATE(M810," - ",J810," - Lotto N° ",K810,"")</f>
        <v/>
      </c>
      <c r="J810" s="118" t="n"/>
      <c r="K810" s="118">
        <f>VLOOKUP(#REF!,Produzione,7,FALSE)</f>
        <v/>
      </c>
      <c r="L810" s="120" t="n"/>
      <c r="M810" s="120" t="n"/>
      <c r="N810" s="118" t="n"/>
      <c r="O810" s="121" t="n"/>
      <c r="P810" s="121" t="n"/>
      <c r="Q810" s="166">
        <f>TODAY()</f>
        <v/>
      </c>
      <c r="R810" s="165">
        <f>ElencoProdotti[[#This Row],[PRODUZIONE]]+20</f>
        <v/>
      </c>
      <c r="S810" s="165">
        <f>TODAY()</f>
        <v/>
      </c>
      <c r="T810" s="133">
        <f>CONCATENATE(A810," - contiene allergni - prodotto il giorno ",TEXT(Q810,"gg/mm/aaaa"),"")</f>
        <v/>
      </c>
    </row>
    <row r="811" ht="15" customHeight="1" s="155">
      <c r="A811" s="134">
        <f>ric!B811</f>
        <v/>
      </c>
      <c r="B811" s="118">
        <f>ric!C811</f>
        <v/>
      </c>
      <c r="C811" s="125">
        <f>ric!D811</f>
        <v/>
      </c>
      <c r="D811" s="125" t="n"/>
      <c r="E811" s="125" t="n"/>
      <c r="F811" s="125" t="n"/>
      <c r="G811" s="118">
        <f>CONCATENATE(A811, " ",#REF!, " / ",H811)</f>
        <v/>
      </c>
      <c r="H811" s="118" t="n"/>
      <c r="I811" s="119">
        <f>CONCATENATE(M811," - ",J811," - Lotto N° ",K811,"")</f>
        <v/>
      </c>
      <c r="J811" s="118" t="n"/>
      <c r="K811" s="118">
        <f>VLOOKUP(#REF!,Produzione,7,FALSE)</f>
        <v/>
      </c>
      <c r="L811" s="120" t="n"/>
      <c r="M811" s="120" t="n"/>
      <c r="N811" s="118" t="n"/>
      <c r="O811" s="121" t="n"/>
      <c r="P811" s="121" t="n"/>
      <c r="Q811" s="166">
        <f>TODAY()</f>
        <v/>
      </c>
      <c r="R811" s="165">
        <f>ElencoProdotti[[#This Row],[PRODUZIONE]]+20</f>
        <v/>
      </c>
      <c r="S811" s="165">
        <f>TODAY()</f>
        <v/>
      </c>
      <c r="T811" s="133">
        <f>CONCATENATE(A811," - contiene allergni - prodotto il giorno ",TEXT(Q811,"gg/mm/aaaa"),"")</f>
        <v/>
      </c>
    </row>
    <row r="812" ht="15" customHeight="1" s="155">
      <c r="A812" s="134">
        <f>ric!B812</f>
        <v/>
      </c>
      <c r="B812" s="118">
        <f>ric!C812</f>
        <v/>
      </c>
      <c r="C812" s="125">
        <f>ric!D812</f>
        <v/>
      </c>
      <c r="D812" s="125" t="n"/>
      <c r="E812" s="125" t="n"/>
      <c r="F812" s="125" t="n"/>
      <c r="G812" s="118">
        <f>CONCATENATE(A812, " ",#REF!, " / ",H812)</f>
        <v/>
      </c>
      <c r="H812" s="118" t="n"/>
      <c r="I812" s="119">
        <f>CONCATENATE(M812," - ",J812," - Lotto N° ",K812,"")</f>
        <v/>
      </c>
      <c r="J812" s="118" t="n"/>
      <c r="K812" s="118">
        <f>VLOOKUP(#REF!,Produzione,7,FALSE)</f>
        <v/>
      </c>
      <c r="L812" s="120" t="n"/>
      <c r="M812" s="120" t="n"/>
      <c r="N812" s="118" t="n"/>
      <c r="O812" s="121" t="n"/>
      <c r="P812" s="121" t="n"/>
      <c r="Q812" s="166">
        <f>TODAY()</f>
        <v/>
      </c>
      <c r="R812" s="165">
        <f>ElencoProdotti[[#This Row],[PRODUZIONE]]+20</f>
        <v/>
      </c>
      <c r="S812" s="165">
        <f>TODAY()</f>
        <v/>
      </c>
      <c r="T812" s="133">
        <f>CONCATENATE(A812," - contiene allergni - prodotto il giorno ",TEXT(Q812,"gg/mm/aaaa"),"")</f>
        <v/>
      </c>
    </row>
    <row r="813" ht="15" customHeight="1" s="155">
      <c r="A813" s="134">
        <f>ric!B813</f>
        <v/>
      </c>
      <c r="B813" s="118">
        <f>ric!C813</f>
        <v/>
      </c>
      <c r="C813" s="125">
        <f>ric!D813</f>
        <v/>
      </c>
      <c r="D813" s="125" t="n"/>
      <c r="E813" s="125" t="n"/>
      <c r="F813" s="125" t="n"/>
      <c r="G813" s="118">
        <f>CONCATENATE(A813, " ",#REF!, " / ",H813)</f>
        <v/>
      </c>
      <c r="H813" s="118" t="n"/>
      <c r="I813" s="119">
        <f>CONCATENATE(M813," - ",J813," - Lotto N° ",K813,"")</f>
        <v/>
      </c>
      <c r="J813" s="118" t="n"/>
      <c r="K813" s="118">
        <f>VLOOKUP(#REF!,Produzione,7,FALSE)</f>
        <v/>
      </c>
      <c r="L813" s="120" t="n"/>
      <c r="M813" s="120" t="n"/>
      <c r="N813" s="118" t="n"/>
      <c r="O813" s="121" t="n"/>
      <c r="P813" s="121" t="n"/>
      <c r="Q813" s="166">
        <f>TODAY()</f>
        <v/>
      </c>
      <c r="R813" s="165">
        <f>ElencoProdotti[[#This Row],[PRODUZIONE]]+20</f>
        <v/>
      </c>
      <c r="S813" s="165">
        <f>TODAY()</f>
        <v/>
      </c>
      <c r="T813" s="133">
        <f>CONCATENATE(A813," - contiene allergni - prodotto il giorno ",TEXT(Q813,"gg/mm/aaaa"),"")</f>
        <v/>
      </c>
    </row>
    <row r="814" ht="15" customHeight="1" s="155">
      <c r="A814" s="134">
        <f>ric!B814</f>
        <v/>
      </c>
      <c r="B814" s="118">
        <f>ric!C814</f>
        <v/>
      </c>
      <c r="C814" s="125">
        <f>ric!D814</f>
        <v/>
      </c>
      <c r="D814" s="125" t="n"/>
      <c r="E814" s="125" t="n"/>
      <c r="F814" s="125" t="n"/>
      <c r="G814" s="118">
        <f>CONCATENATE(A814, " ",#REF!, " / ",H814)</f>
        <v/>
      </c>
      <c r="H814" s="118" t="n"/>
      <c r="I814" s="119">
        <f>CONCATENATE(M814," - ",J814," - Lotto N° ",K814,"")</f>
        <v/>
      </c>
      <c r="J814" s="118" t="n"/>
      <c r="K814" s="118">
        <f>VLOOKUP(#REF!,Produzione,7,FALSE)</f>
        <v/>
      </c>
      <c r="L814" s="120" t="n"/>
      <c r="M814" s="120" t="n"/>
      <c r="N814" s="118" t="n"/>
      <c r="O814" s="121" t="n"/>
      <c r="P814" s="121" t="n"/>
      <c r="Q814" s="166">
        <f>TODAY()</f>
        <v/>
      </c>
      <c r="R814" s="165">
        <f>ElencoProdotti[[#This Row],[PRODUZIONE]]+20</f>
        <v/>
      </c>
      <c r="S814" s="165">
        <f>TODAY()</f>
        <v/>
      </c>
      <c r="T814" s="133">
        <f>CONCATENATE(A814," - contiene allergni - prodotto il giorno ",TEXT(Q814,"gg/mm/aaaa"),"")</f>
        <v/>
      </c>
    </row>
    <row r="815" ht="15" customHeight="1" s="155">
      <c r="A815" s="134">
        <f>ric!B815</f>
        <v/>
      </c>
      <c r="B815" s="118">
        <f>ric!C815</f>
        <v/>
      </c>
      <c r="C815" s="125">
        <f>ric!D815</f>
        <v/>
      </c>
      <c r="D815" s="125" t="n"/>
      <c r="E815" s="125" t="n"/>
      <c r="F815" s="125" t="n"/>
      <c r="G815" s="118">
        <f>CONCATENATE(A815, " ",#REF!, " / ",H815)</f>
        <v/>
      </c>
      <c r="H815" s="118" t="n"/>
      <c r="I815" s="119">
        <f>CONCATENATE(M815," - ",J815," - Lotto N° ",K815,"")</f>
        <v/>
      </c>
      <c r="J815" s="118" t="n"/>
      <c r="K815" s="118">
        <f>VLOOKUP(#REF!,Produzione,7,FALSE)</f>
        <v/>
      </c>
      <c r="L815" s="120" t="n"/>
      <c r="M815" s="120" t="n"/>
      <c r="N815" s="118" t="n"/>
      <c r="O815" s="121" t="n"/>
      <c r="P815" s="121" t="n"/>
      <c r="Q815" s="166">
        <f>TODAY()</f>
        <v/>
      </c>
      <c r="R815" s="165">
        <f>ElencoProdotti[[#This Row],[PRODUZIONE]]+20</f>
        <v/>
      </c>
      <c r="S815" s="165">
        <f>TODAY()</f>
        <v/>
      </c>
      <c r="T815" s="133">
        <f>CONCATENATE(A815," - contiene allergni - prodotto il giorno ",TEXT(Q815,"gg/mm/aaaa"),"")</f>
        <v/>
      </c>
    </row>
    <row r="816" ht="15" customHeight="1" s="155">
      <c r="A816" s="134">
        <f>ric!B816</f>
        <v/>
      </c>
      <c r="B816" s="118">
        <f>ric!C816</f>
        <v/>
      </c>
      <c r="C816" s="125">
        <f>ric!D816</f>
        <v/>
      </c>
      <c r="D816" s="125" t="n"/>
      <c r="E816" s="125" t="n"/>
      <c r="F816" s="125" t="n"/>
      <c r="G816" s="118">
        <f>CONCATENATE(A816, " ",#REF!, " / ",H816)</f>
        <v/>
      </c>
      <c r="H816" s="118" t="n"/>
      <c r="I816" s="119">
        <f>CONCATENATE(M816," - ",J816," - Lotto N° ",K816,"")</f>
        <v/>
      </c>
      <c r="J816" s="118" t="n"/>
      <c r="K816" s="118">
        <f>VLOOKUP(#REF!,Produzione,7,FALSE)</f>
        <v/>
      </c>
      <c r="L816" s="120" t="n"/>
      <c r="M816" s="120" t="n"/>
      <c r="N816" s="118" t="n"/>
      <c r="O816" s="121" t="n"/>
      <c r="P816" s="121" t="n"/>
      <c r="Q816" s="166">
        <f>TODAY()</f>
        <v/>
      </c>
      <c r="R816" s="165">
        <f>ElencoProdotti[[#This Row],[PRODUZIONE]]+20</f>
        <v/>
      </c>
      <c r="S816" s="165">
        <f>TODAY()</f>
        <v/>
      </c>
      <c r="T816" s="133">
        <f>CONCATENATE(A816," - contiene allergni - prodotto il giorno ",TEXT(Q816,"gg/mm/aaaa"),"")</f>
        <v/>
      </c>
    </row>
    <row r="817" ht="15" customHeight="1" s="155">
      <c r="A817" s="134">
        <f>ric!B817</f>
        <v/>
      </c>
      <c r="B817" s="118">
        <f>ric!C817</f>
        <v/>
      </c>
      <c r="C817" s="125">
        <f>ric!D817</f>
        <v/>
      </c>
      <c r="D817" s="125" t="n"/>
      <c r="E817" s="125" t="n"/>
      <c r="F817" s="125" t="n"/>
      <c r="G817" s="118">
        <f>CONCATENATE(A817, " ",#REF!, " / ",H817)</f>
        <v/>
      </c>
      <c r="H817" s="118" t="n"/>
      <c r="I817" s="119">
        <f>CONCATENATE(M817," - ",J817," - Lotto N° ",K817,"")</f>
        <v/>
      </c>
      <c r="J817" s="118" t="n"/>
      <c r="K817" s="118">
        <f>VLOOKUP(#REF!,Produzione,7,FALSE)</f>
        <v/>
      </c>
      <c r="L817" s="120" t="n"/>
      <c r="M817" s="120" t="n"/>
      <c r="N817" s="118" t="n"/>
      <c r="O817" s="121" t="n"/>
      <c r="P817" s="121" t="n"/>
      <c r="Q817" s="166">
        <f>TODAY()</f>
        <v/>
      </c>
      <c r="R817" s="165">
        <f>ElencoProdotti[[#This Row],[PRODUZIONE]]+20</f>
        <v/>
      </c>
      <c r="S817" s="165">
        <f>TODAY()</f>
        <v/>
      </c>
      <c r="T817" s="133">
        <f>CONCATENATE(A817," - contiene allergni - prodotto il giorno ",TEXT(Q817,"gg/mm/aaaa"),"")</f>
        <v/>
      </c>
    </row>
    <row r="818" ht="15" customHeight="1" s="155">
      <c r="A818" s="134">
        <f>ric!B818</f>
        <v/>
      </c>
      <c r="B818" s="118">
        <f>ric!C818</f>
        <v/>
      </c>
      <c r="C818" s="125">
        <f>ric!D818</f>
        <v/>
      </c>
      <c r="D818" s="125" t="n"/>
      <c r="E818" s="125" t="n"/>
      <c r="F818" s="125" t="n"/>
      <c r="G818" s="118">
        <f>CONCATENATE(A818, " ",#REF!, " / ",H818)</f>
        <v/>
      </c>
      <c r="H818" s="118" t="n"/>
      <c r="I818" s="119">
        <f>CONCATENATE(M818," - ",J818," - Lotto N° ",K818,"")</f>
        <v/>
      </c>
      <c r="J818" s="118" t="n"/>
      <c r="K818" s="118">
        <f>VLOOKUP(#REF!,Produzione,7,FALSE)</f>
        <v/>
      </c>
      <c r="L818" s="120" t="n"/>
      <c r="M818" s="120" t="n"/>
      <c r="N818" s="118" t="n"/>
      <c r="O818" s="121" t="n"/>
      <c r="P818" s="121" t="n"/>
      <c r="Q818" s="166">
        <f>TODAY()</f>
        <v/>
      </c>
      <c r="R818" s="165">
        <f>ElencoProdotti[[#This Row],[PRODUZIONE]]+20</f>
        <v/>
      </c>
      <c r="S818" s="165">
        <f>TODAY()</f>
        <v/>
      </c>
      <c r="T818" s="133">
        <f>CONCATENATE(A818," - contiene allergni - prodotto il giorno ",TEXT(Q818,"gg/mm/aaaa"),"")</f>
        <v/>
      </c>
    </row>
    <row r="819" ht="15" customHeight="1" s="155">
      <c r="A819" s="134">
        <f>ric!B819</f>
        <v/>
      </c>
      <c r="B819" s="118">
        <f>ric!C819</f>
        <v/>
      </c>
      <c r="C819" s="125">
        <f>ric!D819</f>
        <v/>
      </c>
      <c r="D819" s="125" t="n"/>
      <c r="E819" s="125" t="n"/>
      <c r="F819" s="125" t="n"/>
      <c r="G819" s="118">
        <f>CONCATENATE(A819, " ",#REF!, " / ",H819)</f>
        <v/>
      </c>
      <c r="H819" s="118" t="n"/>
      <c r="I819" s="119">
        <f>CONCATENATE(M819," - ",J819," - Lotto N° ",K819,"")</f>
        <v/>
      </c>
      <c r="J819" s="118" t="n"/>
      <c r="K819" s="118">
        <f>VLOOKUP(#REF!,Produzione,7,FALSE)</f>
        <v/>
      </c>
      <c r="L819" s="120" t="n"/>
      <c r="M819" s="120" t="n"/>
      <c r="N819" s="118" t="n"/>
      <c r="O819" s="121" t="n"/>
      <c r="P819" s="121" t="n"/>
      <c r="Q819" s="166">
        <f>TODAY()</f>
        <v/>
      </c>
      <c r="R819" s="165">
        <f>ElencoProdotti[[#This Row],[PRODUZIONE]]+20</f>
        <v/>
      </c>
      <c r="S819" s="165">
        <f>TODAY()</f>
        <v/>
      </c>
      <c r="T819" s="133">
        <f>CONCATENATE(A819," - contiene allergni - prodotto il giorno ",TEXT(Q819,"gg/mm/aaaa"),"")</f>
        <v/>
      </c>
    </row>
    <row r="820" ht="15" customHeight="1" s="155">
      <c r="A820" s="134">
        <f>ric!B820</f>
        <v/>
      </c>
      <c r="B820" s="118">
        <f>ric!C820</f>
        <v/>
      </c>
      <c r="C820" s="125">
        <f>ric!D820</f>
        <v/>
      </c>
      <c r="D820" s="125" t="n"/>
      <c r="E820" s="125" t="n"/>
      <c r="F820" s="125" t="n"/>
      <c r="G820" s="118">
        <f>CONCATENATE(A820, " ",#REF!, " / ",H820)</f>
        <v/>
      </c>
      <c r="H820" s="118" t="n"/>
      <c r="I820" s="119">
        <f>CONCATENATE(M820," - ",J820," - Lotto N° ",K820,"")</f>
        <v/>
      </c>
      <c r="J820" s="118" t="n"/>
      <c r="K820" s="118">
        <f>VLOOKUP(#REF!,Produzione,7,FALSE)</f>
        <v/>
      </c>
      <c r="L820" s="120" t="n"/>
      <c r="M820" s="120" t="n"/>
      <c r="N820" s="118" t="n"/>
      <c r="O820" s="121" t="n"/>
      <c r="P820" s="121" t="n"/>
      <c r="Q820" s="166">
        <f>TODAY()</f>
        <v/>
      </c>
      <c r="R820" s="165">
        <f>ElencoProdotti[[#This Row],[PRODUZIONE]]+20</f>
        <v/>
      </c>
      <c r="S820" s="165">
        <f>TODAY()</f>
        <v/>
      </c>
      <c r="T820" s="133">
        <f>CONCATENATE(A820," - contiene allergni - prodotto il giorno ",TEXT(Q820,"gg/mm/aaaa"),"")</f>
        <v/>
      </c>
    </row>
    <row r="821" ht="15" customHeight="1" s="155">
      <c r="A821" s="134">
        <f>ric!B821</f>
        <v/>
      </c>
      <c r="B821" s="118">
        <f>ric!C821</f>
        <v/>
      </c>
      <c r="C821" s="125">
        <f>ric!D821</f>
        <v/>
      </c>
      <c r="D821" s="125" t="n"/>
      <c r="E821" s="125" t="n"/>
      <c r="F821" s="125" t="n"/>
      <c r="G821" s="118">
        <f>CONCATENATE(A821, " ",#REF!, " / ",H821)</f>
        <v/>
      </c>
      <c r="H821" s="118" t="n"/>
      <c r="I821" s="119">
        <f>CONCATENATE(M821," - ",J821," - Lotto N° ",K821,"")</f>
        <v/>
      </c>
      <c r="J821" s="118" t="n"/>
      <c r="K821" s="118">
        <f>VLOOKUP(#REF!,Produzione,7,FALSE)</f>
        <v/>
      </c>
      <c r="L821" s="120" t="n"/>
      <c r="M821" s="120" t="n"/>
      <c r="N821" s="118" t="n"/>
      <c r="O821" s="121" t="n"/>
      <c r="P821" s="121" t="n"/>
      <c r="Q821" s="166">
        <f>TODAY()</f>
        <v/>
      </c>
      <c r="R821" s="165">
        <f>ElencoProdotti[[#This Row],[PRODUZIONE]]+20</f>
        <v/>
      </c>
      <c r="S821" s="165">
        <f>TODAY()</f>
        <v/>
      </c>
      <c r="T821" s="133">
        <f>CONCATENATE(A821," - contiene allergni - prodotto il giorno ",TEXT(Q821,"gg/mm/aaaa"),"")</f>
        <v/>
      </c>
    </row>
    <row r="822" ht="15" customHeight="1" s="155">
      <c r="A822" s="134">
        <f>ric!B822</f>
        <v/>
      </c>
      <c r="B822" s="118">
        <f>ric!C822</f>
        <v/>
      </c>
      <c r="C822" s="125">
        <f>ric!D822</f>
        <v/>
      </c>
      <c r="D822" s="125" t="n"/>
      <c r="E822" s="125" t="n"/>
      <c r="F822" s="125" t="n"/>
      <c r="G822" s="118">
        <f>CONCATENATE(A822, " ",#REF!, " / ",H822)</f>
        <v/>
      </c>
      <c r="H822" s="118" t="n"/>
      <c r="I822" s="119">
        <f>CONCATENATE(M822," - ",J822," - Lotto N° ",K822,"")</f>
        <v/>
      </c>
      <c r="J822" s="118" t="n"/>
      <c r="K822" s="118">
        <f>VLOOKUP(#REF!,Produzione,7,FALSE)</f>
        <v/>
      </c>
      <c r="L822" s="120" t="n"/>
      <c r="M822" s="120" t="n"/>
      <c r="N822" s="118" t="n"/>
      <c r="O822" s="121" t="n"/>
      <c r="P822" s="121" t="n"/>
      <c r="Q822" s="166">
        <f>TODAY()</f>
        <v/>
      </c>
      <c r="R822" s="165">
        <f>ElencoProdotti[[#This Row],[PRODUZIONE]]+20</f>
        <v/>
      </c>
      <c r="S822" s="165">
        <f>TODAY()</f>
        <v/>
      </c>
      <c r="T822" s="133">
        <f>CONCATENATE(A822," - contiene allergni - prodotto il giorno ",TEXT(Q822,"gg/mm/aaaa"),"")</f>
        <v/>
      </c>
    </row>
    <row r="823" ht="15" customHeight="1" s="155">
      <c r="A823" s="134">
        <f>ric!B823</f>
        <v/>
      </c>
      <c r="B823" s="118">
        <f>ric!C823</f>
        <v/>
      </c>
      <c r="C823" s="125">
        <f>ric!D823</f>
        <v/>
      </c>
      <c r="D823" s="125" t="n"/>
      <c r="E823" s="125" t="n"/>
      <c r="F823" s="125" t="n"/>
      <c r="G823" s="118">
        <f>CONCATENATE(A823, " ",#REF!, " / ",H823)</f>
        <v/>
      </c>
      <c r="H823" s="118" t="n"/>
      <c r="I823" s="119">
        <f>CONCATENATE(M823," - ",J823," - Lotto N° ",K823,"")</f>
        <v/>
      </c>
      <c r="J823" s="118" t="n"/>
      <c r="K823" s="118">
        <f>VLOOKUP(#REF!,Produzione,7,FALSE)</f>
        <v/>
      </c>
      <c r="L823" s="120" t="n"/>
      <c r="M823" s="120" t="n"/>
      <c r="N823" s="118" t="n"/>
      <c r="O823" s="121" t="n"/>
      <c r="P823" s="121" t="n"/>
      <c r="Q823" s="166">
        <f>TODAY()</f>
        <v/>
      </c>
      <c r="R823" s="165">
        <f>ElencoProdotti[[#This Row],[PRODUZIONE]]+20</f>
        <v/>
      </c>
      <c r="S823" s="165">
        <f>TODAY()</f>
        <v/>
      </c>
      <c r="T823" s="133">
        <f>CONCATENATE(A823," - contiene allergni - prodotto il giorno ",TEXT(Q823,"gg/mm/aaaa"),"")</f>
        <v/>
      </c>
    </row>
    <row r="824" ht="15" customHeight="1" s="155">
      <c r="A824" s="134">
        <f>ric!B824</f>
        <v/>
      </c>
      <c r="B824" s="118">
        <f>ric!C824</f>
        <v/>
      </c>
      <c r="C824" s="125">
        <f>ric!D824</f>
        <v/>
      </c>
      <c r="D824" s="125" t="n"/>
      <c r="E824" s="125" t="n"/>
      <c r="F824" s="125" t="n"/>
      <c r="G824" s="118">
        <f>CONCATENATE(A824, " ",#REF!, " / ",H824)</f>
        <v/>
      </c>
      <c r="H824" s="118" t="n"/>
      <c r="I824" s="119">
        <f>CONCATENATE(M824," - ",J824," - Lotto N° ",K824,"")</f>
        <v/>
      </c>
      <c r="J824" s="118" t="n"/>
      <c r="K824" s="118">
        <f>VLOOKUP(#REF!,Produzione,7,FALSE)</f>
        <v/>
      </c>
      <c r="L824" s="120" t="n"/>
      <c r="M824" s="120" t="n"/>
      <c r="N824" s="118" t="n"/>
      <c r="O824" s="121" t="n"/>
      <c r="P824" s="121" t="n"/>
      <c r="Q824" s="166">
        <f>TODAY()</f>
        <v/>
      </c>
      <c r="R824" s="165">
        <f>ElencoProdotti[[#This Row],[PRODUZIONE]]+20</f>
        <v/>
      </c>
      <c r="S824" s="165">
        <f>TODAY()</f>
        <v/>
      </c>
      <c r="T824" s="133">
        <f>CONCATENATE(A824," - contiene allergni - prodotto il giorno ",TEXT(Q824,"gg/mm/aaaa"),"")</f>
        <v/>
      </c>
    </row>
    <row r="825" ht="15" customHeight="1" s="155">
      <c r="A825" s="134">
        <f>ric!B825</f>
        <v/>
      </c>
      <c r="B825" s="118">
        <f>ric!C825</f>
        <v/>
      </c>
      <c r="C825" s="125">
        <f>ric!D825</f>
        <v/>
      </c>
      <c r="D825" s="125" t="n"/>
      <c r="E825" s="125" t="n"/>
      <c r="F825" s="125" t="n"/>
      <c r="G825" s="118">
        <f>CONCATENATE(A825, " ",#REF!, " / ",H825)</f>
        <v/>
      </c>
      <c r="H825" s="118" t="n"/>
      <c r="I825" s="119">
        <f>CONCATENATE(M825," - ",J825," - Lotto N° ",K825,"")</f>
        <v/>
      </c>
      <c r="J825" s="118" t="n"/>
      <c r="K825" s="118">
        <f>VLOOKUP(#REF!,Produzione,7,FALSE)</f>
        <v/>
      </c>
      <c r="L825" s="120" t="n"/>
      <c r="M825" s="120" t="n"/>
      <c r="N825" s="118" t="n"/>
      <c r="O825" s="121" t="n"/>
      <c r="P825" s="121" t="n"/>
      <c r="Q825" s="166">
        <f>TODAY()</f>
        <v/>
      </c>
      <c r="R825" s="165">
        <f>ElencoProdotti[[#This Row],[PRODUZIONE]]+20</f>
        <v/>
      </c>
      <c r="S825" s="165">
        <f>TODAY()</f>
        <v/>
      </c>
      <c r="T825" s="133">
        <f>CONCATENATE(A825," - contiene allergni - prodotto il giorno ",TEXT(Q825,"gg/mm/aaaa"),"")</f>
        <v/>
      </c>
    </row>
    <row r="826" ht="15" customHeight="1" s="155">
      <c r="A826" s="134">
        <f>ric!B826</f>
        <v/>
      </c>
      <c r="B826" s="118">
        <f>ric!C826</f>
        <v/>
      </c>
      <c r="C826" s="125">
        <f>ric!D826</f>
        <v/>
      </c>
      <c r="D826" s="125" t="n"/>
      <c r="E826" s="125" t="n"/>
      <c r="F826" s="125" t="n"/>
      <c r="G826" s="118">
        <f>CONCATENATE(A826, " ",#REF!, " / ",H826)</f>
        <v/>
      </c>
      <c r="H826" s="118" t="n"/>
      <c r="I826" s="119">
        <f>CONCATENATE(M826," - ",J826," - Lotto N° ",K826,"")</f>
        <v/>
      </c>
      <c r="J826" s="118" t="n"/>
      <c r="K826" s="118">
        <f>VLOOKUP(#REF!,Produzione,7,FALSE)</f>
        <v/>
      </c>
      <c r="L826" s="120" t="n"/>
      <c r="M826" s="120" t="n"/>
      <c r="N826" s="118" t="n"/>
      <c r="O826" s="121" t="n"/>
      <c r="P826" s="121" t="n"/>
      <c r="Q826" s="166">
        <f>TODAY()</f>
        <v/>
      </c>
      <c r="R826" s="165">
        <f>ElencoProdotti[[#This Row],[PRODUZIONE]]+20</f>
        <v/>
      </c>
      <c r="S826" s="165">
        <f>TODAY()</f>
        <v/>
      </c>
      <c r="T826" s="133">
        <f>CONCATENATE(A826," - contiene allergni - prodotto il giorno ",TEXT(Q826,"gg/mm/aaaa"),"")</f>
        <v/>
      </c>
    </row>
    <row r="827" ht="15" customHeight="1" s="155">
      <c r="A827" s="134">
        <f>ric!B827</f>
        <v/>
      </c>
      <c r="B827" s="118">
        <f>ric!C827</f>
        <v/>
      </c>
      <c r="C827" s="125">
        <f>ric!D827</f>
        <v/>
      </c>
      <c r="D827" s="125" t="n"/>
      <c r="E827" s="125" t="n"/>
      <c r="F827" s="125" t="n"/>
      <c r="G827" s="118">
        <f>CONCATENATE(A827, " ",#REF!, " / ",H827)</f>
        <v/>
      </c>
      <c r="H827" s="118" t="n"/>
      <c r="I827" s="119">
        <f>CONCATENATE(M827," - ",J827," - Lotto N° ",K827,"")</f>
        <v/>
      </c>
      <c r="J827" s="118" t="n"/>
      <c r="K827" s="118">
        <f>VLOOKUP(#REF!,Produzione,7,FALSE)</f>
        <v/>
      </c>
      <c r="L827" s="120" t="n"/>
      <c r="M827" s="120" t="n"/>
      <c r="N827" s="118" t="n"/>
      <c r="O827" s="121" t="n"/>
      <c r="P827" s="121" t="n"/>
      <c r="Q827" s="166">
        <f>TODAY()</f>
        <v/>
      </c>
      <c r="R827" s="165">
        <f>ElencoProdotti[[#This Row],[PRODUZIONE]]+20</f>
        <v/>
      </c>
      <c r="S827" s="165">
        <f>TODAY()</f>
        <v/>
      </c>
      <c r="T827" s="133">
        <f>CONCATENATE(A827," - contiene allergni - prodotto il giorno ",TEXT(Q827,"gg/mm/aaaa"),"")</f>
        <v/>
      </c>
    </row>
    <row r="828" ht="15" customHeight="1" s="155">
      <c r="A828" s="134">
        <f>ric!B828</f>
        <v/>
      </c>
      <c r="B828" s="118">
        <f>ric!C828</f>
        <v/>
      </c>
      <c r="C828" s="125">
        <f>ric!D828</f>
        <v/>
      </c>
      <c r="D828" s="125" t="n"/>
      <c r="E828" s="125" t="n"/>
      <c r="F828" s="125" t="n"/>
      <c r="G828" s="118">
        <f>CONCATENATE(A828, " ",#REF!, " / ",H828)</f>
        <v/>
      </c>
      <c r="H828" s="118" t="n"/>
      <c r="I828" s="119">
        <f>CONCATENATE(M828," - ",J828," - Lotto N° ",K828,"")</f>
        <v/>
      </c>
      <c r="J828" s="118" t="n"/>
      <c r="K828" s="118">
        <f>VLOOKUP(#REF!,Produzione,7,FALSE)</f>
        <v/>
      </c>
      <c r="L828" s="120" t="n"/>
      <c r="M828" s="120" t="n"/>
      <c r="N828" s="118" t="n"/>
      <c r="O828" s="121" t="n"/>
      <c r="P828" s="121" t="n"/>
      <c r="Q828" s="166">
        <f>TODAY()</f>
        <v/>
      </c>
      <c r="R828" s="165">
        <f>ElencoProdotti[[#This Row],[PRODUZIONE]]+20</f>
        <v/>
      </c>
      <c r="S828" s="165">
        <f>TODAY()</f>
        <v/>
      </c>
      <c r="T828" s="133">
        <f>CONCATENATE(A828," - contiene allergni - prodotto il giorno ",TEXT(Q828,"gg/mm/aaaa"),"")</f>
        <v/>
      </c>
    </row>
    <row r="829" ht="15" customHeight="1" s="155">
      <c r="A829" s="134">
        <f>ric!B829</f>
        <v/>
      </c>
      <c r="B829" s="118">
        <f>ric!C829</f>
        <v/>
      </c>
      <c r="C829" s="125">
        <f>ric!D829</f>
        <v/>
      </c>
      <c r="D829" s="125" t="n"/>
      <c r="E829" s="125" t="n"/>
      <c r="F829" s="125" t="n"/>
      <c r="G829" s="118">
        <f>CONCATENATE(A829, " ",#REF!, " / ",H829)</f>
        <v/>
      </c>
      <c r="H829" s="118" t="n"/>
      <c r="I829" s="119">
        <f>CONCATENATE(M829," - ",J829," - Lotto N° ",K829,"")</f>
        <v/>
      </c>
      <c r="J829" s="118" t="n"/>
      <c r="K829" s="118">
        <f>VLOOKUP(#REF!,Produzione,7,FALSE)</f>
        <v/>
      </c>
      <c r="L829" s="120" t="n"/>
      <c r="M829" s="120" t="n"/>
      <c r="N829" s="118" t="n"/>
      <c r="O829" s="121" t="n"/>
      <c r="P829" s="121" t="n"/>
      <c r="Q829" s="166">
        <f>TODAY()</f>
        <v/>
      </c>
      <c r="R829" s="165">
        <f>ElencoProdotti[[#This Row],[PRODUZIONE]]+20</f>
        <v/>
      </c>
      <c r="S829" s="165">
        <f>TODAY()</f>
        <v/>
      </c>
      <c r="T829" s="133">
        <f>CONCATENATE(A829," - contiene allergni - prodotto il giorno ",TEXT(Q829,"gg/mm/aaaa"),"")</f>
        <v/>
      </c>
    </row>
    <row r="830" ht="15" customHeight="1" s="155">
      <c r="A830" s="134">
        <f>ric!B830</f>
        <v/>
      </c>
      <c r="B830" s="118">
        <f>ric!C830</f>
        <v/>
      </c>
      <c r="C830" s="125">
        <f>ric!D830</f>
        <v/>
      </c>
      <c r="D830" s="125" t="n"/>
      <c r="E830" s="125" t="n"/>
      <c r="F830" s="125" t="n"/>
      <c r="G830" s="118">
        <f>CONCATENATE(A830, " ",#REF!, " / ",H830)</f>
        <v/>
      </c>
      <c r="H830" s="118" t="n"/>
      <c r="I830" s="119">
        <f>CONCATENATE(M830," - ",J830," - Lotto N° ",K830,"")</f>
        <v/>
      </c>
      <c r="J830" s="118" t="n"/>
      <c r="K830" s="118">
        <f>VLOOKUP(#REF!,Produzione,7,FALSE)</f>
        <v/>
      </c>
      <c r="L830" s="120" t="n"/>
      <c r="M830" s="120" t="n"/>
      <c r="N830" s="118" t="n"/>
      <c r="O830" s="121" t="n"/>
      <c r="P830" s="121" t="n"/>
      <c r="Q830" s="166">
        <f>TODAY()</f>
        <v/>
      </c>
      <c r="R830" s="165">
        <f>ElencoProdotti[[#This Row],[PRODUZIONE]]+20</f>
        <v/>
      </c>
      <c r="S830" s="165">
        <f>TODAY()</f>
        <v/>
      </c>
      <c r="T830" s="133">
        <f>CONCATENATE(A830," - contiene allergni - prodotto il giorno ",TEXT(Q830,"gg/mm/aaaa"),"")</f>
        <v/>
      </c>
    </row>
    <row r="831" ht="15" customHeight="1" s="155">
      <c r="A831" s="134">
        <f>ric!B831</f>
        <v/>
      </c>
      <c r="B831" s="118">
        <f>ric!C831</f>
        <v/>
      </c>
      <c r="C831" s="125">
        <f>ric!D831</f>
        <v/>
      </c>
      <c r="D831" s="125" t="n"/>
      <c r="E831" s="125" t="n"/>
      <c r="F831" s="125" t="n"/>
      <c r="G831" s="118">
        <f>CONCATENATE(A831, " ",#REF!, " / ",H831)</f>
        <v/>
      </c>
      <c r="H831" s="118" t="n"/>
      <c r="I831" s="119">
        <f>CONCATENATE(M831," - ",J831," - Lotto N° ",K831,"")</f>
        <v/>
      </c>
      <c r="J831" s="118" t="n"/>
      <c r="K831" s="118">
        <f>VLOOKUP(#REF!,Produzione,7,FALSE)</f>
        <v/>
      </c>
      <c r="L831" s="120" t="n"/>
      <c r="M831" s="120" t="n"/>
      <c r="N831" s="118" t="n"/>
      <c r="O831" s="121" t="n"/>
      <c r="P831" s="121" t="n"/>
      <c r="Q831" s="166">
        <f>TODAY()</f>
        <v/>
      </c>
      <c r="R831" s="165">
        <f>ElencoProdotti[[#This Row],[PRODUZIONE]]+20</f>
        <v/>
      </c>
      <c r="S831" s="165">
        <f>TODAY()</f>
        <v/>
      </c>
      <c r="T831" s="133">
        <f>CONCATENATE(A831," - contiene allergni - prodotto il giorno ",TEXT(Q831,"gg/mm/aaaa"),"")</f>
        <v/>
      </c>
    </row>
    <row r="832" ht="15" customHeight="1" s="155">
      <c r="A832" s="134">
        <f>ric!B832</f>
        <v/>
      </c>
      <c r="B832" s="118">
        <f>ric!C832</f>
        <v/>
      </c>
      <c r="C832" s="125">
        <f>ric!D832</f>
        <v/>
      </c>
      <c r="D832" s="125" t="n"/>
      <c r="E832" s="125" t="n"/>
      <c r="F832" s="125" t="n"/>
      <c r="G832" s="118">
        <f>CONCATENATE(A832, " ",#REF!, " / ",H832)</f>
        <v/>
      </c>
      <c r="H832" s="118" t="n"/>
      <c r="I832" s="119">
        <f>CONCATENATE(M832," - ",J832," - Lotto N° ",K832,"")</f>
        <v/>
      </c>
      <c r="J832" s="118" t="n"/>
      <c r="K832" s="118">
        <f>VLOOKUP(#REF!,Produzione,7,FALSE)</f>
        <v/>
      </c>
      <c r="L832" s="120" t="n"/>
      <c r="M832" s="120" t="n"/>
      <c r="N832" s="118" t="n"/>
      <c r="O832" s="121" t="n"/>
      <c r="P832" s="121" t="n"/>
      <c r="Q832" s="166">
        <f>TODAY()</f>
        <v/>
      </c>
      <c r="R832" s="165">
        <f>ElencoProdotti[[#This Row],[PRODUZIONE]]+20</f>
        <v/>
      </c>
      <c r="S832" s="165">
        <f>TODAY()</f>
        <v/>
      </c>
      <c r="T832" s="133">
        <f>CONCATENATE(A832," - contiene allergni - prodotto il giorno ",TEXT(Q832,"gg/mm/aaaa"),"")</f>
        <v/>
      </c>
    </row>
    <row r="833" ht="15" customHeight="1" s="155">
      <c r="A833" s="134">
        <f>ric!B833</f>
        <v/>
      </c>
      <c r="B833" s="118">
        <f>ric!C833</f>
        <v/>
      </c>
      <c r="C833" s="125">
        <f>ric!D833</f>
        <v/>
      </c>
      <c r="D833" s="125" t="n"/>
      <c r="E833" s="125" t="n"/>
      <c r="F833" s="125" t="n"/>
      <c r="G833" s="118">
        <f>CONCATENATE(A833, " ",#REF!, " / ",H833)</f>
        <v/>
      </c>
      <c r="H833" s="118" t="n"/>
      <c r="I833" s="119">
        <f>CONCATENATE(M833," - ",J833," - Lotto N° ",K833,"")</f>
        <v/>
      </c>
      <c r="J833" s="118" t="n"/>
      <c r="K833" s="118">
        <f>VLOOKUP(#REF!,Produzione,7,FALSE)</f>
        <v/>
      </c>
      <c r="L833" s="120" t="n"/>
      <c r="M833" s="120" t="n"/>
      <c r="N833" s="118" t="n"/>
      <c r="O833" s="121" t="n"/>
      <c r="P833" s="121" t="n"/>
      <c r="Q833" s="166">
        <f>TODAY()</f>
        <v/>
      </c>
      <c r="R833" s="165">
        <f>ElencoProdotti[[#This Row],[PRODUZIONE]]+20</f>
        <v/>
      </c>
      <c r="S833" s="165">
        <f>TODAY()</f>
        <v/>
      </c>
      <c r="T833" s="133">
        <f>CONCATENATE(A833," - contiene allergni - prodotto il giorno ",TEXT(Q833,"gg/mm/aaaa"),"")</f>
        <v/>
      </c>
    </row>
    <row r="834" ht="15" customHeight="1" s="155">
      <c r="A834" s="134">
        <f>ric!B834</f>
        <v/>
      </c>
      <c r="B834" s="118">
        <f>ric!C834</f>
        <v/>
      </c>
      <c r="C834" s="125">
        <f>ric!D834</f>
        <v/>
      </c>
      <c r="D834" s="125" t="n"/>
      <c r="E834" s="125" t="n"/>
      <c r="F834" s="125" t="n"/>
      <c r="G834" s="118">
        <f>CONCATENATE(A834, " ",#REF!, " / ",H834)</f>
        <v/>
      </c>
      <c r="H834" s="118" t="n"/>
      <c r="I834" s="119">
        <f>CONCATENATE(M834," - ",J834," - Lotto N° ",K834,"")</f>
        <v/>
      </c>
      <c r="J834" s="118" t="n"/>
      <c r="K834" s="118">
        <f>VLOOKUP(#REF!,Produzione,7,FALSE)</f>
        <v/>
      </c>
      <c r="L834" s="120" t="n"/>
      <c r="M834" s="120" t="n"/>
      <c r="N834" s="118" t="n"/>
      <c r="O834" s="121" t="n"/>
      <c r="P834" s="121" t="n"/>
      <c r="Q834" s="166">
        <f>TODAY()</f>
        <v/>
      </c>
      <c r="R834" s="165">
        <f>ElencoProdotti[[#This Row],[PRODUZIONE]]+20</f>
        <v/>
      </c>
      <c r="S834" s="165">
        <f>TODAY()</f>
        <v/>
      </c>
      <c r="T834" s="133">
        <f>CONCATENATE(A834," - contiene allergni - prodotto il giorno ",TEXT(Q834,"gg/mm/aaaa"),"")</f>
        <v/>
      </c>
    </row>
    <row r="835" ht="15" customHeight="1" s="155">
      <c r="A835" s="134">
        <f>ric!B835</f>
        <v/>
      </c>
      <c r="B835" s="118">
        <f>ric!C835</f>
        <v/>
      </c>
      <c r="C835" s="125">
        <f>ric!D835</f>
        <v/>
      </c>
      <c r="D835" s="125" t="n"/>
      <c r="E835" s="125" t="n"/>
      <c r="F835" s="125" t="n"/>
      <c r="G835" s="118">
        <f>CONCATENATE(A835, " ",#REF!, " / ",H835)</f>
        <v/>
      </c>
      <c r="H835" s="118" t="n"/>
      <c r="I835" s="119">
        <f>CONCATENATE(M835," - ",J835," - Lotto N° ",K835,"")</f>
        <v/>
      </c>
      <c r="J835" s="118" t="n"/>
      <c r="K835" s="118">
        <f>VLOOKUP(#REF!,Produzione,7,FALSE)</f>
        <v/>
      </c>
      <c r="L835" s="120" t="n"/>
      <c r="M835" s="120" t="n"/>
      <c r="N835" s="118" t="n"/>
      <c r="O835" s="121" t="n"/>
      <c r="P835" s="121" t="n"/>
      <c r="Q835" s="166">
        <f>TODAY()</f>
        <v/>
      </c>
      <c r="R835" s="165">
        <f>ElencoProdotti[[#This Row],[PRODUZIONE]]+20</f>
        <v/>
      </c>
      <c r="S835" s="165">
        <f>TODAY()</f>
        <v/>
      </c>
      <c r="T835" s="133">
        <f>CONCATENATE(A835," - contiene allergni - prodotto il giorno ",TEXT(Q835,"gg/mm/aaaa"),"")</f>
        <v/>
      </c>
    </row>
    <row r="836" ht="15" customHeight="1" s="155">
      <c r="A836" s="134">
        <f>ric!B836</f>
        <v/>
      </c>
      <c r="B836" s="118">
        <f>ric!C836</f>
        <v/>
      </c>
      <c r="C836" s="125">
        <f>ric!D836</f>
        <v/>
      </c>
      <c r="D836" s="125" t="n"/>
      <c r="E836" s="125" t="n"/>
      <c r="F836" s="125" t="n"/>
      <c r="G836" s="118">
        <f>CONCATENATE(A836, " ",#REF!, " / ",H836)</f>
        <v/>
      </c>
      <c r="H836" s="118" t="n"/>
      <c r="I836" s="119">
        <f>CONCATENATE(M836," - ",J836," - Lotto N° ",K836,"")</f>
        <v/>
      </c>
      <c r="J836" s="118" t="n"/>
      <c r="K836" s="118">
        <f>VLOOKUP(#REF!,Produzione,7,FALSE)</f>
        <v/>
      </c>
      <c r="L836" s="120" t="n"/>
      <c r="M836" s="120" t="n"/>
      <c r="N836" s="118" t="n"/>
      <c r="O836" s="121" t="n"/>
      <c r="P836" s="121" t="n"/>
      <c r="Q836" s="166">
        <f>TODAY()</f>
        <v/>
      </c>
      <c r="R836" s="165">
        <f>ElencoProdotti[[#This Row],[PRODUZIONE]]+20</f>
        <v/>
      </c>
      <c r="S836" s="165">
        <f>TODAY()</f>
        <v/>
      </c>
      <c r="T836" s="133">
        <f>CONCATENATE(A836," - contiene allergni - prodotto il giorno ",TEXT(Q836,"gg/mm/aaaa"),"")</f>
        <v/>
      </c>
    </row>
    <row r="837" ht="15" customHeight="1" s="155">
      <c r="A837" s="134">
        <f>ric!B837</f>
        <v/>
      </c>
      <c r="B837" s="118">
        <f>ric!C837</f>
        <v/>
      </c>
      <c r="C837" s="125">
        <f>ric!D837</f>
        <v/>
      </c>
      <c r="D837" s="125" t="n"/>
      <c r="E837" s="125" t="n"/>
      <c r="F837" s="125" t="n"/>
      <c r="G837" s="118">
        <f>CONCATENATE(A837, " ",#REF!, " / ",H837)</f>
        <v/>
      </c>
      <c r="H837" s="118" t="n"/>
      <c r="I837" s="119">
        <f>CONCATENATE(M837," - ",J837," - Lotto N° ",K837,"")</f>
        <v/>
      </c>
      <c r="J837" s="118" t="n"/>
      <c r="K837" s="118">
        <f>VLOOKUP(#REF!,Produzione,7,FALSE)</f>
        <v/>
      </c>
      <c r="L837" s="120" t="n"/>
      <c r="M837" s="120" t="n"/>
      <c r="N837" s="118" t="n"/>
      <c r="O837" s="121" t="n"/>
      <c r="P837" s="121" t="n"/>
      <c r="Q837" s="166">
        <f>TODAY()</f>
        <v/>
      </c>
      <c r="R837" s="165">
        <f>ElencoProdotti[[#This Row],[PRODUZIONE]]+20</f>
        <v/>
      </c>
      <c r="S837" s="165">
        <f>TODAY()</f>
        <v/>
      </c>
      <c r="T837" s="133">
        <f>CONCATENATE(A837," - contiene allergni - prodotto il giorno ",TEXT(Q837,"gg/mm/aaaa"),"")</f>
        <v/>
      </c>
    </row>
    <row r="838" ht="15" customHeight="1" s="155">
      <c r="A838" s="134">
        <f>ric!B838</f>
        <v/>
      </c>
      <c r="B838" s="118">
        <f>ric!C838</f>
        <v/>
      </c>
      <c r="C838" s="125">
        <f>ric!D838</f>
        <v/>
      </c>
      <c r="D838" s="125" t="n"/>
      <c r="E838" s="125" t="n"/>
      <c r="F838" s="125" t="n"/>
      <c r="G838" s="118">
        <f>CONCATENATE(A838, " ",#REF!, " / ",H838)</f>
        <v/>
      </c>
      <c r="H838" s="118" t="n"/>
      <c r="I838" s="119">
        <f>CONCATENATE(M838," - ",J838," - Lotto N° ",K838,"")</f>
        <v/>
      </c>
      <c r="J838" s="118" t="n"/>
      <c r="K838" s="118">
        <f>VLOOKUP(#REF!,Produzione,7,FALSE)</f>
        <v/>
      </c>
      <c r="L838" s="120" t="n"/>
      <c r="M838" s="120" t="n"/>
      <c r="N838" s="118" t="n"/>
      <c r="O838" s="121" t="n"/>
      <c r="P838" s="121" t="n"/>
      <c r="Q838" s="166">
        <f>TODAY()</f>
        <v/>
      </c>
      <c r="R838" s="165">
        <f>ElencoProdotti[[#This Row],[PRODUZIONE]]+20</f>
        <v/>
      </c>
      <c r="S838" s="165">
        <f>TODAY()</f>
        <v/>
      </c>
      <c r="T838" s="133">
        <f>CONCATENATE(A838," - contiene allergni - prodotto il giorno ",TEXT(Q838,"gg/mm/aaaa"),"")</f>
        <v/>
      </c>
    </row>
    <row r="839" ht="15" customHeight="1" s="155">
      <c r="A839" s="134">
        <f>ric!B839</f>
        <v/>
      </c>
      <c r="B839" s="118">
        <f>ric!C839</f>
        <v/>
      </c>
      <c r="C839" s="125">
        <f>ric!D839</f>
        <v/>
      </c>
      <c r="D839" s="125" t="n"/>
      <c r="E839" s="125" t="n"/>
      <c r="F839" s="125" t="n"/>
      <c r="G839" s="118">
        <f>CONCATENATE(A839, " ",#REF!, " / ",H839)</f>
        <v/>
      </c>
      <c r="H839" s="118" t="n"/>
      <c r="I839" s="119">
        <f>CONCATENATE(M839," - ",J839," - Lotto N° ",K839,"")</f>
        <v/>
      </c>
      <c r="J839" s="118" t="n"/>
      <c r="K839" s="118">
        <f>VLOOKUP(#REF!,Produzione,7,FALSE)</f>
        <v/>
      </c>
      <c r="L839" s="120" t="n"/>
      <c r="M839" s="120" t="n"/>
      <c r="N839" s="118" t="n"/>
      <c r="O839" s="121" t="n"/>
      <c r="P839" s="121" t="n"/>
      <c r="Q839" s="166">
        <f>TODAY()</f>
        <v/>
      </c>
      <c r="R839" s="165">
        <f>ElencoProdotti[[#This Row],[PRODUZIONE]]+20</f>
        <v/>
      </c>
      <c r="S839" s="165">
        <f>TODAY()</f>
        <v/>
      </c>
      <c r="T839" s="133">
        <f>CONCATENATE(A839," - contiene allergni - prodotto il giorno ",TEXT(Q839,"gg/mm/aaaa"),"")</f>
        <v/>
      </c>
    </row>
    <row r="840" ht="15" customHeight="1" s="155">
      <c r="A840" s="134">
        <f>ric!B840</f>
        <v/>
      </c>
      <c r="B840" s="118">
        <f>ric!C840</f>
        <v/>
      </c>
      <c r="C840" s="125">
        <f>ric!D840</f>
        <v/>
      </c>
      <c r="D840" s="125" t="n"/>
      <c r="E840" s="125" t="n"/>
      <c r="F840" s="125" t="n"/>
      <c r="G840" s="118">
        <f>CONCATENATE(A840, " ",#REF!, " / ",H840)</f>
        <v/>
      </c>
      <c r="H840" s="118" t="n"/>
      <c r="I840" s="119">
        <f>CONCATENATE(M840," - ",J840," - Lotto N° ",K840,"")</f>
        <v/>
      </c>
      <c r="J840" s="118" t="n"/>
      <c r="K840" s="118">
        <f>VLOOKUP(#REF!,Produzione,7,FALSE)</f>
        <v/>
      </c>
      <c r="L840" s="120" t="n"/>
      <c r="M840" s="120" t="n"/>
      <c r="N840" s="118" t="n"/>
      <c r="O840" s="121" t="n"/>
      <c r="P840" s="121" t="n"/>
      <c r="Q840" s="166">
        <f>TODAY()</f>
        <v/>
      </c>
      <c r="R840" s="165">
        <f>ElencoProdotti[[#This Row],[PRODUZIONE]]+20</f>
        <v/>
      </c>
      <c r="S840" s="165">
        <f>TODAY()</f>
        <v/>
      </c>
      <c r="T840" s="133">
        <f>CONCATENATE(A840," - contiene allergni - prodotto il giorno ",TEXT(Q840,"gg/mm/aaaa"),"")</f>
        <v/>
      </c>
    </row>
    <row r="841" ht="15" customHeight="1" s="155">
      <c r="A841" s="134">
        <f>ric!B841</f>
        <v/>
      </c>
      <c r="B841" s="118">
        <f>ric!C841</f>
        <v/>
      </c>
      <c r="C841" s="125">
        <f>ric!D841</f>
        <v/>
      </c>
      <c r="D841" s="125" t="n"/>
      <c r="E841" s="125" t="n"/>
      <c r="F841" s="125" t="n"/>
      <c r="G841" s="118">
        <f>CONCATENATE(A841, " ",#REF!, " / ",H841)</f>
        <v/>
      </c>
      <c r="H841" s="118" t="n"/>
      <c r="I841" s="119">
        <f>CONCATENATE(M841," - ",J841," - Lotto N° ",K841,"")</f>
        <v/>
      </c>
      <c r="J841" s="118" t="n"/>
      <c r="K841" s="118">
        <f>VLOOKUP(#REF!,Produzione,7,FALSE)</f>
        <v/>
      </c>
      <c r="L841" s="120" t="n"/>
      <c r="M841" s="120" t="n"/>
      <c r="N841" s="118" t="n"/>
      <c r="O841" s="121" t="n"/>
      <c r="P841" s="121" t="n"/>
      <c r="Q841" s="166">
        <f>TODAY()</f>
        <v/>
      </c>
      <c r="R841" s="165">
        <f>ElencoProdotti[[#This Row],[PRODUZIONE]]+20</f>
        <v/>
      </c>
      <c r="S841" s="165">
        <f>TODAY()</f>
        <v/>
      </c>
      <c r="T841" s="133">
        <f>CONCATENATE(A841," - contiene allergni - prodotto il giorno ",TEXT(Q841,"gg/mm/aaaa"),"")</f>
        <v/>
      </c>
    </row>
    <row r="842" ht="15" customHeight="1" s="155">
      <c r="A842" s="134">
        <f>ric!B842</f>
        <v/>
      </c>
      <c r="B842" s="118">
        <f>ric!C842</f>
        <v/>
      </c>
      <c r="C842" s="125">
        <f>ric!D842</f>
        <v/>
      </c>
      <c r="D842" s="125" t="n"/>
      <c r="E842" s="125" t="n"/>
      <c r="F842" s="125" t="n"/>
      <c r="G842" s="118">
        <f>CONCATENATE(A842, " ",#REF!, " / ",H842)</f>
        <v/>
      </c>
      <c r="H842" s="118" t="n"/>
      <c r="I842" s="119">
        <f>CONCATENATE(M842," - ",J842," - Lotto N° ",K842,"")</f>
        <v/>
      </c>
      <c r="J842" s="118" t="n"/>
      <c r="K842" s="118">
        <f>VLOOKUP(#REF!,Produzione,7,FALSE)</f>
        <v/>
      </c>
      <c r="L842" s="120" t="n"/>
      <c r="M842" s="120" t="n"/>
      <c r="N842" s="118" t="n"/>
      <c r="O842" s="121" t="n"/>
      <c r="P842" s="121" t="n"/>
      <c r="Q842" s="166">
        <f>TODAY()</f>
        <v/>
      </c>
      <c r="R842" s="165">
        <f>ElencoProdotti[[#This Row],[PRODUZIONE]]+20</f>
        <v/>
      </c>
      <c r="S842" s="165">
        <f>TODAY()</f>
        <v/>
      </c>
      <c r="T842" s="133">
        <f>CONCATENATE(A842," - contiene allergni - prodotto il giorno ",TEXT(Q842,"gg/mm/aaaa"),"")</f>
        <v/>
      </c>
    </row>
    <row r="843" ht="15" customHeight="1" s="155">
      <c r="A843" s="134">
        <f>ric!B843</f>
        <v/>
      </c>
      <c r="B843" s="118">
        <f>ric!C843</f>
        <v/>
      </c>
      <c r="C843" s="125">
        <f>ric!D843</f>
        <v/>
      </c>
      <c r="D843" s="125" t="n"/>
      <c r="E843" s="125" t="n"/>
      <c r="F843" s="125" t="n"/>
      <c r="G843" s="118">
        <f>CONCATENATE(A843, " ",#REF!, " / ",H843)</f>
        <v/>
      </c>
      <c r="H843" s="118" t="n"/>
      <c r="I843" s="119">
        <f>CONCATENATE(M843," - ",J843," - Lotto N° ",K843,"")</f>
        <v/>
      </c>
      <c r="J843" s="118" t="n"/>
      <c r="K843" s="118">
        <f>VLOOKUP(#REF!,Produzione,7,FALSE)</f>
        <v/>
      </c>
      <c r="L843" s="120" t="n"/>
      <c r="M843" s="120" t="n"/>
      <c r="N843" s="118" t="n"/>
      <c r="O843" s="121" t="n"/>
      <c r="P843" s="121" t="n"/>
      <c r="Q843" s="166">
        <f>TODAY()</f>
        <v/>
      </c>
      <c r="R843" s="165">
        <f>ElencoProdotti[[#This Row],[PRODUZIONE]]+20</f>
        <v/>
      </c>
      <c r="S843" s="165">
        <f>TODAY()</f>
        <v/>
      </c>
      <c r="T843" s="133">
        <f>CONCATENATE(A843," - contiene allergni - prodotto il giorno ",TEXT(Q843,"gg/mm/aaaa"),"")</f>
        <v/>
      </c>
    </row>
    <row r="844" ht="15" customHeight="1" s="155">
      <c r="A844" s="134">
        <f>ric!B844</f>
        <v/>
      </c>
      <c r="B844" s="118">
        <f>ric!C844</f>
        <v/>
      </c>
      <c r="C844" s="125">
        <f>ric!D844</f>
        <v/>
      </c>
      <c r="D844" s="125" t="n"/>
      <c r="E844" s="125" t="n"/>
      <c r="F844" s="125" t="n"/>
      <c r="G844" s="118">
        <f>CONCATENATE(A844, " ",#REF!, " / ",H844)</f>
        <v/>
      </c>
      <c r="H844" s="118" t="n"/>
      <c r="I844" s="119">
        <f>CONCATENATE(M844," - ",J844," - Lotto N° ",K844,"")</f>
        <v/>
      </c>
      <c r="J844" s="118" t="n"/>
      <c r="K844" s="118">
        <f>VLOOKUP(#REF!,Produzione,7,FALSE)</f>
        <v/>
      </c>
      <c r="L844" s="120" t="n"/>
      <c r="M844" s="120" t="n"/>
      <c r="N844" s="118" t="n"/>
      <c r="O844" s="121" t="n"/>
      <c r="P844" s="121" t="n"/>
      <c r="Q844" s="166">
        <f>TODAY()</f>
        <v/>
      </c>
      <c r="R844" s="165">
        <f>ElencoProdotti[[#This Row],[PRODUZIONE]]+20</f>
        <v/>
      </c>
      <c r="S844" s="165">
        <f>TODAY()</f>
        <v/>
      </c>
      <c r="T844" s="133">
        <f>CONCATENATE(A844," - contiene allergni - prodotto il giorno ",TEXT(Q844,"gg/mm/aaaa"),"")</f>
        <v/>
      </c>
    </row>
    <row r="845" ht="15" customHeight="1" s="155">
      <c r="A845" s="134">
        <f>ric!B845</f>
        <v/>
      </c>
      <c r="B845" s="118">
        <f>ric!C845</f>
        <v/>
      </c>
      <c r="C845" s="125">
        <f>ric!D845</f>
        <v/>
      </c>
      <c r="D845" s="125" t="n"/>
      <c r="E845" s="125" t="n"/>
      <c r="F845" s="125" t="n"/>
      <c r="G845" s="118">
        <f>CONCATENATE(A845, " ",#REF!, " / ",H845)</f>
        <v/>
      </c>
      <c r="H845" s="118" t="n"/>
      <c r="I845" s="119">
        <f>CONCATENATE(M845," - ",J845," - Lotto N° ",K845,"")</f>
        <v/>
      </c>
      <c r="J845" s="118" t="n"/>
      <c r="K845" s="118">
        <f>VLOOKUP(#REF!,Produzione,7,FALSE)</f>
        <v/>
      </c>
      <c r="L845" s="120" t="n"/>
      <c r="M845" s="120" t="n"/>
      <c r="N845" s="118" t="n"/>
      <c r="O845" s="121" t="n"/>
      <c r="P845" s="121" t="n"/>
      <c r="Q845" s="166">
        <f>TODAY()</f>
        <v/>
      </c>
      <c r="R845" s="165">
        <f>ElencoProdotti[[#This Row],[PRODUZIONE]]+20</f>
        <v/>
      </c>
      <c r="S845" s="165">
        <f>TODAY()</f>
        <v/>
      </c>
      <c r="T845" s="133">
        <f>CONCATENATE(A845," - contiene allergni - prodotto il giorno ",TEXT(Q845,"gg/mm/aaaa"),"")</f>
        <v/>
      </c>
    </row>
    <row r="846" ht="15" customHeight="1" s="155">
      <c r="A846" s="134">
        <f>ric!B846</f>
        <v/>
      </c>
      <c r="B846" s="118">
        <f>ric!C846</f>
        <v/>
      </c>
      <c r="C846" s="125">
        <f>ric!D846</f>
        <v/>
      </c>
      <c r="D846" s="125" t="n"/>
      <c r="E846" s="125" t="n"/>
      <c r="F846" s="125" t="n"/>
      <c r="G846" s="118">
        <f>CONCATENATE(A846, " ",#REF!, " / ",H846)</f>
        <v/>
      </c>
      <c r="H846" s="118" t="n"/>
      <c r="I846" s="119">
        <f>CONCATENATE(M846," - ",J846," - Lotto N° ",K846,"")</f>
        <v/>
      </c>
      <c r="J846" s="118" t="n"/>
      <c r="K846" s="118">
        <f>VLOOKUP(#REF!,Produzione,7,FALSE)</f>
        <v/>
      </c>
      <c r="L846" s="120" t="n"/>
      <c r="M846" s="120" t="n"/>
      <c r="N846" s="118" t="n"/>
      <c r="O846" s="121" t="n"/>
      <c r="P846" s="121" t="n"/>
      <c r="Q846" s="166">
        <f>TODAY()</f>
        <v/>
      </c>
      <c r="R846" s="165">
        <f>ElencoProdotti[[#This Row],[PRODUZIONE]]+20</f>
        <v/>
      </c>
      <c r="S846" s="165">
        <f>TODAY()</f>
        <v/>
      </c>
      <c r="T846" s="133">
        <f>CONCATENATE(A846," - contiene allergni - prodotto il giorno ",TEXT(Q846,"gg/mm/aaaa"),"")</f>
        <v/>
      </c>
    </row>
    <row r="847" ht="15" customHeight="1" s="155">
      <c r="A847" s="134">
        <f>ric!B847</f>
        <v/>
      </c>
      <c r="B847" s="118">
        <f>ric!C847</f>
        <v/>
      </c>
      <c r="C847" s="125">
        <f>ric!D847</f>
        <v/>
      </c>
      <c r="D847" s="125" t="n"/>
      <c r="E847" s="125" t="n"/>
      <c r="F847" s="125" t="n"/>
      <c r="G847" s="118">
        <f>CONCATENATE(A847, " ",#REF!, " / ",H847)</f>
        <v/>
      </c>
      <c r="H847" s="118" t="n"/>
      <c r="I847" s="119">
        <f>CONCATENATE(M847," - ",J847," - Lotto N° ",K847,"")</f>
        <v/>
      </c>
      <c r="J847" s="118" t="n"/>
      <c r="K847" s="118">
        <f>VLOOKUP(#REF!,Produzione,7,FALSE)</f>
        <v/>
      </c>
      <c r="L847" s="120" t="n"/>
      <c r="M847" s="120" t="n"/>
      <c r="N847" s="118" t="n"/>
      <c r="O847" s="121" t="n"/>
      <c r="P847" s="121" t="n"/>
      <c r="Q847" s="166">
        <f>TODAY()</f>
        <v/>
      </c>
      <c r="R847" s="165">
        <f>ElencoProdotti[[#This Row],[PRODUZIONE]]+20</f>
        <v/>
      </c>
      <c r="S847" s="165">
        <f>TODAY()</f>
        <v/>
      </c>
      <c r="T847" s="133">
        <f>CONCATENATE(A847," - contiene allergni - prodotto il giorno ",TEXT(Q847,"gg/mm/aaaa"),"")</f>
        <v/>
      </c>
    </row>
    <row r="848" ht="15" customHeight="1" s="155">
      <c r="A848" s="134">
        <f>ric!B848</f>
        <v/>
      </c>
      <c r="B848" s="118">
        <f>ric!C848</f>
        <v/>
      </c>
      <c r="C848" s="125">
        <f>ric!D848</f>
        <v/>
      </c>
      <c r="D848" s="125" t="n"/>
      <c r="E848" s="125" t="n"/>
      <c r="F848" s="125" t="n"/>
      <c r="G848" s="118">
        <f>CONCATENATE(A848, " ",#REF!, " / ",H848)</f>
        <v/>
      </c>
      <c r="H848" s="118" t="n"/>
      <c r="I848" s="119">
        <f>CONCATENATE(M848," - ",J848," - Lotto N° ",K848,"")</f>
        <v/>
      </c>
      <c r="J848" s="118" t="n"/>
      <c r="K848" s="118">
        <f>VLOOKUP(#REF!,Produzione,7,FALSE)</f>
        <v/>
      </c>
      <c r="L848" s="120" t="n"/>
      <c r="M848" s="120" t="n"/>
      <c r="N848" s="118" t="n"/>
      <c r="O848" s="121" t="n"/>
      <c r="P848" s="121" t="n"/>
      <c r="Q848" s="166">
        <f>TODAY()</f>
        <v/>
      </c>
      <c r="R848" s="165">
        <f>ElencoProdotti[[#This Row],[PRODUZIONE]]+20</f>
        <v/>
      </c>
      <c r="S848" s="165">
        <f>TODAY()</f>
        <v/>
      </c>
      <c r="T848" s="133">
        <f>CONCATENATE(A848," - contiene allergni - prodotto il giorno ",TEXT(Q848,"gg/mm/aaaa"),"")</f>
        <v/>
      </c>
    </row>
    <row r="849" ht="15" customHeight="1" s="155">
      <c r="A849" s="134">
        <f>ric!B849</f>
        <v/>
      </c>
      <c r="B849" s="118">
        <f>ric!C849</f>
        <v/>
      </c>
      <c r="C849" s="125">
        <f>ric!D849</f>
        <v/>
      </c>
      <c r="D849" s="125" t="n"/>
      <c r="E849" s="125" t="n"/>
      <c r="F849" s="125" t="n"/>
      <c r="G849" s="118">
        <f>CONCATENATE(A849, " ",#REF!, " / ",H849)</f>
        <v/>
      </c>
      <c r="H849" s="118" t="n"/>
      <c r="I849" s="119">
        <f>CONCATENATE(M849," - ",J849," - Lotto N° ",K849,"")</f>
        <v/>
      </c>
      <c r="J849" s="118" t="n"/>
      <c r="K849" s="118">
        <f>VLOOKUP(#REF!,Produzione,7,FALSE)</f>
        <v/>
      </c>
      <c r="L849" s="120" t="n"/>
      <c r="M849" s="120" t="n"/>
      <c r="N849" s="118" t="n"/>
      <c r="O849" s="121" t="n"/>
      <c r="P849" s="121" t="n"/>
      <c r="Q849" s="166">
        <f>TODAY()</f>
        <v/>
      </c>
      <c r="R849" s="165">
        <f>ElencoProdotti[[#This Row],[PRODUZIONE]]+20</f>
        <v/>
      </c>
      <c r="S849" s="165">
        <f>TODAY()</f>
        <v/>
      </c>
      <c r="T849" s="133">
        <f>CONCATENATE(A849," - contiene allergni - prodotto il giorno ",TEXT(Q849,"gg/mm/aaaa"),"")</f>
        <v/>
      </c>
    </row>
    <row r="850" ht="15" customHeight="1" s="155">
      <c r="A850" s="134">
        <f>ric!B850</f>
        <v/>
      </c>
      <c r="B850" s="118">
        <f>ric!C850</f>
        <v/>
      </c>
      <c r="C850" s="125">
        <f>ric!D850</f>
        <v/>
      </c>
      <c r="D850" s="125" t="n"/>
      <c r="E850" s="125" t="n"/>
      <c r="F850" s="125" t="n"/>
      <c r="G850" s="118">
        <f>CONCATENATE(A850, " ",#REF!, " / ",H850)</f>
        <v/>
      </c>
      <c r="H850" s="118" t="n"/>
      <c r="I850" s="119">
        <f>CONCATENATE(M850," - ",J850," - Lotto N° ",K850,"")</f>
        <v/>
      </c>
      <c r="J850" s="118" t="n"/>
      <c r="K850" s="118">
        <f>VLOOKUP(#REF!,Produzione,7,FALSE)</f>
        <v/>
      </c>
      <c r="L850" s="120" t="n"/>
      <c r="M850" s="120" t="n"/>
      <c r="N850" s="118" t="n"/>
      <c r="O850" s="121" t="n"/>
      <c r="P850" s="121" t="n"/>
      <c r="Q850" s="166">
        <f>TODAY()</f>
        <v/>
      </c>
      <c r="R850" s="165">
        <f>ElencoProdotti[[#This Row],[PRODUZIONE]]+20</f>
        <v/>
      </c>
      <c r="S850" s="165">
        <f>TODAY()</f>
        <v/>
      </c>
      <c r="T850" s="133">
        <f>CONCATENATE(A850," - contiene allergni - prodotto il giorno ",TEXT(Q850,"gg/mm/aaaa"),"")</f>
        <v/>
      </c>
    </row>
    <row r="851" ht="15" customHeight="1" s="155">
      <c r="A851" s="134">
        <f>ric!B851</f>
        <v/>
      </c>
      <c r="B851" s="118">
        <f>ric!C851</f>
        <v/>
      </c>
      <c r="C851" s="125">
        <f>ric!D851</f>
        <v/>
      </c>
      <c r="D851" s="125" t="n"/>
      <c r="E851" s="125" t="n"/>
      <c r="F851" s="125" t="n"/>
      <c r="G851" s="118">
        <f>CONCATENATE(A851, " ",#REF!, " / ",H851)</f>
        <v/>
      </c>
      <c r="H851" s="118" t="n"/>
      <c r="I851" s="119">
        <f>CONCATENATE(M851," - ",J851," - Lotto N° ",K851,"")</f>
        <v/>
      </c>
      <c r="J851" s="118" t="n"/>
      <c r="K851" s="118">
        <f>VLOOKUP(#REF!,Produzione,7,FALSE)</f>
        <v/>
      </c>
      <c r="L851" s="120" t="n"/>
      <c r="M851" s="120" t="n"/>
      <c r="N851" s="118" t="n"/>
      <c r="O851" s="121" t="n"/>
      <c r="P851" s="121" t="n"/>
      <c r="Q851" s="166">
        <f>TODAY()</f>
        <v/>
      </c>
      <c r="R851" s="165">
        <f>ElencoProdotti[[#This Row],[PRODUZIONE]]+20</f>
        <v/>
      </c>
      <c r="S851" s="165">
        <f>TODAY()</f>
        <v/>
      </c>
      <c r="T851" s="133">
        <f>CONCATENATE(A851," - contiene allergni - prodotto il giorno ",TEXT(Q851,"gg/mm/aaaa"),"")</f>
        <v/>
      </c>
    </row>
    <row r="852" ht="15" customHeight="1" s="155">
      <c r="A852" s="134">
        <f>ric!B852</f>
        <v/>
      </c>
      <c r="B852" s="118">
        <f>ric!C852</f>
        <v/>
      </c>
      <c r="C852" s="125">
        <f>ric!D852</f>
        <v/>
      </c>
      <c r="D852" s="125" t="n"/>
      <c r="E852" s="125" t="n"/>
      <c r="F852" s="125" t="n"/>
      <c r="G852" s="118">
        <f>CONCATENATE(A852, " ",#REF!, " / ",H852)</f>
        <v/>
      </c>
      <c r="H852" s="118" t="n"/>
      <c r="I852" s="119">
        <f>CONCATENATE(M852," - ",J852," - Lotto N° ",K852,"")</f>
        <v/>
      </c>
      <c r="J852" s="118" t="n"/>
      <c r="K852" s="118">
        <f>VLOOKUP(#REF!,Produzione,7,FALSE)</f>
        <v/>
      </c>
      <c r="L852" s="120" t="n"/>
      <c r="M852" s="120" t="n"/>
      <c r="N852" s="118" t="n"/>
      <c r="O852" s="121" t="n"/>
      <c r="P852" s="121" t="n"/>
      <c r="Q852" s="166">
        <f>TODAY()</f>
        <v/>
      </c>
      <c r="R852" s="165">
        <f>ElencoProdotti[[#This Row],[PRODUZIONE]]+20</f>
        <v/>
      </c>
      <c r="S852" s="165">
        <f>TODAY()</f>
        <v/>
      </c>
      <c r="T852" s="133">
        <f>CONCATENATE(A852," - contiene allergni - prodotto il giorno ",TEXT(Q852,"gg/mm/aaaa"),"")</f>
        <v/>
      </c>
    </row>
    <row r="853" ht="15" customHeight="1" s="155">
      <c r="A853" s="134">
        <f>ric!B853</f>
        <v/>
      </c>
      <c r="B853" s="118">
        <f>ric!C853</f>
        <v/>
      </c>
      <c r="C853" s="125">
        <f>ric!D853</f>
        <v/>
      </c>
      <c r="D853" s="125" t="n"/>
      <c r="E853" s="125" t="n"/>
      <c r="F853" s="125" t="n"/>
      <c r="G853" s="118">
        <f>CONCATENATE(A853, " ",#REF!, " / ",H853)</f>
        <v/>
      </c>
      <c r="H853" s="118" t="n"/>
      <c r="I853" s="119">
        <f>CONCATENATE(M853," - ",J853," - Lotto N° ",K853,"")</f>
        <v/>
      </c>
      <c r="J853" s="118" t="n"/>
      <c r="K853" s="118">
        <f>VLOOKUP(#REF!,Produzione,7,FALSE)</f>
        <v/>
      </c>
      <c r="L853" s="120" t="n"/>
      <c r="M853" s="120" t="n"/>
      <c r="N853" s="118" t="n"/>
      <c r="O853" s="121" t="n"/>
      <c r="P853" s="121" t="n"/>
      <c r="Q853" s="166">
        <f>TODAY()</f>
        <v/>
      </c>
      <c r="R853" s="165">
        <f>ElencoProdotti[[#This Row],[PRODUZIONE]]+20</f>
        <v/>
      </c>
      <c r="S853" s="165">
        <f>TODAY()</f>
        <v/>
      </c>
      <c r="T853" s="133">
        <f>CONCATENATE(A853," - contiene allergni - prodotto il giorno ",TEXT(Q853,"gg/mm/aaaa"),"")</f>
        <v/>
      </c>
    </row>
    <row r="854" ht="15" customHeight="1" s="155">
      <c r="A854" s="134">
        <f>ric!B854</f>
        <v/>
      </c>
      <c r="B854" s="118">
        <f>ric!C854</f>
        <v/>
      </c>
      <c r="C854" s="125">
        <f>ric!D854</f>
        <v/>
      </c>
      <c r="D854" s="125" t="n"/>
      <c r="E854" s="125" t="n"/>
      <c r="F854" s="125" t="n"/>
      <c r="G854" s="118">
        <f>CONCATENATE(A854, " ",#REF!, " / ",H854)</f>
        <v/>
      </c>
      <c r="H854" s="118" t="n"/>
      <c r="I854" s="119">
        <f>CONCATENATE(M854," - ",J854," - Lotto N° ",K854,"")</f>
        <v/>
      </c>
      <c r="J854" s="118" t="n"/>
      <c r="K854" s="118">
        <f>VLOOKUP(#REF!,Produzione,7,FALSE)</f>
        <v/>
      </c>
      <c r="L854" s="120" t="n"/>
      <c r="M854" s="120" t="n"/>
      <c r="N854" s="118" t="n"/>
      <c r="O854" s="121" t="n"/>
      <c r="P854" s="121" t="n"/>
      <c r="Q854" s="166">
        <f>TODAY()</f>
        <v/>
      </c>
      <c r="R854" s="165">
        <f>ElencoProdotti[[#This Row],[PRODUZIONE]]+20</f>
        <v/>
      </c>
      <c r="S854" s="165">
        <f>TODAY()</f>
        <v/>
      </c>
      <c r="T854" s="133">
        <f>CONCATENATE(A854," - contiene allergni - prodotto il giorno ",TEXT(Q854,"gg/mm/aaaa"),"")</f>
        <v/>
      </c>
    </row>
    <row r="855" ht="15" customHeight="1" s="155">
      <c r="A855" s="134">
        <f>ric!B855</f>
        <v/>
      </c>
      <c r="B855" s="118">
        <f>ric!C855</f>
        <v/>
      </c>
      <c r="C855" s="125">
        <f>ric!D855</f>
        <v/>
      </c>
      <c r="D855" s="125" t="n"/>
      <c r="E855" s="125" t="n"/>
      <c r="F855" s="125" t="n"/>
      <c r="G855" s="118">
        <f>CONCATENATE(A855, " ",#REF!, " / ",H855)</f>
        <v/>
      </c>
      <c r="H855" s="118" t="n"/>
      <c r="I855" s="119">
        <f>CONCATENATE(M855," - ",J855," - Lotto N° ",K855,"")</f>
        <v/>
      </c>
      <c r="J855" s="118" t="n"/>
      <c r="K855" s="118">
        <f>VLOOKUP(#REF!,Produzione,7,FALSE)</f>
        <v/>
      </c>
      <c r="L855" s="120" t="n"/>
      <c r="M855" s="120" t="n"/>
      <c r="N855" s="118" t="n"/>
      <c r="O855" s="121" t="n"/>
      <c r="P855" s="121" t="n"/>
      <c r="Q855" s="166">
        <f>TODAY()</f>
        <v/>
      </c>
      <c r="R855" s="165">
        <f>ElencoProdotti[[#This Row],[PRODUZIONE]]+20</f>
        <v/>
      </c>
      <c r="S855" s="165">
        <f>TODAY()</f>
        <v/>
      </c>
      <c r="T855" s="133">
        <f>CONCATENATE(A855," - contiene allergni - prodotto il giorno ",TEXT(Q855,"gg/mm/aaaa"),"")</f>
        <v/>
      </c>
    </row>
    <row r="856" ht="15" customHeight="1" s="155">
      <c r="A856" s="134">
        <f>ric!B856</f>
        <v/>
      </c>
      <c r="B856" s="118">
        <f>ric!C856</f>
        <v/>
      </c>
      <c r="C856" s="125">
        <f>ric!D856</f>
        <v/>
      </c>
      <c r="D856" s="125" t="n"/>
      <c r="E856" s="125" t="n"/>
      <c r="F856" s="125" t="n"/>
      <c r="G856" s="118">
        <f>CONCATENATE(A856, " ",#REF!, " / ",H856)</f>
        <v/>
      </c>
      <c r="H856" s="118" t="n"/>
      <c r="I856" s="119">
        <f>CONCATENATE(M856," - ",J856," - Lotto N° ",K856,"")</f>
        <v/>
      </c>
      <c r="J856" s="118" t="n"/>
      <c r="K856" s="118">
        <f>VLOOKUP(#REF!,Produzione,7,FALSE)</f>
        <v/>
      </c>
      <c r="L856" s="120" t="n"/>
      <c r="M856" s="120" t="n"/>
      <c r="N856" s="118" t="n"/>
      <c r="O856" s="121" t="n"/>
      <c r="P856" s="121" t="n"/>
      <c r="Q856" s="166">
        <f>TODAY()</f>
        <v/>
      </c>
      <c r="R856" s="165">
        <f>ElencoProdotti[[#This Row],[PRODUZIONE]]+20</f>
        <v/>
      </c>
      <c r="S856" s="165">
        <f>TODAY()</f>
        <v/>
      </c>
      <c r="T856" s="133">
        <f>CONCATENATE(A856," - contiene allergni - prodotto il giorno ",TEXT(Q856,"gg/mm/aaaa"),"")</f>
        <v/>
      </c>
    </row>
    <row r="857" ht="15" customHeight="1" s="155">
      <c r="A857" s="134">
        <f>ric!B857</f>
        <v/>
      </c>
      <c r="B857" s="118">
        <f>ric!C857</f>
        <v/>
      </c>
      <c r="C857" s="125">
        <f>ric!D857</f>
        <v/>
      </c>
      <c r="D857" s="125" t="n"/>
      <c r="E857" s="125" t="n"/>
      <c r="F857" s="125" t="n"/>
      <c r="G857" s="118">
        <f>CONCATENATE(A857, " ",#REF!, " / ",H857)</f>
        <v/>
      </c>
      <c r="H857" s="118" t="n"/>
      <c r="I857" s="119">
        <f>CONCATENATE(M857," - ",J857," - Lotto N° ",K857,"")</f>
        <v/>
      </c>
      <c r="J857" s="118" t="n"/>
      <c r="K857" s="118">
        <f>VLOOKUP(#REF!,Produzione,7,FALSE)</f>
        <v/>
      </c>
      <c r="L857" s="120" t="n"/>
      <c r="M857" s="120" t="n"/>
      <c r="N857" s="118" t="n"/>
      <c r="O857" s="121" t="n"/>
      <c r="P857" s="121" t="n"/>
      <c r="Q857" s="166">
        <f>TODAY()</f>
        <v/>
      </c>
      <c r="R857" s="165">
        <f>ElencoProdotti[[#This Row],[PRODUZIONE]]+20</f>
        <v/>
      </c>
      <c r="S857" s="165">
        <f>TODAY()</f>
        <v/>
      </c>
      <c r="T857" s="133">
        <f>CONCATENATE(A857," - contiene allergni - prodotto il giorno ",TEXT(Q857,"gg/mm/aaaa"),"")</f>
        <v/>
      </c>
    </row>
    <row r="858" ht="15" customHeight="1" s="155">
      <c r="A858" s="134">
        <f>ric!B858</f>
        <v/>
      </c>
      <c r="B858" s="118">
        <f>ric!C858</f>
        <v/>
      </c>
      <c r="C858" s="125">
        <f>ric!D858</f>
        <v/>
      </c>
      <c r="D858" s="125" t="n"/>
      <c r="E858" s="125" t="n"/>
      <c r="F858" s="125" t="n"/>
      <c r="G858" s="118">
        <f>CONCATENATE(A858, " ",#REF!, " / ",H858)</f>
        <v/>
      </c>
      <c r="H858" s="118" t="n"/>
      <c r="I858" s="119">
        <f>CONCATENATE(M858," - ",J858," - Lotto N° ",K858,"")</f>
        <v/>
      </c>
      <c r="J858" s="118" t="n"/>
      <c r="K858" s="118">
        <f>VLOOKUP(#REF!,Produzione,7,FALSE)</f>
        <v/>
      </c>
      <c r="L858" s="120" t="n"/>
      <c r="M858" s="120" t="n"/>
      <c r="N858" s="118" t="n"/>
      <c r="O858" s="121" t="n"/>
      <c r="P858" s="121" t="n"/>
      <c r="Q858" s="166">
        <f>TODAY()</f>
        <v/>
      </c>
      <c r="R858" s="165">
        <f>ElencoProdotti[[#This Row],[PRODUZIONE]]+20</f>
        <v/>
      </c>
      <c r="S858" s="165">
        <f>TODAY()</f>
        <v/>
      </c>
      <c r="T858" s="133">
        <f>CONCATENATE(A858," - contiene allergni - prodotto il giorno ",TEXT(Q858,"gg/mm/aaaa"),"")</f>
        <v/>
      </c>
    </row>
    <row r="859" ht="15" customHeight="1" s="155">
      <c r="A859" s="134">
        <f>ric!B859</f>
        <v/>
      </c>
      <c r="B859" s="118">
        <f>ric!C859</f>
        <v/>
      </c>
      <c r="C859" s="125">
        <f>ric!D859</f>
        <v/>
      </c>
      <c r="D859" s="125" t="n"/>
      <c r="E859" s="125" t="n"/>
      <c r="F859" s="125" t="n"/>
      <c r="G859" s="118">
        <f>CONCATENATE(A859, " ",#REF!, " / ",H859)</f>
        <v/>
      </c>
      <c r="H859" s="118" t="n"/>
      <c r="I859" s="119">
        <f>CONCATENATE(M859," - ",J859," - Lotto N° ",K859,"")</f>
        <v/>
      </c>
      <c r="J859" s="118" t="n"/>
      <c r="K859" s="118">
        <f>VLOOKUP(#REF!,Produzione,7,FALSE)</f>
        <v/>
      </c>
      <c r="L859" s="120" t="n"/>
      <c r="M859" s="120" t="n"/>
      <c r="N859" s="118" t="n"/>
      <c r="O859" s="121" t="n"/>
      <c r="P859" s="121" t="n"/>
      <c r="Q859" s="166">
        <f>TODAY()</f>
        <v/>
      </c>
      <c r="R859" s="165">
        <f>ElencoProdotti[[#This Row],[PRODUZIONE]]+20</f>
        <v/>
      </c>
      <c r="S859" s="165">
        <f>TODAY()</f>
        <v/>
      </c>
      <c r="T859" s="133">
        <f>CONCATENATE(A859," - contiene allergni - prodotto il giorno ",TEXT(Q859,"gg/mm/aaaa"),"")</f>
        <v/>
      </c>
    </row>
    <row r="860" ht="15" customHeight="1" s="155">
      <c r="A860" s="134">
        <f>ric!B860</f>
        <v/>
      </c>
      <c r="B860" s="118">
        <f>ric!C860</f>
        <v/>
      </c>
      <c r="C860" s="125">
        <f>ric!D860</f>
        <v/>
      </c>
      <c r="D860" s="125" t="n"/>
      <c r="E860" s="125" t="n"/>
      <c r="F860" s="125" t="n"/>
      <c r="G860" s="118">
        <f>CONCATENATE(A860, " ",#REF!, " / ",H860)</f>
        <v/>
      </c>
      <c r="H860" s="118" t="n"/>
      <c r="I860" s="119">
        <f>CONCATENATE(M860," - ",J860," - Lotto N° ",K860,"")</f>
        <v/>
      </c>
      <c r="J860" s="118" t="n"/>
      <c r="K860" s="118">
        <f>VLOOKUP(#REF!,Produzione,7,FALSE)</f>
        <v/>
      </c>
      <c r="L860" s="120" t="n"/>
      <c r="M860" s="120" t="n"/>
      <c r="N860" s="118" t="n"/>
      <c r="O860" s="121" t="n"/>
      <c r="P860" s="121" t="n"/>
      <c r="Q860" s="166">
        <f>TODAY()</f>
        <v/>
      </c>
      <c r="R860" s="165">
        <f>ElencoProdotti[[#This Row],[PRODUZIONE]]+20</f>
        <v/>
      </c>
      <c r="S860" s="165">
        <f>TODAY()</f>
        <v/>
      </c>
      <c r="T860" s="133">
        <f>CONCATENATE(A860," - contiene allergni - prodotto il giorno ",TEXT(Q860,"gg/mm/aaaa"),"")</f>
        <v/>
      </c>
    </row>
    <row r="861" ht="15" customHeight="1" s="155">
      <c r="A861" s="134">
        <f>ric!B861</f>
        <v/>
      </c>
      <c r="B861" s="118">
        <f>ric!C861</f>
        <v/>
      </c>
      <c r="C861" s="125">
        <f>ric!D861</f>
        <v/>
      </c>
      <c r="D861" s="125" t="n"/>
      <c r="E861" s="125" t="n"/>
      <c r="F861" s="125" t="n"/>
      <c r="G861" s="118">
        <f>CONCATENATE(A861, " ",#REF!, " / ",H861)</f>
        <v/>
      </c>
      <c r="H861" s="118" t="n"/>
      <c r="I861" s="119">
        <f>CONCATENATE(M861," - ",J861," - Lotto N° ",K861,"")</f>
        <v/>
      </c>
      <c r="J861" s="118" t="n"/>
      <c r="K861" s="118">
        <f>VLOOKUP(#REF!,Produzione,7,FALSE)</f>
        <v/>
      </c>
      <c r="L861" s="120" t="n"/>
      <c r="M861" s="120" t="n"/>
      <c r="N861" s="118" t="n"/>
      <c r="O861" s="121" t="n"/>
      <c r="P861" s="121" t="n"/>
      <c r="Q861" s="166">
        <f>TODAY()</f>
        <v/>
      </c>
      <c r="R861" s="165">
        <f>ElencoProdotti[[#This Row],[PRODUZIONE]]+20</f>
        <v/>
      </c>
      <c r="S861" s="165">
        <f>TODAY()</f>
        <v/>
      </c>
      <c r="T861" s="133">
        <f>CONCATENATE(A861," - contiene allergni - prodotto il giorno ",TEXT(Q861,"gg/mm/aaaa"),"")</f>
        <v/>
      </c>
    </row>
    <row r="862" ht="15" customHeight="1" s="155">
      <c r="A862" s="134">
        <f>ric!B862</f>
        <v/>
      </c>
      <c r="B862" s="118">
        <f>ric!C862</f>
        <v/>
      </c>
      <c r="C862" s="125">
        <f>ric!D862</f>
        <v/>
      </c>
      <c r="D862" s="125" t="n"/>
      <c r="E862" s="125" t="n"/>
      <c r="F862" s="125" t="n"/>
      <c r="G862" s="118">
        <f>CONCATENATE(A862, " ",#REF!, " / ",H862)</f>
        <v/>
      </c>
      <c r="H862" s="118" t="n"/>
      <c r="I862" s="119">
        <f>CONCATENATE(M862," - ",J862," - Lotto N° ",K862,"")</f>
        <v/>
      </c>
      <c r="J862" s="118" t="n"/>
      <c r="K862" s="118">
        <f>VLOOKUP(#REF!,Produzione,7,FALSE)</f>
        <v/>
      </c>
      <c r="L862" s="120" t="n"/>
      <c r="M862" s="120" t="n"/>
      <c r="N862" s="118" t="n"/>
      <c r="O862" s="121" t="n"/>
      <c r="P862" s="121" t="n"/>
      <c r="Q862" s="166">
        <f>TODAY()</f>
        <v/>
      </c>
      <c r="R862" s="165">
        <f>ElencoProdotti[[#This Row],[PRODUZIONE]]+20</f>
        <v/>
      </c>
      <c r="S862" s="165">
        <f>TODAY()</f>
        <v/>
      </c>
      <c r="T862" s="133">
        <f>CONCATENATE(A862," - contiene allergni - prodotto il giorno ",TEXT(Q862,"gg/mm/aaaa"),"")</f>
        <v/>
      </c>
    </row>
    <row r="863" ht="15" customHeight="1" s="155">
      <c r="A863" s="134">
        <f>ric!B863</f>
        <v/>
      </c>
      <c r="B863" s="118">
        <f>ric!C863</f>
        <v/>
      </c>
      <c r="C863" s="125">
        <f>ric!D863</f>
        <v/>
      </c>
      <c r="D863" s="125" t="n"/>
      <c r="E863" s="125" t="n"/>
      <c r="F863" s="125" t="n"/>
      <c r="G863" s="118">
        <f>CONCATENATE(A863, " ",#REF!, " / ",H863)</f>
        <v/>
      </c>
      <c r="H863" s="118" t="n"/>
      <c r="I863" s="119">
        <f>CONCATENATE(M863," - ",J863," - Lotto N° ",K863,"")</f>
        <v/>
      </c>
      <c r="J863" s="118" t="n"/>
      <c r="K863" s="118">
        <f>VLOOKUP(#REF!,Produzione,7,FALSE)</f>
        <v/>
      </c>
      <c r="L863" s="120" t="n"/>
      <c r="M863" s="120" t="n"/>
      <c r="N863" s="118" t="n"/>
      <c r="O863" s="121" t="n"/>
      <c r="P863" s="121" t="n"/>
      <c r="Q863" s="166">
        <f>TODAY()</f>
        <v/>
      </c>
      <c r="R863" s="165">
        <f>ElencoProdotti[[#This Row],[PRODUZIONE]]+20</f>
        <v/>
      </c>
      <c r="S863" s="165">
        <f>TODAY()</f>
        <v/>
      </c>
      <c r="T863" s="133">
        <f>CONCATENATE(A863," - contiene allergni - prodotto il giorno ",TEXT(Q863,"gg/mm/aaaa"),"")</f>
        <v/>
      </c>
    </row>
    <row r="864" ht="15" customHeight="1" s="155">
      <c r="A864" s="134">
        <f>ric!B864</f>
        <v/>
      </c>
      <c r="B864" s="118">
        <f>ric!C864</f>
        <v/>
      </c>
      <c r="C864" s="125">
        <f>ric!D864</f>
        <v/>
      </c>
      <c r="D864" s="125" t="n"/>
      <c r="E864" s="125" t="n"/>
      <c r="F864" s="125" t="n"/>
      <c r="G864" s="118">
        <f>CONCATENATE(A864, " ",#REF!, " / ",H864)</f>
        <v/>
      </c>
      <c r="H864" s="118" t="n"/>
      <c r="I864" s="119">
        <f>CONCATENATE(M864," - ",J864," - Lotto N° ",K864,"")</f>
        <v/>
      </c>
      <c r="J864" s="118" t="n"/>
      <c r="K864" s="118">
        <f>VLOOKUP(#REF!,Produzione,7,FALSE)</f>
        <v/>
      </c>
      <c r="L864" s="120" t="n"/>
      <c r="M864" s="120" t="n"/>
      <c r="N864" s="118" t="n"/>
      <c r="O864" s="121" t="n"/>
      <c r="P864" s="121" t="n"/>
      <c r="Q864" s="166">
        <f>TODAY()</f>
        <v/>
      </c>
      <c r="R864" s="165">
        <f>ElencoProdotti[[#This Row],[PRODUZIONE]]+20</f>
        <v/>
      </c>
      <c r="S864" s="165">
        <f>TODAY()</f>
        <v/>
      </c>
      <c r="T864" s="133">
        <f>CONCATENATE(A864," - contiene allergni - prodotto il giorno ",TEXT(Q864,"gg/mm/aaaa"),"")</f>
        <v/>
      </c>
    </row>
    <row r="865" ht="15" customHeight="1" s="155">
      <c r="A865" s="134">
        <f>ric!B865</f>
        <v/>
      </c>
      <c r="B865" s="118">
        <f>ric!C865</f>
        <v/>
      </c>
      <c r="C865" s="125">
        <f>ric!D865</f>
        <v/>
      </c>
      <c r="D865" s="125" t="n"/>
      <c r="E865" s="125" t="n"/>
      <c r="F865" s="125" t="n"/>
      <c r="G865" s="118">
        <f>CONCATENATE(A865, " ",#REF!, " / ",H865)</f>
        <v/>
      </c>
      <c r="H865" s="118" t="n"/>
      <c r="I865" s="119">
        <f>CONCATENATE(M865," - ",J865," - Lotto N° ",K865,"")</f>
        <v/>
      </c>
      <c r="J865" s="118" t="n"/>
      <c r="K865" s="118">
        <f>VLOOKUP(#REF!,Produzione,7,FALSE)</f>
        <v/>
      </c>
      <c r="L865" s="120" t="n"/>
      <c r="M865" s="120" t="n"/>
      <c r="N865" s="118" t="n"/>
      <c r="O865" s="121" t="n"/>
      <c r="P865" s="121" t="n"/>
      <c r="Q865" s="166">
        <f>TODAY()</f>
        <v/>
      </c>
      <c r="R865" s="165">
        <f>ElencoProdotti[[#This Row],[PRODUZIONE]]+20</f>
        <v/>
      </c>
      <c r="S865" s="165">
        <f>TODAY()</f>
        <v/>
      </c>
      <c r="T865" s="133">
        <f>CONCATENATE(A865," - contiene allergni - prodotto il giorno ",TEXT(Q865,"gg/mm/aaaa"),"")</f>
        <v/>
      </c>
    </row>
    <row r="866" ht="15" customHeight="1" s="155">
      <c r="A866" s="134">
        <f>ric!B866</f>
        <v/>
      </c>
      <c r="B866" s="118">
        <f>ric!C866</f>
        <v/>
      </c>
      <c r="C866" s="125">
        <f>ric!D866</f>
        <v/>
      </c>
      <c r="D866" s="125" t="n"/>
      <c r="E866" s="125" t="n"/>
      <c r="F866" s="125" t="n"/>
      <c r="G866" s="118">
        <f>CONCATENATE(A866, " ",#REF!, " / ",H866)</f>
        <v/>
      </c>
      <c r="H866" s="118" t="n"/>
      <c r="I866" s="119">
        <f>CONCATENATE(M866," - ",J866," - Lotto N° ",K866,"")</f>
        <v/>
      </c>
      <c r="J866" s="118" t="n"/>
      <c r="K866" s="118">
        <f>VLOOKUP(#REF!,Produzione,7,FALSE)</f>
        <v/>
      </c>
      <c r="L866" s="120" t="n"/>
      <c r="M866" s="120" t="n"/>
      <c r="N866" s="118" t="n"/>
      <c r="O866" s="121" t="n"/>
      <c r="P866" s="121" t="n"/>
      <c r="Q866" s="166">
        <f>TODAY()</f>
        <v/>
      </c>
      <c r="R866" s="165">
        <f>ElencoProdotti[[#This Row],[PRODUZIONE]]+20</f>
        <v/>
      </c>
      <c r="S866" s="165">
        <f>TODAY()</f>
        <v/>
      </c>
      <c r="T866" s="133">
        <f>CONCATENATE(A866," - contiene allergni - prodotto il giorno ",TEXT(Q866,"gg/mm/aaaa"),"")</f>
        <v/>
      </c>
    </row>
    <row r="867" ht="15" customHeight="1" s="155">
      <c r="A867" s="134">
        <f>ric!B867</f>
        <v/>
      </c>
      <c r="B867" s="118">
        <f>ric!C867</f>
        <v/>
      </c>
      <c r="C867" s="125">
        <f>ric!D867</f>
        <v/>
      </c>
      <c r="D867" s="125" t="n"/>
      <c r="E867" s="125" t="n"/>
      <c r="F867" s="125" t="n"/>
      <c r="G867" s="118">
        <f>CONCATENATE(A867, " ",#REF!, " / ",H867)</f>
        <v/>
      </c>
      <c r="H867" s="118" t="n"/>
      <c r="I867" s="119">
        <f>CONCATENATE(M867," - ",J867," - Lotto N° ",K867,"")</f>
        <v/>
      </c>
      <c r="J867" s="118" t="n"/>
      <c r="K867" s="118">
        <f>VLOOKUP(#REF!,Produzione,7,FALSE)</f>
        <v/>
      </c>
      <c r="L867" s="120" t="n"/>
      <c r="M867" s="120" t="n"/>
      <c r="N867" s="118" t="n"/>
      <c r="O867" s="121" t="n"/>
      <c r="P867" s="121" t="n"/>
      <c r="Q867" s="166">
        <f>TODAY()</f>
        <v/>
      </c>
      <c r="R867" s="165">
        <f>ElencoProdotti[[#This Row],[PRODUZIONE]]+20</f>
        <v/>
      </c>
      <c r="S867" s="165">
        <f>TODAY()</f>
        <v/>
      </c>
      <c r="T867" s="133">
        <f>CONCATENATE(A867," - contiene allergni - prodotto il giorno ",TEXT(Q867,"gg/mm/aaaa"),"")</f>
        <v/>
      </c>
    </row>
    <row r="868" ht="15" customHeight="1" s="155">
      <c r="A868" s="134">
        <f>ric!B868</f>
        <v/>
      </c>
      <c r="B868" s="118">
        <f>ric!C868</f>
        <v/>
      </c>
      <c r="C868" s="125">
        <f>ric!D868</f>
        <v/>
      </c>
      <c r="D868" s="125" t="n"/>
      <c r="E868" s="125" t="n"/>
      <c r="F868" s="125" t="n"/>
      <c r="G868" s="118">
        <f>CONCATENATE(A868, " ",#REF!, " / ",H868)</f>
        <v/>
      </c>
      <c r="H868" s="118" t="n"/>
      <c r="I868" s="119">
        <f>CONCATENATE(M868," - ",J868," - Lotto N° ",K868,"")</f>
        <v/>
      </c>
      <c r="J868" s="118" t="n"/>
      <c r="K868" s="118">
        <f>VLOOKUP(#REF!,Produzione,7,FALSE)</f>
        <v/>
      </c>
      <c r="L868" s="120" t="n"/>
      <c r="M868" s="120" t="n"/>
      <c r="N868" s="118" t="n"/>
      <c r="O868" s="121" t="n"/>
      <c r="P868" s="121" t="n"/>
      <c r="Q868" s="166">
        <f>TODAY()</f>
        <v/>
      </c>
      <c r="R868" s="165">
        <f>ElencoProdotti[[#This Row],[PRODUZIONE]]+20</f>
        <v/>
      </c>
      <c r="S868" s="165">
        <f>TODAY()</f>
        <v/>
      </c>
      <c r="T868" s="133">
        <f>CONCATENATE(A868," - contiene allergni - prodotto il giorno ",TEXT(Q868,"gg/mm/aaaa"),"")</f>
        <v/>
      </c>
    </row>
    <row r="869" ht="15" customHeight="1" s="155">
      <c r="A869" s="134">
        <f>ric!B869</f>
        <v/>
      </c>
      <c r="B869" s="118">
        <f>ric!C869</f>
        <v/>
      </c>
      <c r="C869" s="125">
        <f>ric!D869</f>
        <v/>
      </c>
      <c r="D869" s="125" t="n"/>
      <c r="E869" s="125" t="n"/>
      <c r="F869" s="125" t="n"/>
      <c r="G869" s="118">
        <f>CONCATENATE(A869, " ",#REF!, " / ",H869)</f>
        <v/>
      </c>
      <c r="H869" s="118" t="n"/>
      <c r="I869" s="119">
        <f>CONCATENATE(M869," - ",J869," - Lotto N° ",K869,"")</f>
        <v/>
      </c>
      <c r="J869" s="118" t="n"/>
      <c r="K869" s="118">
        <f>VLOOKUP(#REF!,Produzione,7,FALSE)</f>
        <v/>
      </c>
      <c r="L869" s="120" t="n"/>
      <c r="M869" s="120" t="n"/>
      <c r="N869" s="118" t="n"/>
      <c r="O869" s="121" t="n"/>
      <c r="P869" s="121" t="n"/>
      <c r="Q869" s="166">
        <f>TODAY()</f>
        <v/>
      </c>
      <c r="R869" s="165">
        <f>ElencoProdotti[[#This Row],[PRODUZIONE]]+20</f>
        <v/>
      </c>
      <c r="S869" s="165">
        <f>TODAY()</f>
        <v/>
      </c>
      <c r="T869" s="133">
        <f>CONCATENATE(A869," - contiene allergni - prodotto il giorno ",TEXT(Q869,"gg/mm/aaaa"),"")</f>
        <v/>
      </c>
    </row>
    <row r="870" ht="15" customHeight="1" s="155">
      <c r="A870" s="134">
        <f>ric!B870</f>
        <v/>
      </c>
      <c r="B870" s="118">
        <f>ric!C870</f>
        <v/>
      </c>
      <c r="C870" s="125">
        <f>ric!D870</f>
        <v/>
      </c>
      <c r="D870" s="125" t="n"/>
      <c r="E870" s="125" t="n"/>
      <c r="F870" s="125" t="n"/>
      <c r="G870" s="118">
        <f>CONCATENATE(A870, " ",#REF!, " / ",H870)</f>
        <v/>
      </c>
      <c r="H870" s="118" t="n"/>
      <c r="I870" s="119">
        <f>CONCATENATE(M870," - ",J870," - Lotto N° ",K870,"")</f>
        <v/>
      </c>
      <c r="J870" s="118" t="n"/>
      <c r="K870" s="118">
        <f>VLOOKUP(#REF!,Produzione,7,FALSE)</f>
        <v/>
      </c>
      <c r="L870" s="120" t="n"/>
      <c r="M870" s="120" t="n"/>
      <c r="N870" s="118" t="n"/>
      <c r="O870" s="121" t="n"/>
      <c r="P870" s="121" t="n"/>
      <c r="Q870" s="166">
        <f>TODAY()</f>
        <v/>
      </c>
      <c r="R870" s="165">
        <f>ElencoProdotti[[#This Row],[PRODUZIONE]]+20</f>
        <v/>
      </c>
      <c r="S870" s="165">
        <f>TODAY()</f>
        <v/>
      </c>
      <c r="T870" s="133">
        <f>CONCATENATE(A870," - contiene allergni - prodotto il giorno ",TEXT(Q870,"gg/mm/aaaa"),"")</f>
        <v/>
      </c>
    </row>
    <row r="871" ht="15" customHeight="1" s="155">
      <c r="A871" s="134">
        <f>ric!B871</f>
        <v/>
      </c>
      <c r="B871" s="118">
        <f>ric!C871</f>
        <v/>
      </c>
      <c r="C871" s="125">
        <f>ric!D871</f>
        <v/>
      </c>
      <c r="D871" s="125" t="n"/>
      <c r="E871" s="125" t="n"/>
      <c r="F871" s="125" t="n"/>
      <c r="G871" s="118">
        <f>CONCATENATE(A871, " ",#REF!, " / ",H871)</f>
        <v/>
      </c>
      <c r="H871" s="118" t="n"/>
      <c r="I871" s="119">
        <f>CONCATENATE(M871," - ",J871," - Lotto N° ",K871,"")</f>
        <v/>
      </c>
      <c r="J871" s="118" t="n"/>
      <c r="K871" s="118">
        <f>VLOOKUP(#REF!,Produzione,7,FALSE)</f>
        <v/>
      </c>
      <c r="L871" s="120" t="n"/>
      <c r="M871" s="120" t="n"/>
      <c r="N871" s="118" t="n"/>
      <c r="O871" s="121" t="n"/>
      <c r="P871" s="121" t="n"/>
      <c r="Q871" s="166">
        <f>TODAY()</f>
        <v/>
      </c>
      <c r="R871" s="165">
        <f>ElencoProdotti[[#This Row],[PRODUZIONE]]+20</f>
        <v/>
      </c>
      <c r="S871" s="165">
        <f>TODAY()</f>
        <v/>
      </c>
      <c r="T871" s="133">
        <f>CONCATENATE(A871," - contiene allergni - prodotto il giorno ",TEXT(Q871,"gg/mm/aaaa"),"")</f>
        <v/>
      </c>
    </row>
    <row r="872" ht="15" customHeight="1" s="155">
      <c r="A872" s="134">
        <f>ric!B872</f>
        <v/>
      </c>
      <c r="B872" s="118">
        <f>ric!C872</f>
        <v/>
      </c>
      <c r="C872" s="125">
        <f>ric!D872</f>
        <v/>
      </c>
      <c r="D872" s="125" t="n"/>
      <c r="E872" s="125" t="n"/>
      <c r="F872" s="125" t="n"/>
      <c r="G872" s="118">
        <f>CONCATENATE(A872, " ",#REF!, " / ",H872)</f>
        <v/>
      </c>
      <c r="H872" s="118" t="n"/>
      <c r="I872" s="119">
        <f>CONCATENATE(M872," - ",J872," - Lotto N° ",K872,"")</f>
        <v/>
      </c>
      <c r="J872" s="118" t="n"/>
      <c r="K872" s="118">
        <f>VLOOKUP(#REF!,Produzione,7,FALSE)</f>
        <v/>
      </c>
      <c r="L872" s="120" t="n"/>
      <c r="M872" s="120" t="n"/>
      <c r="N872" s="118" t="n"/>
      <c r="O872" s="121" t="n"/>
      <c r="P872" s="121" t="n"/>
      <c r="Q872" s="166">
        <f>TODAY()</f>
        <v/>
      </c>
      <c r="R872" s="165">
        <f>ElencoProdotti[[#This Row],[PRODUZIONE]]+20</f>
        <v/>
      </c>
      <c r="S872" s="165">
        <f>TODAY()</f>
        <v/>
      </c>
      <c r="T872" s="133">
        <f>CONCATENATE(A872," - contiene allergni - prodotto il giorno ",TEXT(Q872,"gg/mm/aaaa"),"")</f>
        <v/>
      </c>
    </row>
    <row r="873" ht="15" customHeight="1" s="155">
      <c r="A873" s="134">
        <f>ric!B873</f>
        <v/>
      </c>
      <c r="B873" s="118">
        <f>ric!C873</f>
        <v/>
      </c>
      <c r="C873" s="125">
        <f>ric!D873</f>
        <v/>
      </c>
      <c r="D873" s="125" t="n"/>
      <c r="E873" s="125" t="n"/>
      <c r="F873" s="125" t="n"/>
      <c r="G873" s="118">
        <f>CONCATENATE(A873, " ",#REF!, " / ",H873)</f>
        <v/>
      </c>
      <c r="H873" s="118" t="n"/>
      <c r="I873" s="119">
        <f>CONCATENATE(M873," - ",J873," - Lotto N° ",K873,"")</f>
        <v/>
      </c>
      <c r="J873" s="118" t="n"/>
      <c r="K873" s="118">
        <f>VLOOKUP(#REF!,Produzione,7,FALSE)</f>
        <v/>
      </c>
      <c r="L873" s="120" t="n"/>
      <c r="M873" s="120" t="n"/>
      <c r="N873" s="118" t="n"/>
      <c r="O873" s="121" t="n"/>
      <c r="P873" s="121" t="n"/>
      <c r="Q873" s="166">
        <f>TODAY()</f>
        <v/>
      </c>
      <c r="R873" s="165">
        <f>ElencoProdotti[[#This Row],[PRODUZIONE]]+20</f>
        <v/>
      </c>
      <c r="S873" s="165">
        <f>TODAY()</f>
        <v/>
      </c>
      <c r="T873" s="133">
        <f>CONCATENATE(A873," - contiene allergni - prodotto il giorno ",TEXT(Q873,"gg/mm/aaaa"),"")</f>
        <v/>
      </c>
    </row>
    <row r="874" ht="15" customHeight="1" s="155">
      <c r="A874" s="134">
        <f>ric!B874</f>
        <v/>
      </c>
      <c r="B874" s="118">
        <f>ric!C874</f>
        <v/>
      </c>
      <c r="C874" s="125">
        <f>ric!D874</f>
        <v/>
      </c>
      <c r="D874" s="125" t="n"/>
      <c r="E874" s="125" t="n"/>
      <c r="F874" s="125" t="n"/>
      <c r="G874" s="118">
        <f>CONCATENATE(A874, " ",#REF!, " / ",H874)</f>
        <v/>
      </c>
      <c r="H874" s="118" t="n"/>
      <c r="I874" s="119">
        <f>CONCATENATE(M874," - ",J874," - Lotto N° ",K874,"")</f>
        <v/>
      </c>
      <c r="J874" s="118" t="n"/>
      <c r="K874" s="118">
        <f>VLOOKUP(#REF!,Produzione,7,FALSE)</f>
        <v/>
      </c>
      <c r="L874" s="120" t="n"/>
      <c r="M874" s="120" t="n"/>
      <c r="N874" s="118" t="n"/>
      <c r="O874" s="121" t="n"/>
      <c r="P874" s="121" t="n"/>
      <c r="Q874" s="166">
        <f>TODAY()</f>
        <v/>
      </c>
      <c r="R874" s="165">
        <f>ElencoProdotti[[#This Row],[PRODUZIONE]]+20</f>
        <v/>
      </c>
      <c r="S874" s="165">
        <f>TODAY()</f>
        <v/>
      </c>
      <c r="T874" s="133">
        <f>CONCATENATE(A874," - contiene allergni - prodotto il giorno ",TEXT(Q874,"gg/mm/aaaa"),"")</f>
        <v/>
      </c>
    </row>
    <row r="875" ht="15" customHeight="1" s="155">
      <c r="A875" s="134">
        <f>ric!B875</f>
        <v/>
      </c>
      <c r="B875" s="118">
        <f>ric!C875</f>
        <v/>
      </c>
      <c r="C875" s="125">
        <f>ric!D875</f>
        <v/>
      </c>
      <c r="D875" s="125" t="n"/>
      <c r="E875" s="125" t="n"/>
      <c r="F875" s="125" t="n"/>
      <c r="G875" s="118">
        <f>CONCATENATE(A875, " ",#REF!, " / ",H875)</f>
        <v/>
      </c>
      <c r="H875" s="118" t="n"/>
      <c r="I875" s="119">
        <f>CONCATENATE(M875," - ",J875," - Lotto N° ",K875,"")</f>
        <v/>
      </c>
      <c r="J875" s="118" t="n"/>
      <c r="K875" s="118">
        <f>VLOOKUP(#REF!,Produzione,7,FALSE)</f>
        <v/>
      </c>
      <c r="L875" s="120" t="n"/>
      <c r="M875" s="120" t="n"/>
      <c r="N875" s="118" t="n"/>
      <c r="O875" s="121" t="n"/>
      <c r="P875" s="121" t="n"/>
      <c r="Q875" s="166">
        <f>TODAY()</f>
        <v/>
      </c>
      <c r="R875" s="165">
        <f>ElencoProdotti[[#This Row],[PRODUZIONE]]+20</f>
        <v/>
      </c>
      <c r="S875" s="165">
        <f>TODAY()</f>
        <v/>
      </c>
      <c r="T875" s="133">
        <f>CONCATENATE(A875," - contiene allergni - prodotto il giorno ",TEXT(Q875,"gg/mm/aaaa"),"")</f>
        <v/>
      </c>
    </row>
    <row r="876" ht="15" customHeight="1" s="155">
      <c r="A876" s="134">
        <f>ric!B876</f>
        <v/>
      </c>
      <c r="B876" s="118">
        <f>ric!C876</f>
        <v/>
      </c>
      <c r="C876" s="125">
        <f>ric!D876</f>
        <v/>
      </c>
      <c r="D876" s="125" t="n"/>
      <c r="E876" s="125" t="n"/>
      <c r="F876" s="125" t="n"/>
      <c r="G876" s="118">
        <f>CONCATENATE(A876, " ",#REF!, " / ",H876)</f>
        <v/>
      </c>
      <c r="H876" s="118" t="n"/>
      <c r="I876" s="119">
        <f>CONCATENATE(M876," - ",J876," - Lotto N° ",K876,"")</f>
        <v/>
      </c>
      <c r="J876" s="118" t="n"/>
      <c r="K876" s="118">
        <f>VLOOKUP(#REF!,Produzione,7,FALSE)</f>
        <v/>
      </c>
      <c r="L876" s="120" t="n"/>
      <c r="M876" s="120" t="n"/>
      <c r="N876" s="118" t="n"/>
      <c r="O876" s="121" t="n"/>
      <c r="P876" s="121" t="n"/>
      <c r="Q876" s="166">
        <f>TODAY()</f>
        <v/>
      </c>
      <c r="R876" s="165">
        <f>ElencoProdotti[[#This Row],[PRODUZIONE]]+20</f>
        <v/>
      </c>
      <c r="S876" s="165">
        <f>TODAY()</f>
        <v/>
      </c>
      <c r="T876" s="133">
        <f>CONCATENATE(A876," - contiene allergni - prodotto il giorno ",TEXT(Q876,"gg/mm/aaaa"),"")</f>
        <v/>
      </c>
    </row>
    <row r="877" ht="15" customHeight="1" s="155">
      <c r="A877" s="134">
        <f>ric!B877</f>
        <v/>
      </c>
      <c r="B877" s="118">
        <f>ric!C877</f>
        <v/>
      </c>
      <c r="C877" s="125">
        <f>ric!D877</f>
        <v/>
      </c>
      <c r="D877" s="125" t="n"/>
      <c r="E877" s="125" t="n"/>
      <c r="F877" s="125" t="n"/>
      <c r="G877" s="118">
        <f>CONCATENATE(A877, " ",#REF!, " / ",H877)</f>
        <v/>
      </c>
      <c r="H877" s="118" t="n"/>
      <c r="I877" s="119">
        <f>CONCATENATE(M877," - ",J877," - Lotto N° ",K877,"")</f>
        <v/>
      </c>
      <c r="J877" s="118" t="n"/>
      <c r="K877" s="118">
        <f>VLOOKUP(#REF!,Produzione,7,FALSE)</f>
        <v/>
      </c>
      <c r="L877" s="120" t="n"/>
      <c r="M877" s="120" t="n"/>
      <c r="N877" s="118" t="n"/>
      <c r="O877" s="121" t="n"/>
      <c r="P877" s="121" t="n"/>
      <c r="Q877" s="166">
        <f>TODAY()</f>
        <v/>
      </c>
      <c r="R877" s="165">
        <f>ElencoProdotti[[#This Row],[PRODUZIONE]]+20</f>
        <v/>
      </c>
      <c r="S877" s="165">
        <f>TODAY()</f>
        <v/>
      </c>
      <c r="T877" s="133">
        <f>CONCATENATE(A877," - contiene allergni - prodotto il giorno ",TEXT(Q877,"gg/mm/aaaa"),"")</f>
        <v/>
      </c>
    </row>
    <row r="878" ht="15" customHeight="1" s="155">
      <c r="A878" s="134">
        <f>ric!B878</f>
        <v/>
      </c>
      <c r="B878" s="118">
        <f>ric!C878</f>
        <v/>
      </c>
      <c r="C878" s="125">
        <f>ric!D878</f>
        <v/>
      </c>
      <c r="D878" s="125" t="n"/>
      <c r="E878" s="125" t="n"/>
      <c r="F878" s="125" t="n"/>
      <c r="G878" s="118">
        <f>CONCATENATE(A878, " ",#REF!, " / ",H878)</f>
        <v/>
      </c>
      <c r="H878" s="118" t="n"/>
      <c r="I878" s="119">
        <f>CONCATENATE(M878," - ",J878," - Lotto N° ",K878,"")</f>
        <v/>
      </c>
      <c r="J878" s="118" t="n"/>
      <c r="K878" s="118">
        <f>VLOOKUP(#REF!,Produzione,7,FALSE)</f>
        <v/>
      </c>
      <c r="L878" s="120" t="n"/>
      <c r="M878" s="120" t="n"/>
      <c r="N878" s="118" t="n"/>
      <c r="O878" s="121" t="n"/>
      <c r="P878" s="121" t="n"/>
      <c r="Q878" s="166">
        <f>TODAY()</f>
        <v/>
      </c>
      <c r="R878" s="165">
        <f>ElencoProdotti[[#This Row],[PRODUZIONE]]+20</f>
        <v/>
      </c>
      <c r="S878" s="165">
        <f>TODAY()</f>
        <v/>
      </c>
      <c r="T878" s="133">
        <f>CONCATENATE(A878," - contiene allergni - prodotto il giorno ",TEXT(Q878,"gg/mm/aaaa"),"")</f>
        <v/>
      </c>
    </row>
    <row r="879" ht="15" customHeight="1" s="155">
      <c r="A879" s="134">
        <f>ric!B879</f>
        <v/>
      </c>
      <c r="B879" s="118">
        <f>ric!C879</f>
        <v/>
      </c>
      <c r="C879" s="125">
        <f>ric!D879</f>
        <v/>
      </c>
      <c r="D879" s="125" t="n"/>
      <c r="E879" s="125" t="n"/>
      <c r="F879" s="125" t="n"/>
      <c r="G879" s="118">
        <f>CONCATENATE(A879, " ",#REF!, " / ",H879)</f>
        <v/>
      </c>
      <c r="H879" s="118" t="n"/>
      <c r="I879" s="119">
        <f>CONCATENATE(M879," - ",J879," - Lotto N° ",K879,"")</f>
        <v/>
      </c>
      <c r="J879" s="118" t="n"/>
      <c r="K879" s="118">
        <f>VLOOKUP(#REF!,Produzione,7,FALSE)</f>
        <v/>
      </c>
      <c r="L879" s="120" t="n"/>
      <c r="M879" s="120" t="n"/>
      <c r="N879" s="118" t="n"/>
      <c r="O879" s="121" t="n"/>
      <c r="P879" s="121" t="n"/>
      <c r="Q879" s="166">
        <f>TODAY()</f>
        <v/>
      </c>
      <c r="R879" s="165">
        <f>ElencoProdotti[[#This Row],[PRODUZIONE]]+20</f>
        <v/>
      </c>
      <c r="S879" s="165">
        <f>TODAY()</f>
        <v/>
      </c>
      <c r="T879" s="133">
        <f>CONCATENATE(A879," - contiene allergni - prodotto il giorno ",TEXT(Q879,"gg/mm/aaaa"),"")</f>
        <v/>
      </c>
    </row>
    <row r="880" ht="15" customHeight="1" s="155">
      <c r="A880" s="134">
        <f>ric!B880</f>
        <v/>
      </c>
      <c r="B880" s="118">
        <f>ric!C880</f>
        <v/>
      </c>
      <c r="C880" s="125">
        <f>ric!D880</f>
        <v/>
      </c>
      <c r="D880" s="125" t="n"/>
      <c r="E880" s="125" t="n"/>
      <c r="F880" s="125" t="n"/>
      <c r="G880" s="118">
        <f>CONCATENATE(A880, " ",#REF!, " / ",H880)</f>
        <v/>
      </c>
      <c r="H880" s="118" t="n"/>
      <c r="I880" s="119">
        <f>CONCATENATE(M880," - ",J880," - Lotto N° ",K880,"")</f>
        <v/>
      </c>
      <c r="J880" s="118" t="n"/>
      <c r="K880" s="118">
        <f>VLOOKUP(#REF!,Produzione,7,FALSE)</f>
        <v/>
      </c>
      <c r="L880" s="120" t="n"/>
      <c r="M880" s="120" t="n"/>
      <c r="N880" s="118" t="n"/>
      <c r="O880" s="121" t="n"/>
      <c r="P880" s="121" t="n"/>
      <c r="Q880" s="166">
        <f>TODAY()</f>
        <v/>
      </c>
      <c r="R880" s="165">
        <f>ElencoProdotti[[#This Row],[PRODUZIONE]]+20</f>
        <v/>
      </c>
      <c r="S880" s="165">
        <f>TODAY()</f>
        <v/>
      </c>
      <c r="T880" s="133">
        <f>CONCATENATE(A880," - contiene allergni - prodotto il giorno ",TEXT(Q880,"gg/mm/aaaa"),"")</f>
        <v/>
      </c>
    </row>
    <row r="881" ht="15" customHeight="1" s="155">
      <c r="A881" s="134">
        <f>ric!B881</f>
        <v/>
      </c>
      <c r="B881" s="118">
        <f>ric!C881</f>
        <v/>
      </c>
      <c r="C881" s="125">
        <f>ric!D881</f>
        <v/>
      </c>
      <c r="D881" s="125" t="n"/>
      <c r="E881" s="125" t="n"/>
      <c r="F881" s="125" t="n"/>
      <c r="G881" s="118">
        <f>CONCATENATE(A881, " ",#REF!, " / ",H881)</f>
        <v/>
      </c>
      <c r="H881" s="118" t="n"/>
      <c r="I881" s="119">
        <f>CONCATENATE(M881," - ",J881," - Lotto N° ",K881,"")</f>
        <v/>
      </c>
      <c r="J881" s="118" t="n"/>
      <c r="K881" s="118">
        <f>VLOOKUP(#REF!,Produzione,7,FALSE)</f>
        <v/>
      </c>
      <c r="L881" s="120" t="n"/>
      <c r="M881" s="120" t="n"/>
      <c r="N881" s="118" t="n"/>
      <c r="O881" s="121" t="n"/>
      <c r="P881" s="121" t="n"/>
      <c r="Q881" s="166">
        <f>TODAY()</f>
        <v/>
      </c>
      <c r="R881" s="165">
        <f>ElencoProdotti[[#This Row],[PRODUZIONE]]+20</f>
        <v/>
      </c>
      <c r="S881" s="165">
        <f>TODAY()</f>
        <v/>
      </c>
      <c r="T881" s="133">
        <f>CONCATENATE(A881," - contiene allergni - prodotto il giorno ",TEXT(Q881,"gg/mm/aaaa"),"")</f>
        <v/>
      </c>
    </row>
    <row r="882" ht="15" customHeight="1" s="155">
      <c r="A882" s="134">
        <f>ric!B882</f>
        <v/>
      </c>
      <c r="B882" s="118">
        <f>ric!C882</f>
        <v/>
      </c>
      <c r="C882" s="125">
        <f>ric!D882</f>
        <v/>
      </c>
      <c r="D882" s="125" t="n"/>
      <c r="E882" s="125" t="n"/>
      <c r="F882" s="125" t="n"/>
      <c r="G882" s="118">
        <f>CONCATENATE(A882, " ",#REF!, " / ",H882)</f>
        <v/>
      </c>
      <c r="H882" s="118" t="n"/>
      <c r="I882" s="119">
        <f>CONCATENATE(M882," - ",J882," - Lotto N° ",K882,"")</f>
        <v/>
      </c>
      <c r="J882" s="118" t="n"/>
      <c r="K882" s="118">
        <f>VLOOKUP(#REF!,Produzione,7,FALSE)</f>
        <v/>
      </c>
      <c r="L882" s="120" t="n"/>
      <c r="M882" s="120" t="n"/>
      <c r="N882" s="118" t="n"/>
      <c r="O882" s="121" t="n"/>
      <c r="P882" s="121" t="n"/>
      <c r="Q882" s="166">
        <f>TODAY()</f>
        <v/>
      </c>
      <c r="R882" s="165">
        <f>ElencoProdotti[[#This Row],[PRODUZIONE]]+20</f>
        <v/>
      </c>
      <c r="S882" s="165">
        <f>TODAY()</f>
        <v/>
      </c>
      <c r="T882" s="133">
        <f>CONCATENATE(A882," - contiene allergni - prodotto il giorno ",TEXT(Q882,"gg/mm/aaaa"),"")</f>
        <v/>
      </c>
    </row>
    <row r="883" ht="15" customHeight="1" s="155">
      <c r="A883" s="134">
        <f>ric!B883</f>
        <v/>
      </c>
      <c r="B883" s="118">
        <f>ric!C883</f>
        <v/>
      </c>
      <c r="C883" s="125">
        <f>ric!D883</f>
        <v/>
      </c>
      <c r="D883" s="125" t="n"/>
      <c r="E883" s="125" t="n"/>
      <c r="F883" s="125" t="n"/>
      <c r="G883" s="118">
        <f>CONCATENATE(A883, " ",#REF!, " / ",H883)</f>
        <v/>
      </c>
      <c r="H883" s="118" t="n"/>
      <c r="I883" s="119">
        <f>CONCATENATE(M883," - ",J883," - Lotto N° ",K883,"")</f>
        <v/>
      </c>
      <c r="J883" s="118" t="n"/>
      <c r="K883" s="118">
        <f>VLOOKUP(#REF!,Produzione,7,FALSE)</f>
        <v/>
      </c>
      <c r="L883" s="120" t="n"/>
      <c r="M883" s="120" t="n"/>
      <c r="N883" s="118" t="n"/>
      <c r="O883" s="121" t="n"/>
      <c r="P883" s="121" t="n"/>
      <c r="Q883" s="166">
        <f>TODAY()</f>
        <v/>
      </c>
      <c r="R883" s="165">
        <f>ElencoProdotti[[#This Row],[PRODUZIONE]]+20</f>
        <v/>
      </c>
      <c r="S883" s="165">
        <f>TODAY()</f>
        <v/>
      </c>
      <c r="T883" s="133">
        <f>CONCATENATE(A883," - contiene allergni - prodotto il giorno ",TEXT(Q883,"gg/mm/aaaa"),"")</f>
        <v/>
      </c>
    </row>
    <row r="884" ht="15" customHeight="1" s="155">
      <c r="A884" s="134">
        <f>ric!B884</f>
        <v/>
      </c>
      <c r="B884" s="118">
        <f>ric!C884</f>
        <v/>
      </c>
      <c r="C884" s="125">
        <f>ric!D884</f>
        <v/>
      </c>
      <c r="D884" s="125" t="n"/>
      <c r="E884" s="125" t="n"/>
      <c r="F884" s="125" t="n"/>
      <c r="G884" s="118">
        <f>CONCATENATE(A884, " ",#REF!, " / ",H884)</f>
        <v/>
      </c>
      <c r="H884" s="118" t="n"/>
      <c r="I884" s="119">
        <f>CONCATENATE(M884," - ",J884," - Lotto N° ",K884,"")</f>
        <v/>
      </c>
      <c r="J884" s="118" t="n"/>
      <c r="K884" s="118">
        <f>VLOOKUP(#REF!,Produzione,7,FALSE)</f>
        <v/>
      </c>
      <c r="L884" s="120" t="n"/>
      <c r="M884" s="120" t="n"/>
      <c r="N884" s="118" t="n"/>
      <c r="O884" s="121" t="n"/>
      <c r="P884" s="121" t="n"/>
      <c r="Q884" s="166">
        <f>TODAY()</f>
        <v/>
      </c>
      <c r="R884" s="165">
        <f>ElencoProdotti[[#This Row],[PRODUZIONE]]+20</f>
        <v/>
      </c>
      <c r="S884" s="165">
        <f>TODAY()</f>
        <v/>
      </c>
      <c r="T884" s="133">
        <f>CONCATENATE(A884," - contiene allergni - prodotto il giorno ",TEXT(Q884,"gg/mm/aaaa"),"")</f>
        <v/>
      </c>
    </row>
    <row r="885" ht="15" customHeight="1" s="155">
      <c r="A885" s="134">
        <f>ric!B885</f>
        <v/>
      </c>
      <c r="B885" s="118">
        <f>ric!C885</f>
        <v/>
      </c>
      <c r="C885" s="125">
        <f>ric!D885</f>
        <v/>
      </c>
      <c r="D885" s="125" t="n"/>
      <c r="E885" s="125" t="n"/>
      <c r="F885" s="125" t="n"/>
      <c r="G885" s="118">
        <f>CONCATENATE(A885, " ",#REF!, " / ",H885)</f>
        <v/>
      </c>
      <c r="H885" s="118" t="n"/>
      <c r="I885" s="119">
        <f>CONCATENATE(M885," - ",J885," - Lotto N° ",K885,"")</f>
        <v/>
      </c>
      <c r="J885" s="118" t="n"/>
      <c r="K885" s="118">
        <f>VLOOKUP(#REF!,Produzione,7,FALSE)</f>
        <v/>
      </c>
      <c r="L885" s="120" t="n"/>
      <c r="M885" s="120" t="n"/>
      <c r="N885" s="118" t="n"/>
      <c r="O885" s="121" t="n"/>
      <c r="P885" s="121" t="n"/>
      <c r="Q885" s="166">
        <f>TODAY()</f>
        <v/>
      </c>
      <c r="R885" s="165">
        <f>ElencoProdotti[[#This Row],[PRODUZIONE]]+20</f>
        <v/>
      </c>
      <c r="S885" s="165">
        <f>TODAY()</f>
        <v/>
      </c>
      <c r="T885" s="133">
        <f>CONCATENATE(A885," - contiene allergni - prodotto il giorno ",TEXT(Q885,"gg/mm/aaaa"),"")</f>
        <v/>
      </c>
    </row>
    <row r="886" ht="15" customHeight="1" s="155">
      <c r="A886" s="134">
        <f>ric!B886</f>
        <v/>
      </c>
      <c r="B886" s="118">
        <f>ric!C886</f>
        <v/>
      </c>
      <c r="C886" s="125">
        <f>ric!D886</f>
        <v/>
      </c>
      <c r="D886" s="125" t="n"/>
      <c r="E886" s="125" t="n"/>
      <c r="F886" s="125" t="n"/>
      <c r="G886" s="118">
        <f>CONCATENATE(A886, " ",#REF!, " / ",H886)</f>
        <v/>
      </c>
      <c r="H886" s="118" t="n"/>
      <c r="I886" s="119">
        <f>CONCATENATE(M886," - ",J886," - Lotto N° ",K886,"")</f>
        <v/>
      </c>
      <c r="J886" s="118" t="n"/>
      <c r="K886" s="118">
        <f>VLOOKUP(#REF!,Produzione,7,FALSE)</f>
        <v/>
      </c>
      <c r="L886" s="120" t="n"/>
      <c r="M886" s="120" t="n"/>
      <c r="N886" s="118" t="n"/>
      <c r="O886" s="121" t="n"/>
      <c r="P886" s="121" t="n"/>
      <c r="Q886" s="166">
        <f>TODAY()</f>
        <v/>
      </c>
      <c r="R886" s="165">
        <f>ElencoProdotti[[#This Row],[PRODUZIONE]]+20</f>
        <v/>
      </c>
      <c r="S886" s="165">
        <f>TODAY()</f>
        <v/>
      </c>
      <c r="T886" s="133">
        <f>CONCATENATE(A886," - contiene allergni - prodotto il giorno ",TEXT(Q886,"gg/mm/aaaa"),"")</f>
        <v/>
      </c>
    </row>
    <row r="887" ht="15" customHeight="1" s="155">
      <c r="A887" s="134">
        <f>ric!B887</f>
        <v/>
      </c>
      <c r="B887" s="118">
        <f>ric!C887</f>
        <v/>
      </c>
      <c r="C887" s="125">
        <f>ric!D887</f>
        <v/>
      </c>
      <c r="D887" s="125" t="n"/>
      <c r="E887" s="125" t="n"/>
      <c r="F887" s="125" t="n"/>
      <c r="G887" s="118">
        <f>CONCATENATE(A887, " ",#REF!, " / ",H887)</f>
        <v/>
      </c>
      <c r="H887" s="118" t="n"/>
      <c r="I887" s="119">
        <f>CONCATENATE(M887," - ",J887," - Lotto N° ",K887,"")</f>
        <v/>
      </c>
      <c r="J887" s="118" t="n"/>
      <c r="K887" s="118">
        <f>VLOOKUP(#REF!,Produzione,7,FALSE)</f>
        <v/>
      </c>
      <c r="L887" s="120" t="n"/>
      <c r="M887" s="120" t="n"/>
      <c r="N887" s="118" t="n"/>
      <c r="O887" s="121" t="n"/>
      <c r="P887" s="121" t="n"/>
      <c r="Q887" s="166">
        <f>TODAY()</f>
        <v/>
      </c>
      <c r="R887" s="165">
        <f>ElencoProdotti[[#This Row],[PRODUZIONE]]+20</f>
        <v/>
      </c>
      <c r="S887" s="165">
        <f>TODAY()</f>
        <v/>
      </c>
      <c r="T887" s="133">
        <f>CONCATENATE(A887," - contiene allergni - prodotto il giorno ",TEXT(Q887,"gg/mm/aaaa"),"")</f>
        <v/>
      </c>
    </row>
    <row r="888" ht="15" customHeight="1" s="155">
      <c r="A888" s="134">
        <f>ric!B888</f>
        <v/>
      </c>
      <c r="B888" s="118">
        <f>ric!C888</f>
        <v/>
      </c>
      <c r="C888" s="125">
        <f>ric!D888</f>
        <v/>
      </c>
      <c r="D888" s="125" t="n"/>
      <c r="E888" s="125" t="n"/>
      <c r="F888" s="125" t="n"/>
      <c r="G888" s="118">
        <f>CONCATENATE(A888, " ",#REF!, " / ",H888)</f>
        <v/>
      </c>
      <c r="H888" s="118" t="n"/>
      <c r="I888" s="119">
        <f>CONCATENATE(M888," - ",J888," - Lotto N° ",K888,"")</f>
        <v/>
      </c>
      <c r="J888" s="118" t="n"/>
      <c r="K888" s="118">
        <f>VLOOKUP(#REF!,Produzione,7,FALSE)</f>
        <v/>
      </c>
      <c r="L888" s="120" t="n"/>
      <c r="M888" s="120" t="n"/>
      <c r="N888" s="118" t="n"/>
      <c r="O888" s="121" t="n"/>
      <c r="P888" s="121" t="n"/>
      <c r="Q888" s="166">
        <f>TODAY()</f>
        <v/>
      </c>
      <c r="R888" s="165">
        <f>ElencoProdotti[[#This Row],[PRODUZIONE]]+20</f>
        <v/>
      </c>
      <c r="S888" s="165">
        <f>TODAY()</f>
        <v/>
      </c>
      <c r="T888" s="133">
        <f>CONCATENATE(A888," - contiene allergni - prodotto il giorno ",TEXT(Q888,"gg/mm/aaaa"),"")</f>
        <v/>
      </c>
    </row>
    <row r="889" ht="15" customHeight="1" s="155">
      <c r="A889" s="134">
        <f>ric!B889</f>
        <v/>
      </c>
      <c r="B889" s="118">
        <f>ric!C889</f>
        <v/>
      </c>
      <c r="C889" s="125">
        <f>ric!D889</f>
        <v/>
      </c>
      <c r="D889" s="125" t="n"/>
      <c r="E889" s="125" t="n"/>
      <c r="F889" s="125" t="n"/>
      <c r="G889" s="118">
        <f>CONCATENATE(A889, " ",#REF!, " / ",H889)</f>
        <v/>
      </c>
      <c r="H889" s="118" t="n"/>
      <c r="I889" s="119">
        <f>CONCATENATE(M889," - ",J889," - Lotto N° ",K889,"")</f>
        <v/>
      </c>
      <c r="J889" s="118" t="n"/>
      <c r="K889" s="118">
        <f>VLOOKUP(#REF!,Produzione,7,FALSE)</f>
        <v/>
      </c>
      <c r="L889" s="120" t="n"/>
      <c r="M889" s="120" t="n"/>
      <c r="N889" s="118" t="n"/>
      <c r="O889" s="121" t="n"/>
      <c r="P889" s="121" t="n"/>
      <c r="Q889" s="166">
        <f>TODAY()</f>
        <v/>
      </c>
      <c r="R889" s="165">
        <f>ElencoProdotti[[#This Row],[PRODUZIONE]]+20</f>
        <v/>
      </c>
      <c r="S889" s="165">
        <f>TODAY()</f>
        <v/>
      </c>
      <c r="T889" s="133">
        <f>CONCATENATE(A889," - contiene allergni - prodotto il giorno ",TEXT(Q889,"gg/mm/aaaa"),"")</f>
        <v/>
      </c>
    </row>
    <row r="890" ht="15" customHeight="1" s="155">
      <c r="A890" s="134">
        <f>ric!B890</f>
        <v/>
      </c>
      <c r="B890" s="118">
        <f>ric!C890</f>
        <v/>
      </c>
      <c r="C890" s="125">
        <f>ric!D890</f>
        <v/>
      </c>
      <c r="D890" s="125" t="n"/>
      <c r="E890" s="125" t="n"/>
      <c r="F890" s="125" t="n"/>
      <c r="G890" s="118">
        <f>CONCATENATE(A890, " ",#REF!, " / ",H890)</f>
        <v/>
      </c>
      <c r="H890" s="118" t="n"/>
      <c r="I890" s="119">
        <f>CONCATENATE(M890," - ",J890," - Lotto N° ",K890,"")</f>
        <v/>
      </c>
      <c r="J890" s="118" t="n"/>
      <c r="K890" s="118">
        <f>VLOOKUP(#REF!,Produzione,7,FALSE)</f>
        <v/>
      </c>
      <c r="L890" s="120" t="n"/>
      <c r="M890" s="120" t="n"/>
      <c r="N890" s="118" t="n"/>
      <c r="O890" s="121" t="n"/>
      <c r="P890" s="121" t="n"/>
      <c r="Q890" s="166">
        <f>TODAY()</f>
        <v/>
      </c>
      <c r="R890" s="165">
        <f>ElencoProdotti[[#This Row],[PRODUZIONE]]+20</f>
        <v/>
      </c>
      <c r="S890" s="165">
        <f>TODAY()</f>
        <v/>
      </c>
      <c r="T890" s="133">
        <f>CONCATENATE(A890," - contiene allergni - prodotto il giorno ",TEXT(Q890,"gg/mm/aaaa"),"")</f>
        <v/>
      </c>
    </row>
    <row r="891" ht="15" customHeight="1" s="155">
      <c r="A891" s="134">
        <f>ric!B891</f>
        <v/>
      </c>
      <c r="B891" s="118">
        <f>ric!C891</f>
        <v/>
      </c>
      <c r="C891" s="125">
        <f>ric!D891</f>
        <v/>
      </c>
      <c r="D891" s="125" t="n"/>
      <c r="E891" s="125" t="n"/>
      <c r="F891" s="125" t="n"/>
      <c r="G891" s="118">
        <f>CONCATENATE(A891, " ",#REF!, " / ",H891)</f>
        <v/>
      </c>
      <c r="H891" s="118" t="n"/>
      <c r="I891" s="119">
        <f>CONCATENATE(M891," - ",J891," - Lotto N° ",K891,"")</f>
        <v/>
      </c>
      <c r="J891" s="118" t="n"/>
      <c r="K891" s="118">
        <f>VLOOKUP(#REF!,Produzione,7,FALSE)</f>
        <v/>
      </c>
      <c r="L891" s="120" t="n"/>
      <c r="M891" s="120" t="n"/>
      <c r="N891" s="118" t="n"/>
      <c r="O891" s="121" t="n"/>
      <c r="P891" s="121" t="n"/>
      <c r="Q891" s="166">
        <f>TODAY()</f>
        <v/>
      </c>
      <c r="R891" s="165">
        <f>ElencoProdotti[[#This Row],[PRODUZIONE]]+20</f>
        <v/>
      </c>
      <c r="S891" s="165">
        <f>TODAY()</f>
        <v/>
      </c>
      <c r="T891" s="133">
        <f>CONCATENATE(A891," - contiene allergni - prodotto il giorno ",TEXT(Q891,"gg/mm/aaaa"),"")</f>
        <v/>
      </c>
    </row>
    <row r="892" ht="15" customHeight="1" s="155">
      <c r="A892" s="134">
        <f>ric!B892</f>
        <v/>
      </c>
      <c r="B892" s="118">
        <f>ric!C892</f>
        <v/>
      </c>
      <c r="C892" s="125">
        <f>ric!D892</f>
        <v/>
      </c>
      <c r="D892" s="125" t="n"/>
      <c r="E892" s="125" t="n"/>
      <c r="F892" s="125" t="n"/>
      <c r="G892" s="118">
        <f>CONCATENATE(A892, " ",#REF!, " / ",H892)</f>
        <v/>
      </c>
      <c r="H892" s="118" t="n"/>
      <c r="I892" s="119">
        <f>CONCATENATE(M892," - ",J892," - Lotto N° ",K892,"")</f>
        <v/>
      </c>
      <c r="J892" s="118" t="n"/>
      <c r="K892" s="118">
        <f>VLOOKUP(#REF!,Produzione,7,FALSE)</f>
        <v/>
      </c>
      <c r="L892" s="120" t="n"/>
      <c r="M892" s="120" t="n"/>
      <c r="N892" s="118" t="n"/>
      <c r="O892" s="121" t="n"/>
      <c r="P892" s="121" t="n"/>
      <c r="Q892" s="166">
        <f>TODAY()</f>
        <v/>
      </c>
      <c r="R892" s="165">
        <f>ElencoProdotti[[#This Row],[PRODUZIONE]]+20</f>
        <v/>
      </c>
      <c r="S892" s="165">
        <f>TODAY()</f>
        <v/>
      </c>
      <c r="T892" s="133">
        <f>CONCATENATE(A892," - contiene allergni - prodotto il giorno ",TEXT(Q892,"gg/mm/aaaa"),"")</f>
        <v/>
      </c>
    </row>
    <row r="893" ht="15" customHeight="1" s="155">
      <c r="A893" s="134">
        <f>ric!B893</f>
        <v/>
      </c>
      <c r="B893" s="118">
        <f>ric!C893</f>
        <v/>
      </c>
      <c r="C893" s="125">
        <f>ric!D893</f>
        <v/>
      </c>
      <c r="D893" s="125" t="n"/>
      <c r="E893" s="125" t="n"/>
      <c r="F893" s="125" t="n"/>
      <c r="G893" s="118">
        <f>CONCATENATE(A893, " ",#REF!, " / ",H893)</f>
        <v/>
      </c>
      <c r="H893" s="118" t="n"/>
      <c r="I893" s="119">
        <f>CONCATENATE(M893," - ",J893," - Lotto N° ",K893,"")</f>
        <v/>
      </c>
      <c r="J893" s="118" t="n"/>
      <c r="K893" s="118">
        <f>VLOOKUP(#REF!,Produzione,7,FALSE)</f>
        <v/>
      </c>
      <c r="L893" s="120" t="n"/>
      <c r="M893" s="120" t="n"/>
      <c r="N893" s="118" t="n"/>
      <c r="O893" s="121" t="n"/>
      <c r="P893" s="121" t="n"/>
      <c r="Q893" s="166">
        <f>TODAY()</f>
        <v/>
      </c>
      <c r="R893" s="165">
        <f>ElencoProdotti[[#This Row],[PRODUZIONE]]+20</f>
        <v/>
      </c>
      <c r="S893" s="165">
        <f>TODAY()</f>
        <v/>
      </c>
      <c r="T893" s="133">
        <f>CONCATENATE(A893," - contiene allergni - prodotto il giorno ",TEXT(Q893,"gg/mm/aaaa"),"")</f>
        <v/>
      </c>
    </row>
    <row r="894" ht="15" customHeight="1" s="155">
      <c r="A894" s="134">
        <f>ric!B894</f>
        <v/>
      </c>
      <c r="B894" s="118">
        <f>ric!C894</f>
        <v/>
      </c>
      <c r="C894" s="125">
        <f>ric!D894</f>
        <v/>
      </c>
      <c r="D894" s="125" t="n"/>
      <c r="E894" s="125" t="n"/>
      <c r="F894" s="125" t="n"/>
      <c r="G894" s="118">
        <f>CONCATENATE(A894, " ",#REF!, " / ",H894)</f>
        <v/>
      </c>
      <c r="H894" s="118" t="n"/>
      <c r="I894" s="119">
        <f>CONCATENATE(M894," - ",J894," - Lotto N° ",K894,"")</f>
        <v/>
      </c>
      <c r="J894" s="118" t="n"/>
      <c r="K894" s="118">
        <f>VLOOKUP(#REF!,Produzione,7,FALSE)</f>
        <v/>
      </c>
      <c r="L894" s="120" t="n"/>
      <c r="M894" s="120" t="n"/>
      <c r="N894" s="118" t="n"/>
      <c r="O894" s="121" t="n"/>
      <c r="P894" s="121" t="n"/>
      <c r="Q894" s="166">
        <f>TODAY()</f>
        <v/>
      </c>
      <c r="R894" s="165">
        <f>ElencoProdotti[[#This Row],[PRODUZIONE]]+20</f>
        <v/>
      </c>
      <c r="S894" s="165">
        <f>TODAY()</f>
        <v/>
      </c>
      <c r="T894" s="133">
        <f>CONCATENATE(A894," - contiene allergni - prodotto il giorno ",TEXT(Q894,"gg/mm/aaaa"),"")</f>
        <v/>
      </c>
    </row>
    <row r="895" ht="15" customHeight="1" s="155">
      <c r="A895" s="134">
        <f>ric!B895</f>
        <v/>
      </c>
      <c r="B895" s="118">
        <f>ric!C895</f>
        <v/>
      </c>
      <c r="C895" s="125">
        <f>ric!D895</f>
        <v/>
      </c>
      <c r="D895" s="125" t="n"/>
      <c r="E895" s="125" t="n"/>
      <c r="F895" s="125" t="n"/>
      <c r="G895" s="118">
        <f>CONCATENATE(A895, " ",#REF!, " / ",H895)</f>
        <v/>
      </c>
      <c r="H895" s="118" t="n"/>
      <c r="I895" s="119">
        <f>CONCATENATE(M895," - ",J895," - Lotto N° ",K895,"")</f>
        <v/>
      </c>
      <c r="J895" s="118" t="n"/>
      <c r="K895" s="118">
        <f>VLOOKUP(#REF!,Produzione,7,FALSE)</f>
        <v/>
      </c>
      <c r="L895" s="120" t="n"/>
      <c r="M895" s="120" t="n"/>
      <c r="N895" s="118" t="n"/>
      <c r="O895" s="121" t="n"/>
      <c r="P895" s="121" t="n"/>
      <c r="Q895" s="166">
        <f>TODAY()</f>
        <v/>
      </c>
      <c r="R895" s="165">
        <f>ElencoProdotti[[#This Row],[PRODUZIONE]]+20</f>
        <v/>
      </c>
      <c r="S895" s="165">
        <f>TODAY()</f>
        <v/>
      </c>
      <c r="T895" s="133">
        <f>CONCATENATE(A895," - contiene allergni - prodotto il giorno ",TEXT(Q895,"gg/mm/aaaa"),"")</f>
        <v/>
      </c>
    </row>
    <row r="896" ht="15" customHeight="1" s="155">
      <c r="A896" s="134">
        <f>ric!B896</f>
        <v/>
      </c>
      <c r="B896" s="118">
        <f>ric!C896</f>
        <v/>
      </c>
      <c r="C896" s="125">
        <f>ric!D896</f>
        <v/>
      </c>
      <c r="D896" s="125" t="n"/>
      <c r="E896" s="125" t="n"/>
      <c r="F896" s="125" t="n"/>
      <c r="G896" s="118">
        <f>CONCATENATE(A896, " ",#REF!, " / ",H896)</f>
        <v/>
      </c>
      <c r="H896" s="118" t="n"/>
      <c r="I896" s="119">
        <f>CONCATENATE(M896," - ",J896," - Lotto N° ",K896,"")</f>
        <v/>
      </c>
      <c r="J896" s="118" t="n"/>
      <c r="K896" s="118">
        <f>VLOOKUP(#REF!,Produzione,7,FALSE)</f>
        <v/>
      </c>
      <c r="L896" s="120" t="n"/>
      <c r="M896" s="120" t="n"/>
      <c r="N896" s="118" t="n"/>
      <c r="O896" s="121" t="n"/>
      <c r="P896" s="121" t="n"/>
      <c r="Q896" s="166">
        <f>TODAY()</f>
        <v/>
      </c>
      <c r="R896" s="165">
        <f>ElencoProdotti[[#This Row],[PRODUZIONE]]+20</f>
        <v/>
      </c>
      <c r="S896" s="165">
        <f>TODAY()</f>
        <v/>
      </c>
      <c r="T896" s="133">
        <f>CONCATENATE(A896," - contiene allergni - prodotto il giorno ",TEXT(Q896,"gg/mm/aaaa"),"")</f>
        <v/>
      </c>
    </row>
    <row r="897" ht="15" customHeight="1" s="155">
      <c r="A897" s="134">
        <f>ric!B897</f>
        <v/>
      </c>
      <c r="B897" s="118">
        <f>ric!C897</f>
        <v/>
      </c>
      <c r="C897" s="125">
        <f>ric!D897</f>
        <v/>
      </c>
      <c r="D897" s="125" t="n"/>
      <c r="E897" s="125" t="n"/>
      <c r="F897" s="125" t="n"/>
      <c r="G897" s="118">
        <f>CONCATENATE(A897, " ",#REF!, " / ",H897)</f>
        <v/>
      </c>
      <c r="H897" s="118" t="n"/>
      <c r="I897" s="119">
        <f>CONCATENATE(M897," - ",J897," - Lotto N° ",K897,"")</f>
        <v/>
      </c>
      <c r="J897" s="118" t="n"/>
      <c r="K897" s="118">
        <f>VLOOKUP(#REF!,Produzione,7,FALSE)</f>
        <v/>
      </c>
      <c r="L897" s="120" t="n"/>
      <c r="M897" s="120" t="n"/>
      <c r="N897" s="118" t="n"/>
      <c r="O897" s="121" t="n"/>
      <c r="P897" s="121" t="n"/>
      <c r="Q897" s="166">
        <f>TODAY()</f>
        <v/>
      </c>
      <c r="R897" s="165">
        <f>ElencoProdotti[[#This Row],[PRODUZIONE]]+20</f>
        <v/>
      </c>
      <c r="S897" s="165">
        <f>TODAY()</f>
        <v/>
      </c>
      <c r="T897" s="133">
        <f>CONCATENATE(A897," - contiene allergni - prodotto il giorno ",TEXT(Q897,"gg/mm/aaaa"),"")</f>
        <v/>
      </c>
    </row>
    <row r="898" ht="15" customHeight="1" s="155">
      <c r="A898" s="134">
        <f>ric!B898</f>
        <v/>
      </c>
      <c r="B898" s="118">
        <f>ric!C898</f>
        <v/>
      </c>
      <c r="C898" s="125">
        <f>ric!D898</f>
        <v/>
      </c>
      <c r="D898" s="125" t="n"/>
      <c r="E898" s="125" t="n"/>
      <c r="F898" s="125" t="n"/>
      <c r="G898" s="118">
        <f>CONCATENATE(A898, " ",#REF!, " / ",H898)</f>
        <v/>
      </c>
      <c r="H898" s="118" t="n"/>
      <c r="I898" s="119">
        <f>CONCATENATE(M898," - ",J898," - Lotto N° ",K898,"")</f>
        <v/>
      </c>
      <c r="J898" s="118" t="n"/>
      <c r="K898" s="118">
        <f>VLOOKUP(#REF!,Produzione,7,FALSE)</f>
        <v/>
      </c>
      <c r="L898" s="120" t="n"/>
      <c r="M898" s="120" t="n"/>
      <c r="N898" s="118" t="n"/>
      <c r="O898" s="121" t="n"/>
      <c r="P898" s="121" t="n"/>
      <c r="Q898" s="166">
        <f>TODAY()</f>
        <v/>
      </c>
      <c r="R898" s="165">
        <f>ElencoProdotti[[#This Row],[PRODUZIONE]]+20</f>
        <v/>
      </c>
      <c r="S898" s="165">
        <f>TODAY()</f>
        <v/>
      </c>
      <c r="T898" s="133">
        <f>CONCATENATE(A898," - contiene allergni - prodotto il giorno ",TEXT(Q898,"gg/mm/aaaa"),"")</f>
        <v/>
      </c>
    </row>
    <row r="899" ht="15" customHeight="1" s="155">
      <c r="A899" s="134">
        <f>ric!B899</f>
        <v/>
      </c>
      <c r="B899" s="118">
        <f>ric!C899</f>
        <v/>
      </c>
      <c r="C899" s="125">
        <f>ric!D899</f>
        <v/>
      </c>
      <c r="D899" s="125" t="n"/>
      <c r="E899" s="125" t="n"/>
      <c r="F899" s="125" t="n"/>
      <c r="G899" s="118">
        <f>CONCATENATE(A899, " ",#REF!, " / ",H899)</f>
        <v/>
      </c>
      <c r="H899" s="118" t="n"/>
      <c r="I899" s="119">
        <f>CONCATENATE(M899," - ",J899," - Lotto N° ",K899,"")</f>
        <v/>
      </c>
      <c r="J899" s="118" t="n"/>
      <c r="K899" s="118">
        <f>VLOOKUP(#REF!,Produzione,7,FALSE)</f>
        <v/>
      </c>
      <c r="L899" s="120" t="n"/>
      <c r="M899" s="120" t="n"/>
      <c r="N899" s="118" t="n"/>
      <c r="O899" s="121" t="n"/>
      <c r="P899" s="121" t="n"/>
      <c r="Q899" s="166">
        <f>TODAY()</f>
        <v/>
      </c>
      <c r="R899" s="165">
        <f>ElencoProdotti[[#This Row],[PRODUZIONE]]+20</f>
        <v/>
      </c>
      <c r="S899" s="165">
        <f>TODAY()</f>
        <v/>
      </c>
      <c r="T899" s="133">
        <f>CONCATENATE(A899," - contiene allergni - prodotto il giorno ",TEXT(Q899,"gg/mm/aaaa"),"")</f>
        <v/>
      </c>
    </row>
    <row r="900" ht="15" customHeight="1" s="155">
      <c r="A900" s="134">
        <f>ric!B900</f>
        <v/>
      </c>
      <c r="B900" s="118">
        <f>ric!C900</f>
        <v/>
      </c>
      <c r="C900" s="125">
        <f>ric!D900</f>
        <v/>
      </c>
      <c r="D900" s="125" t="n"/>
      <c r="E900" s="125" t="n"/>
      <c r="F900" s="125" t="n"/>
      <c r="G900" s="118">
        <f>CONCATENATE(A900, " ",#REF!, " / ",H900)</f>
        <v/>
      </c>
      <c r="H900" s="118" t="n"/>
      <c r="I900" s="119">
        <f>CONCATENATE(M900," - ",J900," - Lotto N° ",K900,"")</f>
        <v/>
      </c>
      <c r="J900" s="118" t="n"/>
      <c r="K900" s="118">
        <f>VLOOKUP(#REF!,Produzione,7,FALSE)</f>
        <v/>
      </c>
      <c r="L900" s="120" t="n"/>
      <c r="M900" s="120" t="n"/>
      <c r="N900" s="118" t="n"/>
      <c r="O900" s="121" t="n"/>
      <c r="P900" s="121" t="n"/>
      <c r="Q900" s="166">
        <f>TODAY()</f>
        <v/>
      </c>
      <c r="R900" s="165">
        <f>ElencoProdotti[[#This Row],[PRODUZIONE]]+20</f>
        <v/>
      </c>
      <c r="S900" s="165">
        <f>TODAY()</f>
        <v/>
      </c>
      <c r="T900" s="133">
        <f>CONCATENATE(A900," - contiene allergni - prodotto il giorno ",TEXT(Q900,"gg/mm/aaaa"),"")</f>
        <v/>
      </c>
    </row>
    <row r="901" ht="15" customHeight="1" s="155">
      <c r="A901" s="134">
        <f>ric!B901</f>
        <v/>
      </c>
      <c r="B901" s="118">
        <f>ric!C901</f>
        <v/>
      </c>
      <c r="C901" s="125">
        <f>ric!D901</f>
        <v/>
      </c>
      <c r="D901" s="125" t="n"/>
      <c r="E901" s="125" t="n"/>
      <c r="F901" s="125" t="n"/>
      <c r="G901" s="118">
        <f>CONCATENATE(A901, " ",#REF!, " / ",H901)</f>
        <v/>
      </c>
      <c r="H901" s="118" t="n"/>
      <c r="I901" s="119">
        <f>CONCATENATE(M901," - ",J901," - Lotto N° ",K901,"")</f>
        <v/>
      </c>
      <c r="J901" s="118" t="n"/>
      <c r="K901" s="118">
        <f>VLOOKUP(#REF!,Produzione,7,FALSE)</f>
        <v/>
      </c>
      <c r="L901" s="120" t="n"/>
      <c r="M901" s="120" t="n"/>
      <c r="N901" s="118" t="n"/>
      <c r="O901" s="121" t="n"/>
      <c r="P901" s="121" t="n"/>
      <c r="Q901" s="166">
        <f>TODAY()</f>
        <v/>
      </c>
      <c r="R901" s="165">
        <f>ElencoProdotti[[#This Row],[PRODUZIONE]]+20</f>
        <v/>
      </c>
      <c r="S901" s="165">
        <f>TODAY()</f>
        <v/>
      </c>
      <c r="T901" s="133">
        <f>CONCATENATE(A901," - contiene allergni - prodotto il giorno ",TEXT(Q901,"gg/mm/aaaa"),"")</f>
        <v/>
      </c>
    </row>
    <row r="902" ht="15" customHeight="1" s="155">
      <c r="A902" s="134">
        <f>ric!B902</f>
        <v/>
      </c>
      <c r="B902" s="118">
        <f>ric!C902</f>
        <v/>
      </c>
      <c r="C902" s="125">
        <f>ric!D902</f>
        <v/>
      </c>
      <c r="D902" s="125" t="n"/>
      <c r="E902" s="125" t="n"/>
      <c r="F902" s="125" t="n"/>
      <c r="G902" s="118">
        <f>CONCATENATE(A902, " ",#REF!, " / ",H902)</f>
        <v/>
      </c>
      <c r="H902" s="118" t="n"/>
      <c r="I902" s="119">
        <f>CONCATENATE(M902," - ",J902," - Lotto N° ",K902,"")</f>
        <v/>
      </c>
      <c r="J902" s="118" t="n"/>
      <c r="K902" s="118">
        <f>VLOOKUP(#REF!,Produzione,7,FALSE)</f>
        <v/>
      </c>
      <c r="L902" s="120" t="n"/>
      <c r="M902" s="120" t="n"/>
      <c r="N902" s="118" t="n"/>
      <c r="O902" s="121" t="n"/>
      <c r="P902" s="121" t="n"/>
      <c r="Q902" s="166">
        <f>TODAY()</f>
        <v/>
      </c>
      <c r="R902" s="165">
        <f>ElencoProdotti[[#This Row],[PRODUZIONE]]+20</f>
        <v/>
      </c>
      <c r="S902" s="165">
        <f>TODAY()</f>
        <v/>
      </c>
      <c r="T902" s="133">
        <f>CONCATENATE(A902," - contiene allergni - prodotto il giorno ",TEXT(Q902,"gg/mm/aaaa"),"")</f>
        <v/>
      </c>
    </row>
    <row r="903" ht="15" customHeight="1" s="155">
      <c r="A903" s="134">
        <f>ric!B903</f>
        <v/>
      </c>
      <c r="B903" s="118">
        <f>ric!C903</f>
        <v/>
      </c>
      <c r="C903" s="125">
        <f>ric!D903</f>
        <v/>
      </c>
      <c r="D903" s="125" t="n"/>
      <c r="E903" s="125" t="n"/>
      <c r="F903" s="125" t="n"/>
      <c r="G903" s="118">
        <f>CONCATENATE(A903, " ",#REF!, " / ",H903)</f>
        <v/>
      </c>
      <c r="H903" s="118" t="n"/>
      <c r="I903" s="119">
        <f>CONCATENATE(M903," - ",J903," - Lotto N° ",K903,"")</f>
        <v/>
      </c>
      <c r="J903" s="118" t="n"/>
      <c r="K903" s="118">
        <f>VLOOKUP(#REF!,Produzione,7,FALSE)</f>
        <v/>
      </c>
      <c r="L903" s="120" t="n"/>
      <c r="M903" s="120" t="n"/>
      <c r="N903" s="118" t="n"/>
      <c r="O903" s="121" t="n"/>
      <c r="P903" s="121" t="n"/>
      <c r="Q903" s="166">
        <f>TODAY()</f>
        <v/>
      </c>
      <c r="R903" s="165">
        <f>ElencoProdotti[[#This Row],[PRODUZIONE]]+20</f>
        <v/>
      </c>
      <c r="S903" s="165">
        <f>TODAY()</f>
        <v/>
      </c>
      <c r="T903" s="133">
        <f>CONCATENATE(A903," - contiene allergni - prodotto il giorno ",TEXT(Q903,"gg/mm/aaaa"),"")</f>
        <v/>
      </c>
    </row>
    <row r="904" ht="15" customHeight="1" s="155">
      <c r="A904" s="134">
        <f>ric!B904</f>
        <v/>
      </c>
      <c r="B904" s="118">
        <f>ric!C904</f>
        <v/>
      </c>
      <c r="C904" s="125">
        <f>ric!D904</f>
        <v/>
      </c>
      <c r="D904" s="125" t="n"/>
      <c r="E904" s="125" t="n"/>
      <c r="F904" s="125" t="n"/>
      <c r="G904" s="118">
        <f>CONCATENATE(A904, " ",#REF!, " / ",H904)</f>
        <v/>
      </c>
      <c r="H904" s="118" t="n"/>
      <c r="I904" s="119">
        <f>CONCATENATE(M904," - ",J904," - Lotto N° ",K904,"")</f>
        <v/>
      </c>
      <c r="J904" s="118" t="n"/>
      <c r="K904" s="118">
        <f>VLOOKUP(#REF!,Produzione,7,FALSE)</f>
        <v/>
      </c>
      <c r="L904" s="120" t="n"/>
      <c r="M904" s="120" t="n"/>
      <c r="N904" s="118" t="n"/>
      <c r="O904" s="121" t="n"/>
      <c r="P904" s="121" t="n"/>
      <c r="Q904" s="166">
        <f>TODAY()</f>
        <v/>
      </c>
      <c r="R904" s="165">
        <f>ElencoProdotti[[#This Row],[PRODUZIONE]]+20</f>
        <v/>
      </c>
      <c r="S904" s="165">
        <f>TODAY()</f>
        <v/>
      </c>
      <c r="T904" s="133">
        <f>CONCATENATE(A904," - contiene allergni - prodotto il giorno ",TEXT(Q904,"gg/mm/aaaa"),"")</f>
        <v/>
      </c>
    </row>
    <row r="905" ht="15" customHeight="1" s="155">
      <c r="A905" s="134">
        <f>ric!B905</f>
        <v/>
      </c>
      <c r="B905" s="118">
        <f>ric!C905</f>
        <v/>
      </c>
      <c r="C905" s="125">
        <f>ric!D905</f>
        <v/>
      </c>
      <c r="D905" s="125" t="n"/>
      <c r="E905" s="125" t="n"/>
      <c r="F905" s="125" t="n"/>
      <c r="G905" s="118">
        <f>CONCATENATE(A905, " ",#REF!, " / ",H905)</f>
        <v/>
      </c>
      <c r="H905" s="118" t="n"/>
      <c r="I905" s="119">
        <f>CONCATENATE(M905," - ",J905," - Lotto N° ",K905,"")</f>
        <v/>
      </c>
      <c r="J905" s="118" t="n"/>
      <c r="K905" s="118">
        <f>VLOOKUP(#REF!,Produzione,7,FALSE)</f>
        <v/>
      </c>
      <c r="L905" s="120" t="n"/>
      <c r="M905" s="120" t="n"/>
      <c r="N905" s="118" t="n"/>
      <c r="O905" s="121" t="n"/>
      <c r="P905" s="121" t="n"/>
      <c r="Q905" s="166">
        <f>TODAY()</f>
        <v/>
      </c>
      <c r="R905" s="165">
        <f>ElencoProdotti[[#This Row],[PRODUZIONE]]+20</f>
        <v/>
      </c>
      <c r="S905" s="165">
        <f>TODAY()</f>
        <v/>
      </c>
      <c r="T905" s="133">
        <f>CONCATENATE(A905," - contiene allergni - prodotto il giorno ",TEXT(Q905,"gg/mm/aaaa"),"")</f>
        <v/>
      </c>
    </row>
    <row r="906" ht="15" customHeight="1" s="155">
      <c r="A906" s="134">
        <f>ric!B906</f>
        <v/>
      </c>
      <c r="B906" s="118">
        <f>ric!C906</f>
        <v/>
      </c>
      <c r="C906" s="125">
        <f>ric!D906</f>
        <v/>
      </c>
      <c r="D906" s="125" t="n"/>
      <c r="E906" s="125" t="n"/>
      <c r="F906" s="125" t="n"/>
      <c r="G906" s="118">
        <f>CONCATENATE(A906, " ",#REF!, " / ",H906)</f>
        <v/>
      </c>
      <c r="H906" s="118" t="n"/>
      <c r="I906" s="119">
        <f>CONCATENATE(M906," - ",J906," - Lotto N° ",K906,"")</f>
        <v/>
      </c>
      <c r="J906" s="118" t="n"/>
      <c r="K906" s="118">
        <f>VLOOKUP(#REF!,Produzione,7,FALSE)</f>
        <v/>
      </c>
      <c r="L906" s="120" t="n"/>
      <c r="M906" s="120" t="n"/>
      <c r="N906" s="118" t="n"/>
      <c r="O906" s="121" t="n"/>
      <c r="P906" s="121" t="n"/>
      <c r="Q906" s="166">
        <f>TODAY()</f>
        <v/>
      </c>
      <c r="R906" s="165">
        <f>ElencoProdotti[[#This Row],[PRODUZIONE]]+20</f>
        <v/>
      </c>
      <c r="S906" s="165">
        <f>TODAY()</f>
        <v/>
      </c>
      <c r="T906" s="133">
        <f>CONCATENATE(A906," - contiene allergni - prodotto il giorno ",TEXT(Q906,"gg/mm/aaaa"),"")</f>
        <v/>
      </c>
    </row>
    <row r="907" ht="15" customHeight="1" s="155">
      <c r="A907" s="134">
        <f>ric!B907</f>
        <v/>
      </c>
      <c r="B907" s="118">
        <f>ric!C907</f>
        <v/>
      </c>
      <c r="C907" s="125">
        <f>ric!D907</f>
        <v/>
      </c>
      <c r="D907" s="125" t="n"/>
      <c r="E907" s="125" t="n"/>
      <c r="F907" s="125" t="n"/>
      <c r="G907" s="118">
        <f>CONCATENATE(A907, " ",#REF!, " / ",H907)</f>
        <v/>
      </c>
      <c r="H907" s="118" t="n"/>
      <c r="I907" s="119">
        <f>CONCATENATE(M907," - ",J907," - Lotto N° ",K907,"")</f>
        <v/>
      </c>
      <c r="J907" s="118" t="n"/>
      <c r="K907" s="118">
        <f>VLOOKUP(#REF!,Produzione,7,FALSE)</f>
        <v/>
      </c>
      <c r="L907" s="120" t="n"/>
      <c r="M907" s="120" t="n"/>
      <c r="N907" s="118" t="n"/>
      <c r="O907" s="121" t="n"/>
      <c r="P907" s="121" t="n"/>
      <c r="Q907" s="166">
        <f>TODAY()</f>
        <v/>
      </c>
      <c r="R907" s="165">
        <f>ElencoProdotti[[#This Row],[PRODUZIONE]]+20</f>
        <v/>
      </c>
      <c r="S907" s="165">
        <f>TODAY()</f>
        <v/>
      </c>
      <c r="T907" s="133">
        <f>CONCATENATE(A907," - contiene allergni - prodotto il giorno ",TEXT(Q907,"gg/mm/aaaa"),"")</f>
        <v/>
      </c>
    </row>
    <row r="908" ht="15" customHeight="1" s="155">
      <c r="A908" s="134">
        <f>ric!B908</f>
        <v/>
      </c>
      <c r="B908" s="118">
        <f>ric!C908</f>
        <v/>
      </c>
      <c r="C908" s="125">
        <f>ric!D908</f>
        <v/>
      </c>
      <c r="D908" s="125" t="n"/>
      <c r="E908" s="125" t="n"/>
      <c r="F908" s="125" t="n"/>
      <c r="G908" s="118">
        <f>CONCATENATE(A908, " ",#REF!, " / ",H908)</f>
        <v/>
      </c>
      <c r="H908" s="118" t="n"/>
      <c r="I908" s="119">
        <f>CONCATENATE(M908," - ",J908," - Lotto N° ",K908,"")</f>
        <v/>
      </c>
      <c r="J908" s="118" t="n"/>
      <c r="K908" s="118">
        <f>VLOOKUP(#REF!,Produzione,7,FALSE)</f>
        <v/>
      </c>
      <c r="L908" s="120" t="n"/>
      <c r="M908" s="120" t="n"/>
      <c r="N908" s="118" t="n"/>
      <c r="O908" s="121" t="n"/>
      <c r="P908" s="121" t="n"/>
      <c r="Q908" s="166">
        <f>TODAY()</f>
        <v/>
      </c>
      <c r="R908" s="165">
        <f>ElencoProdotti[[#This Row],[PRODUZIONE]]+20</f>
        <v/>
      </c>
      <c r="S908" s="165">
        <f>TODAY()</f>
        <v/>
      </c>
      <c r="T908" s="133">
        <f>CONCATENATE(A908," - contiene allergni - prodotto il giorno ",TEXT(Q908,"gg/mm/aaaa"),"")</f>
        <v/>
      </c>
    </row>
    <row r="909" ht="15" customHeight="1" s="155">
      <c r="A909" s="134">
        <f>ric!B909</f>
        <v/>
      </c>
      <c r="B909" s="118">
        <f>ric!C909</f>
        <v/>
      </c>
      <c r="C909" s="125">
        <f>ric!D909</f>
        <v/>
      </c>
      <c r="D909" s="125" t="n"/>
      <c r="E909" s="125" t="n"/>
      <c r="F909" s="125" t="n"/>
      <c r="G909" s="118">
        <f>CONCATENATE(A909, " ",#REF!, " / ",H909)</f>
        <v/>
      </c>
      <c r="H909" s="118" t="n"/>
      <c r="I909" s="119">
        <f>CONCATENATE(M909," - ",J909," - Lotto N° ",K909,"")</f>
        <v/>
      </c>
      <c r="J909" s="118" t="n"/>
      <c r="K909" s="118">
        <f>VLOOKUP(#REF!,Produzione,7,FALSE)</f>
        <v/>
      </c>
      <c r="L909" s="120" t="n"/>
      <c r="M909" s="120" t="n"/>
      <c r="N909" s="118" t="n"/>
      <c r="O909" s="121" t="n"/>
      <c r="P909" s="121" t="n"/>
      <c r="Q909" s="166">
        <f>TODAY()</f>
        <v/>
      </c>
      <c r="R909" s="165">
        <f>ElencoProdotti[[#This Row],[PRODUZIONE]]+20</f>
        <v/>
      </c>
      <c r="S909" s="165">
        <f>TODAY()</f>
        <v/>
      </c>
      <c r="T909" s="133">
        <f>CONCATENATE(A909," - contiene allergni - prodotto il giorno ",TEXT(Q909,"gg/mm/aaaa"),"")</f>
        <v/>
      </c>
    </row>
    <row r="910" ht="15" customHeight="1" s="155">
      <c r="A910" s="134">
        <f>ric!B910</f>
        <v/>
      </c>
      <c r="B910" s="118">
        <f>ric!C910</f>
        <v/>
      </c>
      <c r="C910" s="125">
        <f>ric!D910</f>
        <v/>
      </c>
      <c r="D910" s="125" t="n"/>
      <c r="E910" s="125" t="n"/>
      <c r="F910" s="125" t="n"/>
      <c r="G910" s="118">
        <f>CONCATENATE(A910, " ",#REF!, " / ",H910)</f>
        <v/>
      </c>
      <c r="H910" s="118" t="n"/>
      <c r="I910" s="119">
        <f>CONCATENATE(M910," - ",J910," - Lotto N° ",K910,"")</f>
        <v/>
      </c>
      <c r="J910" s="118" t="n"/>
      <c r="K910" s="118">
        <f>VLOOKUP(#REF!,Produzione,7,FALSE)</f>
        <v/>
      </c>
      <c r="L910" s="120" t="n"/>
      <c r="M910" s="120" t="n"/>
      <c r="N910" s="118" t="n"/>
      <c r="O910" s="121" t="n"/>
      <c r="P910" s="121" t="n"/>
      <c r="Q910" s="166">
        <f>TODAY()</f>
        <v/>
      </c>
      <c r="R910" s="165">
        <f>ElencoProdotti[[#This Row],[PRODUZIONE]]+20</f>
        <v/>
      </c>
      <c r="S910" s="165">
        <f>TODAY()</f>
        <v/>
      </c>
      <c r="T910" s="133">
        <f>CONCATENATE(A910," - contiene allergni - prodotto il giorno ",TEXT(Q910,"gg/mm/aaaa"),"")</f>
        <v/>
      </c>
    </row>
    <row r="911" ht="15" customHeight="1" s="155">
      <c r="A911" s="134">
        <f>ric!B911</f>
        <v/>
      </c>
      <c r="B911" s="118">
        <f>ric!C911</f>
        <v/>
      </c>
      <c r="C911" s="125">
        <f>ric!D911</f>
        <v/>
      </c>
      <c r="D911" s="125" t="n"/>
      <c r="E911" s="125" t="n"/>
      <c r="F911" s="125" t="n"/>
      <c r="G911" s="118">
        <f>CONCATENATE(A911, " ",#REF!, " / ",H911)</f>
        <v/>
      </c>
      <c r="H911" s="118" t="n"/>
      <c r="I911" s="119">
        <f>CONCATENATE(M911," - ",J911," - Lotto N° ",K911,"")</f>
        <v/>
      </c>
      <c r="J911" s="118" t="n"/>
      <c r="K911" s="118">
        <f>VLOOKUP(#REF!,Produzione,7,FALSE)</f>
        <v/>
      </c>
      <c r="L911" s="120" t="n"/>
      <c r="M911" s="120" t="n"/>
      <c r="N911" s="118" t="n"/>
      <c r="O911" s="121" t="n"/>
      <c r="P911" s="121" t="n"/>
      <c r="Q911" s="166">
        <f>TODAY()</f>
        <v/>
      </c>
      <c r="R911" s="165">
        <f>ElencoProdotti[[#This Row],[PRODUZIONE]]+20</f>
        <v/>
      </c>
      <c r="S911" s="165">
        <f>TODAY()</f>
        <v/>
      </c>
      <c r="T911" s="133">
        <f>CONCATENATE(A911," - contiene allergni - prodotto il giorno ",TEXT(Q911,"gg/mm/aaaa"),"")</f>
        <v/>
      </c>
    </row>
    <row r="912" ht="15" customHeight="1" s="155">
      <c r="A912" s="134">
        <f>ric!B912</f>
        <v/>
      </c>
      <c r="B912" s="118">
        <f>ric!C912</f>
        <v/>
      </c>
      <c r="C912" s="125">
        <f>ric!D912</f>
        <v/>
      </c>
      <c r="D912" s="125" t="n"/>
      <c r="E912" s="125" t="n"/>
      <c r="F912" s="125" t="n"/>
      <c r="G912" s="118">
        <f>CONCATENATE(A912, " ",#REF!, " / ",H912)</f>
        <v/>
      </c>
      <c r="H912" s="118" t="n"/>
      <c r="I912" s="119">
        <f>CONCATENATE(M912," - ",J912," - Lotto N° ",K912,"")</f>
        <v/>
      </c>
      <c r="J912" s="118" t="n"/>
      <c r="K912" s="118">
        <f>VLOOKUP(#REF!,Produzione,7,FALSE)</f>
        <v/>
      </c>
      <c r="L912" s="120" t="n"/>
      <c r="M912" s="120" t="n"/>
      <c r="N912" s="118" t="n"/>
      <c r="O912" s="121" t="n"/>
      <c r="P912" s="121" t="n"/>
      <c r="Q912" s="166">
        <f>TODAY()</f>
        <v/>
      </c>
      <c r="R912" s="165">
        <f>ElencoProdotti[[#This Row],[PRODUZIONE]]+20</f>
        <v/>
      </c>
      <c r="S912" s="165">
        <f>TODAY()</f>
        <v/>
      </c>
      <c r="T912" s="133">
        <f>CONCATENATE(A912," - contiene allergni - prodotto il giorno ",TEXT(Q912,"gg/mm/aaaa"),"")</f>
        <v/>
      </c>
    </row>
    <row r="913" ht="15" customHeight="1" s="155">
      <c r="A913" s="134">
        <f>ric!B913</f>
        <v/>
      </c>
      <c r="B913" s="118">
        <f>ric!C913</f>
        <v/>
      </c>
      <c r="C913" s="125">
        <f>ric!D913</f>
        <v/>
      </c>
      <c r="D913" s="125" t="n"/>
      <c r="E913" s="125" t="n"/>
      <c r="F913" s="125" t="n"/>
      <c r="G913" s="118">
        <f>CONCATENATE(A913, " ",#REF!, " / ",H913)</f>
        <v/>
      </c>
      <c r="H913" s="118" t="n"/>
      <c r="I913" s="119">
        <f>CONCATENATE(M913," - ",J913," - Lotto N° ",K913,"")</f>
        <v/>
      </c>
      <c r="J913" s="118" t="n"/>
      <c r="K913" s="118">
        <f>VLOOKUP(#REF!,Produzione,7,FALSE)</f>
        <v/>
      </c>
      <c r="L913" s="120" t="n"/>
      <c r="M913" s="120" t="n"/>
      <c r="N913" s="118" t="n"/>
      <c r="O913" s="121" t="n"/>
      <c r="P913" s="121" t="n"/>
      <c r="Q913" s="166">
        <f>TODAY()</f>
        <v/>
      </c>
      <c r="R913" s="165">
        <f>ElencoProdotti[[#This Row],[PRODUZIONE]]+20</f>
        <v/>
      </c>
      <c r="S913" s="165">
        <f>TODAY()</f>
        <v/>
      </c>
      <c r="T913" s="133">
        <f>CONCATENATE(A913," - contiene allergni - prodotto il giorno ",TEXT(Q913,"gg/mm/aaaa"),"")</f>
        <v/>
      </c>
    </row>
    <row r="914" ht="15" customHeight="1" s="155">
      <c r="A914" s="134">
        <f>ric!B914</f>
        <v/>
      </c>
      <c r="B914" s="118">
        <f>ric!C914</f>
        <v/>
      </c>
      <c r="C914" s="125">
        <f>ric!D914</f>
        <v/>
      </c>
      <c r="D914" s="125" t="n"/>
      <c r="E914" s="125" t="n"/>
      <c r="F914" s="125" t="n"/>
      <c r="G914" s="118">
        <f>CONCATENATE(A914, " ",#REF!, " / ",H914)</f>
        <v/>
      </c>
      <c r="H914" s="118" t="n"/>
      <c r="I914" s="119">
        <f>CONCATENATE(M914," - ",J914," - Lotto N° ",K914,"")</f>
        <v/>
      </c>
      <c r="J914" s="118" t="n"/>
      <c r="K914" s="118">
        <f>VLOOKUP(#REF!,Produzione,7,FALSE)</f>
        <v/>
      </c>
      <c r="L914" s="120" t="n"/>
      <c r="M914" s="120" t="n"/>
      <c r="N914" s="118" t="n"/>
      <c r="O914" s="121" t="n"/>
      <c r="P914" s="121" t="n"/>
      <c r="Q914" s="166">
        <f>TODAY()</f>
        <v/>
      </c>
      <c r="R914" s="165">
        <f>ElencoProdotti[[#This Row],[PRODUZIONE]]+20</f>
        <v/>
      </c>
      <c r="S914" s="165">
        <f>TODAY()</f>
        <v/>
      </c>
      <c r="T914" s="133">
        <f>CONCATENATE(A914," - contiene allergni - prodotto il giorno ",TEXT(Q914,"gg/mm/aaaa"),"")</f>
        <v/>
      </c>
    </row>
    <row r="915" ht="15" customHeight="1" s="155">
      <c r="A915" s="134">
        <f>ric!B915</f>
        <v/>
      </c>
      <c r="B915" s="118">
        <f>ric!C915</f>
        <v/>
      </c>
      <c r="C915" s="125">
        <f>ric!D915</f>
        <v/>
      </c>
      <c r="D915" s="125" t="n"/>
      <c r="E915" s="125" t="n"/>
      <c r="F915" s="125" t="n"/>
      <c r="G915" s="118">
        <f>CONCATENATE(A915, " ",#REF!, " / ",H915)</f>
        <v/>
      </c>
      <c r="H915" s="118" t="n"/>
      <c r="I915" s="119">
        <f>CONCATENATE(M915," - ",J915," - Lotto N° ",K915,"")</f>
        <v/>
      </c>
      <c r="J915" s="118" t="n"/>
      <c r="K915" s="118">
        <f>VLOOKUP(#REF!,Produzione,7,FALSE)</f>
        <v/>
      </c>
      <c r="L915" s="120" t="n"/>
      <c r="M915" s="120" t="n"/>
      <c r="N915" s="118" t="n"/>
      <c r="O915" s="121" t="n"/>
      <c r="P915" s="121" t="n"/>
      <c r="Q915" s="166">
        <f>TODAY()</f>
        <v/>
      </c>
      <c r="R915" s="165">
        <f>ElencoProdotti[[#This Row],[PRODUZIONE]]+20</f>
        <v/>
      </c>
      <c r="S915" s="165">
        <f>TODAY()</f>
        <v/>
      </c>
      <c r="T915" s="133">
        <f>CONCATENATE(A915," - contiene allergni - prodotto il giorno ",TEXT(Q915,"gg/mm/aaaa"),"")</f>
        <v/>
      </c>
    </row>
    <row r="916" ht="15" customHeight="1" s="155">
      <c r="A916" s="134">
        <f>ric!B916</f>
        <v/>
      </c>
      <c r="B916" s="118">
        <f>ric!C916</f>
        <v/>
      </c>
      <c r="C916" s="125">
        <f>ric!D916</f>
        <v/>
      </c>
      <c r="D916" s="125" t="n"/>
      <c r="E916" s="125" t="n"/>
      <c r="F916" s="125" t="n"/>
      <c r="G916" s="118">
        <f>CONCATENATE(A916, " ",#REF!, " / ",H916)</f>
        <v/>
      </c>
      <c r="H916" s="118" t="n"/>
      <c r="I916" s="119">
        <f>CONCATENATE(M916," - ",J916," - Lotto N° ",K916,"")</f>
        <v/>
      </c>
      <c r="J916" s="118" t="n"/>
      <c r="K916" s="118">
        <f>VLOOKUP(#REF!,Produzione,7,FALSE)</f>
        <v/>
      </c>
      <c r="L916" s="120" t="n"/>
      <c r="M916" s="120" t="n"/>
      <c r="N916" s="118" t="n"/>
      <c r="O916" s="121" t="n"/>
      <c r="P916" s="121" t="n"/>
      <c r="Q916" s="166">
        <f>TODAY()</f>
        <v/>
      </c>
      <c r="R916" s="165">
        <f>ElencoProdotti[[#This Row],[PRODUZIONE]]+20</f>
        <v/>
      </c>
      <c r="S916" s="165">
        <f>TODAY()</f>
        <v/>
      </c>
      <c r="T916" s="133">
        <f>CONCATENATE(A916," - contiene allergni - prodotto il giorno ",TEXT(Q916,"gg/mm/aaaa"),"")</f>
        <v/>
      </c>
    </row>
    <row r="917" ht="15" customHeight="1" s="155">
      <c r="A917" s="134">
        <f>ric!B917</f>
        <v/>
      </c>
      <c r="B917" s="118">
        <f>ric!C917</f>
        <v/>
      </c>
      <c r="C917" s="125">
        <f>ric!D917</f>
        <v/>
      </c>
      <c r="D917" s="125" t="n"/>
      <c r="E917" s="125" t="n"/>
      <c r="F917" s="125" t="n"/>
      <c r="G917" s="118">
        <f>CONCATENATE(A917, " ",#REF!, " / ",H917)</f>
        <v/>
      </c>
      <c r="H917" s="118" t="n"/>
      <c r="I917" s="119">
        <f>CONCATENATE(M917," - ",J917," - Lotto N° ",K917,"")</f>
        <v/>
      </c>
      <c r="J917" s="118" t="n"/>
      <c r="K917" s="118">
        <f>VLOOKUP(#REF!,Produzione,7,FALSE)</f>
        <v/>
      </c>
      <c r="L917" s="120" t="n"/>
      <c r="M917" s="120" t="n"/>
      <c r="N917" s="118" t="n"/>
      <c r="O917" s="121" t="n"/>
      <c r="P917" s="121" t="n"/>
      <c r="Q917" s="166">
        <f>TODAY()</f>
        <v/>
      </c>
      <c r="R917" s="165">
        <f>ElencoProdotti[[#This Row],[PRODUZIONE]]+20</f>
        <v/>
      </c>
      <c r="S917" s="165">
        <f>TODAY()</f>
        <v/>
      </c>
      <c r="T917" s="133">
        <f>CONCATENATE(A917," - contiene allergni - prodotto il giorno ",TEXT(Q917,"gg/mm/aaaa"),"")</f>
        <v/>
      </c>
    </row>
    <row r="918" ht="15" customHeight="1" s="155">
      <c r="A918" s="134">
        <f>ric!B918</f>
        <v/>
      </c>
      <c r="B918" s="118">
        <f>ric!C918</f>
        <v/>
      </c>
      <c r="C918" s="125">
        <f>ric!D918</f>
        <v/>
      </c>
      <c r="D918" s="125" t="n"/>
      <c r="E918" s="125" t="n"/>
      <c r="F918" s="125" t="n"/>
      <c r="G918" s="118">
        <f>CONCATENATE(A918, " ",#REF!, " / ",H918)</f>
        <v/>
      </c>
      <c r="H918" s="118" t="n"/>
      <c r="I918" s="119">
        <f>CONCATENATE(M918," - ",J918," - Lotto N° ",K918,"")</f>
        <v/>
      </c>
      <c r="J918" s="118" t="n"/>
      <c r="K918" s="118">
        <f>VLOOKUP(#REF!,Produzione,7,FALSE)</f>
        <v/>
      </c>
      <c r="L918" s="120" t="n"/>
      <c r="M918" s="120" t="n"/>
      <c r="N918" s="118" t="n"/>
      <c r="O918" s="121" t="n"/>
      <c r="P918" s="121" t="n"/>
      <c r="Q918" s="166">
        <f>TODAY()</f>
        <v/>
      </c>
      <c r="R918" s="165">
        <f>ElencoProdotti[[#This Row],[PRODUZIONE]]+20</f>
        <v/>
      </c>
      <c r="S918" s="165">
        <f>TODAY()</f>
        <v/>
      </c>
      <c r="T918" s="133">
        <f>CONCATENATE(A918," - contiene allergni - prodotto il giorno ",TEXT(Q918,"gg/mm/aaaa"),"")</f>
        <v/>
      </c>
    </row>
    <row r="919" ht="15" customHeight="1" s="155">
      <c r="A919" s="134">
        <f>ric!B919</f>
        <v/>
      </c>
      <c r="B919" s="118">
        <f>ric!C919</f>
        <v/>
      </c>
      <c r="C919" s="125">
        <f>ric!D919</f>
        <v/>
      </c>
      <c r="D919" s="125" t="n"/>
      <c r="E919" s="125" t="n"/>
      <c r="F919" s="125" t="n"/>
      <c r="G919" s="118">
        <f>CONCATENATE(A919, " ",#REF!, " / ",H919)</f>
        <v/>
      </c>
      <c r="H919" s="118" t="n"/>
      <c r="I919" s="119">
        <f>CONCATENATE(M919," - ",J919," - Lotto N° ",K919,"")</f>
        <v/>
      </c>
      <c r="J919" s="118" t="n"/>
      <c r="K919" s="118">
        <f>VLOOKUP(#REF!,Produzione,7,FALSE)</f>
        <v/>
      </c>
      <c r="L919" s="120" t="n"/>
      <c r="M919" s="120" t="n"/>
      <c r="N919" s="118" t="n"/>
      <c r="O919" s="121" t="n"/>
      <c r="P919" s="121" t="n"/>
      <c r="Q919" s="166">
        <f>TODAY()</f>
        <v/>
      </c>
      <c r="R919" s="165">
        <f>ElencoProdotti[[#This Row],[PRODUZIONE]]+20</f>
        <v/>
      </c>
      <c r="S919" s="165">
        <f>TODAY()</f>
        <v/>
      </c>
      <c r="T919" s="133">
        <f>CONCATENATE(A919," - contiene allergni - prodotto il giorno ",TEXT(Q919,"gg/mm/aaaa"),"")</f>
        <v/>
      </c>
    </row>
    <row r="920" ht="15" customHeight="1" s="155">
      <c r="A920" s="134">
        <f>ric!B920</f>
        <v/>
      </c>
      <c r="B920" s="118">
        <f>ric!C920</f>
        <v/>
      </c>
      <c r="C920" s="125">
        <f>ric!D920</f>
        <v/>
      </c>
      <c r="D920" s="125" t="n"/>
      <c r="E920" s="125" t="n"/>
      <c r="F920" s="125" t="n"/>
      <c r="G920" s="118">
        <f>CONCATENATE(A920, " ",#REF!, " / ",H920)</f>
        <v/>
      </c>
      <c r="H920" s="118" t="n"/>
      <c r="I920" s="119">
        <f>CONCATENATE(M920," - ",J920," - Lotto N° ",K920,"")</f>
        <v/>
      </c>
      <c r="J920" s="118" t="n"/>
      <c r="K920" s="118">
        <f>VLOOKUP(#REF!,Produzione,7,FALSE)</f>
        <v/>
      </c>
      <c r="L920" s="120" t="n"/>
      <c r="M920" s="120" t="n"/>
      <c r="N920" s="118" t="n"/>
      <c r="O920" s="121" t="n"/>
      <c r="P920" s="121" t="n"/>
      <c r="Q920" s="166">
        <f>TODAY()</f>
        <v/>
      </c>
      <c r="R920" s="165">
        <f>ElencoProdotti[[#This Row],[PRODUZIONE]]+20</f>
        <v/>
      </c>
      <c r="S920" s="165">
        <f>TODAY()</f>
        <v/>
      </c>
      <c r="T920" s="133">
        <f>CONCATENATE(A920," - contiene allergni - prodotto il giorno ",TEXT(Q920,"gg/mm/aaaa"),"")</f>
        <v/>
      </c>
    </row>
    <row r="921" ht="15" customHeight="1" s="155">
      <c r="A921" s="134">
        <f>ric!B921</f>
        <v/>
      </c>
      <c r="B921" s="118">
        <f>ric!C921</f>
        <v/>
      </c>
      <c r="C921" s="125">
        <f>ric!D921</f>
        <v/>
      </c>
      <c r="D921" s="125" t="n"/>
      <c r="E921" s="125" t="n"/>
      <c r="F921" s="125" t="n"/>
      <c r="G921" s="118">
        <f>CONCATENATE(A921, " ",#REF!, " / ",H921)</f>
        <v/>
      </c>
      <c r="H921" s="118" t="n"/>
      <c r="I921" s="119">
        <f>CONCATENATE(M921," - ",J921," - Lotto N° ",K921,"")</f>
        <v/>
      </c>
      <c r="J921" s="118" t="n"/>
      <c r="K921" s="118">
        <f>VLOOKUP(#REF!,Produzione,7,FALSE)</f>
        <v/>
      </c>
      <c r="L921" s="120" t="n"/>
      <c r="M921" s="120" t="n"/>
      <c r="N921" s="118" t="n"/>
      <c r="O921" s="121" t="n"/>
      <c r="P921" s="121" t="n"/>
      <c r="Q921" s="166">
        <f>TODAY()</f>
        <v/>
      </c>
      <c r="R921" s="165">
        <f>ElencoProdotti[[#This Row],[PRODUZIONE]]+20</f>
        <v/>
      </c>
      <c r="S921" s="165">
        <f>TODAY()</f>
        <v/>
      </c>
      <c r="T921" s="133">
        <f>CONCATENATE(A921," - contiene allergni - prodotto il giorno ",TEXT(Q921,"gg/mm/aaaa"),"")</f>
        <v/>
      </c>
    </row>
    <row r="922" ht="15" customHeight="1" s="155">
      <c r="A922" s="134">
        <f>ric!B922</f>
        <v/>
      </c>
      <c r="B922" s="118">
        <f>ric!C922</f>
        <v/>
      </c>
      <c r="C922" s="125">
        <f>ric!D922</f>
        <v/>
      </c>
      <c r="D922" s="125" t="n"/>
      <c r="E922" s="125" t="n"/>
      <c r="F922" s="125" t="n"/>
      <c r="G922" s="118">
        <f>CONCATENATE(A922, " ",#REF!, " / ",H922)</f>
        <v/>
      </c>
      <c r="H922" s="118" t="n"/>
      <c r="I922" s="119">
        <f>CONCATENATE(M922," - ",J922," - Lotto N° ",K922,"")</f>
        <v/>
      </c>
      <c r="J922" s="118" t="n"/>
      <c r="K922" s="118">
        <f>VLOOKUP(#REF!,Produzione,7,FALSE)</f>
        <v/>
      </c>
      <c r="L922" s="120" t="n"/>
      <c r="M922" s="120" t="n"/>
      <c r="N922" s="118" t="n"/>
      <c r="O922" s="121" t="n"/>
      <c r="P922" s="121" t="n"/>
      <c r="Q922" s="166">
        <f>TODAY()</f>
        <v/>
      </c>
      <c r="R922" s="165">
        <f>ElencoProdotti[[#This Row],[PRODUZIONE]]+20</f>
        <v/>
      </c>
      <c r="S922" s="165">
        <f>TODAY()</f>
        <v/>
      </c>
      <c r="T922" s="133">
        <f>CONCATENATE(A922," - contiene allergni - prodotto il giorno ",TEXT(Q922,"gg/mm/aaaa"),"")</f>
        <v/>
      </c>
    </row>
    <row r="923" ht="15" customHeight="1" s="155">
      <c r="A923" s="134">
        <f>ric!B923</f>
        <v/>
      </c>
      <c r="B923" s="118">
        <f>ric!C923</f>
        <v/>
      </c>
      <c r="C923" s="125">
        <f>ric!D923</f>
        <v/>
      </c>
      <c r="D923" s="125" t="n"/>
      <c r="E923" s="125" t="n"/>
      <c r="F923" s="125" t="n"/>
      <c r="G923" s="118">
        <f>CONCATENATE(A923, " ",#REF!, " / ",H923)</f>
        <v/>
      </c>
      <c r="H923" s="118" t="n"/>
      <c r="I923" s="119">
        <f>CONCATENATE(M923," - ",J923," - Lotto N° ",K923,"")</f>
        <v/>
      </c>
      <c r="J923" s="118" t="n"/>
      <c r="K923" s="118">
        <f>VLOOKUP(#REF!,Produzione,7,FALSE)</f>
        <v/>
      </c>
      <c r="L923" s="120" t="n"/>
      <c r="M923" s="120" t="n"/>
      <c r="N923" s="118" t="n"/>
      <c r="O923" s="121" t="n"/>
      <c r="P923" s="121" t="n"/>
      <c r="Q923" s="166">
        <f>TODAY()</f>
        <v/>
      </c>
      <c r="R923" s="165">
        <f>ElencoProdotti[[#This Row],[PRODUZIONE]]+20</f>
        <v/>
      </c>
      <c r="S923" s="165">
        <f>TODAY()</f>
        <v/>
      </c>
      <c r="T923" s="133">
        <f>CONCATENATE(A923," - contiene allergni - prodotto il giorno ",TEXT(Q923,"gg/mm/aaaa"),"")</f>
        <v/>
      </c>
    </row>
    <row r="924" ht="15" customHeight="1" s="155">
      <c r="A924" s="134">
        <f>ric!B924</f>
        <v/>
      </c>
      <c r="B924" s="118">
        <f>ric!C924</f>
        <v/>
      </c>
      <c r="C924" s="125">
        <f>ric!D924</f>
        <v/>
      </c>
      <c r="D924" s="125" t="n"/>
      <c r="E924" s="125" t="n"/>
      <c r="F924" s="125" t="n"/>
      <c r="G924" s="118">
        <f>CONCATENATE(A924, " ",#REF!, " / ",H924)</f>
        <v/>
      </c>
      <c r="H924" s="118" t="n"/>
      <c r="I924" s="119">
        <f>CONCATENATE(M924," - ",J924," - Lotto N° ",K924,"")</f>
        <v/>
      </c>
      <c r="J924" s="118" t="n"/>
      <c r="K924" s="118">
        <f>VLOOKUP(#REF!,Produzione,7,FALSE)</f>
        <v/>
      </c>
      <c r="L924" s="120" t="n"/>
      <c r="M924" s="120" t="n"/>
      <c r="N924" s="118" t="n"/>
      <c r="O924" s="121" t="n"/>
      <c r="P924" s="121" t="n"/>
      <c r="Q924" s="166">
        <f>TODAY()</f>
        <v/>
      </c>
      <c r="R924" s="165">
        <f>ElencoProdotti[[#This Row],[PRODUZIONE]]+20</f>
        <v/>
      </c>
      <c r="S924" s="165">
        <f>TODAY()</f>
        <v/>
      </c>
      <c r="T924" s="133">
        <f>CONCATENATE(A924," - contiene allergni - prodotto il giorno ",TEXT(Q924,"gg/mm/aaaa"),"")</f>
        <v/>
      </c>
    </row>
    <row r="925" ht="15" customHeight="1" s="155">
      <c r="A925" s="134">
        <f>ric!B925</f>
        <v/>
      </c>
      <c r="B925" s="118">
        <f>ric!C925</f>
        <v/>
      </c>
      <c r="C925" s="125">
        <f>ric!D925</f>
        <v/>
      </c>
      <c r="D925" s="125" t="n"/>
      <c r="E925" s="125" t="n"/>
      <c r="F925" s="125" t="n"/>
      <c r="G925" s="118">
        <f>CONCATENATE(A925, " ",#REF!, " / ",H925)</f>
        <v/>
      </c>
      <c r="H925" s="118" t="n"/>
      <c r="I925" s="119">
        <f>CONCATENATE(M925," - ",J925," - Lotto N° ",K925,"")</f>
        <v/>
      </c>
      <c r="J925" s="118" t="n"/>
      <c r="K925" s="118">
        <f>VLOOKUP(#REF!,Produzione,7,FALSE)</f>
        <v/>
      </c>
      <c r="L925" s="120" t="n"/>
      <c r="M925" s="120" t="n"/>
      <c r="N925" s="118" t="n"/>
      <c r="O925" s="121" t="n"/>
      <c r="P925" s="121" t="n"/>
      <c r="Q925" s="166">
        <f>TODAY()</f>
        <v/>
      </c>
      <c r="R925" s="165">
        <f>ElencoProdotti[[#This Row],[PRODUZIONE]]+20</f>
        <v/>
      </c>
      <c r="S925" s="165">
        <f>TODAY()</f>
        <v/>
      </c>
      <c r="T925" s="133">
        <f>CONCATENATE(A925," - contiene allergni - prodotto il giorno ",TEXT(Q925,"gg/mm/aaaa"),"")</f>
        <v/>
      </c>
    </row>
    <row r="926" ht="15" customHeight="1" s="155">
      <c r="A926" s="134">
        <f>ric!B926</f>
        <v/>
      </c>
      <c r="B926" s="118">
        <f>ric!C926</f>
        <v/>
      </c>
      <c r="C926" s="125">
        <f>ric!D926</f>
        <v/>
      </c>
      <c r="D926" s="125" t="n"/>
      <c r="E926" s="125" t="n"/>
      <c r="F926" s="125" t="n"/>
      <c r="G926" s="118">
        <f>CONCATENATE(A926, " ",#REF!, " / ",H926)</f>
        <v/>
      </c>
      <c r="H926" s="118" t="n"/>
      <c r="I926" s="119">
        <f>CONCATENATE(M926," - ",J926," - Lotto N° ",K926,"")</f>
        <v/>
      </c>
      <c r="J926" s="118" t="n"/>
      <c r="K926" s="118">
        <f>VLOOKUP(#REF!,Produzione,7,FALSE)</f>
        <v/>
      </c>
      <c r="L926" s="120" t="n"/>
      <c r="M926" s="120" t="n"/>
      <c r="N926" s="118" t="n"/>
      <c r="O926" s="121" t="n"/>
      <c r="P926" s="121" t="n"/>
      <c r="Q926" s="166">
        <f>TODAY()</f>
        <v/>
      </c>
      <c r="R926" s="165">
        <f>ElencoProdotti[[#This Row],[PRODUZIONE]]+20</f>
        <v/>
      </c>
      <c r="S926" s="165">
        <f>TODAY()</f>
        <v/>
      </c>
      <c r="T926" s="133">
        <f>CONCATENATE(A926," - contiene allergni - prodotto il giorno ",TEXT(Q926,"gg/mm/aaaa"),"")</f>
        <v/>
      </c>
    </row>
    <row r="927" ht="15" customHeight="1" s="155">
      <c r="A927" s="134">
        <f>ric!B927</f>
        <v/>
      </c>
      <c r="B927" s="118">
        <f>ric!C927</f>
        <v/>
      </c>
      <c r="C927" s="125">
        <f>ric!D927</f>
        <v/>
      </c>
      <c r="D927" s="125" t="n"/>
      <c r="E927" s="125" t="n"/>
      <c r="F927" s="125" t="n"/>
      <c r="G927" s="118">
        <f>CONCATENATE(A927, " ",#REF!, " / ",H927)</f>
        <v/>
      </c>
      <c r="H927" s="118" t="n"/>
      <c r="I927" s="119">
        <f>CONCATENATE(M927," - ",J927," - Lotto N° ",K927,"")</f>
        <v/>
      </c>
      <c r="J927" s="118" t="n"/>
      <c r="K927" s="118">
        <f>VLOOKUP(#REF!,Produzione,7,FALSE)</f>
        <v/>
      </c>
      <c r="L927" s="120" t="n"/>
      <c r="M927" s="120" t="n"/>
      <c r="N927" s="118" t="n"/>
      <c r="O927" s="121" t="n"/>
      <c r="P927" s="121" t="n"/>
      <c r="Q927" s="166">
        <f>TODAY()</f>
        <v/>
      </c>
      <c r="R927" s="165">
        <f>ElencoProdotti[[#This Row],[PRODUZIONE]]+20</f>
        <v/>
      </c>
      <c r="S927" s="165">
        <f>TODAY()</f>
        <v/>
      </c>
      <c r="T927" s="133">
        <f>CONCATENATE(A927," - contiene allergni - prodotto il giorno ",TEXT(Q927,"gg/mm/aaaa"),"")</f>
        <v/>
      </c>
    </row>
    <row r="928" ht="15" customHeight="1" s="155">
      <c r="A928" s="134">
        <f>ric!B928</f>
        <v/>
      </c>
      <c r="B928" s="118">
        <f>ric!C928</f>
        <v/>
      </c>
      <c r="C928" s="125">
        <f>ric!D928</f>
        <v/>
      </c>
      <c r="D928" s="125" t="n"/>
      <c r="E928" s="125" t="n"/>
      <c r="F928" s="125" t="n"/>
      <c r="G928" s="118">
        <f>CONCATENATE(A928, " ",#REF!, " / ",H928)</f>
        <v/>
      </c>
      <c r="H928" s="118" t="n"/>
      <c r="I928" s="119">
        <f>CONCATENATE(M928," - ",J928," - Lotto N° ",K928,"")</f>
        <v/>
      </c>
      <c r="J928" s="118" t="n"/>
      <c r="K928" s="118">
        <f>VLOOKUP(#REF!,Produzione,7,FALSE)</f>
        <v/>
      </c>
      <c r="L928" s="120" t="n"/>
      <c r="M928" s="120" t="n"/>
      <c r="N928" s="118" t="n"/>
      <c r="O928" s="121" t="n"/>
      <c r="P928" s="121" t="n"/>
      <c r="Q928" s="166">
        <f>TODAY()</f>
        <v/>
      </c>
      <c r="R928" s="165">
        <f>ElencoProdotti[[#This Row],[PRODUZIONE]]+20</f>
        <v/>
      </c>
      <c r="S928" s="165">
        <f>TODAY()</f>
        <v/>
      </c>
      <c r="T928" s="133">
        <f>CONCATENATE(A928," - contiene allergni - prodotto il giorno ",TEXT(Q928,"gg/mm/aaaa"),"")</f>
        <v/>
      </c>
    </row>
    <row r="929" ht="15" customHeight="1" s="155">
      <c r="A929" s="134">
        <f>ric!B929</f>
        <v/>
      </c>
      <c r="B929" s="118">
        <f>ric!C929</f>
        <v/>
      </c>
      <c r="C929" s="125">
        <f>ric!D929</f>
        <v/>
      </c>
      <c r="D929" s="125" t="n"/>
      <c r="E929" s="125" t="n"/>
      <c r="F929" s="125" t="n"/>
      <c r="G929" s="118">
        <f>CONCATENATE(A929, " ",#REF!, " / ",H929)</f>
        <v/>
      </c>
      <c r="H929" s="118" t="n"/>
      <c r="I929" s="119">
        <f>CONCATENATE(M929," - ",J929," - Lotto N° ",K929,"")</f>
        <v/>
      </c>
      <c r="J929" s="118" t="n"/>
      <c r="K929" s="118">
        <f>VLOOKUP(#REF!,Produzione,7,FALSE)</f>
        <v/>
      </c>
      <c r="L929" s="120" t="n"/>
      <c r="M929" s="120" t="n"/>
      <c r="N929" s="118" t="n"/>
      <c r="O929" s="121" t="n"/>
      <c r="P929" s="121" t="n"/>
      <c r="Q929" s="166">
        <f>TODAY()</f>
        <v/>
      </c>
      <c r="R929" s="165">
        <f>ElencoProdotti[[#This Row],[PRODUZIONE]]+20</f>
        <v/>
      </c>
      <c r="S929" s="165">
        <f>TODAY()</f>
        <v/>
      </c>
      <c r="T929" s="133">
        <f>CONCATENATE(A929," - contiene allergni - prodotto il giorno ",TEXT(Q929,"gg/mm/aaaa"),"")</f>
        <v/>
      </c>
    </row>
    <row r="930" ht="15" customHeight="1" s="155">
      <c r="A930" s="134">
        <f>ric!B930</f>
        <v/>
      </c>
      <c r="B930" s="118">
        <f>ric!C930</f>
        <v/>
      </c>
      <c r="C930" s="125">
        <f>ric!D930</f>
        <v/>
      </c>
      <c r="D930" s="125" t="n"/>
      <c r="E930" s="125" t="n"/>
      <c r="F930" s="125" t="n"/>
      <c r="G930" s="118">
        <f>CONCATENATE(A930, " ",#REF!, " / ",H930)</f>
        <v/>
      </c>
      <c r="H930" s="118" t="n"/>
      <c r="I930" s="119">
        <f>CONCATENATE(M930," - ",J930," - Lotto N° ",K930,"")</f>
        <v/>
      </c>
      <c r="J930" s="118" t="n"/>
      <c r="K930" s="118">
        <f>VLOOKUP(#REF!,Produzione,7,FALSE)</f>
        <v/>
      </c>
      <c r="L930" s="120" t="n"/>
      <c r="M930" s="120" t="n"/>
      <c r="N930" s="118" t="n"/>
      <c r="O930" s="121" t="n"/>
      <c r="P930" s="121" t="n"/>
      <c r="Q930" s="166">
        <f>TODAY()</f>
        <v/>
      </c>
      <c r="R930" s="165">
        <f>ElencoProdotti[[#This Row],[PRODUZIONE]]+20</f>
        <v/>
      </c>
      <c r="S930" s="165">
        <f>TODAY()</f>
        <v/>
      </c>
      <c r="T930" s="133">
        <f>CONCATENATE(A930," - contiene allergni - prodotto il giorno ",TEXT(Q930,"gg/mm/aaaa"),"")</f>
        <v/>
      </c>
    </row>
    <row r="931" ht="15" customHeight="1" s="155">
      <c r="A931" s="134">
        <f>ric!B931</f>
        <v/>
      </c>
      <c r="B931" s="118">
        <f>ric!C931</f>
        <v/>
      </c>
      <c r="C931" s="125">
        <f>ric!D931</f>
        <v/>
      </c>
      <c r="D931" s="125" t="n"/>
      <c r="E931" s="125" t="n"/>
      <c r="F931" s="125" t="n"/>
      <c r="G931" s="118">
        <f>CONCATENATE(A931, " ",#REF!, " / ",H931)</f>
        <v/>
      </c>
      <c r="H931" s="118" t="n"/>
      <c r="I931" s="119">
        <f>CONCATENATE(M931," - ",J931," - Lotto N° ",K931,"")</f>
        <v/>
      </c>
      <c r="J931" s="118" t="n"/>
      <c r="K931" s="118">
        <f>VLOOKUP(#REF!,Produzione,7,FALSE)</f>
        <v/>
      </c>
      <c r="L931" s="120" t="n"/>
      <c r="M931" s="120" t="n"/>
      <c r="N931" s="118" t="n"/>
      <c r="O931" s="121" t="n"/>
      <c r="P931" s="121" t="n"/>
      <c r="Q931" s="166">
        <f>TODAY()</f>
        <v/>
      </c>
      <c r="R931" s="165">
        <f>ElencoProdotti[[#This Row],[PRODUZIONE]]+20</f>
        <v/>
      </c>
      <c r="S931" s="165">
        <f>TODAY()</f>
        <v/>
      </c>
      <c r="T931" s="133">
        <f>CONCATENATE(A931," - contiene allergni - prodotto il giorno ",TEXT(Q931,"gg/mm/aaaa"),"")</f>
        <v/>
      </c>
    </row>
    <row r="932" ht="15" customHeight="1" s="155">
      <c r="A932" s="134">
        <f>ric!B932</f>
        <v/>
      </c>
      <c r="B932" s="118">
        <f>ric!C932</f>
        <v/>
      </c>
      <c r="C932" s="125">
        <f>ric!D932</f>
        <v/>
      </c>
      <c r="D932" s="125" t="n"/>
      <c r="E932" s="125" t="n"/>
      <c r="F932" s="125" t="n"/>
      <c r="G932" s="118">
        <f>CONCATENATE(A932, " ",#REF!, " / ",H932)</f>
        <v/>
      </c>
      <c r="H932" s="118" t="n"/>
      <c r="I932" s="119">
        <f>CONCATENATE(M932," - ",J932," - Lotto N° ",K932,"")</f>
        <v/>
      </c>
      <c r="J932" s="118" t="n"/>
      <c r="K932" s="118">
        <f>VLOOKUP(#REF!,Produzione,7,FALSE)</f>
        <v/>
      </c>
      <c r="L932" s="120" t="n"/>
      <c r="M932" s="120" t="n"/>
      <c r="N932" s="118" t="n"/>
      <c r="O932" s="121" t="n"/>
      <c r="P932" s="121" t="n"/>
      <c r="Q932" s="166">
        <f>TODAY()</f>
        <v/>
      </c>
      <c r="R932" s="165">
        <f>ElencoProdotti[[#This Row],[PRODUZIONE]]+20</f>
        <v/>
      </c>
      <c r="S932" s="165">
        <f>TODAY()</f>
        <v/>
      </c>
      <c r="T932" s="133">
        <f>CONCATENATE(A932," - contiene allergni - prodotto il giorno ",TEXT(Q932,"gg/mm/aaaa"),"")</f>
        <v/>
      </c>
    </row>
    <row r="933" ht="15" customHeight="1" s="155">
      <c r="A933" s="134">
        <f>ric!B933</f>
        <v/>
      </c>
      <c r="B933" s="118">
        <f>ric!C933</f>
        <v/>
      </c>
      <c r="C933" s="125">
        <f>ric!D933</f>
        <v/>
      </c>
      <c r="D933" s="125" t="n"/>
      <c r="E933" s="125" t="n"/>
      <c r="F933" s="125" t="n"/>
      <c r="G933" s="118">
        <f>CONCATENATE(A933, " ",#REF!, " / ",H933)</f>
        <v/>
      </c>
      <c r="H933" s="118" t="n"/>
      <c r="I933" s="119">
        <f>CONCATENATE(M933," - ",J933," - Lotto N° ",K933,"")</f>
        <v/>
      </c>
      <c r="J933" s="118" t="n"/>
      <c r="K933" s="118">
        <f>VLOOKUP(#REF!,Produzione,7,FALSE)</f>
        <v/>
      </c>
      <c r="L933" s="120" t="n"/>
      <c r="M933" s="120" t="n"/>
      <c r="N933" s="118" t="n"/>
      <c r="O933" s="121" t="n"/>
      <c r="P933" s="121" t="n"/>
      <c r="Q933" s="166">
        <f>TODAY()</f>
        <v/>
      </c>
      <c r="R933" s="165">
        <f>ElencoProdotti[[#This Row],[PRODUZIONE]]+20</f>
        <v/>
      </c>
      <c r="S933" s="165">
        <f>TODAY()</f>
        <v/>
      </c>
      <c r="T933" s="133">
        <f>CONCATENATE(A933," - contiene allergni - prodotto il giorno ",TEXT(Q933,"gg/mm/aaaa"),"")</f>
        <v/>
      </c>
    </row>
    <row r="934" ht="15" customHeight="1" s="155">
      <c r="A934" s="134">
        <f>ric!B934</f>
        <v/>
      </c>
      <c r="B934" s="118">
        <f>ric!C934</f>
        <v/>
      </c>
      <c r="C934" s="125">
        <f>ric!D934</f>
        <v/>
      </c>
      <c r="D934" s="125" t="n"/>
      <c r="E934" s="125" t="n"/>
      <c r="F934" s="125" t="n"/>
      <c r="G934" s="118">
        <f>CONCATENATE(A934, " ",#REF!, " / ",H934)</f>
        <v/>
      </c>
      <c r="H934" s="118" t="n"/>
      <c r="I934" s="119">
        <f>CONCATENATE(M934," - ",J934," - Lotto N° ",K934,"")</f>
        <v/>
      </c>
      <c r="J934" s="118" t="n"/>
      <c r="K934" s="118">
        <f>VLOOKUP(#REF!,Produzione,7,FALSE)</f>
        <v/>
      </c>
      <c r="L934" s="120" t="n"/>
      <c r="M934" s="120" t="n"/>
      <c r="N934" s="118" t="n"/>
      <c r="O934" s="121" t="n"/>
      <c r="P934" s="121" t="n"/>
      <c r="Q934" s="166">
        <f>TODAY()</f>
        <v/>
      </c>
      <c r="R934" s="165">
        <f>ElencoProdotti[[#This Row],[PRODUZIONE]]+20</f>
        <v/>
      </c>
      <c r="S934" s="165">
        <f>TODAY()</f>
        <v/>
      </c>
      <c r="T934" s="133">
        <f>CONCATENATE(A934," - contiene allergni - prodotto il giorno ",TEXT(Q934,"gg/mm/aaaa"),"")</f>
        <v/>
      </c>
    </row>
    <row r="935" ht="15" customHeight="1" s="155">
      <c r="A935" s="134">
        <f>ric!B935</f>
        <v/>
      </c>
      <c r="B935" s="118">
        <f>ric!C935</f>
        <v/>
      </c>
      <c r="C935" s="125">
        <f>ric!D935</f>
        <v/>
      </c>
      <c r="D935" s="125" t="n"/>
      <c r="E935" s="125" t="n"/>
      <c r="F935" s="125" t="n"/>
      <c r="G935" s="118">
        <f>CONCATENATE(A935, " ",#REF!, " / ",H935)</f>
        <v/>
      </c>
      <c r="H935" s="118" t="n"/>
      <c r="I935" s="119">
        <f>CONCATENATE(M935," - ",J935," - Lotto N° ",K935,"")</f>
        <v/>
      </c>
      <c r="J935" s="118" t="n"/>
      <c r="K935" s="118">
        <f>VLOOKUP(#REF!,Produzione,7,FALSE)</f>
        <v/>
      </c>
      <c r="L935" s="120" t="n"/>
      <c r="M935" s="120" t="n"/>
      <c r="N935" s="118" t="n"/>
      <c r="O935" s="121" t="n"/>
      <c r="P935" s="121" t="n"/>
      <c r="Q935" s="166">
        <f>TODAY()</f>
        <v/>
      </c>
      <c r="R935" s="165">
        <f>ElencoProdotti[[#This Row],[PRODUZIONE]]+20</f>
        <v/>
      </c>
      <c r="S935" s="165">
        <f>TODAY()</f>
        <v/>
      </c>
      <c r="T935" s="133">
        <f>CONCATENATE(A935," - contiene allergni - prodotto il giorno ",TEXT(Q935,"gg/mm/aaaa"),"")</f>
        <v/>
      </c>
    </row>
    <row r="936" ht="15" customHeight="1" s="155">
      <c r="A936" s="134">
        <f>ric!B936</f>
        <v/>
      </c>
      <c r="B936" s="118">
        <f>ric!C936</f>
        <v/>
      </c>
      <c r="C936" s="125">
        <f>ric!D936</f>
        <v/>
      </c>
      <c r="D936" s="125" t="n"/>
      <c r="E936" s="125" t="n"/>
      <c r="F936" s="125" t="n"/>
      <c r="G936" s="118">
        <f>CONCATENATE(A936, " ",#REF!, " / ",H936)</f>
        <v/>
      </c>
      <c r="H936" s="118" t="n"/>
      <c r="I936" s="119">
        <f>CONCATENATE(M936," - ",J936," - Lotto N° ",K936,"")</f>
        <v/>
      </c>
      <c r="J936" s="118" t="n"/>
      <c r="K936" s="118">
        <f>VLOOKUP(#REF!,Produzione,7,FALSE)</f>
        <v/>
      </c>
      <c r="L936" s="120" t="n"/>
      <c r="M936" s="120" t="n"/>
      <c r="N936" s="118" t="n"/>
      <c r="O936" s="121" t="n"/>
      <c r="P936" s="121" t="n"/>
      <c r="Q936" s="166">
        <f>TODAY()</f>
        <v/>
      </c>
      <c r="R936" s="165">
        <f>ElencoProdotti[[#This Row],[PRODUZIONE]]+20</f>
        <v/>
      </c>
      <c r="S936" s="165">
        <f>TODAY()</f>
        <v/>
      </c>
      <c r="T936" s="133">
        <f>CONCATENATE(A936," - contiene allergni - prodotto il giorno ",TEXT(Q936,"gg/mm/aaaa"),"")</f>
        <v/>
      </c>
    </row>
    <row r="937" ht="15" customHeight="1" s="155">
      <c r="A937" s="134">
        <f>ric!B937</f>
        <v/>
      </c>
      <c r="B937" s="118">
        <f>ric!C937</f>
        <v/>
      </c>
      <c r="C937" s="125">
        <f>ric!D937</f>
        <v/>
      </c>
      <c r="D937" s="125" t="n"/>
      <c r="E937" s="125" t="n"/>
      <c r="F937" s="125" t="n"/>
      <c r="G937" s="118">
        <f>CONCATENATE(A937, " ",#REF!, " / ",H937)</f>
        <v/>
      </c>
      <c r="H937" s="118" t="n"/>
      <c r="I937" s="119">
        <f>CONCATENATE(M937," - ",J937," - Lotto N° ",K937,"")</f>
        <v/>
      </c>
      <c r="J937" s="118" t="n"/>
      <c r="K937" s="118">
        <f>VLOOKUP(#REF!,Produzione,7,FALSE)</f>
        <v/>
      </c>
      <c r="L937" s="120" t="n"/>
      <c r="M937" s="120" t="n"/>
      <c r="N937" s="118" t="n"/>
      <c r="O937" s="121" t="n"/>
      <c r="P937" s="121" t="n"/>
      <c r="Q937" s="166">
        <f>TODAY()</f>
        <v/>
      </c>
      <c r="R937" s="165">
        <f>ElencoProdotti[[#This Row],[PRODUZIONE]]+20</f>
        <v/>
      </c>
      <c r="S937" s="165">
        <f>TODAY()</f>
        <v/>
      </c>
      <c r="T937" s="133">
        <f>CONCATENATE(A937," - contiene allergni - prodotto il giorno ",TEXT(Q937,"gg/mm/aaaa"),"")</f>
        <v/>
      </c>
    </row>
    <row r="938" ht="15" customHeight="1" s="155">
      <c r="A938" s="134">
        <f>ric!B938</f>
        <v/>
      </c>
      <c r="B938" s="118">
        <f>ric!C938</f>
        <v/>
      </c>
      <c r="C938" s="125">
        <f>ric!D938</f>
        <v/>
      </c>
      <c r="D938" s="125" t="n"/>
      <c r="E938" s="125" t="n"/>
      <c r="F938" s="125" t="n"/>
      <c r="G938" s="118">
        <f>CONCATENATE(A938, " ",#REF!, " / ",H938)</f>
        <v/>
      </c>
      <c r="H938" s="118" t="n"/>
      <c r="I938" s="119">
        <f>CONCATENATE(M938," - ",J938," - Lotto N° ",K938,"")</f>
        <v/>
      </c>
      <c r="J938" s="118" t="n"/>
      <c r="K938" s="118">
        <f>VLOOKUP(#REF!,Produzione,7,FALSE)</f>
        <v/>
      </c>
      <c r="L938" s="120" t="n"/>
      <c r="M938" s="120" t="n"/>
      <c r="N938" s="118" t="n"/>
      <c r="O938" s="121" t="n"/>
      <c r="P938" s="121" t="n"/>
      <c r="Q938" s="166">
        <f>TODAY()</f>
        <v/>
      </c>
      <c r="R938" s="165">
        <f>ElencoProdotti[[#This Row],[PRODUZIONE]]+20</f>
        <v/>
      </c>
      <c r="S938" s="165">
        <f>TODAY()</f>
        <v/>
      </c>
      <c r="T938" s="133">
        <f>CONCATENATE(A938," - contiene allergni - prodotto il giorno ",TEXT(Q938,"gg/mm/aaaa"),"")</f>
        <v/>
      </c>
    </row>
    <row r="939" ht="15" customHeight="1" s="155">
      <c r="A939" s="134">
        <f>ric!B939</f>
        <v/>
      </c>
      <c r="B939" s="118">
        <f>ric!C939</f>
        <v/>
      </c>
      <c r="C939" s="125">
        <f>ric!D939</f>
        <v/>
      </c>
      <c r="D939" s="125" t="n"/>
      <c r="E939" s="125" t="n"/>
      <c r="F939" s="125" t="n"/>
      <c r="G939" s="118">
        <f>CONCATENATE(A939, " ",#REF!, " / ",H939)</f>
        <v/>
      </c>
      <c r="H939" s="118" t="n"/>
      <c r="I939" s="119">
        <f>CONCATENATE(M939," - ",J939," - Lotto N° ",K939,"")</f>
        <v/>
      </c>
      <c r="J939" s="118" t="n"/>
      <c r="K939" s="118">
        <f>VLOOKUP(#REF!,Produzione,7,FALSE)</f>
        <v/>
      </c>
      <c r="L939" s="120" t="n"/>
      <c r="M939" s="120" t="n"/>
      <c r="N939" s="118" t="n"/>
      <c r="O939" s="121" t="n"/>
      <c r="P939" s="121" t="n"/>
      <c r="Q939" s="166">
        <f>TODAY()</f>
        <v/>
      </c>
      <c r="R939" s="165">
        <f>ElencoProdotti[[#This Row],[PRODUZIONE]]+20</f>
        <v/>
      </c>
      <c r="S939" s="165">
        <f>TODAY()</f>
        <v/>
      </c>
      <c r="T939" s="133">
        <f>CONCATENATE(A939," - contiene allergni - prodotto il giorno ",TEXT(Q939,"gg/mm/aaaa"),"")</f>
        <v/>
      </c>
    </row>
    <row r="940" ht="15" customHeight="1" s="155">
      <c r="A940" s="134">
        <f>ric!B940</f>
        <v/>
      </c>
      <c r="B940" s="118">
        <f>ric!C940</f>
        <v/>
      </c>
      <c r="C940" s="125">
        <f>ric!D940</f>
        <v/>
      </c>
      <c r="D940" s="125" t="n"/>
      <c r="E940" s="125" t="n"/>
      <c r="F940" s="125" t="n"/>
      <c r="G940" s="118">
        <f>CONCATENATE(A940, " ",#REF!, " / ",H940)</f>
        <v/>
      </c>
      <c r="H940" s="118" t="n"/>
      <c r="I940" s="119">
        <f>CONCATENATE(M940," - ",J940," - Lotto N° ",K940,"")</f>
        <v/>
      </c>
      <c r="J940" s="118" t="n"/>
      <c r="K940" s="118">
        <f>VLOOKUP(#REF!,Produzione,7,FALSE)</f>
        <v/>
      </c>
      <c r="L940" s="120" t="n"/>
      <c r="M940" s="120" t="n"/>
      <c r="N940" s="118" t="n"/>
      <c r="O940" s="121" t="n"/>
      <c r="P940" s="121" t="n"/>
      <c r="Q940" s="166">
        <f>TODAY()</f>
        <v/>
      </c>
      <c r="R940" s="165">
        <f>ElencoProdotti[[#This Row],[PRODUZIONE]]+20</f>
        <v/>
      </c>
      <c r="S940" s="165">
        <f>TODAY()</f>
        <v/>
      </c>
      <c r="T940" s="133">
        <f>CONCATENATE(A940," - contiene allergni - prodotto il giorno ",TEXT(Q940,"gg/mm/aaaa"),"")</f>
        <v/>
      </c>
    </row>
    <row r="941" ht="15" customHeight="1" s="155">
      <c r="A941" s="134">
        <f>ric!B941</f>
        <v/>
      </c>
      <c r="B941" s="118">
        <f>ric!C941</f>
        <v/>
      </c>
      <c r="C941" s="125">
        <f>ric!D941</f>
        <v/>
      </c>
      <c r="D941" s="125" t="n"/>
      <c r="E941" s="125" t="n"/>
      <c r="F941" s="125" t="n"/>
      <c r="G941" s="118">
        <f>CONCATENATE(A941, " ",#REF!, " / ",H941)</f>
        <v/>
      </c>
      <c r="H941" s="118" t="n"/>
      <c r="I941" s="119">
        <f>CONCATENATE(M941," - ",J941," - Lotto N° ",K941,"")</f>
        <v/>
      </c>
      <c r="J941" s="118" t="n"/>
      <c r="K941" s="118">
        <f>VLOOKUP(#REF!,Produzione,7,FALSE)</f>
        <v/>
      </c>
      <c r="L941" s="120" t="n"/>
      <c r="M941" s="120" t="n"/>
      <c r="N941" s="118" t="n"/>
      <c r="O941" s="121" t="n"/>
      <c r="P941" s="121" t="n"/>
      <c r="Q941" s="166">
        <f>TODAY()</f>
        <v/>
      </c>
      <c r="R941" s="165">
        <f>ElencoProdotti[[#This Row],[PRODUZIONE]]+20</f>
        <v/>
      </c>
      <c r="S941" s="165">
        <f>TODAY()</f>
        <v/>
      </c>
      <c r="T941" s="133">
        <f>CONCATENATE(A941," - contiene allergni - prodotto il giorno ",TEXT(Q941,"gg/mm/aaaa"),"")</f>
        <v/>
      </c>
    </row>
    <row r="942" ht="15" customHeight="1" s="155">
      <c r="A942" s="134">
        <f>ric!B942</f>
        <v/>
      </c>
      <c r="B942" s="118">
        <f>ric!C942</f>
        <v/>
      </c>
      <c r="C942" s="125">
        <f>ric!D942</f>
        <v/>
      </c>
      <c r="D942" s="125" t="n"/>
      <c r="E942" s="125" t="n"/>
      <c r="F942" s="125" t="n"/>
      <c r="G942" s="118">
        <f>CONCATENATE(A942, " ",#REF!, " / ",H942)</f>
        <v/>
      </c>
      <c r="H942" s="118" t="n"/>
      <c r="I942" s="119">
        <f>CONCATENATE(M942," - ",J942," - Lotto N° ",K942,"")</f>
        <v/>
      </c>
      <c r="J942" s="118" t="n"/>
      <c r="K942" s="118">
        <f>VLOOKUP(#REF!,Produzione,7,FALSE)</f>
        <v/>
      </c>
      <c r="L942" s="120" t="n"/>
      <c r="M942" s="120" t="n"/>
      <c r="N942" s="118" t="n"/>
      <c r="O942" s="121" t="n"/>
      <c r="P942" s="121" t="n"/>
      <c r="Q942" s="166">
        <f>TODAY()</f>
        <v/>
      </c>
      <c r="R942" s="165">
        <f>ElencoProdotti[[#This Row],[PRODUZIONE]]+20</f>
        <v/>
      </c>
      <c r="S942" s="165">
        <f>TODAY()</f>
        <v/>
      </c>
      <c r="T942" s="133">
        <f>CONCATENATE(A942," - contiene allergni - prodotto il giorno ",TEXT(Q942,"gg/mm/aaaa"),"")</f>
        <v/>
      </c>
    </row>
    <row r="943" ht="15" customHeight="1" s="155">
      <c r="A943" s="134">
        <f>ric!B943</f>
        <v/>
      </c>
      <c r="B943" s="118">
        <f>ric!C943</f>
        <v/>
      </c>
      <c r="C943" s="125">
        <f>ric!D943</f>
        <v/>
      </c>
      <c r="D943" s="125" t="n"/>
      <c r="E943" s="125" t="n"/>
      <c r="F943" s="125" t="n"/>
      <c r="G943" s="118">
        <f>CONCATENATE(A943, " ",#REF!, " / ",H943)</f>
        <v/>
      </c>
      <c r="H943" s="118" t="n"/>
      <c r="I943" s="119">
        <f>CONCATENATE(M943," - ",J943," - Lotto N° ",K943,"")</f>
        <v/>
      </c>
      <c r="J943" s="118" t="n"/>
      <c r="K943" s="118">
        <f>VLOOKUP(#REF!,Produzione,7,FALSE)</f>
        <v/>
      </c>
      <c r="L943" s="120" t="n"/>
      <c r="M943" s="120" t="n"/>
      <c r="N943" s="118" t="n"/>
      <c r="O943" s="121" t="n"/>
      <c r="P943" s="121" t="n"/>
      <c r="Q943" s="166">
        <f>TODAY()</f>
        <v/>
      </c>
      <c r="R943" s="165">
        <f>ElencoProdotti[[#This Row],[PRODUZIONE]]+20</f>
        <v/>
      </c>
      <c r="S943" s="165">
        <f>TODAY()</f>
        <v/>
      </c>
      <c r="T943" s="133">
        <f>CONCATENATE(A943," - contiene allergni - prodotto il giorno ",TEXT(Q943,"gg/mm/aaaa"),"")</f>
        <v/>
      </c>
    </row>
    <row r="944" ht="15" customHeight="1" s="155">
      <c r="A944" s="134">
        <f>ric!B944</f>
        <v/>
      </c>
      <c r="B944" s="118">
        <f>ric!C944</f>
        <v/>
      </c>
      <c r="C944" s="125">
        <f>ric!D944</f>
        <v/>
      </c>
      <c r="D944" s="125" t="n"/>
      <c r="E944" s="125" t="n"/>
      <c r="F944" s="125" t="n"/>
      <c r="G944" s="118">
        <f>CONCATENATE(A944, " ",#REF!, " / ",H944)</f>
        <v/>
      </c>
      <c r="H944" s="118" t="n"/>
      <c r="I944" s="119">
        <f>CONCATENATE(M944," - ",J944," - Lotto N° ",K944,"")</f>
        <v/>
      </c>
      <c r="J944" s="118" t="n"/>
      <c r="K944" s="118">
        <f>VLOOKUP(#REF!,Produzione,7,FALSE)</f>
        <v/>
      </c>
      <c r="L944" s="120" t="n"/>
      <c r="M944" s="120" t="n"/>
      <c r="N944" s="118" t="n"/>
      <c r="O944" s="121" t="n"/>
      <c r="P944" s="121" t="n"/>
      <c r="Q944" s="166">
        <f>TODAY()</f>
        <v/>
      </c>
      <c r="R944" s="165">
        <f>ElencoProdotti[[#This Row],[PRODUZIONE]]+20</f>
        <v/>
      </c>
      <c r="S944" s="165">
        <f>TODAY()</f>
        <v/>
      </c>
      <c r="T944" s="133">
        <f>CONCATENATE(A944," - contiene allergni - prodotto il giorno ",TEXT(Q944,"gg/mm/aaaa"),"")</f>
        <v/>
      </c>
    </row>
    <row r="945" ht="15" customHeight="1" s="155">
      <c r="A945" s="134">
        <f>ric!B945</f>
        <v/>
      </c>
      <c r="B945" s="118">
        <f>ric!C945</f>
        <v/>
      </c>
      <c r="C945" s="125">
        <f>ric!D945</f>
        <v/>
      </c>
      <c r="D945" s="125" t="n"/>
      <c r="E945" s="125" t="n"/>
      <c r="F945" s="125" t="n"/>
      <c r="G945" s="118">
        <f>CONCATENATE(A945, " ",#REF!, " / ",H945)</f>
        <v/>
      </c>
      <c r="H945" s="118" t="n"/>
      <c r="I945" s="119">
        <f>CONCATENATE(M945," - ",J945," - Lotto N° ",K945,"")</f>
        <v/>
      </c>
      <c r="J945" s="118" t="n"/>
      <c r="K945" s="118">
        <f>VLOOKUP(#REF!,Produzione,7,FALSE)</f>
        <v/>
      </c>
      <c r="L945" s="120" t="n"/>
      <c r="M945" s="120" t="n"/>
      <c r="N945" s="118" t="n"/>
      <c r="O945" s="121" t="n"/>
      <c r="P945" s="121" t="n"/>
      <c r="Q945" s="166">
        <f>TODAY()</f>
        <v/>
      </c>
      <c r="R945" s="165">
        <f>ElencoProdotti[[#This Row],[PRODUZIONE]]+20</f>
        <v/>
      </c>
      <c r="S945" s="165">
        <f>TODAY()</f>
        <v/>
      </c>
      <c r="T945" s="133">
        <f>CONCATENATE(A945," - contiene allergni - prodotto il giorno ",TEXT(Q945,"gg/mm/aaaa"),"")</f>
        <v/>
      </c>
    </row>
    <row r="946" ht="15" customHeight="1" s="155">
      <c r="A946" s="134">
        <f>ric!B946</f>
        <v/>
      </c>
      <c r="B946" s="118">
        <f>ric!C946</f>
        <v/>
      </c>
      <c r="C946" s="125">
        <f>ric!D946</f>
        <v/>
      </c>
      <c r="D946" s="125" t="n"/>
      <c r="E946" s="125" t="n"/>
      <c r="F946" s="125" t="n"/>
      <c r="G946" s="118">
        <f>CONCATENATE(A946, " ",#REF!, " / ",H946)</f>
        <v/>
      </c>
      <c r="H946" s="118" t="n"/>
      <c r="I946" s="119">
        <f>CONCATENATE(M946," - ",J946," - Lotto N° ",K946,"")</f>
        <v/>
      </c>
      <c r="J946" s="118" t="n"/>
      <c r="K946" s="118">
        <f>VLOOKUP(#REF!,Produzione,7,FALSE)</f>
        <v/>
      </c>
      <c r="L946" s="120" t="n"/>
      <c r="M946" s="120" t="n"/>
      <c r="N946" s="118" t="n"/>
      <c r="O946" s="121" t="n"/>
      <c r="P946" s="121" t="n"/>
      <c r="Q946" s="166">
        <f>TODAY()</f>
        <v/>
      </c>
      <c r="R946" s="165">
        <f>ElencoProdotti[[#This Row],[PRODUZIONE]]+20</f>
        <v/>
      </c>
      <c r="S946" s="165">
        <f>TODAY()</f>
        <v/>
      </c>
      <c r="T946" s="133">
        <f>CONCATENATE(A946," - contiene allergni - prodotto il giorno ",TEXT(Q946,"gg/mm/aaaa"),"")</f>
        <v/>
      </c>
    </row>
    <row r="947" ht="15" customHeight="1" s="155">
      <c r="A947" s="134">
        <f>ric!B947</f>
        <v/>
      </c>
      <c r="B947" s="118">
        <f>ric!C947</f>
        <v/>
      </c>
      <c r="C947" s="125">
        <f>ric!D947</f>
        <v/>
      </c>
      <c r="D947" s="125" t="n"/>
      <c r="E947" s="125" t="n"/>
      <c r="F947" s="125" t="n"/>
      <c r="G947" s="118">
        <f>CONCATENATE(A947, " ",#REF!, " / ",H947)</f>
        <v/>
      </c>
      <c r="H947" s="118" t="n"/>
      <c r="I947" s="119">
        <f>CONCATENATE(M947," - ",J947," - Lotto N° ",K947,"")</f>
        <v/>
      </c>
      <c r="J947" s="118" t="n"/>
      <c r="K947" s="118">
        <f>VLOOKUP(#REF!,Produzione,7,FALSE)</f>
        <v/>
      </c>
      <c r="L947" s="120" t="n"/>
      <c r="M947" s="120" t="n"/>
      <c r="N947" s="118" t="n"/>
      <c r="O947" s="121" t="n"/>
      <c r="P947" s="121" t="n"/>
      <c r="Q947" s="166">
        <f>TODAY()</f>
        <v/>
      </c>
      <c r="R947" s="165">
        <f>ElencoProdotti[[#This Row],[PRODUZIONE]]+20</f>
        <v/>
      </c>
      <c r="S947" s="165">
        <f>TODAY()</f>
        <v/>
      </c>
      <c r="T947" s="133">
        <f>CONCATENATE(A947," - contiene allergni - prodotto il giorno ",TEXT(Q947,"gg/mm/aaaa"),"")</f>
        <v/>
      </c>
    </row>
    <row r="948" ht="15" customHeight="1" s="155">
      <c r="A948" s="134">
        <f>ric!B948</f>
        <v/>
      </c>
      <c r="B948" s="118">
        <f>ric!C948</f>
        <v/>
      </c>
      <c r="C948" s="125">
        <f>ric!D948</f>
        <v/>
      </c>
      <c r="D948" s="125" t="n"/>
      <c r="E948" s="125" t="n"/>
      <c r="F948" s="125" t="n"/>
      <c r="G948" s="118">
        <f>CONCATENATE(A948, " ",#REF!, " / ",H948)</f>
        <v/>
      </c>
      <c r="H948" s="118" t="n"/>
      <c r="I948" s="119">
        <f>CONCATENATE(M948," - ",J948," - Lotto N° ",K948,"")</f>
        <v/>
      </c>
      <c r="J948" s="118" t="n"/>
      <c r="K948" s="118">
        <f>VLOOKUP(#REF!,Produzione,7,FALSE)</f>
        <v/>
      </c>
      <c r="L948" s="120" t="n"/>
      <c r="M948" s="120" t="n"/>
      <c r="N948" s="118" t="n"/>
      <c r="O948" s="121" t="n"/>
      <c r="P948" s="121" t="n"/>
      <c r="Q948" s="166">
        <f>TODAY()</f>
        <v/>
      </c>
      <c r="R948" s="165">
        <f>ElencoProdotti[[#This Row],[PRODUZIONE]]+20</f>
        <v/>
      </c>
      <c r="S948" s="165">
        <f>TODAY()</f>
        <v/>
      </c>
      <c r="T948" s="133">
        <f>CONCATENATE(A948," - contiene allergni - prodotto il giorno ",TEXT(Q948,"gg/mm/aaaa"),"")</f>
        <v/>
      </c>
    </row>
    <row r="949" ht="15" customHeight="1" s="155">
      <c r="A949" s="134">
        <f>ric!B949</f>
        <v/>
      </c>
      <c r="B949" s="118">
        <f>ric!C949</f>
        <v/>
      </c>
      <c r="C949" s="125">
        <f>ric!D949</f>
        <v/>
      </c>
      <c r="D949" s="125" t="n"/>
      <c r="E949" s="125" t="n"/>
      <c r="F949" s="125" t="n"/>
      <c r="G949" s="118">
        <f>CONCATENATE(A949, " ",#REF!, " / ",H949)</f>
        <v/>
      </c>
      <c r="H949" s="118" t="n"/>
      <c r="I949" s="119">
        <f>CONCATENATE(M949," - ",J949," - Lotto N° ",K949,"")</f>
        <v/>
      </c>
      <c r="J949" s="118" t="n"/>
      <c r="K949" s="118">
        <f>VLOOKUP(#REF!,Produzione,7,FALSE)</f>
        <v/>
      </c>
      <c r="L949" s="120" t="n"/>
      <c r="M949" s="120" t="n"/>
      <c r="N949" s="118" t="n"/>
      <c r="O949" s="121" t="n"/>
      <c r="P949" s="121" t="n"/>
      <c r="Q949" s="166">
        <f>TODAY()</f>
        <v/>
      </c>
      <c r="R949" s="165">
        <f>ElencoProdotti[[#This Row],[PRODUZIONE]]+20</f>
        <v/>
      </c>
      <c r="S949" s="165">
        <f>TODAY()</f>
        <v/>
      </c>
      <c r="T949" s="133">
        <f>CONCATENATE(A949," - contiene allergni - prodotto il giorno ",TEXT(Q949,"gg/mm/aaaa"),"")</f>
        <v/>
      </c>
    </row>
    <row r="950" ht="15" customHeight="1" s="155">
      <c r="A950" s="134">
        <f>ric!B950</f>
        <v/>
      </c>
      <c r="B950" s="118">
        <f>ric!C950</f>
        <v/>
      </c>
      <c r="C950" s="125">
        <f>ric!D950</f>
        <v/>
      </c>
      <c r="D950" s="125" t="n"/>
      <c r="E950" s="125" t="n"/>
      <c r="F950" s="125" t="n"/>
      <c r="G950" s="118">
        <f>CONCATENATE(A950, " ",#REF!, " / ",H950)</f>
        <v/>
      </c>
      <c r="H950" s="118" t="n"/>
      <c r="I950" s="119">
        <f>CONCATENATE(M950," - ",J950," - Lotto N° ",K950,"")</f>
        <v/>
      </c>
      <c r="J950" s="118" t="n"/>
      <c r="K950" s="118">
        <f>VLOOKUP(#REF!,Produzione,7,FALSE)</f>
        <v/>
      </c>
      <c r="L950" s="120" t="n"/>
      <c r="M950" s="120" t="n"/>
      <c r="N950" s="118" t="n"/>
      <c r="O950" s="121" t="n"/>
      <c r="P950" s="121" t="n"/>
      <c r="Q950" s="166">
        <f>TODAY()</f>
        <v/>
      </c>
      <c r="R950" s="165">
        <f>ElencoProdotti[[#This Row],[PRODUZIONE]]+20</f>
        <v/>
      </c>
      <c r="S950" s="165">
        <f>TODAY()</f>
        <v/>
      </c>
      <c r="T950" s="133">
        <f>CONCATENATE(A950," - contiene allergni - prodotto il giorno ",TEXT(Q950,"gg/mm/aaaa"),"")</f>
        <v/>
      </c>
    </row>
    <row r="951" ht="15" customHeight="1" s="155">
      <c r="A951" s="134">
        <f>ric!B951</f>
        <v/>
      </c>
      <c r="B951" s="118">
        <f>ric!C951</f>
        <v/>
      </c>
      <c r="C951" s="125">
        <f>ric!D951</f>
        <v/>
      </c>
      <c r="D951" s="125" t="n"/>
      <c r="E951" s="125" t="n"/>
      <c r="F951" s="125" t="n"/>
      <c r="G951" s="118">
        <f>CONCATENATE(A951, " ",#REF!, " / ",H951)</f>
        <v/>
      </c>
      <c r="H951" s="118" t="n"/>
      <c r="I951" s="119">
        <f>CONCATENATE(M951," - ",J951," - Lotto N° ",K951,"")</f>
        <v/>
      </c>
      <c r="J951" s="118" t="n"/>
      <c r="K951" s="118">
        <f>VLOOKUP(#REF!,Produzione,7,FALSE)</f>
        <v/>
      </c>
      <c r="L951" s="120" t="n"/>
      <c r="M951" s="120" t="n"/>
      <c r="N951" s="118" t="n"/>
      <c r="O951" s="121" t="n"/>
      <c r="P951" s="121" t="n"/>
      <c r="Q951" s="166">
        <f>TODAY()</f>
        <v/>
      </c>
      <c r="R951" s="165">
        <f>ElencoProdotti[[#This Row],[PRODUZIONE]]+20</f>
        <v/>
      </c>
      <c r="S951" s="165">
        <f>TODAY()</f>
        <v/>
      </c>
      <c r="T951" s="133">
        <f>CONCATENATE(A951," - contiene allergni - prodotto il giorno ",TEXT(Q951,"gg/mm/aaaa"),"")</f>
        <v/>
      </c>
    </row>
    <row r="952" ht="15" customHeight="1" s="155">
      <c r="A952" s="134">
        <f>ric!B952</f>
        <v/>
      </c>
      <c r="B952" s="118">
        <f>ric!C952</f>
        <v/>
      </c>
      <c r="C952" s="125">
        <f>ric!D952</f>
        <v/>
      </c>
      <c r="D952" s="125" t="n"/>
      <c r="E952" s="125" t="n"/>
      <c r="F952" s="125" t="n"/>
      <c r="G952" s="118">
        <f>CONCATENATE(A952, " ",#REF!, " / ",H952)</f>
        <v/>
      </c>
      <c r="H952" s="118" t="n"/>
      <c r="I952" s="119">
        <f>CONCATENATE(M952," - ",J952," - Lotto N° ",K952,"")</f>
        <v/>
      </c>
      <c r="J952" s="118" t="n"/>
      <c r="K952" s="118">
        <f>VLOOKUP(#REF!,Produzione,7,FALSE)</f>
        <v/>
      </c>
      <c r="L952" s="120" t="n"/>
      <c r="M952" s="120" t="n"/>
      <c r="N952" s="118" t="n"/>
      <c r="O952" s="121" t="n"/>
      <c r="P952" s="121" t="n"/>
      <c r="Q952" s="166">
        <f>TODAY()</f>
        <v/>
      </c>
      <c r="R952" s="165">
        <f>ElencoProdotti[[#This Row],[PRODUZIONE]]+20</f>
        <v/>
      </c>
      <c r="S952" s="165">
        <f>TODAY()</f>
        <v/>
      </c>
      <c r="T952" s="133">
        <f>CONCATENATE(A952," - contiene allergni - prodotto il giorno ",TEXT(Q952,"gg/mm/aaaa"),"")</f>
        <v/>
      </c>
    </row>
    <row r="953" ht="15" customHeight="1" s="155">
      <c r="A953" s="134">
        <f>ric!B953</f>
        <v/>
      </c>
      <c r="B953" s="118">
        <f>ric!C953</f>
        <v/>
      </c>
      <c r="C953" s="125">
        <f>ric!D953</f>
        <v/>
      </c>
      <c r="D953" s="125" t="n"/>
      <c r="E953" s="125" t="n"/>
      <c r="F953" s="125" t="n"/>
      <c r="G953" s="118">
        <f>CONCATENATE(A953, " ",#REF!, " / ",H953)</f>
        <v/>
      </c>
      <c r="H953" s="118" t="n"/>
      <c r="I953" s="119">
        <f>CONCATENATE(M953," - ",J953," - Lotto N° ",K953,"")</f>
        <v/>
      </c>
      <c r="J953" s="118" t="n"/>
      <c r="K953" s="118">
        <f>VLOOKUP(#REF!,Produzione,7,FALSE)</f>
        <v/>
      </c>
      <c r="L953" s="120" t="n"/>
      <c r="M953" s="120" t="n"/>
      <c r="N953" s="118" t="n"/>
      <c r="O953" s="121" t="n"/>
      <c r="P953" s="121" t="n"/>
      <c r="Q953" s="166">
        <f>TODAY()</f>
        <v/>
      </c>
      <c r="R953" s="165">
        <f>ElencoProdotti[[#This Row],[PRODUZIONE]]+20</f>
        <v/>
      </c>
      <c r="S953" s="165">
        <f>TODAY()</f>
        <v/>
      </c>
      <c r="T953" s="133">
        <f>CONCATENATE(A953," - contiene allergni - prodotto il giorno ",TEXT(Q953,"gg/mm/aaaa"),"")</f>
        <v/>
      </c>
    </row>
    <row r="954" ht="15" customHeight="1" s="155">
      <c r="A954" s="134">
        <f>ric!B954</f>
        <v/>
      </c>
      <c r="B954" s="118">
        <f>ric!C954</f>
        <v/>
      </c>
      <c r="C954" s="125">
        <f>ric!D954</f>
        <v/>
      </c>
      <c r="D954" s="125" t="n"/>
      <c r="E954" s="125" t="n"/>
      <c r="F954" s="125" t="n"/>
      <c r="G954" s="118">
        <f>CONCATENATE(A954, " ",#REF!, " / ",H954)</f>
        <v/>
      </c>
      <c r="H954" s="118" t="n"/>
      <c r="I954" s="119">
        <f>CONCATENATE(M954," - ",J954," - Lotto N° ",K954,"")</f>
        <v/>
      </c>
      <c r="J954" s="118" t="n"/>
      <c r="K954" s="118">
        <f>VLOOKUP(#REF!,Produzione,7,FALSE)</f>
        <v/>
      </c>
      <c r="L954" s="120" t="n"/>
      <c r="M954" s="120" t="n"/>
      <c r="N954" s="118" t="n"/>
      <c r="O954" s="121" t="n"/>
      <c r="P954" s="121" t="n"/>
      <c r="Q954" s="166">
        <f>TODAY()</f>
        <v/>
      </c>
      <c r="R954" s="165">
        <f>ElencoProdotti[[#This Row],[PRODUZIONE]]+20</f>
        <v/>
      </c>
      <c r="S954" s="165">
        <f>TODAY()</f>
        <v/>
      </c>
      <c r="T954" s="133">
        <f>CONCATENATE(A954," - contiene allergni - prodotto il giorno ",TEXT(Q954,"gg/mm/aaaa"),"")</f>
        <v/>
      </c>
    </row>
    <row r="955" ht="15" customHeight="1" s="155">
      <c r="A955" s="134">
        <f>ric!B955</f>
        <v/>
      </c>
      <c r="B955" s="118">
        <f>ric!C955</f>
        <v/>
      </c>
      <c r="C955" s="125">
        <f>ric!D955</f>
        <v/>
      </c>
      <c r="D955" s="125" t="n"/>
      <c r="E955" s="125" t="n"/>
      <c r="F955" s="125" t="n"/>
      <c r="G955" s="118">
        <f>CONCATENATE(A955, " ",#REF!, " / ",H955)</f>
        <v/>
      </c>
      <c r="H955" s="118" t="n"/>
      <c r="I955" s="119">
        <f>CONCATENATE(M955," - ",J955," - Lotto N° ",K955,"")</f>
        <v/>
      </c>
      <c r="J955" s="118" t="n"/>
      <c r="K955" s="118">
        <f>VLOOKUP(#REF!,Produzione,7,FALSE)</f>
        <v/>
      </c>
      <c r="L955" s="120" t="n"/>
      <c r="M955" s="120" t="n"/>
      <c r="N955" s="118" t="n"/>
      <c r="O955" s="121" t="n"/>
      <c r="P955" s="121" t="n"/>
      <c r="Q955" s="166">
        <f>TODAY()</f>
        <v/>
      </c>
      <c r="R955" s="165">
        <f>ElencoProdotti[[#This Row],[PRODUZIONE]]+20</f>
        <v/>
      </c>
      <c r="S955" s="165">
        <f>TODAY()</f>
        <v/>
      </c>
      <c r="T955" s="133">
        <f>CONCATENATE(A955," - contiene allergni - prodotto il giorno ",TEXT(Q955,"gg/mm/aaaa"),"")</f>
        <v/>
      </c>
    </row>
    <row r="956" ht="15" customHeight="1" s="155">
      <c r="A956" s="134">
        <f>ric!B956</f>
        <v/>
      </c>
      <c r="B956" s="118">
        <f>ric!C956</f>
        <v/>
      </c>
      <c r="C956" s="125">
        <f>ric!D956</f>
        <v/>
      </c>
      <c r="D956" s="125" t="n"/>
      <c r="E956" s="125" t="n"/>
      <c r="F956" s="125" t="n"/>
      <c r="G956" s="118">
        <f>CONCATENATE(A956, " ",#REF!, " / ",H956)</f>
        <v/>
      </c>
      <c r="H956" s="118" t="n"/>
      <c r="I956" s="119">
        <f>CONCATENATE(M956," - ",J956," - Lotto N° ",K956,"")</f>
        <v/>
      </c>
      <c r="J956" s="118" t="n"/>
      <c r="K956" s="118">
        <f>VLOOKUP(#REF!,Produzione,7,FALSE)</f>
        <v/>
      </c>
      <c r="L956" s="120" t="n"/>
      <c r="M956" s="120" t="n"/>
      <c r="N956" s="118" t="n"/>
      <c r="O956" s="121" t="n"/>
      <c r="P956" s="121" t="n"/>
      <c r="Q956" s="166">
        <f>TODAY()</f>
        <v/>
      </c>
      <c r="R956" s="165">
        <f>ElencoProdotti[[#This Row],[PRODUZIONE]]+20</f>
        <v/>
      </c>
      <c r="S956" s="165">
        <f>TODAY()</f>
        <v/>
      </c>
      <c r="T956" s="133">
        <f>CONCATENATE(A956," - contiene allergni - prodotto il giorno ",TEXT(Q956,"gg/mm/aaaa"),"")</f>
        <v/>
      </c>
    </row>
    <row r="957" ht="15" customHeight="1" s="155">
      <c r="A957" s="134">
        <f>ric!B957</f>
        <v/>
      </c>
      <c r="B957" s="118">
        <f>ric!C957</f>
        <v/>
      </c>
      <c r="C957" s="125">
        <f>ric!D957</f>
        <v/>
      </c>
      <c r="D957" s="125" t="n"/>
      <c r="E957" s="125" t="n"/>
      <c r="F957" s="125" t="n"/>
      <c r="G957" s="118">
        <f>CONCATENATE(A957, " ",#REF!, " / ",H957)</f>
        <v/>
      </c>
      <c r="H957" s="118" t="n"/>
      <c r="I957" s="119">
        <f>CONCATENATE(M957," - ",J957," - Lotto N° ",K957,"")</f>
        <v/>
      </c>
      <c r="J957" s="118" t="n"/>
      <c r="K957" s="118">
        <f>VLOOKUP(#REF!,Produzione,7,FALSE)</f>
        <v/>
      </c>
      <c r="L957" s="120" t="n"/>
      <c r="M957" s="120" t="n"/>
      <c r="N957" s="118" t="n"/>
      <c r="O957" s="121" t="n"/>
      <c r="P957" s="121" t="n"/>
      <c r="Q957" s="166">
        <f>TODAY()</f>
        <v/>
      </c>
      <c r="R957" s="165">
        <f>ElencoProdotti[[#This Row],[PRODUZIONE]]+20</f>
        <v/>
      </c>
      <c r="S957" s="165">
        <f>TODAY()</f>
        <v/>
      </c>
      <c r="T957" s="133">
        <f>CONCATENATE(A957," - contiene allergni - prodotto il giorno ",TEXT(Q957,"gg/mm/aaaa"),"")</f>
        <v/>
      </c>
    </row>
    <row r="958" ht="15" customHeight="1" s="155">
      <c r="A958" s="134">
        <f>ric!B958</f>
        <v/>
      </c>
      <c r="B958" s="118">
        <f>ric!C958</f>
        <v/>
      </c>
      <c r="C958" s="125">
        <f>ric!D958</f>
        <v/>
      </c>
      <c r="D958" s="125" t="n"/>
      <c r="E958" s="125" t="n"/>
      <c r="F958" s="125" t="n"/>
      <c r="G958" s="118">
        <f>CONCATENATE(A958, " ",#REF!, " / ",H958)</f>
        <v/>
      </c>
      <c r="H958" s="118" t="n"/>
      <c r="I958" s="119">
        <f>CONCATENATE(M958," - ",J958," - Lotto N° ",K958,"")</f>
        <v/>
      </c>
      <c r="J958" s="118" t="n"/>
      <c r="K958" s="118">
        <f>VLOOKUP(#REF!,Produzione,7,FALSE)</f>
        <v/>
      </c>
      <c r="L958" s="120" t="n"/>
      <c r="M958" s="120" t="n"/>
      <c r="N958" s="118" t="n"/>
      <c r="O958" s="121" t="n"/>
      <c r="P958" s="121" t="n"/>
      <c r="Q958" s="166">
        <f>TODAY()</f>
        <v/>
      </c>
      <c r="R958" s="165">
        <f>ElencoProdotti[[#This Row],[PRODUZIONE]]+20</f>
        <v/>
      </c>
      <c r="S958" s="165">
        <f>TODAY()</f>
        <v/>
      </c>
      <c r="T958" s="133">
        <f>CONCATENATE(A958," - contiene allergni - prodotto il giorno ",TEXT(Q958,"gg/mm/aaaa"),"")</f>
        <v/>
      </c>
    </row>
    <row r="959" ht="15" customHeight="1" s="155">
      <c r="A959" s="134">
        <f>ric!B959</f>
        <v/>
      </c>
      <c r="B959" s="118">
        <f>ric!C959</f>
        <v/>
      </c>
      <c r="C959" s="125">
        <f>ric!D959</f>
        <v/>
      </c>
      <c r="D959" s="125" t="n"/>
      <c r="E959" s="125" t="n"/>
      <c r="F959" s="125" t="n"/>
      <c r="G959" s="118">
        <f>CONCATENATE(A959, " ",#REF!, " / ",H959)</f>
        <v/>
      </c>
      <c r="H959" s="118" t="n"/>
      <c r="I959" s="119">
        <f>CONCATENATE(M959," - ",J959," - Lotto N° ",K959,"")</f>
        <v/>
      </c>
      <c r="J959" s="118" t="n"/>
      <c r="K959" s="118">
        <f>VLOOKUP(#REF!,Produzione,7,FALSE)</f>
        <v/>
      </c>
      <c r="L959" s="120" t="n"/>
      <c r="M959" s="120" t="n"/>
      <c r="N959" s="118" t="n"/>
      <c r="O959" s="121" t="n"/>
      <c r="P959" s="121" t="n"/>
      <c r="Q959" s="166">
        <f>TODAY()</f>
        <v/>
      </c>
      <c r="R959" s="165">
        <f>ElencoProdotti[[#This Row],[PRODUZIONE]]+20</f>
        <v/>
      </c>
      <c r="S959" s="165">
        <f>TODAY()</f>
        <v/>
      </c>
      <c r="T959" s="133">
        <f>CONCATENATE(A959," - contiene allergni - prodotto il giorno ",TEXT(Q959,"gg/mm/aaaa"),"")</f>
        <v/>
      </c>
    </row>
    <row r="960" ht="15" customHeight="1" s="155">
      <c r="A960" s="134">
        <f>ric!B960</f>
        <v/>
      </c>
      <c r="B960" s="118">
        <f>ric!C960</f>
        <v/>
      </c>
      <c r="C960" s="125">
        <f>ric!D960</f>
        <v/>
      </c>
      <c r="D960" s="125" t="n"/>
      <c r="E960" s="125" t="n"/>
      <c r="F960" s="125" t="n"/>
      <c r="G960" s="118">
        <f>CONCATENATE(A960, " ",#REF!, " / ",H960)</f>
        <v/>
      </c>
      <c r="H960" s="118" t="n"/>
      <c r="I960" s="119">
        <f>CONCATENATE(M960," - ",J960," - Lotto N° ",K960,"")</f>
        <v/>
      </c>
      <c r="J960" s="118" t="n"/>
      <c r="K960" s="118">
        <f>VLOOKUP(#REF!,Produzione,7,FALSE)</f>
        <v/>
      </c>
      <c r="L960" s="120" t="n"/>
      <c r="M960" s="120" t="n"/>
      <c r="N960" s="118" t="n"/>
      <c r="O960" s="121" t="n"/>
      <c r="P960" s="121" t="n"/>
      <c r="Q960" s="166">
        <f>TODAY()</f>
        <v/>
      </c>
      <c r="R960" s="165">
        <f>ElencoProdotti[[#This Row],[PRODUZIONE]]+20</f>
        <v/>
      </c>
      <c r="S960" s="165">
        <f>TODAY()</f>
        <v/>
      </c>
      <c r="T960" s="133">
        <f>CONCATENATE(A960," - contiene allergni - prodotto il giorno ",TEXT(Q960,"gg/mm/aaaa"),"")</f>
        <v/>
      </c>
    </row>
    <row r="961" ht="15" customHeight="1" s="155">
      <c r="A961" s="134">
        <f>ric!B961</f>
        <v/>
      </c>
      <c r="B961" s="118">
        <f>ric!C961</f>
        <v/>
      </c>
      <c r="C961" s="125">
        <f>ric!D961</f>
        <v/>
      </c>
      <c r="D961" s="125" t="n"/>
      <c r="E961" s="125" t="n"/>
      <c r="F961" s="125" t="n"/>
      <c r="G961" s="118">
        <f>CONCATENATE(A961, " ",#REF!, " / ",H961)</f>
        <v/>
      </c>
      <c r="H961" s="118" t="n"/>
      <c r="I961" s="119">
        <f>CONCATENATE(M961," - ",J961," - Lotto N° ",K961,"")</f>
        <v/>
      </c>
      <c r="J961" s="118" t="n"/>
      <c r="K961" s="118">
        <f>VLOOKUP(#REF!,Produzione,7,FALSE)</f>
        <v/>
      </c>
      <c r="L961" s="120" t="n"/>
      <c r="M961" s="120" t="n"/>
      <c r="N961" s="118" t="n"/>
      <c r="O961" s="121" t="n"/>
      <c r="P961" s="121" t="n"/>
      <c r="Q961" s="166">
        <f>TODAY()</f>
        <v/>
      </c>
      <c r="R961" s="165">
        <f>ElencoProdotti[[#This Row],[PRODUZIONE]]+20</f>
        <v/>
      </c>
      <c r="S961" s="165">
        <f>TODAY()</f>
        <v/>
      </c>
      <c r="T961" s="133">
        <f>CONCATENATE(A961," - contiene allergni - prodotto il giorno ",TEXT(Q961,"gg/mm/aaaa"),"")</f>
        <v/>
      </c>
    </row>
    <row r="962" ht="15" customHeight="1" s="155">
      <c r="A962" s="134">
        <f>ric!B962</f>
        <v/>
      </c>
      <c r="B962" s="118">
        <f>ric!C962</f>
        <v/>
      </c>
      <c r="C962" s="125">
        <f>ric!D962</f>
        <v/>
      </c>
      <c r="D962" s="125" t="n"/>
      <c r="E962" s="125" t="n"/>
      <c r="F962" s="125" t="n"/>
      <c r="G962" s="118">
        <f>CONCATENATE(A962, " ",#REF!, " / ",H962)</f>
        <v/>
      </c>
      <c r="H962" s="118" t="n"/>
      <c r="I962" s="119">
        <f>CONCATENATE(M962," - ",J962," - Lotto N° ",K962,"")</f>
        <v/>
      </c>
      <c r="J962" s="118" t="n"/>
      <c r="K962" s="118">
        <f>VLOOKUP(#REF!,Produzione,7,FALSE)</f>
        <v/>
      </c>
      <c r="L962" s="120" t="n"/>
      <c r="M962" s="120" t="n"/>
      <c r="N962" s="118" t="n"/>
      <c r="O962" s="121" t="n"/>
      <c r="P962" s="121" t="n"/>
      <c r="Q962" s="166">
        <f>TODAY()</f>
        <v/>
      </c>
      <c r="R962" s="165">
        <f>ElencoProdotti[[#This Row],[PRODUZIONE]]+20</f>
        <v/>
      </c>
      <c r="S962" s="165">
        <f>TODAY()</f>
        <v/>
      </c>
      <c r="T962" s="133">
        <f>CONCATENATE(A962," - contiene allergni - prodotto il giorno ",TEXT(Q962,"gg/mm/aaaa"),"")</f>
        <v/>
      </c>
    </row>
    <row r="963" ht="15" customHeight="1" s="155">
      <c r="A963" s="134">
        <f>ric!B963</f>
        <v/>
      </c>
      <c r="B963" s="118">
        <f>ric!C963</f>
        <v/>
      </c>
      <c r="C963" s="125">
        <f>ric!D963</f>
        <v/>
      </c>
      <c r="D963" s="125" t="n"/>
      <c r="E963" s="125" t="n"/>
      <c r="F963" s="125" t="n"/>
      <c r="G963" s="118">
        <f>CONCATENATE(A963, " ",#REF!, " / ",H963)</f>
        <v/>
      </c>
      <c r="H963" s="118" t="n"/>
      <c r="I963" s="119">
        <f>CONCATENATE(M963," - ",J963," - Lotto N° ",K963,"")</f>
        <v/>
      </c>
      <c r="J963" s="118" t="n"/>
      <c r="K963" s="118">
        <f>VLOOKUP(#REF!,Produzione,7,FALSE)</f>
        <v/>
      </c>
      <c r="L963" s="120" t="n"/>
      <c r="M963" s="120" t="n"/>
      <c r="N963" s="118" t="n"/>
      <c r="O963" s="121" t="n"/>
      <c r="P963" s="121" t="n"/>
      <c r="Q963" s="166">
        <f>TODAY()</f>
        <v/>
      </c>
      <c r="R963" s="165">
        <f>ElencoProdotti[[#This Row],[PRODUZIONE]]+20</f>
        <v/>
      </c>
      <c r="S963" s="165">
        <f>TODAY()</f>
        <v/>
      </c>
      <c r="T963" s="133">
        <f>CONCATENATE(A963," - contiene allergni - prodotto il giorno ",TEXT(Q963,"gg/mm/aaaa"),"")</f>
        <v/>
      </c>
    </row>
    <row r="964" ht="15" customHeight="1" s="155">
      <c r="A964" s="134">
        <f>ric!B964</f>
        <v/>
      </c>
      <c r="B964" s="118">
        <f>ric!C964</f>
        <v/>
      </c>
      <c r="C964" s="125">
        <f>ric!D964</f>
        <v/>
      </c>
      <c r="D964" s="125" t="n"/>
      <c r="E964" s="125" t="n"/>
      <c r="F964" s="125" t="n"/>
      <c r="G964" s="118">
        <f>CONCATENATE(A964, " ",#REF!, " / ",H964)</f>
        <v/>
      </c>
      <c r="H964" s="118" t="n"/>
      <c r="I964" s="119">
        <f>CONCATENATE(M964," - ",J964," - Lotto N° ",K964,"")</f>
        <v/>
      </c>
      <c r="J964" s="118" t="n"/>
      <c r="K964" s="118">
        <f>VLOOKUP(#REF!,Produzione,7,FALSE)</f>
        <v/>
      </c>
      <c r="L964" s="120" t="n"/>
      <c r="M964" s="120" t="n"/>
      <c r="N964" s="118" t="n"/>
      <c r="O964" s="121" t="n"/>
      <c r="P964" s="121" t="n"/>
      <c r="Q964" s="166">
        <f>TODAY()</f>
        <v/>
      </c>
      <c r="R964" s="165">
        <f>ElencoProdotti[[#This Row],[PRODUZIONE]]+20</f>
        <v/>
      </c>
      <c r="S964" s="165">
        <f>TODAY()</f>
        <v/>
      </c>
      <c r="T964" s="133">
        <f>CONCATENATE(A964," - contiene allergni - prodotto il giorno ",TEXT(Q964,"gg/mm/aaaa"),"")</f>
        <v/>
      </c>
    </row>
    <row r="965" ht="15" customHeight="1" s="155">
      <c r="A965" s="134">
        <f>ric!B965</f>
        <v/>
      </c>
      <c r="B965" s="118">
        <f>ric!C965</f>
        <v/>
      </c>
      <c r="C965" s="125">
        <f>ric!D965</f>
        <v/>
      </c>
      <c r="D965" s="125" t="n"/>
      <c r="E965" s="125" t="n"/>
      <c r="F965" s="125" t="n"/>
      <c r="G965" s="118">
        <f>CONCATENATE(A965, " ",#REF!, " / ",H965)</f>
        <v/>
      </c>
      <c r="H965" s="118" t="n"/>
      <c r="I965" s="119">
        <f>CONCATENATE(M965," - ",J965," - Lotto N° ",K965,"")</f>
        <v/>
      </c>
      <c r="J965" s="118" t="n"/>
      <c r="K965" s="118">
        <f>VLOOKUP(#REF!,Produzione,7,FALSE)</f>
        <v/>
      </c>
      <c r="L965" s="120" t="n"/>
      <c r="M965" s="120" t="n"/>
      <c r="N965" s="118" t="n"/>
      <c r="O965" s="121" t="n"/>
      <c r="P965" s="121" t="n"/>
      <c r="Q965" s="166">
        <f>TODAY()</f>
        <v/>
      </c>
      <c r="R965" s="165">
        <f>ElencoProdotti[[#This Row],[PRODUZIONE]]+20</f>
        <v/>
      </c>
      <c r="S965" s="165">
        <f>TODAY()</f>
        <v/>
      </c>
      <c r="T965" s="133">
        <f>CONCATENATE(A965," - contiene allergni - prodotto il giorno ",TEXT(Q965,"gg/mm/aaaa"),"")</f>
        <v/>
      </c>
    </row>
    <row r="966" ht="15" customHeight="1" s="155">
      <c r="A966" s="134">
        <f>ric!B966</f>
        <v/>
      </c>
      <c r="B966" s="118">
        <f>ric!C966</f>
        <v/>
      </c>
      <c r="C966" s="125">
        <f>ric!D966</f>
        <v/>
      </c>
      <c r="D966" s="125" t="n"/>
      <c r="E966" s="125" t="n"/>
      <c r="F966" s="125" t="n"/>
      <c r="G966" s="118">
        <f>CONCATENATE(A966, " ",#REF!, " / ",H966)</f>
        <v/>
      </c>
      <c r="H966" s="118" t="n"/>
      <c r="I966" s="119">
        <f>CONCATENATE(M966," - ",J966," - Lotto N° ",K966,"")</f>
        <v/>
      </c>
      <c r="J966" s="118" t="n"/>
      <c r="K966" s="118">
        <f>VLOOKUP(#REF!,Produzione,7,FALSE)</f>
        <v/>
      </c>
      <c r="L966" s="120" t="n"/>
      <c r="M966" s="120" t="n"/>
      <c r="N966" s="118" t="n"/>
      <c r="O966" s="121" t="n"/>
      <c r="P966" s="121" t="n"/>
      <c r="Q966" s="166">
        <f>TODAY()</f>
        <v/>
      </c>
      <c r="R966" s="165">
        <f>ElencoProdotti[[#This Row],[PRODUZIONE]]+20</f>
        <v/>
      </c>
      <c r="S966" s="165">
        <f>TODAY()</f>
        <v/>
      </c>
      <c r="T966" s="133">
        <f>CONCATENATE(A966," - contiene allergni - prodotto il giorno ",TEXT(Q966,"gg/mm/aaaa"),"")</f>
        <v/>
      </c>
    </row>
    <row r="967" ht="15" customHeight="1" s="155">
      <c r="A967" s="134">
        <f>ric!B967</f>
        <v/>
      </c>
      <c r="B967" s="118">
        <f>ric!C967</f>
        <v/>
      </c>
      <c r="C967" s="125">
        <f>ric!D967</f>
        <v/>
      </c>
      <c r="D967" s="125" t="n"/>
      <c r="E967" s="125" t="n"/>
      <c r="F967" s="125" t="n"/>
      <c r="G967" s="118">
        <f>CONCATENATE(A967, " ",#REF!, " / ",H967)</f>
        <v/>
      </c>
      <c r="H967" s="118" t="n"/>
      <c r="I967" s="119">
        <f>CONCATENATE(M967," - ",J967," - Lotto N° ",K967,"")</f>
        <v/>
      </c>
      <c r="J967" s="118" t="n"/>
      <c r="K967" s="118">
        <f>VLOOKUP(#REF!,Produzione,7,FALSE)</f>
        <v/>
      </c>
      <c r="L967" s="120" t="n"/>
      <c r="M967" s="120" t="n"/>
      <c r="N967" s="118" t="n"/>
      <c r="O967" s="121" t="n"/>
      <c r="P967" s="121" t="n"/>
      <c r="Q967" s="166">
        <f>TODAY()</f>
        <v/>
      </c>
      <c r="R967" s="165">
        <f>ElencoProdotti[[#This Row],[PRODUZIONE]]+20</f>
        <v/>
      </c>
      <c r="S967" s="165">
        <f>TODAY()</f>
        <v/>
      </c>
      <c r="T967" s="133">
        <f>CONCATENATE(A967," - contiene allergni - prodotto il giorno ",TEXT(Q967,"gg/mm/aaaa"),"")</f>
        <v/>
      </c>
    </row>
    <row r="968" ht="15" customHeight="1" s="155">
      <c r="A968" s="134">
        <f>ric!B968</f>
        <v/>
      </c>
      <c r="B968" s="118">
        <f>ric!C968</f>
        <v/>
      </c>
      <c r="C968" s="125">
        <f>ric!D968</f>
        <v/>
      </c>
      <c r="D968" s="125" t="n"/>
      <c r="E968" s="125" t="n"/>
      <c r="F968" s="125" t="n"/>
      <c r="G968" s="118">
        <f>CONCATENATE(A968, " ",#REF!, " / ",H968)</f>
        <v/>
      </c>
      <c r="H968" s="118" t="n"/>
      <c r="I968" s="119">
        <f>CONCATENATE(M968," - ",J968," - Lotto N° ",K968,"")</f>
        <v/>
      </c>
      <c r="J968" s="118" t="n"/>
      <c r="K968" s="118">
        <f>VLOOKUP(#REF!,Produzione,7,FALSE)</f>
        <v/>
      </c>
      <c r="L968" s="120" t="n"/>
      <c r="M968" s="120" t="n"/>
      <c r="N968" s="118" t="n"/>
      <c r="O968" s="121" t="n"/>
      <c r="P968" s="121" t="n"/>
      <c r="Q968" s="166">
        <f>TODAY()</f>
        <v/>
      </c>
      <c r="R968" s="165">
        <f>ElencoProdotti[[#This Row],[PRODUZIONE]]+20</f>
        <v/>
      </c>
      <c r="S968" s="165">
        <f>TODAY()</f>
        <v/>
      </c>
      <c r="T968" s="133">
        <f>CONCATENATE(A968," - contiene allergni - prodotto il giorno ",TEXT(Q968,"gg/mm/aaaa"),"")</f>
        <v/>
      </c>
    </row>
    <row r="969" ht="15" customHeight="1" s="155">
      <c r="A969" s="134">
        <f>ric!B969</f>
        <v/>
      </c>
      <c r="B969" s="118">
        <f>ric!C969</f>
        <v/>
      </c>
      <c r="C969" s="125">
        <f>ric!D969</f>
        <v/>
      </c>
      <c r="D969" s="125" t="n"/>
      <c r="E969" s="125" t="n"/>
      <c r="F969" s="125" t="n"/>
      <c r="G969" s="118">
        <f>CONCATENATE(A969, " ",#REF!, " / ",H969)</f>
        <v/>
      </c>
      <c r="H969" s="118" t="n"/>
      <c r="I969" s="119">
        <f>CONCATENATE(M969," - ",J969," - Lotto N° ",K969,"")</f>
        <v/>
      </c>
      <c r="J969" s="118" t="n"/>
      <c r="K969" s="118">
        <f>VLOOKUP(#REF!,Produzione,7,FALSE)</f>
        <v/>
      </c>
      <c r="L969" s="120" t="n"/>
      <c r="M969" s="120" t="n"/>
      <c r="N969" s="118" t="n"/>
      <c r="O969" s="121" t="n"/>
      <c r="P969" s="121" t="n"/>
      <c r="Q969" s="166">
        <f>TODAY()</f>
        <v/>
      </c>
      <c r="R969" s="165">
        <f>ElencoProdotti[[#This Row],[PRODUZIONE]]+20</f>
        <v/>
      </c>
      <c r="S969" s="165">
        <f>TODAY()</f>
        <v/>
      </c>
      <c r="T969" s="133">
        <f>CONCATENATE(A969," - contiene allergni - prodotto il giorno ",TEXT(Q969,"gg/mm/aaaa"),"")</f>
        <v/>
      </c>
    </row>
    <row r="970" ht="15" customHeight="1" s="155">
      <c r="A970" s="134">
        <f>ric!B970</f>
        <v/>
      </c>
      <c r="B970" s="118">
        <f>ric!C970</f>
        <v/>
      </c>
      <c r="C970" s="125">
        <f>ric!D970</f>
        <v/>
      </c>
      <c r="D970" s="125" t="n"/>
      <c r="E970" s="125" t="n"/>
      <c r="F970" s="125" t="n"/>
      <c r="G970" s="118">
        <f>CONCATENATE(A970, " ",#REF!, " / ",H970)</f>
        <v/>
      </c>
      <c r="H970" s="118" t="n"/>
      <c r="I970" s="119">
        <f>CONCATENATE(M970," - ",J970," - Lotto N° ",K970,"")</f>
        <v/>
      </c>
      <c r="J970" s="118" t="n"/>
      <c r="K970" s="118">
        <f>VLOOKUP(#REF!,Produzione,7,FALSE)</f>
        <v/>
      </c>
      <c r="L970" s="120" t="n"/>
      <c r="M970" s="120" t="n"/>
      <c r="N970" s="118" t="n"/>
      <c r="O970" s="121" t="n"/>
      <c r="P970" s="121" t="n"/>
      <c r="Q970" s="166">
        <f>TODAY()</f>
        <v/>
      </c>
      <c r="R970" s="165">
        <f>ElencoProdotti[[#This Row],[PRODUZIONE]]+20</f>
        <v/>
      </c>
      <c r="S970" s="165">
        <f>TODAY()</f>
        <v/>
      </c>
      <c r="T970" s="133">
        <f>CONCATENATE(A970," - contiene allergni - prodotto il giorno ",TEXT(Q970,"gg/mm/aaaa"),"")</f>
        <v/>
      </c>
    </row>
    <row r="971" ht="15" customHeight="1" s="155">
      <c r="A971" s="134">
        <f>ric!B971</f>
        <v/>
      </c>
      <c r="B971" s="118">
        <f>ric!C971</f>
        <v/>
      </c>
      <c r="C971" s="125">
        <f>ric!D971</f>
        <v/>
      </c>
      <c r="D971" s="125" t="n"/>
      <c r="E971" s="125" t="n"/>
      <c r="F971" s="125" t="n"/>
      <c r="G971" s="118">
        <f>CONCATENATE(A971, " ",#REF!, " / ",H971)</f>
        <v/>
      </c>
      <c r="H971" s="118" t="n"/>
      <c r="I971" s="119">
        <f>CONCATENATE(M971," - ",J971," - Lotto N° ",K971,"")</f>
        <v/>
      </c>
      <c r="J971" s="118" t="n"/>
      <c r="K971" s="118">
        <f>VLOOKUP(#REF!,Produzione,7,FALSE)</f>
        <v/>
      </c>
      <c r="L971" s="120" t="n"/>
      <c r="M971" s="120" t="n"/>
      <c r="N971" s="118" t="n"/>
      <c r="O971" s="121" t="n"/>
      <c r="P971" s="121" t="n"/>
      <c r="Q971" s="166">
        <f>TODAY()</f>
        <v/>
      </c>
      <c r="R971" s="165">
        <f>ElencoProdotti[[#This Row],[PRODUZIONE]]+20</f>
        <v/>
      </c>
      <c r="S971" s="165">
        <f>TODAY()</f>
        <v/>
      </c>
      <c r="T971" s="133">
        <f>CONCATENATE(A971," - contiene allergni - prodotto il giorno ",TEXT(Q971,"gg/mm/aaaa"),"")</f>
        <v/>
      </c>
    </row>
    <row r="972" ht="15" customHeight="1" s="155">
      <c r="A972" s="134">
        <f>ric!B972</f>
        <v/>
      </c>
      <c r="B972" s="118">
        <f>ric!C972</f>
        <v/>
      </c>
      <c r="C972" s="125">
        <f>ric!D972</f>
        <v/>
      </c>
      <c r="D972" s="125" t="n"/>
      <c r="E972" s="125" t="n"/>
      <c r="F972" s="125" t="n"/>
      <c r="G972" s="118">
        <f>CONCATENATE(A972, " ",#REF!, " / ",H972)</f>
        <v/>
      </c>
      <c r="H972" s="118" t="n"/>
      <c r="I972" s="119">
        <f>CONCATENATE(M972," - ",J972," - Lotto N° ",K972,"")</f>
        <v/>
      </c>
      <c r="J972" s="118" t="n"/>
      <c r="K972" s="118">
        <f>VLOOKUP(#REF!,Produzione,7,FALSE)</f>
        <v/>
      </c>
      <c r="L972" s="120" t="n"/>
      <c r="M972" s="120" t="n"/>
      <c r="N972" s="118" t="n"/>
      <c r="O972" s="121" t="n"/>
      <c r="P972" s="121" t="n"/>
      <c r="Q972" s="166">
        <f>TODAY()</f>
        <v/>
      </c>
      <c r="R972" s="165">
        <f>ElencoProdotti[[#This Row],[PRODUZIONE]]+20</f>
        <v/>
      </c>
      <c r="S972" s="165">
        <f>TODAY()</f>
        <v/>
      </c>
      <c r="T972" s="133">
        <f>CONCATENATE(A972," - contiene allergni - prodotto il giorno ",TEXT(Q972,"gg/mm/aaaa"),"")</f>
        <v/>
      </c>
    </row>
    <row r="973" ht="15" customHeight="1" s="155">
      <c r="A973" s="134">
        <f>ric!B973</f>
        <v/>
      </c>
      <c r="B973" s="118">
        <f>ric!C973</f>
        <v/>
      </c>
      <c r="C973" s="125">
        <f>ric!D973</f>
        <v/>
      </c>
      <c r="D973" s="125" t="n"/>
      <c r="E973" s="125" t="n"/>
      <c r="F973" s="125" t="n"/>
      <c r="G973" s="118">
        <f>CONCATENATE(A973, " ",#REF!, " / ",H973)</f>
        <v/>
      </c>
      <c r="H973" s="118" t="n"/>
      <c r="I973" s="119">
        <f>CONCATENATE(M973," - ",J973," - Lotto N° ",K973,"")</f>
        <v/>
      </c>
      <c r="J973" s="118" t="n"/>
      <c r="K973" s="118">
        <f>VLOOKUP(#REF!,Produzione,7,FALSE)</f>
        <v/>
      </c>
      <c r="L973" s="120" t="n"/>
      <c r="M973" s="120" t="n"/>
      <c r="N973" s="118" t="n"/>
      <c r="O973" s="121" t="n"/>
      <c r="P973" s="121" t="n"/>
      <c r="Q973" s="166">
        <f>TODAY()</f>
        <v/>
      </c>
      <c r="R973" s="165">
        <f>ElencoProdotti[[#This Row],[PRODUZIONE]]+20</f>
        <v/>
      </c>
      <c r="S973" s="165">
        <f>TODAY()</f>
        <v/>
      </c>
      <c r="T973" s="133">
        <f>CONCATENATE(A973," - contiene allergni - prodotto il giorno ",TEXT(Q973,"gg/mm/aaaa"),"")</f>
        <v/>
      </c>
    </row>
    <row r="974" ht="15" customHeight="1" s="155">
      <c r="A974" s="134">
        <f>ric!B974</f>
        <v/>
      </c>
      <c r="B974" s="118">
        <f>ric!C974</f>
        <v/>
      </c>
      <c r="C974" s="125">
        <f>ric!D974</f>
        <v/>
      </c>
      <c r="D974" s="125" t="n"/>
      <c r="E974" s="125" t="n"/>
      <c r="F974" s="125" t="n"/>
      <c r="G974" s="118">
        <f>CONCATENATE(A974, " ",#REF!, " / ",H974)</f>
        <v/>
      </c>
      <c r="H974" s="118" t="n"/>
      <c r="I974" s="119">
        <f>CONCATENATE(M974," - ",J974," - Lotto N° ",K974,"")</f>
        <v/>
      </c>
      <c r="J974" s="118" t="n"/>
      <c r="K974" s="118">
        <f>VLOOKUP(#REF!,Produzione,7,FALSE)</f>
        <v/>
      </c>
      <c r="L974" s="120" t="n"/>
      <c r="M974" s="120" t="n"/>
      <c r="N974" s="118" t="n"/>
      <c r="O974" s="121" t="n"/>
      <c r="P974" s="121" t="n"/>
      <c r="Q974" s="166">
        <f>TODAY()</f>
        <v/>
      </c>
      <c r="R974" s="165">
        <f>ElencoProdotti[[#This Row],[PRODUZIONE]]+20</f>
        <v/>
      </c>
      <c r="S974" s="165">
        <f>TODAY()</f>
        <v/>
      </c>
      <c r="T974" s="133">
        <f>CONCATENATE(A974," - contiene allergni - prodotto il giorno ",TEXT(Q974,"gg/mm/aaaa"),"")</f>
        <v/>
      </c>
    </row>
    <row r="975" ht="15" customHeight="1" s="155">
      <c r="A975" s="134">
        <f>ric!B975</f>
        <v/>
      </c>
      <c r="B975" s="118">
        <f>ric!C975</f>
        <v/>
      </c>
      <c r="C975" s="125">
        <f>ric!D975</f>
        <v/>
      </c>
      <c r="D975" s="125" t="n"/>
      <c r="E975" s="125" t="n"/>
      <c r="F975" s="125" t="n"/>
      <c r="G975" s="118">
        <f>CONCATENATE(A975, " ",#REF!, " / ",H975)</f>
        <v/>
      </c>
      <c r="H975" s="118" t="n"/>
      <c r="I975" s="119">
        <f>CONCATENATE(M975," - ",J975," - Lotto N° ",K975,"")</f>
        <v/>
      </c>
      <c r="J975" s="118" t="n"/>
      <c r="K975" s="118">
        <f>VLOOKUP(#REF!,Produzione,7,FALSE)</f>
        <v/>
      </c>
      <c r="L975" s="120" t="n"/>
      <c r="M975" s="120" t="n"/>
      <c r="N975" s="118" t="n"/>
      <c r="O975" s="121" t="n"/>
      <c r="P975" s="121" t="n"/>
      <c r="Q975" s="166">
        <f>TODAY()</f>
        <v/>
      </c>
      <c r="R975" s="165">
        <f>ElencoProdotti[[#This Row],[PRODUZIONE]]+20</f>
        <v/>
      </c>
      <c r="S975" s="165">
        <f>TODAY()</f>
        <v/>
      </c>
      <c r="T975" s="133">
        <f>CONCATENATE(A975," - contiene allergni - prodotto il giorno ",TEXT(Q975,"gg/mm/aaaa"),"")</f>
        <v/>
      </c>
    </row>
    <row r="976" ht="15" customHeight="1" s="155">
      <c r="A976" s="134">
        <f>ric!B976</f>
        <v/>
      </c>
      <c r="B976" s="118">
        <f>ric!C976</f>
        <v/>
      </c>
      <c r="C976" s="125">
        <f>ric!D976</f>
        <v/>
      </c>
      <c r="D976" s="125" t="n"/>
      <c r="E976" s="125" t="n"/>
      <c r="F976" s="125" t="n"/>
      <c r="G976" s="118">
        <f>CONCATENATE(A976, " ",#REF!, " / ",H976)</f>
        <v/>
      </c>
      <c r="H976" s="118" t="n"/>
      <c r="I976" s="119">
        <f>CONCATENATE(M976," - ",J976," - Lotto N° ",K976,"")</f>
        <v/>
      </c>
      <c r="J976" s="118" t="n"/>
      <c r="K976" s="118">
        <f>VLOOKUP(#REF!,Produzione,7,FALSE)</f>
        <v/>
      </c>
      <c r="L976" s="120" t="n"/>
      <c r="M976" s="120" t="n"/>
      <c r="N976" s="118" t="n"/>
      <c r="O976" s="121" t="n"/>
      <c r="P976" s="121" t="n"/>
      <c r="Q976" s="166">
        <f>TODAY()</f>
        <v/>
      </c>
      <c r="R976" s="165">
        <f>ElencoProdotti[[#This Row],[PRODUZIONE]]+20</f>
        <v/>
      </c>
      <c r="S976" s="165">
        <f>TODAY()</f>
        <v/>
      </c>
      <c r="T976" s="133">
        <f>CONCATENATE(A976," - contiene allergni - prodotto il giorno ",TEXT(Q976,"gg/mm/aaaa"),"")</f>
        <v/>
      </c>
    </row>
    <row r="977" ht="15" customHeight="1" s="155">
      <c r="A977" s="134">
        <f>ric!B977</f>
        <v/>
      </c>
      <c r="B977" s="118">
        <f>ric!C977</f>
        <v/>
      </c>
      <c r="C977" s="125">
        <f>ric!D977</f>
        <v/>
      </c>
      <c r="D977" s="125" t="n"/>
      <c r="E977" s="125" t="n"/>
      <c r="F977" s="125" t="n"/>
      <c r="G977" s="118">
        <f>CONCATENATE(A977, " ",#REF!, " / ",H977)</f>
        <v/>
      </c>
      <c r="H977" s="118" t="n"/>
      <c r="I977" s="119">
        <f>CONCATENATE(M977," - ",J977," - Lotto N° ",K977,"")</f>
        <v/>
      </c>
      <c r="J977" s="118" t="n"/>
      <c r="K977" s="118">
        <f>VLOOKUP(#REF!,Produzione,7,FALSE)</f>
        <v/>
      </c>
      <c r="L977" s="120" t="n"/>
      <c r="M977" s="120" t="n"/>
      <c r="N977" s="118" t="n"/>
      <c r="O977" s="121" t="n"/>
      <c r="P977" s="121" t="n"/>
      <c r="Q977" s="166">
        <f>TODAY()</f>
        <v/>
      </c>
      <c r="R977" s="165">
        <f>ElencoProdotti[[#This Row],[PRODUZIONE]]+20</f>
        <v/>
      </c>
      <c r="S977" s="165">
        <f>TODAY()</f>
        <v/>
      </c>
      <c r="T977" s="133">
        <f>CONCATENATE(A977," - contiene allergni - prodotto il giorno ",TEXT(Q977,"gg/mm/aaaa"),"")</f>
        <v/>
      </c>
    </row>
    <row r="978" ht="15" customHeight="1" s="155">
      <c r="A978" s="134">
        <f>ric!B978</f>
        <v/>
      </c>
      <c r="B978" s="118">
        <f>ric!C978</f>
        <v/>
      </c>
      <c r="C978" s="125">
        <f>ric!D978</f>
        <v/>
      </c>
      <c r="D978" s="125" t="n"/>
      <c r="E978" s="125" t="n"/>
      <c r="F978" s="125" t="n"/>
      <c r="G978" s="118">
        <f>CONCATENATE(A978, " ",#REF!, " / ",H978)</f>
        <v/>
      </c>
      <c r="H978" s="118" t="n"/>
      <c r="I978" s="119">
        <f>CONCATENATE(M978," - ",J978," - Lotto N° ",K978,"")</f>
        <v/>
      </c>
      <c r="J978" s="118" t="n"/>
      <c r="K978" s="118">
        <f>VLOOKUP(#REF!,Produzione,7,FALSE)</f>
        <v/>
      </c>
      <c r="L978" s="120" t="n"/>
      <c r="M978" s="120" t="n"/>
      <c r="N978" s="118" t="n"/>
      <c r="O978" s="121" t="n"/>
      <c r="P978" s="121" t="n"/>
      <c r="Q978" s="166">
        <f>TODAY()</f>
        <v/>
      </c>
      <c r="R978" s="165">
        <f>ElencoProdotti[[#This Row],[PRODUZIONE]]+20</f>
        <v/>
      </c>
      <c r="S978" s="165">
        <f>TODAY()</f>
        <v/>
      </c>
      <c r="T978" s="133">
        <f>CONCATENATE(A978," - contiene allergni - prodotto il giorno ",TEXT(Q978,"gg/mm/aaaa"),"")</f>
        <v/>
      </c>
    </row>
    <row r="979" ht="15" customHeight="1" s="155">
      <c r="A979" s="134">
        <f>ric!B979</f>
        <v/>
      </c>
      <c r="B979" s="118">
        <f>ric!C979</f>
        <v/>
      </c>
      <c r="C979" s="125">
        <f>ric!D979</f>
        <v/>
      </c>
      <c r="D979" s="125" t="n"/>
      <c r="E979" s="125" t="n"/>
      <c r="F979" s="125" t="n"/>
      <c r="G979" s="118">
        <f>CONCATENATE(A979, " ",#REF!, " / ",H979)</f>
        <v/>
      </c>
      <c r="H979" s="118" t="n"/>
      <c r="I979" s="119">
        <f>CONCATENATE(M979," - ",J979," - Lotto N° ",K979,"")</f>
        <v/>
      </c>
      <c r="J979" s="118" t="n"/>
      <c r="K979" s="118">
        <f>VLOOKUP(#REF!,Produzione,7,FALSE)</f>
        <v/>
      </c>
      <c r="L979" s="120" t="n"/>
      <c r="M979" s="120" t="n"/>
      <c r="N979" s="118" t="n"/>
      <c r="O979" s="121" t="n"/>
      <c r="P979" s="121" t="n"/>
      <c r="Q979" s="166">
        <f>TODAY()</f>
        <v/>
      </c>
      <c r="R979" s="165">
        <f>ElencoProdotti[[#This Row],[PRODUZIONE]]+20</f>
        <v/>
      </c>
      <c r="S979" s="165">
        <f>TODAY()</f>
        <v/>
      </c>
      <c r="T979" s="133">
        <f>CONCATENATE(A979," - contiene allergni - prodotto il giorno ",TEXT(Q979,"gg/mm/aaaa"),"")</f>
        <v/>
      </c>
    </row>
    <row r="980" ht="15" customHeight="1" s="155">
      <c r="A980" s="134">
        <f>ric!B980</f>
        <v/>
      </c>
      <c r="B980" s="118">
        <f>ric!C980</f>
        <v/>
      </c>
      <c r="C980" s="125">
        <f>ric!D980</f>
        <v/>
      </c>
      <c r="D980" s="125" t="n"/>
      <c r="E980" s="125" t="n"/>
      <c r="F980" s="125" t="n"/>
      <c r="G980" s="118">
        <f>CONCATENATE(A980, " ",#REF!, " / ",H980)</f>
        <v/>
      </c>
      <c r="H980" s="118" t="n"/>
      <c r="I980" s="119">
        <f>CONCATENATE(M980," - ",J980," - Lotto N° ",K980,"")</f>
        <v/>
      </c>
      <c r="J980" s="118" t="n"/>
      <c r="K980" s="118">
        <f>VLOOKUP(#REF!,Produzione,7,FALSE)</f>
        <v/>
      </c>
      <c r="L980" s="120" t="n"/>
      <c r="M980" s="120" t="n"/>
      <c r="N980" s="118" t="n"/>
      <c r="O980" s="121" t="n"/>
      <c r="P980" s="121" t="n"/>
      <c r="Q980" s="166">
        <f>TODAY()</f>
        <v/>
      </c>
      <c r="R980" s="165">
        <f>ElencoProdotti[[#This Row],[PRODUZIONE]]+20</f>
        <v/>
      </c>
      <c r="S980" s="165">
        <f>TODAY()</f>
        <v/>
      </c>
      <c r="T980" s="133">
        <f>CONCATENATE(A980," - contiene allergni - prodotto il giorno ",TEXT(Q980,"gg/mm/aaaa"),"")</f>
        <v/>
      </c>
    </row>
    <row r="981" ht="15" customHeight="1" s="155">
      <c r="A981" s="134">
        <f>ric!B981</f>
        <v/>
      </c>
      <c r="B981" s="118">
        <f>ric!C981</f>
        <v/>
      </c>
      <c r="C981" s="125">
        <f>ric!D981</f>
        <v/>
      </c>
      <c r="D981" s="125" t="n"/>
      <c r="E981" s="125" t="n"/>
      <c r="F981" s="125" t="n"/>
      <c r="G981" s="118">
        <f>CONCATENATE(A981, " ",#REF!, " / ",H981)</f>
        <v/>
      </c>
      <c r="H981" s="118" t="n"/>
      <c r="I981" s="119">
        <f>CONCATENATE(M981," - ",J981," - Lotto N° ",K981,"")</f>
        <v/>
      </c>
      <c r="J981" s="118" t="n"/>
      <c r="K981" s="118">
        <f>VLOOKUP(#REF!,Produzione,7,FALSE)</f>
        <v/>
      </c>
      <c r="L981" s="120" t="n"/>
      <c r="M981" s="120" t="n"/>
      <c r="N981" s="118" t="n"/>
      <c r="O981" s="121" t="n"/>
      <c r="P981" s="121" t="n"/>
      <c r="Q981" s="166">
        <f>TODAY()</f>
        <v/>
      </c>
      <c r="R981" s="165">
        <f>ElencoProdotti[[#This Row],[PRODUZIONE]]+20</f>
        <v/>
      </c>
      <c r="S981" s="165">
        <f>TODAY()</f>
        <v/>
      </c>
      <c r="T981" s="133">
        <f>CONCATENATE(A981," - contiene allergni - prodotto il giorno ",TEXT(Q981,"gg/mm/aaaa"),"")</f>
        <v/>
      </c>
    </row>
    <row r="982" ht="15" customHeight="1" s="155">
      <c r="A982" s="134">
        <f>ric!B982</f>
        <v/>
      </c>
      <c r="B982" s="118">
        <f>ric!C982</f>
        <v/>
      </c>
      <c r="C982" s="125">
        <f>ric!D982</f>
        <v/>
      </c>
      <c r="D982" s="125" t="n"/>
      <c r="E982" s="125" t="n"/>
      <c r="F982" s="125" t="n"/>
      <c r="G982" s="118">
        <f>CONCATENATE(A982, " ",#REF!, " / ",H982)</f>
        <v/>
      </c>
      <c r="H982" s="118" t="n"/>
      <c r="I982" s="119">
        <f>CONCATENATE(M982," - ",J982," - Lotto N° ",K982,"")</f>
        <v/>
      </c>
      <c r="J982" s="118" t="n"/>
      <c r="K982" s="118">
        <f>VLOOKUP(#REF!,Produzione,7,FALSE)</f>
        <v/>
      </c>
      <c r="L982" s="120" t="n"/>
      <c r="M982" s="120" t="n"/>
      <c r="N982" s="118" t="n"/>
      <c r="O982" s="121" t="n"/>
      <c r="P982" s="121" t="n"/>
      <c r="Q982" s="166">
        <f>TODAY()</f>
        <v/>
      </c>
      <c r="R982" s="165">
        <f>ElencoProdotti[[#This Row],[PRODUZIONE]]+20</f>
        <v/>
      </c>
      <c r="S982" s="165">
        <f>TODAY()</f>
        <v/>
      </c>
      <c r="T982" s="133">
        <f>CONCATENATE(A982," - contiene allergni - prodotto il giorno ",TEXT(Q982,"gg/mm/aaaa"),"")</f>
        <v/>
      </c>
    </row>
    <row r="983" ht="15" customHeight="1" s="155">
      <c r="A983" s="134">
        <f>ric!B983</f>
        <v/>
      </c>
      <c r="B983" s="118">
        <f>ric!C983</f>
        <v/>
      </c>
      <c r="C983" s="125">
        <f>ric!D983</f>
        <v/>
      </c>
      <c r="D983" s="125" t="n"/>
      <c r="E983" s="125" t="n"/>
      <c r="F983" s="125" t="n"/>
      <c r="G983" s="118">
        <f>CONCATENATE(A983, " ",#REF!, " / ",H983)</f>
        <v/>
      </c>
      <c r="H983" s="118" t="n"/>
      <c r="I983" s="119">
        <f>CONCATENATE(M983," - ",J983," - Lotto N° ",K983,"")</f>
        <v/>
      </c>
      <c r="J983" s="118" t="n"/>
      <c r="K983" s="118">
        <f>VLOOKUP(#REF!,Produzione,7,FALSE)</f>
        <v/>
      </c>
      <c r="L983" s="120" t="n"/>
      <c r="M983" s="120" t="n"/>
      <c r="N983" s="118" t="n"/>
      <c r="O983" s="121" t="n"/>
      <c r="P983" s="121" t="n"/>
      <c r="Q983" s="166">
        <f>TODAY()</f>
        <v/>
      </c>
      <c r="R983" s="165">
        <f>ElencoProdotti[[#This Row],[PRODUZIONE]]+20</f>
        <v/>
      </c>
      <c r="S983" s="165">
        <f>TODAY()</f>
        <v/>
      </c>
      <c r="T983" s="133">
        <f>CONCATENATE(A983," - contiene allergni - prodotto il giorno ",TEXT(Q983,"gg/mm/aaaa"),"")</f>
        <v/>
      </c>
    </row>
    <row r="984" ht="15" customHeight="1" s="155">
      <c r="A984" s="134">
        <f>ric!B984</f>
        <v/>
      </c>
      <c r="B984" s="118">
        <f>ric!C984</f>
        <v/>
      </c>
      <c r="C984" s="125">
        <f>ric!D984</f>
        <v/>
      </c>
      <c r="D984" s="125" t="n"/>
      <c r="E984" s="125" t="n"/>
      <c r="F984" s="125" t="n"/>
      <c r="G984" s="118">
        <f>CONCATENATE(A984, " ",#REF!, " / ",H984)</f>
        <v/>
      </c>
      <c r="H984" s="118" t="n"/>
      <c r="I984" s="119">
        <f>CONCATENATE(M984," - ",J984," - Lotto N° ",K984,"")</f>
        <v/>
      </c>
      <c r="J984" s="118" t="n"/>
      <c r="K984" s="118">
        <f>VLOOKUP(#REF!,Produzione,7,FALSE)</f>
        <v/>
      </c>
      <c r="L984" s="120" t="n"/>
      <c r="M984" s="120" t="n"/>
      <c r="N984" s="118" t="n"/>
      <c r="O984" s="121" t="n"/>
      <c r="P984" s="121" t="n"/>
      <c r="Q984" s="166">
        <f>TODAY()</f>
        <v/>
      </c>
      <c r="R984" s="165">
        <f>ElencoProdotti[[#This Row],[PRODUZIONE]]+20</f>
        <v/>
      </c>
      <c r="S984" s="165">
        <f>TODAY()</f>
        <v/>
      </c>
      <c r="T984" s="133">
        <f>CONCATENATE(A984," - contiene allergni - prodotto il giorno ",TEXT(Q984,"gg/mm/aaaa"),"")</f>
        <v/>
      </c>
    </row>
    <row r="985" ht="15" customHeight="1" s="155">
      <c r="A985" s="134">
        <f>ric!B985</f>
        <v/>
      </c>
      <c r="B985" s="118">
        <f>ric!C985</f>
        <v/>
      </c>
      <c r="C985" s="125">
        <f>ric!D985</f>
        <v/>
      </c>
      <c r="D985" s="125" t="n"/>
      <c r="E985" s="125" t="n"/>
      <c r="F985" s="125" t="n"/>
      <c r="G985" s="118">
        <f>CONCATENATE(A985, " ",#REF!, " / ",H985)</f>
        <v/>
      </c>
      <c r="H985" s="118" t="n"/>
      <c r="I985" s="119">
        <f>CONCATENATE(M985," - ",J985," - Lotto N° ",K985,"")</f>
        <v/>
      </c>
      <c r="J985" s="118" t="n"/>
      <c r="K985" s="118">
        <f>VLOOKUP(#REF!,Produzione,7,FALSE)</f>
        <v/>
      </c>
      <c r="L985" s="120" t="n"/>
      <c r="M985" s="120" t="n"/>
      <c r="N985" s="118" t="n"/>
      <c r="O985" s="121" t="n"/>
      <c r="P985" s="121" t="n"/>
      <c r="Q985" s="166">
        <f>TODAY()</f>
        <v/>
      </c>
      <c r="R985" s="165">
        <f>ElencoProdotti[[#This Row],[PRODUZIONE]]+20</f>
        <v/>
      </c>
      <c r="S985" s="165">
        <f>TODAY()</f>
        <v/>
      </c>
      <c r="T985" s="133">
        <f>CONCATENATE(A985," - contiene allergni - prodotto il giorno ",TEXT(Q985,"gg/mm/aaaa"),"")</f>
        <v/>
      </c>
    </row>
    <row r="986" ht="15" customHeight="1" s="155">
      <c r="A986" s="134">
        <f>ric!B986</f>
        <v/>
      </c>
      <c r="B986" s="118">
        <f>ric!C986</f>
        <v/>
      </c>
      <c r="C986" s="125">
        <f>ric!D986</f>
        <v/>
      </c>
      <c r="D986" s="125" t="n"/>
      <c r="E986" s="125" t="n"/>
      <c r="F986" s="125" t="n"/>
      <c r="G986" s="118">
        <f>CONCATENATE(A986, " ",#REF!, " / ",H986)</f>
        <v/>
      </c>
      <c r="H986" s="118" t="n"/>
      <c r="I986" s="119">
        <f>CONCATENATE(M986," - ",J986," - Lotto N° ",K986,"")</f>
        <v/>
      </c>
      <c r="J986" s="118" t="n"/>
      <c r="K986" s="118">
        <f>VLOOKUP(#REF!,Produzione,7,FALSE)</f>
        <v/>
      </c>
      <c r="L986" s="120" t="n"/>
      <c r="M986" s="120" t="n"/>
      <c r="N986" s="118" t="n"/>
      <c r="O986" s="121" t="n"/>
      <c r="P986" s="121" t="n"/>
      <c r="Q986" s="166">
        <f>TODAY()</f>
        <v/>
      </c>
      <c r="R986" s="165">
        <f>ElencoProdotti[[#This Row],[PRODUZIONE]]+20</f>
        <v/>
      </c>
      <c r="S986" s="165">
        <f>TODAY()</f>
        <v/>
      </c>
      <c r="T986" s="133">
        <f>CONCATENATE(A986," - contiene allergni - prodotto il giorno ",TEXT(Q986,"gg/mm/aaaa"),"")</f>
        <v/>
      </c>
    </row>
    <row r="987" ht="15" customHeight="1" s="155">
      <c r="A987" s="134">
        <f>ric!B987</f>
        <v/>
      </c>
      <c r="B987" s="118">
        <f>ric!C987</f>
        <v/>
      </c>
      <c r="C987" s="125">
        <f>ric!D987</f>
        <v/>
      </c>
      <c r="D987" s="125" t="n"/>
      <c r="E987" s="125" t="n"/>
      <c r="F987" s="125" t="n"/>
      <c r="G987" s="118">
        <f>CONCATENATE(A987, " ",#REF!, " / ",H987)</f>
        <v/>
      </c>
      <c r="H987" s="118" t="n"/>
      <c r="I987" s="119">
        <f>CONCATENATE(M987," - ",J987," - Lotto N° ",K987,"")</f>
        <v/>
      </c>
      <c r="J987" s="118" t="n"/>
      <c r="K987" s="118">
        <f>VLOOKUP(#REF!,Produzione,7,FALSE)</f>
        <v/>
      </c>
      <c r="L987" s="120" t="n"/>
      <c r="M987" s="120" t="n"/>
      <c r="N987" s="118" t="n"/>
      <c r="O987" s="121" t="n"/>
      <c r="P987" s="121" t="n"/>
      <c r="Q987" s="166">
        <f>TODAY()</f>
        <v/>
      </c>
      <c r="R987" s="165">
        <f>ElencoProdotti[[#This Row],[PRODUZIONE]]+20</f>
        <v/>
      </c>
      <c r="S987" s="165">
        <f>TODAY()</f>
        <v/>
      </c>
      <c r="T987" s="133">
        <f>CONCATENATE(A987," - contiene allergni - prodotto il giorno ",TEXT(Q987,"gg/mm/aaaa"),"")</f>
        <v/>
      </c>
    </row>
    <row r="988" ht="15" customHeight="1" s="155">
      <c r="A988" s="134">
        <f>ric!B988</f>
        <v/>
      </c>
      <c r="B988" s="118">
        <f>ric!C988</f>
        <v/>
      </c>
      <c r="C988" s="125">
        <f>ric!D988</f>
        <v/>
      </c>
      <c r="D988" s="125" t="n"/>
      <c r="E988" s="125" t="n"/>
      <c r="F988" s="125" t="n"/>
      <c r="G988" s="118">
        <f>CONCATENATE(A988, " ",#REF!, " / ",H988)</f>
        <v/>
      </c>
      <c r="H988" s="118" t="n"/>
      <c r="I988" s="119">
        <f>CONCATENATE(M988," - ",J988," - Lotto N° ",K988,"")</f>
        <v/>
      </c>
      <c r="J988" s="118" t="n"/>
      <c r="K988" s="118">
        <f>VLOOKUP(#REF!,Produzione,7,FALSE)</f>
        <v/>
      </c>
      <c r="L988" s="120" t="n"/>
      <c r="M988" s="120" t="n"/>
      <c r="N988" s="118" t="n"/>
      <c r="O988" s="121" t="n"/>
      <c r="P988" s="121" t="n"/>
      <c r="Q988" s="166">
        <f>TODAY()</f>
        <v/>
      </c>
      <c r="R988" s="165">
        <f>ElencoProdotti[[#This Row],[PRODUZIONE]]+20</f>
        <v/>
      </c>
      <c r="S988" s="165">
        <f>TODAY()</f>
        <v/>
      </c>
      <c r="T988" s="133">
        <f>CONCATENATE(A988," - contiene allergni - prodotto il giorno ",TEXT(Q988,"gg/mm/aaaa"),"")</f>
        <v/>
      </c>
    </row>
    <row r="989" ht="15" customHeight="1" s="155">
      <c r="A989" s="134">
        <f>ric!B989</f>
        <v/>
      </c>
      <c r="B989" s="118">
        <f>ric!C989</f>
        <v/>
      </c>
      <c r="C989" s="125">
        <f>ric!D989</f>
        <v/>
      </c>
      <c r="D989" s="125" t="n"/>
      <c r="E989" s="125" t="n"/>
      <c r="F989" s="125" t="n"/>
      <c r="G989" s="118">
        <f>CONCATENATE(A989, " ",#REF!, " / ",H989)</f>
        <v/>
      </c>
      <c r="H989" s="118" t="n"/>
      <c r="I989" s="119">
        <f>CONCATENATE(M989," - ",J989," - Lotto N° ",K989,"")</f>
        <v/>
      </c>
      <c r="J989" s="118" t="n"/>
      <c r="K989" s="118">
        <f>VLOOKUP(#REF!,Produzione,7,FALSE)</f>
        <v/>
      </c>
      <c r="L989" s="120" t="n"/>
      <c r="M989" s="120" t="n"/>
      <c r="N989" s="118" t="n"/>
      <c r="O989" s="121" t="n"/>
      <c r="P989" s="121" t="n"/>
      <c r="Q989" s="166">
        <f>TODAY()</f>
        <v/>
      </c>
      <c r="R989" s="165">
        <f>ElencoProdotti[[#This Row],[PRODUZIONE]]+20</f>
        <v/>
      </c>
      <c r="S989" s="165">
        <f>TODAY()</f>
        <v/>
      </c>
      <c r="T989" s="133">
        <f>CONCATENATE(A989," - contiene allergni - prodotto il giorno ",TEXT(Q989,"gg/mm/aaaa"),"")</f>
        <v/>
      </c>
    </row>
    <row r="990" ht="15" customHeight="1" s="155">
      <c r="A990" s="134">
        <f>ric!B990</f>
        <v/>
      </c>
      <c r="B990" s="118">
        <f>ric!C990</f>
        <v/>
      </c>
      <c r="C990" s="125">
        <f>ric!D990</f>
        <v/>
      </c>
      <c r="D990" s="125" t="n"/>
      <c r="E990" s="125" t="n"/>
      <c r="F990" s="125" t="n"/>
      <c r="G990" s="118">
        <f>CONCATENATE(A990, " ",#REF!, " / ",H990)</f>
        <v/>
      </c>
      <c r="H990" s="118" t="n"/>
      <c r="I990" s="119">
        <f>CONCATENATE(M990," - ",J990," - Lotto N° ",K990,"")</f>
        <v/>
      </c>
      <c r="J990" s="118" t="n"/>
      <c r="K990" s="118">
        <f>VLOOKUP(#REF!,Produzione,7,FALSE)</f>
        <v/>
      </c>
      <c r="L990" s="120" t="n"/>
      <c r="M990" s="120" t="n"/>
      <c r="N990" s="118" t="n"/>
      <c r="O990" s="121" t="n"/>
      <c r="P990" s="121" t="n"/>
      <c r="Q990" s="166">
        <f>TODAY()</f>
        <v/>
      </c>
      <c r="R990" s="165">
        <f>ElencoProdotti[[#This Row],[PRODUZIONE]]+20</f>
        <v/>
      </c>
      <c r="S990" s="165">
        <f>TODAY()</f>
        <v/>
      </c>
      <c r="T990" s="133">
        <f>CONCATENATE(A990," - contiene allergni - prodotto il giorno ",TEXT(Q990,"gg/mm/aaaa"),"")</f>
        <v/>
      </c>
    </row>
    <row r="991" ht="15" customHeight="1" s="155">
      <c r="A991" s="134">
        <f>ric!B991</f>
        <v/>
      </c>
      <c r="B991" s="118">
        <f>ric!C991</f>
        <v/>
      </c>
      <c r="C991" s="125">
        <f>ric!D991</f>
        <v/>
      </c>
      <c r="D991" s="125" t="n"/>
      <c r="E991" s="125" t="n"/>
      <c r="F991" s="125" t="n"/>
      <c r="G991" s="118">
        <f>CONCATENATE(A991, " ",#REF!, " / ",H991)</f>
        <v/>
      </c>
      <c r="H991" s="118" t="n"/>
      <c r="I991" s="119">
        <f>CONCATENATE(M991," - ",J991," - Lotto N° ",K991,"")</f>
        <v/>
      </c>
      <c r="J991" s="118" t="n"/>
      <c r="K991" s="118">
        <f>VLOOKUP(#REF!,Produzione,7,FALSE)</f>
        <v/>
      </c>
      <c r="L991" s="120" t="n"/>
      <c r="M991" s="120" t="n"/>
      <c r="N991" s="118" t="n"/>
      <c r="O991" s="121" t="n"/>
      <c r="P991" s="121" t="n"/>
      <c r="Q991" s="166">
        <f>TODAY()</f>
        <v/>
      </c>
      <c r="R991" s="165">
        <f>ElencoProdotti[[#This Row],[PRODUZIONE]]+20</f>
        <v/>
      </c>
      <c r="S991" s="165">
        <f>TODAY()</f>
        <v/>
      </c>
      <c r="T991" s="133">
        <f>CONCATENATE(A991," - contiene allergni - prodotto il giorno ",TEXT(Q991,"gg/mm/aaaa"),"")</f>
        <v/>
      </c>
    </row>
    <row r="992" ht="15" customHeight="1" s="155">
      <c r="A992" s="134">
        <f>ric!B992</f>
        <v/>
      </c>
      <c r="B992" s="118">
        <f>ric!C992</f>
        <v/>
      </c>
      <c r="C992" s="125">
        <f>ric!D992</f>
        <v/>
      </c>
      <c r="D992" s="125" t="n"/>
      <c r="E992" s="125" t="n"/>
      <c r="F992" s="125" t="n"/>
      <c r="G992" s="118">
        <f>CONCATENATE(A992, " ",#REF!, " / ",H992)</f>
        <v/>
      </c>
      <c r="H992" s="118" t="n"/>
      <c r="I992" s="119">
        <f>CONCATENATE(M992," - ",J992," - Lotto N° ",K992,"")</f>
        <v/>
      </c>
      <c r="J992" s="118" t="n"/>
      <c r="K992" s="118">
        <f>VLOOKUP(#REF!,Produzione,7,FALSE)</f>
        <v/>
      </c>
      <c r="L992" s="120" t="n"/>
      <c r="M992" s="120" t="n"/>
      <c r="N992" s="118" t="n"/>
      <c r="O992" s="121" t="n"/>
      <c r="P992" s="121" t="n"/>
      <c r="Q992" s="166">
        <f>TODAY()</f>
        <v/>
      </c>
      <c r="R992" s="165">
        <f>ElencoProdotti[[#This Row],[PRODUZIONE]]+20</f>
        <v/>
      </c>
      <c r="S992" s="165">
        <f>TODAY()</f>
        <v/>
      </c>
      <c r="T992" s="133">
        <f>CONCATENATE(A992," - contiene allergni - prodotto il giorno ",TEXT(Q992,"gg/mm/aaaa"),"")</f>
        <v/>
      </c>
    </row>
    <row r="993" ht="15" customHeight="1" s="155">
      <c r="A993" s="134">
        <f>ric!B993</f>
        <v/>
      </c>
      <c r="B993" s="118">
        <f>ric!C993</f>
        <v/>
      </c>
      <c r="C993" s="125">
        <f>ric!D993</f>
        <v/>
      </c>
      <c r="D993" s="125" t="n"/>
      <c r="E993" s="125" t="n"/>
      <c r="F993" s="125" t="n"/>
      <c r="G993" s="118">
        <f>CONCATENATE(A993, " ",#REF!, " / ",H993)</f>
        <v/>
      </c>
      <c r="H993" s="118" t="n"/>
      <c r="I993" s="119">
        <f>CONCATENATE(M993," - ",J993," - Lotto N° ",K993,"")</f>
        <v/>
      </c>
      <c r="J993" s="118" t="n"/>
      <c r="K993" s="118">
        <f>VLOOKUP(#REF!,Produzione,7,FALSE)</f>
        <v/>
      </c>
      <c r="L993" s="120" t="n"/>
      <c r="M993" s="120" t="n"/>
      <c r="N993" s="118" t="n"/>
      <c r="O993" s="121" t="n"/>
      <c r="P993" s="121" t="n"/>
      <c r="Q993" s="166">
        <f>TODAY()</f>
        <v/>
      </c>
      <c r="R993" s="165">
        <f>ElencoProdotti[[#This Row],[PRODUZIONE]]+20</f>
        <v/>
      </c>
      <c r="S993" s="165">
        <f>TODAY()</f>
        <v/>
      </c>
      <c r="T993" s="133">
        <f>CONCATENATE(A993," - contiene allergni - prodotto il giorno ",TEXT(Q993,"gg/mm/aaaa"),"")</f>
        <v/>
      </c>
    </row>
    <row r="994" ht="15" customHeight="1" s="155">
      <c r="A994" s="134">
        <f>ric!B994</f>
        <v/>
      </c>
      <c r="B994" s="118">
        <f>ric!C994</f>
        <v/>
      </c>
      <c r="C994" s="125">
        <f>ric!D994</f>
        <v/>
      </c>
      <c r="D994" s="125" t="n"/>
      <c r="E994" s="125" t="n"/>
      <c r="F994" s="125" t="n"/>
      <c r="G994" s="118">
        <f>CONCATENATE(A994, " ",#REF!, " / ",H994)</f>
        <v/>
      </c>
      <c r="H994" s="118" t="n"/>
      <c r="I994" s="119">
        <f>CONCATENATE(M994," - ",J994," - Lotto N° ",K994,"")</f>
        <v/>
      </c>
      <c r="J994" s="118" t="n"/>
      <c r="K994" s="118">
        <f>VLOOKUP(#REF!,Produzione,7,FALSE)</f>
        <v/>
      </c>
      <c r="L994" s="120" t="n"/>
      <c r="M994" s="120" t="n"/>
      <c r="N994" s="118" t="n"/>
      <c r="O994" s="121" t="n"/>
      <c r="P994" s="121" t="n"/>
      <c r="Q994" s="166">
        <f>TODAY()</f>
        <v/>
      </c>
      <c r="R994" s="165">
        <f>ElencoProdotti[[#This Row],[PRODUZIONE]]+20</f>
        <v/>
      </c>
      <c r="S994" s="165">
        <f>TODAY()</f>
        <v/>
      </c>
      <c r="T994" s="133">
        <f>CONCATENATE(A994," - contiene allergni - prodotto il giorno ",TEXT(Q994,"gg/mm/aaaa"),"")</f>
        <v/>
      </c>
    </row>
    <row r="995" ht="15" customHeight="1" s="155">
      <c r="A995" s="134">
        <f>ric!B995</f>
        <v/>
      </c>
      <c r="B995" s="118">
        <f>ric!C995</f>
        <v/>
      </c>
      <c r="C995" s="125">
        <f>ric!D995</f>
        <v/>
      </c>
      <c r="D995" s="125" t="n"/>
      <c r="E995" s="125" t="n"/>
      <c r="F995" s="125" t="n"/>
      <c r="G995" s="118">
        <f>CONCATENATE(A995, " ",#REF!, " / ",H995)</f>
        <v/>
      </c>
      <c r="H995" s="118" t="n"/>
      <c r="I995" s="119">
        <f>CONCATENATE(M995," - ",J995," - Lotto N° ",K995,"")</f>
        <v/>
      </c>
      <c r="J995" s="118" t="n"/>
      <c r="K995" s="118">
        <f>VLOOKUP(#REF!,Produzione,7,FALSE)</f>
        <v/>
      </c>
      <c r="L995" s="120" t="n"/>
      <c r="M995" s="120" t="n"/>
      <c r="N995" s="118" t="n"/>
      <c r="O995" s="121" t="n"/>
      <c r="P995" s="121" t="n"/>
      <c r="Q995" s="166">
        <f>TODAY()</f>
        <v/>
      </c>
      <c r="R995" s="165">
        <f>ElencoProdotti[[#This Row],[PRODUZIONE]]+20</f>
        <v/>
      </c>
      <c r="S995" s="165">
        <f>TODAY()</f>
        <v/>
      </c>
      <c r="T995" s="133">
        <f>CONCATENATE(A995," - contiene allergni - prodotto il giorno ",TEXT(Q995,"gg/mm/aaaa"),"")</f>
        <v/>
      </c>
    </row>
    <row r="996" ht="15" customHeight="1" s="155">
      <c r="A996" s="134">
        <f>ric!B996</f>
        <v/>
      </c>
      <c r="B996" s="118">
        <f>ric!C996</f>
        <v/>
      </c>
      <c r="C996" s="125">
        <f>ric!D996</f>
        <v/>
      </c>
      <c r="D996" s="125" t="n"/>
      <c r="E996" s="125" t="n"/>
      <c r="F996" s="125" t="n"/>
      <c r="G996" s="118">
        <f>CONCATENATE(A996, " ",#REF!, " / ",H996)</f>
        <v/>
      </c>
      <c r="H996" s="118" t="n"/>
      <c r="I996" s="119">
        <f>CONCATENATE(M996," - ",J996," - Lotto N° ",K996,"")</f>
        <v/>
      </c>
      <c r="J996" s="118" t="n"/>
      <c r="K996" s="118">
        <f>VLOOKUP(#REF!,Produzione,7,FALSE)</f>
        <v/>
      </c>
      <c r="L996" s="120" t="n"/>
      <c r="M996" s="120" t="n"/>
      <c r="N996" s="118" t="n"/>
      <c r="O996" s="121" t="n"/>
      <c r="P996" s="121" t="n"/>
      <c r="Q996" s="166">
        <f>TODAY()</f>
        <v/>
      </c>
      <c r="R996" s="165">
        <f>ElencoProdotti[[#This Row],[PRODUZIONE]]+20</f>
        <v/>
      </c>
      <c r="S996" s="165">
        <f>TODAY()</f>
        <v/>
      </c>
      <c r="T996" s="133">
        <f>CONCATENATE(A996," - contiene allergni - prodotto il giorno ",TEXT(Q996,"gg/mm/aaaa"),"")</f>
        <v/>
      </c>
    </row>
    <row r="997" ht="15" customHeight="1" s="155">
      <c r="A997" s="134">
        <f>ric!B997</f>
        <v/>
      </c>
      <c r="B997" s="118">
        <f>ric!C997</f>
        <v/>
      </c>
      <c r="C997" s="125">
        <f>ric!D997</f>
        <v/>
      </c>
      <c r="D997" s="125" t="n"/>
      <c r="E997" s="125" t="n"/>
      <c r="F997" s="125" t="n"/>
      <c r="G997" s="118">
        <f>CONCATENATE(A997, " ",#REF!, " / ",H997)</f>
        <v/>
      </c>
      <c r="H997" s="118" t="n"/>
      <c r="I997" s="119">
        <f>CONCATENATE(M997," - ",J997," - Lotto N° ",K997,"")</f>
        <v/>
      </c>
      <c r="J997" s="118" t="n"/>
      <c r="K997" s="118">
        <f>VLOOKUP(#REF!,Produzione,7,FALSE)</f>
        <v/>
      </c>
      <c r="L997" s="120" t="n"/>
      <c r="M997" s="120" t="n"/>
      <c r="N997" s="118" t="n"/>
      <c r="O997" s="121" t="n"/>
      <c r="P997" s="121" t="n"/>
      <c r="Q997" s="166">
        <f>TODAY()</f>
        <v/>
      </c>
      <c r="R997" s="165">
        <f>ElencoProdotti[[#This Row],[PRODUZIONE]]+20</f>
        <v/>
      </c>
      <c r="S997" s="165">
        <f>TODAY()</f>
        <v/>
      </c>
      <c r="T997" s="133">
        <f>CONCATENATE(A997," - contiene allergni - prodotto il giorno ",TEXT(Q997,"gg/mm/aaaa"),"")</f>
        <v/>
      </c>
    </row>
    <row r="998" ht="15" customHeight="1" s="155">
      <c r="A998" s="134">
        <f>ric!B998</f>
        <v/>
      </c>
      <c r="B998" s="118">
        <f>ric!C998</f>
        <v/>
      </c>
      <c r="C998" s="125">
        <f>ric!D998</f>
        <v/>
      </c>
      <c r="D998" s="125" t="n"/>
      <c r="E998" s="125" t="n"/>
      <c r="F998" s="125" t="n"/>
      <c r="G998" s="118">
        <f>CONCATENATE(A998, " ",#REF!, " / ",H998)</f>
        <v/>
      </c>
      <c r="H998" s="118" t="n"/>
      <c r="I998" s="119">
        <f>CONCATENATE(M998," - ",J998," - Lotto N° ",K998,"")</f>
        <v/>
      </c>
      <c r="J998" s="118" t="n"/>
      <c r="K998" s="118">
        <f>VLOOKUP(#REF!,Produzione,7,FALSE)</f>
        <v/>
      </c>
      <c r="L998" s="120" t="n"/>
      <c r="M998" s="120" t="n"/>
      <c r="N998" s="118" t="n"/>
      <c r="O998" s="121" t="n"/>
      <c r="P998" s="121" t="n"/>
      <c r="Q998" s="166">
        <f>TODAY()</f>
        <v/>
      </c>
      <c r="R998" s="165">
        <f>ElencoProdotti[[#This Row],[PRODUZIONE]]+20</f>
        <v/>
      </c>
      <c r="S998" s="165">
        <f>TODAY()</f>
        <v/>
      </c>
      <c r="T998" s="133">
        <f>CONCATENATE(A998," - contiene allergni - prodotto il giorno ",TEXT(Q998,"gg/mm/aaaa"),"")</f>
        <v/>
      </c>
    </row>
    <row r="999" ht="15" customHeight="1" s="155">
      <c r="A999" s="134">
        <f>ric!B999</f>
        <v/>
      </c>
      <c r="B999" s="118">
        <f>ric!C999</f>
        <v/>
      </c>
      <c r="C999" s="125">
        <f>ric!D999</f>
        <v/>
      </c>
      <c r="D999" s="125" t="n"/>
      <c r="E999" s="125" t="n"/>
      <c r="F999" s="125" t="n"/>
      <c r="G999" s="118">
        <f>CONCATENATE(A999, " ",#REF!, " / ",H999)</f>
        <v/>
      </c>
      <c r="H999" s="118" t="n"/>
      <c r="I999" s="119">
        <f>CONCATENATE(M999," - ",J999," - Lotto N° ",K999,"")</f>
        <v/>
      </c>
      <c r="J999" s="118" t="n"/>
      <c r="K999" s="118">
        <f>VLOOKUP(#REF!,Produzione,7,FALSE)</f>
        <v/>
      </c>
      <c r="L999" s="120" t="n"/>
      <c r="M999" s="120" t="n"/>
      <c r="N999" s="118" t="n"/>
      <c r="O999" s="121" t="n"/>
      <c r="P999" s="121" t="n"/>
      <c r="Q999" s="166">
        <f>TODAY()</f>
        <v/>
      </c>
      <c r="R999" s="165">
        <f>ElencoProdotti[[#This Row],[PRODUZIONE]]+20</f>
        <v/>
      </c>
      <c r="S999" s="165">
        <f>TODAY()</f>
        <v/>
      </c>
      <c r="T999" s="133">
        <f>CONCATENATE(A999," - contiene allergni - prodotto il giorno ",TEXT(Q999,"gg/mm/aaaa"),"")</f>
        <v/>
      </c>
    </row>
    <row r="1000" ht="15" customHeight="1" s="155">
      <c r="A1000" s="134">
        <f>ric!B1000</f>
        <v/>
      </c>
      <c r="B1000" s="118">
        <f>ric!C1000</f>
        <v/>
      </c>
      <c r="C1000" s="125">
        <f>ric!D1000</f>
        <v/>
      </c>
      <c r="D1000" s="125" t="n"/>
      <c r="E1000" s="125" t="n"/>
      <c r="F1000" s="125" t="n"/>
      <c r="G1000" s="118">
        <f>CONCATENATE(A1000, " ",#REF!, " / ",H1000)</f>
        <v/>
      </c>
      <c r="H1000" s="118" t="n"/>
      <c r="I1000" s="119">
        <f>CONCATENATE(M1000," - ",J1000," - Lotto N° ",K1000,"")</f>
        <v/>
      </c>
      <c r="J1000" s="118" t="n"/>
      <c r="K1000" s="118">
        <f>VLOOKUP(#REF!,Produzione,7,FALSE)</f>
        <v/>
      </c>
      <c r="L1000" s="120" t="n"/>
      <c r="M1000" s="120" t="n"/>
      <c r="N1000" s="118" t="n"/>
      <c r="O1000" s="121" t="n"/>
      <c r="P1000" s="121" t="n"/>
      <c r="Q1000" s="166">
        <f>TODAY()</f>
        <v/>
      </c>
      <c r="R1000" s="165">
        <f>ElencoProdotti[[#This Row],[PRODUZIONE]]+20</f>
        <v/>
      </c>
      <c r="S1000" s="165">
        <f>TODAY()</f>
        <v/>
      </c>
      <c r="T1000" s="133">
        <f>CONCATENATE(A1000," - contiene allergni - prodotto il giorno ",TEXT(Q1000,"gg/mm/aaaa"),"")</f>
        <v/>
      </c>
    </row>
    <row r="1001" ht="15" customHeight="1" s="155">
      <c r="A1001" s="134">
        <f>ric!B1001</f>
        <v/>
      </c>
      <c r="B1001" s="118">
        <f>ric!C1001</f>
        <v/>
      </c>
      <c r="C1001" s="125">
        <f>ric!D1001</f>
        <v/>
      </c>
      <c r="D1001" s="125" t="n"/>
      <c r="E1001" s="125" t="n"/>
      <c r="F1001" s="125" t="n"/>
      <c r="G1001" s="118">
        <f>CONCATENATE(A1001, " ",#REF!, " / ",H1001)</f>
        <v/>
      </c>
      <c r="H1001" s="118" t="n"/>
      <c r="I1001" s="119">
        <f>CONCATENATE(M1001," - ",J1001," - Lotto N° ",K1001,"")</f>
        <v/>
      </c>
      <c r="J1001" s="118" t="n"/>
      <c r="K1001" s="118">
        <f>VLOOKUP(#REF!,Produzione,7,FALSE)</f>
        <v/>
      </c>
      <c r="L1001" s="120" t="n"/>
      <c r="M1001" s="120" t="n"/>
      <c r="N1001" s="118" t="n"/>
      <c r="O1001" s="121" t="n"/>
      <c r="P1001" s="121" t="n"/>
      <c r="Q1001" s="166">
        <f>TODAY()</f>
        <v/>
      </c>
      <c r="R1001" s="165">
        <f>ElencoProdotti[[#This Row],[PRODUZIONE]]+20</f>
        <v/>
      </c>
      <c r="S1001" s="165">
        <f>TODAY()</f>
        <v/>
      </c>
      <c r="T1001" s="133">
        <f>CONCATENATE(A1001," - contiene allergni - prodotto il giorno ",TEXT(Q1001,"gg/mm/aaaa"),"")</f>
        <v/>
      </c>
    </row>
    <row r="1002" ht="15" customHeight="1" s="155">
      <c r="A1002" s="134">
        <f>ric!B1002</f>
        <v/>
      </c>
      <c r="B1002" s="118">
        <f>ric!C1002</f>
        <v/>
      </c>
      <c r="C1002" s="125">
        <f>ric!D1002</f>
        <v/>
      </c>
      <c r="D1002" s="125" t="n"/>
      <c r="E1002" s="125" t="n"/>
      <c r="F1002" s="125" t="n"/>
      <c r="G1002" s="118">
        <f>CONCATENATE(A1002, " ",#REF!, " / ",H1002)</f>
        <v/>
      </c>
      <c r="H1002" s="118" t="n"/>
      <c r="I1002" s="119">
        <f>CONCATENATE(M1002," - ",J1002," - Lotto N° ",K1002,"")</f>
        <v/>
      </c>
      <c r="J1002" s="118" t="n"/>
      <c r="K1002" s="118">
        <f>VLOOKUP(#REF!,Produzione,7,FALSE)</f>
        <v/>
      </c>
      <c r="L1002" s="120" t="n"/>
      <c r="M1002" s="120" t="n"/>
      <c r="N1002" s="118" t="n"/>
      <c r="O1002" s="121" t="n"/>
      <c r="P1002" s="121" t="n"/>
      <c r="Q1002" s="166">
        <f>TODAY()</f>
        <v/>
      </c>
      <c r="R1002" s="165">
        <f>ElencoProdotti[[#This Row],[PRODUZIONE]]+20</f>
        <v/>
      </c>
      <c r="S1002" s="165">
        <f>TODAY()</f>
        <v/>
      </c>
      <c r="T1002" s="133">
        <f>CONCATENATE(A1002," - contiene allergni - prodotto il giorno ",TEXT(Q1002,"gg/mm/aaaa"),"")</f>
        <v/>
      </c>
    </row>
    <row r="1003" ht="15" customHeight="1" s="155">
      <c r="A1003" s="134">
        <f>ric!B1003</f>
        <v/>
      </c>
      <c r="B1003" s="118">
        <f>ric!C1003</f>
        <v/>
      </c>
      <c r="C1003" s="125">
        <f>ric!D1003</f>
        <v/>
      </c>
      <c r="D1003" s="125" t="n"/>
      <c r="E1003" s="125" t="n"/>
      <c r="F1003" s="125" t="n"/>
      <c r="G1003" s="118">
        <f>CONCATENATE(A1003, " ",#REF!, " / ",H1003)</f>
        <v/>
      </c>
      <c r="H1003" s="118" t="n"/>
      <c r="I1003" s="119">
        <f>CONCATENATE(M1003," - ",J1003," - Lotto N° ",K1003,"")</f>
        <v/>
      </c>
      <c r="J1003" s="118" t="n"/>
      <c r="K1003" s="118">
        <f>VLOOKUP(#REF!,Produzione,7,FALSE)</f>
        <v/>
      </c>
      <c r="L1003" s="120" t="n"/>
      <c r="M1003" s="120" t="n"/>
      <c r="N1003" s="118" t="n"/>
      <c r="O1003" s="121" t="n"/>
      <c r="P1003" s="121" t="n"/>
      <c r="Q1003" s="166">
        <f>TODAY()</f>
        <v/>
      </c>
      <c r="R1003" s="165">
        <f>ElencoProdotti[[#This Row],[PRODUZIONE]]+20</f>
        <v/>
      </c>
      <c r="S1003" s="165">
        <f>TODAY()</f>
        <v/>
      </c>
      <c r="T1003" s="133">
        <f>CONCATENATE(A1003," - contiene allergni - prodotto il giorno ",TEXT(Q1003,"gg/mm/aaaa"),"")</f>
        <v/>
      </c>
    </row>
    <row r="1004" ht="15" customHeight="1" s="155">
      <c r="A1004" s="134">
        <f>ric!B1004</f>
        <v/>
      </c>
      <c r="B1004" s="118">
        <f>ric!C1004</f>
        <v/>
      </c>
      <c r="C1004" s="125">
        <f>ric!D1004</f>
        <v/>
      </c>
      <c r="D1004" s="125" t="n"/>
      <c r="E1004" s="125" t="n"/>
      <c r="F1004" s="125" t="n"/>
      <c r="G1004" s="118">
        <f>CONCATENATE(A1004, " ",#REF!, " / ",H1004)</f>
        <v/>
      </c>
      <c r="H1004" s="118" t="n"/>
      <c r="I1004" s="119">
        <f>CONCATENATE(M1004," - ",J1004," - Lotto N° ",K1004,"")</f>
        <v/>
      </c>
      <c r="J1004" s="118" t="n"/>
      <c r="K1004" s="118">
        <f>VLOOKUP(#REF!,Produzione,7,FALSE)</f>
        <v/>
      </c>
      <c r="L1004" s="120" t="n"/>
      <c r="M1004" s="120" t="n"/>
      <c r="N1004" s="118" t="n"/>
      <c r="O1004" s="121" t="n"/>
      <c r="P1004" s="121" t="n"/>
      <c r="Q1004" s="166">
        <f>TODAY()</f>
        <v/>
      </c>
      <c r="R1004" s="165">
        <f>ElencoProdotti[[#This Row],[PRODUZIONE]]+20</f>
        <v/>
      </c>
      <c r="S1004" s="165">
        <f>TODAY()</f>
        <v/>
      </c>
      <c r="T1004" s="133">
        <f>CONCATENATE(A1004," - contiene allergni - prodotto il giorno ",TEXT(Q1004,"gg/mm/aaaa"),"")</f>
        <v/>
      </c>
    </row>
    <row r="1005" ht="15" customHeight="1" s="155">
      <c r="A1005" s="134">
        <f>ric!B1005</f>
        <v/>
      </c>
      <c r="B1005" s="118">
        <f>ric!C1005</f>
        <v/>
      </c>
      <c r="C1005" s="125">
        <f>ric!D1005</f>
        <v/>
      </c>
      <c r="D1005" s="125" t="n"/>
      <c r="E1005" s="125" t="n"/>
      <c r="F1005" s="125" t="n"/>
      <c r="G1005" s="118">
        <f>CONCATENATE(A1005, " ",#REF!, " / ",H1005)</f>
        <v/>
      </c>
      <c r="H1005" s="118" t="n"/>
      <c r="I1005" s="119">
        <f>CONCATENATE(M1005," - ",J1005," - Lotto N° ",K1005,"")</f>
        <v/>
      </c>
      <c r="J1005" s="118" t="n"/>
      <c r="K1005" s="118">
        <f>VLOOKUP(#REF!,Produzione,7,FALSE)</f>
        <v/>
      </c>
      <c r="L1005" s="120" t="n"/>
      <c r="M1005" s="120" t="n"/>
      <c r="N1005" s="118" t="n"/>
      <c r="O1005" s="121" t="n"/>
      <c r="P1005" s="121" t="n"/>
      <c r="Q1005" s="166">
        <f>TODAY()</f>
        <v/>
      </c>
      <c r="R1005" s="165">
        <f>ElencoProdotti[[#This Row],[PRODUZIONE]]+20</f>
        <v/>
      </c>
      <c r="S1005" s="165">
        <f>TODAY()</f>
        <v/>
      </c>
      <c r="T1005" s="133">
        <f>CONCATENATE(A1005," - contiene allergni - prodotto il giorno ",TEXT(Q1005,"gg/mm/aaaa"),"")</f>
        <v/>
      </c>
    </row>
    <row r="1006" ht="15" customHeight="1" s="155">
      <c r="A1006" s="134">
        <f>ric!B1006</f>
        <v/>
      </c>
      <c r="B1006" s="118">
        <f>ric!C1006</f>
        <v/>
      </c>
      <c r="C1006" s="125">
        <f>ric!D1006</f>
        <v/>
      </c>
      <c r="D1006" s="125" t="n"/>
      <c r="E1006" s="125" t="n"/>
      <c r="F1006" s="125" t="n"/>
      <c r="G1006" s="118">
        <f>CONCATENATE(A1006, " ",#REF!, " / ",H1006)</f>
        <v/>
      </c>
      <c r="H1006" s="118" t="n"/>
      <c r="I1006" s="119">
        <f>CONCATENATE(M1006," - ",J1006," - Lotto N° ",K1006,"")</f>
        <v/>
      </c>
      <c r="J1006" s="118" t="n"/>
      <c r="K1006" s="118">
        <f>VLOOKUP(#REF!,Produzione,7,FALSE)</f>
        <v/>
      </c>
      <c r="L1006" s="120" t="n"/>
      <c r="M1006" s="120" t="n"/>
      <c r="N1006" s="118" t="n"/>
      <c r="O1006" s="121" t="n"/>
      <c r="P1006" s="121" t="n"/>
      <c r="Q1006" s="166">
        <f>TODAY()</f>
        <v/>
      </c>
      <c r="R1006" s="165">
        <f>ElencoProdotti[[#This Row],[PRODUZIONE]]+20</f>
        <v/>
      </c>
      <c r="S1006" s="165">
        <f>TODAY()</f>
        <v/>
      </c>
      <c r="T1006" s="133">
        <f>CONCATENATE(A1006," - contiene allergni - prodotto il giorno ",TEXT(Q1006,"gg/mm/aaaa"),"")</f>
        <v/>
      </c>
    </row>
    <row r="1007" ht="15" customHeight="1" s="155">
      <c r="A1007" s="134">
        <f>ric!B1007</f>
        <v/>
      </c>
      <c r="B1007" s="118">
        <f>ric!C1007</f>
        <v/>
      </c>
      <c r="C1007" s="125">
        <f>ric!D1007</f>
        <v/>
      </c>
      <c r="D1007" s="125" t="n"/>
      <c r="E1007" s="125" t="n"/>
      <c r="F1007" s="125" t="n"/>
      <c r="G1007" s="118">
        <f>CONCATENATE(A1007, " ",#REF!, " / ",H1007)</f>
        <v/>
      </c>
      <c r="H1007" s="118" t="n"/>
      <c r="I1007" s="119">
        <f>CONCATENATE(M1007," - ",J1007," - Lotto N° ",K1007,"")</f>
        <v/>
      </c>
      <c r="J1007" s="118" t="n"/>
      <c r="K1007" s="118">
        <f>VLOOKUP(#REF!,Produzione,7,FALSE)</f>
        <v/>
      </c>
      <c r="L1007" s="120" t="n"/>
      <c r="M1007" s="120" t="n"/>
      <c r="N1007" s="118" t="n"/>
      <c r="O1007" s="121" t="n"/>
      <c r="P1007" s="121" t="n"/>
      <c r="Q1007" s="166">
        <f>TODAY()</f>
        <v/>
      </c>
      <c r="R1007" s="165">
        <f>ElencoProdotti[[#This Row],[PRODUZIONE]]+20</f>
        <v/>
      </c>
      <c r="S1007" s="165">
        <f>TODAY()</f>
        <v/>
      </c>
      <c r="T1007" s="133">
        <f>CONCATENATE(A1007," - contiene allergni - prodotto il giorno ",TEXT(Q1007,"gg/mm/aaaa"),"")</f>
        <v/>
      </c>
    </row>
    <row r="1008" ht="15" customHeight="1" s="155">
      <c r="A1008" s="134">
        <f>ric!B1008</f>
        <v/>
      </c>
      <c r="B1008" s="118">
        <f>ric!C1008</f>
        <v/>
      </c>
      <c r="C1008" s="125">
        <f>ric!D1008</f>
        <v/>
      </c>
      <c r="D1008" s="125" t="n"/>
      <c r="E1008" s="125" t="n"/>
      <c r="F1008" s="125" t="n"/>
      <c r="G1008" s="118">
        <f>CONCATENATE(A1008, " ",#REF!, " / ",H1008)</f>
        <v/>
      </c>
      <c r="H1008" s="118" t="n"/>
      <c r="I1008" s="119">
        <f>CONCATENATE(M1008," - ",J1008," - Lotto N° ",K1008,"")</f>
        <v/>
      </c>
      <c r="J1008" s="118" t="n"/>
      <c r="K1008" s="118">
        <f>VLOOKUP(#REF!,Produzione,7,FALSE)</f>
        <v/>
      </c>
      <c r="L1008" s="120" t="n"/>
      <c r="M1008" s="120" t="n"/>
      <c r="N1008" s="118" t="n"/>
      <c r="O1008" s="121" t="n"/>
      <c r="P1008" s="121" t="n"/>
      <c r="Q1008" s="166">
        <f>TODAY()</f>
        <v/>
      </c>
      <c r="R1008" s="165">
        <f>ElencoProdotti[[#This Row],[PRODUZIONE]]+20</f>
        <v/>
      </c>
      <c r="S1008" s="165">
        <f>TODAY()</f>
        <v/>
      </c>
      <c r="T1008" s="133">
        <f>CONCATENATE(A1008," - contiene allergni - prodotto il giorno ",TEXT(Q1008,"gg/mm/aaaa"),"")</f>
        <v/>
      </c>
    </row>
    <row r="1009" ht="15" customHeight="1" s="155">
      <c r="A1009" s="134">
        <f>ric!B1009</f>
        <v/>
      </c>
      <c r="B1009" s="118">
        <f>ric!C1009</f>
        <v/>
      </c>
      <c r="C1009" s="125">
        <f>ric!D1009</f>
        <v/>
      </c>
      <c r="D1009" s="125" t="n"/>
      <c r="E1009" s="125" t="n"/>
      <c r="F1009" s="125" t="n"/>
      <c r="G1009" s="118">
        <f>CONCATENATE(A1009, " ",#REF!, " / ",H1009)</f>
        <v/>
      </c>
      <c r="H1009" s="118" t="n"/>
      <c r="I1009" s="119">
        <f>CONCATENATE(M1009," - ",J1009," - Lotto N° ",K1009,"")</f>
        <v/>
      </c>
      <c r="J1009" s="118" t="n"/>
      <c r="K1009" s="118">
        <f>VLOOKUP(#REF!,Produzione,7,FALSE)</f>
        <v/>
      </c>
      <c r="L1009" s="120" t="n"/>
      <c r="M1009" s="120" t="n"/>
      <c r="N1009" s="118" t="n"/>
      <c r="O1009" s="121" t="n"/>
      <c r="P1009" s="121" t="n"/>
      <c r="Q1009" s="166">
        <f>TODAY()</f>
        <v/>
      </c>
      <c r="R1009" s="165">
        <f>ElencoProdotti[[#This Row],[PRODUZIONE]]+20</f>
        <v/>
      </c>
      <c r="S1009" s="165">
        <f>TODAY()</f>
        <v/>
      </c>
      <c r="T1009" s="133">
        <f>CONCATENATE(A1009," - contiene allergni - prodotto il giorno ",TEXT(Q1009,"gg/mm/aaaa"),"")</f>
        <v/>
      </c>
    </row>
    <row r="1010" ht="15" customHeight="1" s="155">
      <c r="A1010" s="134">
        <f>ric!B1010</f>
        <v/>
      </c>
      <c r="B1010" s="118">
        <f>ric!C1010</f>
        <v/>
      </c>
      <c r="C1010" s="125">
        <f>ric!D1010</f>
        <v/>
      </c>
      <c r="D1010" s="125" t="n"/>
      <c r="E1010" s="125" t="n"/>
      <c r="F1010" s="125" t="n"/>
      <c r="G1010" s="118">
        <f>CONCATENATE(A1010, " ",#REF!, " / ",H1010)</f>
        <v/>
      </c>
      <c r="H1010" s="118" t="n"/>
      <c r="I1010" s="119">
        <f>CONCATENATE(M1010," - ",J1010," - Lotto N° ",K1010,"")</f>
        <v/>
      </c>
      <c r="J1010" s="118" t="n"/>
      <c r="K1010" s="118">
        <f>VLOOKUP(#REF!,Produzione,7,FALSE)</f>
        <v/>
      </c>
      <c r="L1010" s="120" t="n"/>
      <c r="M1010" s="120" t="n"/>
      <c r="N1010" s="118" t="n"/>
      <c r="O1010" s="121" t="n"/>
      <c r="P1010" s="121" t="n"/>
      <c r="Q1010" s="166">
        <f>TODAY()</f>
        <v/>
      </c>
      <c r="R1010" s="165">
        <f>ElencoProdotti[[#This Row],[PRODUZIONE]]+20</f>
        <v/>
      </c>
      <c r="S1010" s="165">
        <f>TODAY()</f>
        <v/>
      </c>
      <c r="T1010" s="133">
        <f>CONCATENATE(A1010," - contiene allergni - prodotto il giorno ",TEXT(Q1010,"gg/mm/aaaa"),"")</f>
        <v/>
      </c>
    </row>
    <row r="1011" ht="15" customHeight="1" s="155">
      <c r="A1011" s="134">
        <f>ric!B1011</f>
        <v/>
      </c>
      <c r="B1011" s="118">
        <f>ric!C1011</f>
        <v/>
      </c>
      <c r="C1011" s="125">
        <f>ric!D1011</f>
        <v/>
      </c>
      <c r="D1011" s="125" t="n"/>
      <c r="E1011" s="125" t="n"/>
      <c r="F1011" s="125" t="n"/>
      <c r="G1011" s="118">
        <f>CONCATENATE(A1011, " ",#REF!, " / ",H1011)</f>
        <v/>
      </c>
      <c r="H1011" s="118" t="n"/>
      <c r="I1011" s="119">
        <f>CONCATENATE(M1011," - ",J1011," - Lotto N° ",K1011,"")</f>
        <v/>
      </c>
      <c r="J1011" s="118" t="n"/>
      <c r="K1011" s="118">
        <f>VLOOKUP(#REF!,Produzione,7,FALSE)</f>
        <v/>
      </c>
      <c r="L1011" s="120" t="n"/>
      <c r="M1011" s="120" t="n"/>
      <c r="N1011" s="118" t="n"/>
      <c r="O1011" s="121" t="n"/>
      <c r="P1011" s="121" t="n"/>
      <c r="Q1011" s="166">
        <f>TODAY()</f>
        <v/>
      </c>
      <c r="R1011" s="165">
        <f>ElencoProdotti[[#This Row],[PRODUZIONE]]+20</f>
        <v/>
      </c>
      <c r="S1011" s="165">
        <f>TODAY()</f>
        <v/>
      </c>
      <c r="T1011" s="133">
        <f>CONCATENATE(A1011," - contiene allergni - prodotto il giorno ",TEXT(Q1011,"gg/mm/aaaa"),"")</f>
        <v/>
      </c>
    </row>
    <row r="1012" ht="15" customHeight="1" s="155">
      <c r="A1012" s="134">
        <f>ric!B1012</f>
        <v/>
      </c>
      <c r="B1012" s="118">
        <f>ric!C1012</f>
        <v/>
      </c>
      <c r="C1012" s="125">
        <f>ric!D1012</f>
        <v/>
      </c>
      <c r="D1012" s="125" t="n"/>
      <c r="E1012" s="125" t="n"/>
      <c r="F1012" s="125" t="n"/>
      <c r="G1012" s="118">
        <f>CONCATENATE(A1012, " ",#REF!, " / ",H1012)</f>
        <v/>
      </c>
      <c r="H1012" s="118" t="n"/>
      <c r="I1012" s="119">
        <f>CONCATENATE(M1012," - ",J1012," - Lotto N° ",K1012,"")</f>
        <v/>
      </c>
      <c r="J1012" s="118" t="n"/>
      <c r="K1012" s="118">
        <f>VLOOKUP(#REF!,Produzione,7,FALSE)</f>
        <v/>
      </c>
      <c r="L1012" s="120" t="n"/>
      <c r="M1012" s="120" t="n"/>
      <c r="N1012" s="118" t="n"/>
      <c r="O1012" s="121" t="n"/>
      <c r="P1012" s="121" t="n"/>
      <c r="Q1012" s="166">
        <f>TODAY()</f>
        <v/>
      </c>
      <c r="R1012" s="165">
        <f>ElencoProdotti[[#This Row],[PRODUZIONE]]+20</f>
        <v/>
      </c>
      <c r="S1012" s="165">
        <f>TODAY()</f>
        <v/>
      </c>
      <c r="T1012" s="133">
        <f>CONCATENATE(A1012," - contiene allergni - prodotto il giorno ",TEXT(Q1012,"gg/mm/aaaa"),"")</f>
        <v/>
      </c>
    </row>
    <row r="1013" ht="15" customHeight="1" s="155">
      <c r="A1013" s="134">
        <f>ric!B1013</f>
        <v/>
      </c>
      <c r="B1013" s="118">
        <f>ric!C1013</f>
        <v/>
      </c>
      <c r="C1013" s="125">
        <f>ric!D1013</f>
        <v/>
      </c>
      <c r="D1013" s="125" t="n"/>
      <c r="E1013" s="125" t="n"/>
      <c r="F1013" s="125" t="n"/>
      <c r="G1013" s="118">
        <f>CONCATENATE(A1013, " ",#REF!, " / ",H1013)</f>
        <v/>
      </c>
      <c r="H1013" s="118" t="n"/>
      <c r="I1013" s="119">
        <f>CONCATENATE(M1013," - ",J1013," - Lotto N° ",K1013,"")</f>
        <v/>
      </c>
      <c r="J1013" s="118" t="n"/>
      <c r="K1013" s="118">
        <f>VLOOKUP(#REF!,Produzione,7,FALSE)</f>
        <v/>
      </c>
      <c r="L1013" s="120" t="n"/>
      <c r="M1013" s="120" t="n"/>
      <c r="N1013" s="118" t="n"/>
      <c r="O1013" s="121" t="n"/>
      <c r="P1013" s="121" t="n"/>
      <c r="Q1013" s="166">
        <f>TODAY()</f>
        <v/>
      </c>
      <c r="R1013" s="165">
        <f>ElencoProdotti[[#This Row],[PRODUZIONE]]+20</f>
        <v/>
      </c>
      <c r="S1013" s="165">
        <f>TODAY()</f>
        <v/>
      </c>
      <c r="T1013" s="133">
        <f>CONCATENATE(A1013," - contiene allergni - prodotto il giorno ",TEXT(Q1013,"gg/mm/aaaa"),"")</f>
        <v/>
      </c>
    </row>
    <row r="1014" ht="15" customHeight="1" s="155">
      <c r="A1014" s="134">
        <f>ric!B1014</f>
        <v/>
      </c>
      <c r="B1014" s="118">
        <f>ric!C1014</f>
        <v/>
      </c>
      <c r="C1014" s="125">
        <f>ric!D1014</f>
        <v/>
      </c>
      <c r="D1014" s="125" t="n"/>
      <c r="E1014" s="125" t="n"/>
      <c r="F1014" s="125" t="n"/>
      <c r="G1014" s="118">
        <f>CONCATENATE(A1014, " ",#REF!, " / ",H1014)</f>
        <v/>
      </c>
      <c r="H1014" s="118" t="n"/>
      <c r="I1014" s="119">
        <f>CONCATENATE(M1014," - ",J1014," - Lotto N° ",K1014,"")</f>
        <v/>
      </c>
      <c r="J1014" s="118" t="n"/>
      <c r="K1014" s="118">
        <f>VLOOKUP(#REF!,Produzione,7,FALSE)</f>
        <v/>
      </c>
      <c r="L1014" s="120" t="n"/>
      <c r="M1014" s="120" t="n"/>
      <c r="N1014" s="118" t="n"/>
      <c r="O1014" s="121" t="n"/>
      <c r="P1014" s="121" t="n"/>
      <c r="Q1014" s="166">
        <f>TODAY()</f>
        <v/>
      </c>
      <c r="R1014" s="165">
        <f>ElencoProdotti[[#This Row],[PRODUZIONE]]+20</f>
        <v/>
      </c>
      <c r="S1014" s="165">
        <f>TODAY()</f>
        <v/>
      </c>
      <c r="T1014" s="133">
        <f>CONCATENATE(A1014," - contiene allergni - prodotto il giorno ",TEXT(Q1014,"gg/mm/aaaa"),"")</f>
        <v/>
      </c>
    </row>
    <row r="1015" ht="15" customHeight="1" s="155">
      <c r="A1015" s="134">
        <f>ric!B1015</f>
        <v/>
      </c>
      <c r="B1015" s="118">
        <f>ric!C1015</f>
        <v/>
      </c>
      <c r="C1015" s="125">
        <f>ric!D1015</f>
        <v/>
      </c>
      <c r="D1015" s="125" t="n"/>
      <c r="E1015" s="125" t="n"/>
      <c r="F1015" s="125" t="n"/>
      <c r="G1015" s="118">
        <f>CONCATENATE(A1015, " ",#REF!, " / ",H1015)</f>
        <v/>
      </c>
      <c r="H1015" s="118" t="n"/>
      <c r="I1015" s="119">
        <f>CONCATENATE(M1015," - ",J1015," - Lotto N° ",K1015,"")</f>
        <v/>
      </c>
      <c r="J1015" s="118" t="n"/>
      <c r="K1015" s="118">
        <f>VLOOKUP(#REF!,Produzione,7,FALSE)</f>
        <v/>
      </c>
      <c r="L1015" s="120" t="n"/>
      <c r="M1015" s="120" t="n"/>
      <c r="N1015" s="118" t="n"/>
      <c r="O1015" s="121" t="n"/>
      <c r="P1015" s="121" t="n"/>
      <c r="Q1015" s="166">
        <f>TODAY()</f>
        <v/>
      </c>
      <c r="R1015" s="165">
        <f>ElencoProdotti[[#This Row],[PRODUZIONE]]+20</f>
        <v/>
      </c>
      <c r="S1015" s="165">
        <f>TODAY()</f>
        <v/>
      </c>
      <c r="T1015" s="133">
        <f>CONCATENATE(A1015," - contiene allergni - prodotto il giorno ",TEXT(Q1015,"gg/mm/aaaa"),"")</f>
        <v/>
      </c>
    </row>
    <row r="1016" ht="15" customHeight="1" s="155">
      <c r="A1016" s="134">
        <f>ric!B1016</f>
        <v/>
      </c>
      <c r="B1016" s="118">
        <f>ric!C1016</f>
        <v/>
      </c>
      <c r="C1016" s="125">
        <f>ric!D1016</f>
        <v/>
      </c>
      <c r="D1016" s="125" t="n"/>
      <c r="E1016" s="125" t="n"/>
      <c r="F1016" s="125" t="n"/>
      <c r="G1016" s="118">
        <f>CONCATENATE(A1016, " ",#REF!, " / ",H1016)</f>
        <v/>
      </c>
      <c r="H1016" s="118" t="n"/>
      <c r="I1016" s="119">
        <f>CONCATENATE(M1016," - ",J1016," - Lotto N° ",K1016,"")</f>
        <v/>
      </c>
      <c r="J1016" s="118" t="n"/>
      <c r="K1016" s="118">
        <f>VLOOKUP(#REF!,Produzione,7,FALSE)</f>
        <v/>
      </c>
      <c r="L1016" s="120" t="n"/>
      <c r="M1016" s="120" t="n"/>
      <c r="N1016" s="118" t="n"/>
      <c r="O1016" s="121" t="n"/>
      <c r="P1016" s="121" t="n"/>
      <c r="Q1016" s="166">
        <f>TODAY()</f>
        <v/>
      </c>
      <c r="R1016" s="165">
        <f>ElencoProdotti[[#This Row],[PRODUZIONE]]+20</f>
        <v/>
      </c>
      <c r="S1016" s="165">
        <f>TODAY()</f>
        <v/>
      </c>
      <c r="T1016" s="133">
        <f>CONCATENATE(A1016," - contiene allergni - prodotto il giorno ",TEXT(Q1016,"gg/mm/aaaa"),"")</f>
        <v/>
      </c>
    </row>
    <row r="1017" ht="15" customHeight="1" s="155">
      <c r="A1017" s="134">
        <f>ric!B1017</f>
        <v/>
      </c>
      <c r="B1017" s="118">
        <f>ric!C1017</f>
        <v/>
      </c>
      <c r="C1017" s="125">
        <f>ric!D1017</f>
        <v/>
      </c>
      <c r="D1017" s="125" t="n"/>
      <c r="E1017" s="125" t="n"/>
      <c r="F1017" s="125" t="n"/>
      <c r="G1017" s="118">
        <f>CONCATENATE(A1017, " ",#REF!, " / ",H1017)</f>
        <v/>
      </c>
      <c r="H1017" s="118" t="n"/>
      <c r="I1017" s="119">
        <f>CONCATENATE(M1017," - ",J1017," - Lotto N° ",K1017,"")</f>
        <v/>
      </c>
      <c r="J1017" s="118" t="n"/>
      <c r="K1017" s="118">
        <f>VLOOKUP(#REF!,Produzione,7,FALSE)</f>
        <v/>
      </c>
      <c r="L1017" s="120" t="n"/>
      <c r="M1017" s="120" t="n"/>
      <c r="N1017" s="118" t="n"/>
      <c r="O1017" s="121" t="n"/>
      <c r="P1017" s="121" t="n"/>
      <c r="Q1017" s="166">
        <f>TODAY()</f>
        <v/>
      </c>
      <c r="R1017" s="165">
        <f>ElencoProdotti[[#This Row],[PRODUZIONE]]+20</f>
        <v/>
      </c>
      <c r="S1017" s="165">
        <f>TODAY()</f>
        <v/>
      </c>
      <c r="T1017" s="133">
        <f>CONCATENATE(A1017," - contiene allergni - prodotto il giorno ",TEXT(Q1017,"gg/mm/aaaa"),"")</f>
        <v/>
      </c>
    </row>
    <row r="1018" ht="15" customHeight="1" s="155">
      <c r="A1018" s="134">
        <f>ric!B1018</f>
        <v/>
      </c>
      <c r="B1018" s="118">
        <f>ric!C1018</f>
        <v/>
      </c>
      <c r="C1018" s="125">
        <f>ric!D1018</f>
        <v/>
      </c>
      <c r="D1018" s="125" t="n"/>
      <c r="E1018" s="125" t="n"/>
      <c r="F1018" s="125" t="n"/>
      <c r="G1018" s="118">
        <f>CONCATENATE(A1018, " ",#REF!, " / ",H1018)</f>
        <v/>
      </c>
      <c r="H1018" s="118" t="n"/>
      <c r="I1018" s="119">
        <f>CONCATENATE(M1018," - ",J1018," - Lotto N° ",K1018,"")</f>
        <v/>
      </c>
      <c r="J1018" s="118" t="n"/>
      <c r="K1018" s="118">
        <f>VLOOKUP(#REF!,Produzione,7,FALSE)</f>
        <v/>
      </c>
      <c r="L1018" s="120" t="n"/>
      <c r="M1018" s="120" t="n"/>
      <c r="N1018" s="118" t="n"/>
      <c r="O1018" s="121" t="n"/>
      <c r="P1018" s="121" t="n"/>
      <c r="Q1018" s="166">
        <f>TODAY()</f>
        <v/>
      </c>
      <c r="R1018" s="165">
        <f>ElencoProdotti[[#This Row],[PRODUZIONE]]+20</f>
        <v/>
      </c>
      <c r="S1018" s="165">
        <f>TODAY()</f>
        <v/>
      </c>
      <c r="T1018" s="133">
        <f>CONCATENATE(A1018," - contiene allergni - prodotto il giorno ",TEXT(Q1018,"gg/mm/aaaa"),"")</f>
        <v/>
      </c>
    </row>
    <row r="1019" ht="15" customHeight="1" s="155">
      <c r="A1019" s="134">
        <f>ric!B1019</f>
        <v/>
      </c>
      <c r="B1019" s="118">
        <f>ric!C1019</f>
        <v/>
      </c>
      <c r="C1019" s="125">
        <f>ric!D1019</f>
        <v/>
      </c>
      <c r="D1019" s="125" t="n"/>
      <c r="E1019" s="125" t="n"/>
      <c r="F1019" s="125" t="n"/>
      <c r="G1019" s="118">
        <f>CONCATENATE(A1019, " ",#REF!, " / ",H1019)</f>
        <v/>
      </c>
      <c r="H1019" s="118" t="n"/>
      <c r="I1019" s="119">
        <f>CONCATENATE(M1019," - ",J1019," - Lotto N° ",K1019,"")</f>
        <v/>
      </c>
      <c r="J1019" s="118" t="n"/>
      <c r="K1019" s="118">
        <f>VLOOKUP(#REF!,Produzione,7,FALSE)</f>
        <v/>
      </c>
      <c r="L1019" s="120" t="n"/>
      <c r="M1019" s="120" t="n"/>
      <c r="N1019" s="118" t="n"/>
      <c r="O1019" s="121" t="n"/>
      <c r="P1019" s="121" t="n"/>
      <c r="Q1019" s="166">
        <f>TODAY()</f>
        <v/>
      </c>
      <c r="R1019" s="165">
        <f>ElencoProdotti[[#This Row],[PRODUZIONE]]+20</f>
        <v/>
      </c>
      <c r="S1019" s="165">
        <f>TODAY()</f>
        <v/>
      </c>
      <c r="T1019" s="133">
        <f>CONCATENATE(A1019," - contiene allergni - prodotto il giorno ",TEXT(Q1019,"gg/mm/aaaa"),"")</f>
        <v/>
      </c>
    </row>
    <row r="1020" ht="15" customHeight="1" s="155">
      <c r="A1020" s="134">
        <f>ric!B1020</f>
        <v/>
      </c>
      <c r="B1020" s="118">
        <f>ric!C1020</f>
        <v/>
      </c>
      <c r="C1020" s="125">
        <f>ric!D1020</f>
        <v/>
      </c>
      <c r="D1020" s="125" t="n"/>
      <c r="E1020" s="125" t="n"/>
      <c r="F1020" s="125" t="n"/>
      <c r="G1020" s="118">
        <f>CONCATENATE(A1020, " ",#REF!, " / ",H1020)</f>
        <v/>
      </c>
      <c r="H1020" s="118" t="n"/>
      <c r="I1020" s="119">
        <f>CONCATENATE(M1020," - ",J1020," - Lotto N° ",K1020,"")</f>
        <v/>
      </c>
      <c r="J1020" s="118" t="n"/>
      <c r="K1020" s="118">
        <f>VLOOKUP(#REF!,Produzione,7,FALSE)</f>
        <v/>
      </c>
      <c r="L1020" s="120" t="n"/>
      <c r="M1020" s="120" t="n"/>
      <c r="N1020" s="118" t="n"/>
      <c r="O1020" s="121" t="n"/>
      <c r="P1020" s="121" t="n"/>
      <c r="Q1020" s="166">
        <f>TODAY()</f>
        <v/>
      </c>
      <c r="R1020" s="165">
        <f>ElencoProdotti[[#This Row],[PRODUZIONE]]+20</f>
        <v/>
      </c>
      <c r="S1020" s="165">
        <f>TODAY()</f>
        <v/>
      </c>
      <c r="T1020" s="133">
        <f>CONCATENATE(A1020," - contiene allergni - prodotto il giorno ",TEXT(Q1020,"gg/mm/aaaa"),"")</f>
        <v/>
      </c>
    </row>
    <row r="1021" ht="15" customHeight="1" s="155">
      <c r="A1021" s="134">
        <f>ric!B1021</f>
        <v/>
      </c>
      <c r="B1021" s="118">
        <f>ric!C1021</f>
        <v/>
      </c>
      <c r="C1021" s="125">
        <f>ric!D1021</f>
        <v/>
      </c>
      <c r="D1021" s="125" t="n"/>
      <c r="E1021" s="125" t="n"/>
      <c r="F1021" s="125" t="n"/>
      <c r="G1021" s="118">
        <f>CONCATENATE(A1021, " ",#REF!, " / ",H1021)</f>
        <v/>
      </c>
      <c r="H1021" s="118" t="n"/>
      <c r="I1021" s="119">
        <f>CONCATENATE(M1021," - ",J1021," - Lotto N° ",K1021,"")</f>
        <v/>
      </c>
      <c r="J1021" s="118" t="n"/>
      <c r="K1021" s="118">
        <f>VLOOKUP(#REF!,Produzione,7,FALSE)</f>
        <v/>
      </c>
      <c r="L1021" s="120" t="n"/>
      <c r="M1021" s="120" t="n"/>
      <c r="N1021" s="118" t="n"/>
      <c r="O1021" s="121" t="n"/>
      <c r="P1021" s="121" t="n"/>
      <c r="Q1021" s="166">
        <f>TODAY()</f>
        <v/>
      </c>
      <c r="R1021" s="165">
        <f>ElencoProdotti[[#This Row],[PRODUZIONE]]+20</f>
        <v/>
      </c>
      <c r="S1021" s="165">
        <f>TODAY()</f>
        <v/>
      </c>
      <c r="T1021" s="133">
        <f>CONCATENATE(A1021," - contiene allergni - prodotto il giorno ",TEXT(Q1021,"gg/mm/aaaa"),"")</f>
        <v/>
      </c>
    </row>
    <row r="1022" ht="15" customHeight="1" s="155">
      <c r="A1022" s="134">
        <f>ric!B1022</f>
        <v/>
      </c>
      <c r="B1022" s="118">
        <f>ric!C1022</f>
        <v/>
      </c>
      <c r="C1022" s="125">
        <f>ric!D1022</f>
        <v/>
      </c>
      <c r="D1022" s="125" t="n"/>
      <c r="E1022" s="125" t="n"/>
      <c r="F1022" s="125" t="n"/>
      <c r="G1022" s="118">
        <f>CONCATENATE(A1022, " ",#REF!, " / ",H1022)</f>
        <v/>
      </c>
      <c r="H1022" s="118" t="n"/>
      <c r="I1022" s="119">
        <f>CONCATENATE(M1022," - ",J1022," - Lotto N° ",K1022,"")</f>
        <v/>
      </c>
      <c r="J1022" s="118" t="n"/>
      <c r="K1022" s="118">
        <f>VLOOKUP(#REF!,Produzione,7,FALSE)</f>
        <v/>
      </c>
      <c r="L1022" s="120" t="n"/>
      <c r="M1022" s="120" t="n"/>
      <c r="N1022" s="118" t="n"/>
      <c r="O1022" s="121" t="n"/>
      <c r="P1022" s="121" t="n"/>
      <c r="Q1022" s="166">
        <f>TODAY()</f>
        <v/>
      </c>
      <c r="R1022" s="165">
        <f>ElencoProdotti[[#This Row],[PRODUZIONE]]+20</f>
        <v/>
      </c>
      <c r="S1022" s="165">
        <f>TODAY()</f>
        <v/>
      </c>
      <c r="T1022" s="133">
        <f>CONCATENATE(A1022," - contiene allergni - prodotto il giorno ",TEXT(Q1022,"gg/mm/aaaa"),"")</f>
        <v/>
      </c>
    </row>
    <row r="1023" ht="15" customHeight="1" s="155">
      <c r="A1023" s="134">
        <f>ric!B1023</f>
        <v/>
      </c>
      <c r="B1023" s="118">
        <f>ric!C1023</f>
        <v/>
      </c>
      <c r="C1023" s="125">
        <f>ric!D1023</f>
        <v/>
      </c>
      <c r="D1023" s="125" t="n"/>
      <c r="E1023" s="125" t="n"/>
      <c r="F1023" s="125" t="n"/>
      <c r="G1023" s="118">
        <f>CONCATENATE(A1023, " ",#REF!, " / ",H1023)</f>
        <v/>
      </c>
      <c r="H1023" s="118" t="n"/>
      <c r="I1023" s="119">
        <f>CONCATENATE(M1023," - ",J1023," - Lotto N° ",K1023,"")</f>
        <v/>
      </c>
      <c r="J1023" s="118" t="n"/>
      <c r="K1023" s="118">
        <f>VLOOKUP(#REF!,Produzione,7,FALSE)</f>
        <v/>
      </c>
      <c r="L1023" s="120" t="n"/>
      <c r="M1023" s="120" t="n"/>
      <c r="N1023" s="118" t="n"/>
      <c r="O1023" s="121" t="n"/>
      <c r="P1023" s="121" t="n"/>
      <c r="Q1023" s="166">
        <f>TODAY()</f>
        <v/>
      </c>
      <c r="R1023" s="165">
        <f>ElencoProdotti[[#This Row],[PRODUZIONE]]+20</f>
        <v/>
      </c>
      <c r="S1023" s="165">
        <f>TODAY()</f>
        <v/>
      </c>
      <c r="T1023" s="133">
        <f>CONCATENATE(A1023," - contiene allergni - prodotto il giorno ",TEXT(Q1023,"gg/mm/aaaa"),"")</f>
        <v/>
      </c>
    </row>
    <row r="1024" ht="15" customHeight="1" s="155">
      <c r="A1024" s="134">
        <f>ric!B1024</f>
        <v/>
      </c>
      <c r="B1024" s="118">
        <f>ric!C1024</f>
        <v/>
      </c>
      <c r="C1024" s="125">
        <f>ric!D1024</f>
        <v/>
      </c>
      <c r="D1024" s="125" t="n"/>
      <c r="E1024" s="125" t="n"/>
      <c r="F1024" s="125" t="n"/>
      <c r="G1024" s="118">
        <f>CONCATENATE(A1024, " ",#REF!, " / ",H1024)</f>
        <v/>
      </c>
      <c r="H1024" s="118" t="n"/>
      <c r="I1024" s="119">
        <f>CONCATENATE(M1024," - ",J1024," - Lotto N° ",K1024,"")</f>
        <v/>
      </c>
      <c r="J1024" s="118" t="n"/>
      <c r="K1024" s="118">
        <f>VLOOKUP(#REF!,Produzione,7,FALSE)</f>
        <v/>
      </c>
      <c r="L1024" s="120" t="n"/>
      <c r="M1024" s="120" t="n"/>
      <c r="N1024" s="118" t="n"/>
      <c r="O1024" s="121" t="n"/>
      <c r="P1024" s="121" t="n"/>
      <c r="Q1024" s="166">
        <f>TODAY()</f>
        <v/>
      </c>
      <c r="R1024" s="165">
        <f>ElencoProdotti[[#This Row],[PRODUZIONE]]+20</f>
        <v/>
      </c>
      <c r="S1024" s="165">
        <f>TODAY()</f>
        <v/>
      </c>
      <c r="T1024" s="133">
        <f>CONCATENATE(A1024," - contiene allergni - prodotto il giorno ",TEXT(Q1024,"gg/mm/aaaa"),"")</f>
        <v/>
      </c>
    </row>
    <row r="1025" ht="15" customHeight="1" s="155">
      <c r="A1025" s="134">
        <f>ric!B1025</f>
        <v/>
      </c>
      <c r="B1025" s="118">
        <f>ric!C1025</f>
        <v/>
      </c>
      <c r="C1025" s="125">
        <f>ric!D1025</f>
        <v/>
      </c>
      <c r="D1025" s="125" t="n"/>
      <c r="E1025" s="125" t="n"/>
      <c r="F1025" s="125" t="n"/>
      <c r="G1025" s="118">
        <f>CONCATENATE(A1025, " ",#REF!, " / ",H1025)</f>
        <v/>
      </c>
      <c r="H1025" s="118" t="n"/>
      <c r="I1025" s="119">
        <f>CONCATENATE(M1025," - ",J1025," - Lotto N° ",K1025,"")</f>
        <v/>
      </c>
      <c r="J1025" s="118" t="n"/>
      <c r="K1025" s="118">
        <f>VLOOKUP(#REF!,Produzione,7,FALSE)</f>
        <v/>
      </c>
      <c r="L1025" s="120" t="n"/>
      <c r="M1025" s="120" t="n"/>
      <c r="N1025" s="118" t="n"/>
      <c r="O1025" s="121" t="n"/>
      <c r="P1025" s="121" t="n"/>
      <c r="Q1025" s="166">
        <f>TODAY()</f>
        <v/>
      </c>
      <c r="R1025" s="165">
        <f>ElencoProdotti[[#This Row],[PRODUZIONE]]+20</f>
        <v/>
      </c>
      <c r="S1025" s="165">
        <f>TODAY()</f>
        <v/>
      </c>
      <c r="T1025" s="133">
        <f>CONCATENATE(A1025," - contiene allergni - prodotto il giorno ",TEXT(Q1025,"gg/mm/aaaa"),"")</f>
        <v/>
      </c>
    </row>
    <row r="1026" ht="15" customHeight="1" s="155">
      <c r="A1026" s="134">
        <f>ric!B1026</f>
        <v/>
      </c>
      <c r="B1026" s="118">
        <f>ric!C1026</f>
        <v/>
      </c>
      <c r="C1026" s="125">
        <f>ric!D1026</f>
        <v/>
      </c>
      <c r="D1026" s="125" t="n"/>
      <c r="E1026" s="125" t="n"/>
      <c r="F1026" s="125" t="n"/>
      <c r="G1026" s="118">
        <f>CONCATENATE(A1026, " ",#REF!, " / ",H1026)</f>
        <v/>
      </c>
      <c r="H1026" s="118" t="n"/>
      <c r="I1026" s="119">
        <f>CONCATENATE(M1026," - ",J1026," - Lotto N° ",K1026,"")</f>
        <v/>
      </c>
      <c r="J1026" s="118" t="n"/>
      <c r="K1026" s="118">
        <f>VLOOKUP(#REF!,Produzione,7,FALSE)</f>
        <v/>
      </c>
      <c r="L1026" s="120" t="n"/>
      <c r="M1026" s="120" t="n"/>
      <c r="N1026" s="118" t="n"/>
      <c r="O1026" s="121" t="n"/>
      <c r="P1026" s="121" t="n"/>
      <c r="Q1026" s="166">
        <f>TODAY()</f>
        <v/>
      </c>
      <c r="R1026" s="165">
        <f>ElencoProdotti[[#This Row],[PRODUZIONE]]+20</f>
        <v/>
      </c>
      <c r="S1026" s="165">
        <f>TODAY()</f>
        <v/>
      </c>
      <c r="T1026" s="133">
        <f>CONCATENATE(A1026," - contiene allergni - prodotto il giorno ",TEXT(Q1026,"gg/mm/aaaa"),"")</f>
        <v/>
      </c>
    </row>
    <row r="1027" ht="15" customHeight="1" s="155">
      <c r="A1027" s="134">
        <f>ric!B1027</f>
        <v/>
      </c>
      <c r="B1027" s="118">
        <f>ric!C1027</f>
        <v/>
      </c>
      <c r="C1027" s="125">
        <f>ric!D1027</f>
        <v/>
      </c>
      <c r="D1027" s="125" t="n"/>
      <c r="E1027" s="125" t="n"/>
      <c r="F1027" s="125" t="n"/>
      <c r="G1027" s="118">
        <f>CONCATENATE(A1027, " ",#REF!, " / ",H1027)</f>
        <v/>
      </c>
      <c r="H1027" s="118" t="n"/>
      <c r="I1027" s="119">
        <f>CONCATENATE(M1027," - ",J1027," - Lotto N° ",K1027,"")</f>
        <v/>
      </c>
      <c r="J1027" s="118" t="n"/>
      <c r="K1027" s="118">
        <f>VLOOKUP(#REF!,Produzione,7,FALSE)</f>
        <v/>
      </c>
      <c r="L1027" s="120" t="n"/>
      <c r="M1027" s="120" t="n"/>
      <c r="N1027" s="118" t="n"/>
      <c r="O1027" s="121" t="n"/>
      <c r="P1027" s="121" t="n"/>
      <c r="Q1027" s="166">
        <f>TODAY()</f>
        <v/>
      </c>
      <c r="R1027" s="165">
        <f>ElencoProdotti[[#This Row],[PRODUZIONE]]+20</f>
        <v/>
      </c>
      <c r="S1027" s="165">
        <f>TODAY()</f>
        <v/>
      </c>
      <c r="T1027" s="133">
        <f>CONCATENATE(A1027," - contiene allergni - prodotto il giorno ",TEXT(Q1027,"gg/mm/aaaa"),"")</f>
        <v/>
      </c>
    </row>
    <row r="1028" ht="15" customHeight="1" s="155">
      <c r="A1028" s="134">
        <f>ric!B1028</f>
        <v/>
      </c>
      <c r="B1028" s="118">
        <f>ric!C1028</f>
        <v/>
      </c>
      <c r="C1028" s="125">
        <f>ric!D1028</f>
        <v/>
      </c>
      <c r="D1028" s="125" t="n"/>
      <c r="E1028" s="125" t="n"/>
      <c r="F1028" s="125" t="n"/>
      <c r="G1028" s="118">
        <f>CONCATENATE(A1028, " ",#REF!, " / ",H1028)</f>
        <v/>
      </c>
      <c r="H1028" s="118" t="n"/>
      <c r="I1028" s="119">
        <f>CONCATENATE(M1028," - ",J1028," - Lotto N° ",K1028,"")</f>
        <v/>
      </c>
      <c r="J1028" s="118" t="n"/>
      <c r="K1028" s="118">
        <f>VLOOKUP(#REF!,Produzione,7,FALSE)</f>
        <v/>
      </c>
      <c r="L1028" s="120" t="n"/>
      <c r="M1028" s="120" t="n"/>
      <c r="N1028" s="118" t="n"/>
      <c r="O1028" s="121" t="n"/>
      <c r="P1028" s="121" t="n"/>
      <c r="Q1028" s="166">
        <f>TODAY()</f>
        <v/>
      </c>
      <c r="R1028" s="165">
        <f>ElencoProdotti[[#This Row],[PRODUZIONE]]+20</f>
        <v/>
      </c>
      <c r="S1028" s="165">
        <f>TODAY()</f>
        <v/>
      </c>
      <c r="T1028" s="133">
        <f>CONCATENATE(A1028," - contiene allergni - prodotto il giorno ",TEXT(Q1028,"gg/mm/aaaa"),"")</f>
        <v/>
      </c>
    </row>
    <row r="1029" ht="15" customHeight="1" s="155">
      <c r="A1029" s="134">
        <f>ric!B1029</f>
        <v/>
      </c>
      <c r="B1029" s="118">
        <f>ric!C1029</f>
        <v/>
      </c>
      <c r="C1029" s="125">
        <f>ric!D1029</f>
        <v/>
      </c>
      <c r="D1029" s="125" t="n"/>
      <c r="E1029" s="125" t="n"/>
      <c r="F1029" s="125" t="n"/>
      <c r="G1029" s="118">
        <f>CONCATENATE(A1029, " ",#REF!, " / ",H1029)</f>
        <v/>
      </c>
      <c r="H1029" s="118" t="n"/>
      <c r="I1029" s="119">
        <f>CONCATENATE(M1029," - ",J1029," - Lotto N° ",K1029,"")</f>
        <v/>
      </c>
      <c r="J1029" s="118" t="n"/>
      <c r="K1029" s="118">
        <f>VLOOKUP(#REF!,Produzione,7,FALSE)</f>
        <v/>
      </c>
      <c r="L1029" s="120" t="n"/>
      <c r="M1029" s="120" t="n"/>
      <c r="N1029" s="118" t="n"/>
      <c r="O1029" s="121" t="n"/>
      <c r="P1029" s="121" t="n"/>
      <c r="Q1029" s="166">
        <f>TODAY()</f>
        <v/>
      </c>
      <c r="R1029" s="165">
        <f>ElencoProdotti[[#This Row],[PRODUZIONE]]+20</f>
        <v/>
      </c>
      <c r="S1029" s="165">
        <f>TODAY()</f>
        <v/>
      </c>
      <c r="T1029" s="133">
        <f>CONCATENATE(A1029," - contiene allergni - prodotto il giorno ",TEXT(Q1029,"gg/mm/aaaa"),"")</f>
        <v/>
      </c>
    </row>
    <row r="1030" ht="15" customHeight="1" s="155">
      <c r="A1030" s="134">
        <f>ric!B1030</f>
        <v/>
      </c>
      <c r="B1030" s="118">
        <f>ric!C1030</f>
        <v/>
      </c>
      <c r="C1030" s="125">
        <f>ric!D1030</f>
        <v/>
      </c>
      <c r="D1030" s="125" t="n"/>
      <c r="E1030" s="125" t="n"/>
      <c r="F1030" s="125" t="n"/>
      <c r="G1030" s="118">
        <f>CONCATENATE(A1030, " ",#REF!, " / ",H1030)</f>
        <v/>
      </c>
      <c r="H1030" s="118" t="n"/>
      <c r="I1030" s="119">
        <f>CONCATENATE(M1030," - ",J1030," - Lotto N° ",K1030,"")</f>
        <v/>
      </c>
      <c r="J1030" s="118" t="n"/>
      <c r="K1030" s="118">
        <f>VLOOKUP(#REF!,Produzione,7,FALSE)</f>
        <v/>
      </c>
      <c r="L1030" s="120" t="n"/>
      <c r="M1030" s="120" t="n"/>
      <c r="N1030" s="118" t="n"/>
      <c r="O1030" s="121" t="n"/>
      <c r="P1030" s="121" t="n"/>
      <c r="Q1030" s="166">
        <f>TODAY()</f>
        <v/>
      </c>
      <c r="R1030" s="165">
        <f>ElencoProdotti[[#This Row],[PRODUZIONE]]+20</f>
        <v/>
      </c>
      <c r="S1030" s="165">
        <f>TODAY()</f>
        <v/>
      </c>
      <c r="T1030" s="133">
        <f>CONCATENATE(A1030," - contiene allergni - prodotto il giorno ",TEXT(Q1030,"gg/mm/aaaa"),"")</f>
        <v/>
      </c>
    </row>
    <row r="1031" ht="15" customHeight="1" s="155">
      <c r="A1031" s="134">
        <f>ric!B1031</f>
        <v/>
      </c>
      <c r="B1031" s="118">
        <f>ric!C1031</f>
        <v/>
      </c>
      <c r="C1031" s="125">
        <f>ric!D1031</f>
        <v/>
      </c>
      <c r="D1031" s="125" t="n"/>
      <c r="E1031" s="125" t="n"/>
      <c r="F1031" s="125" t="n"/>
      <c r="G1031" s="118">
        <f>CONCATENATE(A1031, " ",#REF!, " / ",H1031)</f>
        <v/>
      </c>
      <c r="H1031" s="118" t="n"/>
      <c r="I1031" s="119">
        <f>CONCATENATE(M1031," - ",J1031," - Lotto N° ",K1031,"")</f>
        <v/>
      </c>
      <c r="J1031" s="118" t="n"/>
      <c r="K1031" s="118">
        <f>VLOOKUP(#REF!,Produzione,7,FALSE)</f>
        <v/>
      </c>
      <c r="L1031" s="120" t="n"/>
      <c r="M1031" s="120" t="n"/>
      <c r="N1031" s="118" t="n"/>
      <c r="O1031" s="121" t="n"/>
      <c r="P1031" s="121" t="n"/>
      <c r="Q1031" s="166">
        <f>TODAY()</f>
        <v/>
      </c>
      <c r="R1031" s="165">
        <f>ElencoProdotti[[#This Row],[PRODUZIONE]]+20</f>
        <v/>
      </c>
      <c r="S1031" s="165">
        <f>TODAY()</f>
        <v/>
      </c>
      <c r="T1031" s="133">
        <f>CONCATENATE(A1031," - contiene allergni - prodotto il giorno ",TEXT(Q1031,"gg/mm/aaaa"),"")</f>
        <v/>
      </c>
    </row>
    <row r="1032" ht="15" customHeight="1" s="155">
      <c r="A1032" s="134">
        <f>ric!B1032</f>
        <v/>
      </c>
      <c r="B1032" s="118">
        <f>ric!C1032</f>
        <v/>
      </c>
      <c r="C1032" s="125">
        <f>ric!D1032</f>
        <v/>
      </c>
      <c r="D1032" s="125" t="n"/>
      <c r="E1032" s="125" t="n"/>
      <c r="F1032" s="125" t="n"/>
      <c r="G1032" s="118">
        <f>CONCATENATE(A1032, " ",#REF!, " / ",H1032)</f>
        <v/>
      </c>
      <c r="H1032" s="118" t="n"/>
      <c r="I1032" s="119">
        <f>CONCATENATE(M1032," - ",J1032," - Lotto N° ",K1032,"")</f>
        <v/>
      </c>
      <c r="J1032" s="118" t="n"/>
      <c r="K1032" s="118">
        <f>VLOOKUP(#REF!,Produzione,7,FALSE)</f>
        <v/>
      </c>
      <c r="L1032" s="120" t="n"/>
      <c r="M1032" s="120" t="n"/>
      <c r="N1032" s="118" t="n"/>
      <c r="O1032" s="121" t="n"/>
      <c r="P1032" s="121" t="n"/>
      <c r="Q1032" s="166">
        <f>TODAY()</f>
        <v/>
      </c>
      <c r="R1032" s="165">
        <f>ElencoProdotti[[#This Row],[PRODUZIONE]]+20</f>
        <v/>
      </c>
      <c r="S1032" s="165">
        <f>TODAY()</f>
        <v/>
      </c>
      <c r="T1032" s="133">
        <f>CONCATENATE(A1032," - contiene allergni - prodotto il giorno ",TEXT(Q1032,"gg/mm/aaaa"),"")</f>
        <v/>
      </c>
    </row>
    <row r="1033" ht="15" customHeight="1" s="155">
      <c r="A1033" s="134">
        <f>ric!B1033</f>
        <v/>
      </c>
      <c r="B1033" s="118">
        <f>ric!C1033</f>
        <v/>
      </c>
      <c r="C1033" s="125">
        <f>ric!D1033</f>
        <v/>
      </c>
      <c r="D1033" s="125" t="n"/>
      <c r="E1033" s="125" t="n"/>
      <c r="F1033" s="125" t="n"/>
      <c r="G1033" s="118">
        <f>CONCATENATE(A1033, " ",#REF!, " / ",H1033)</f>
        <v/>
      </c>
      <c r="H1033" s="118" t="n"/>
      <c r="I1033" s="119">
        <f>CONCATENATE(M1033," - ",J1033," - Lotto N° ",K1033,"")</f>
        <v/>
      </c>
      <c r="J1033" s="118" t="n"/>
      <c r="K1033" s="118">
        <f>VLOOKUP(#REF!,Produzione,7,FALSE)</f>
        <v/>
      </c>
      <c r="L1033" s="120" t="n"/>
      <c r="M1033" s="120" t="n"/>
      <c r="N1033" s="118" t="n"/>
      <c r="O1033" s="121" t="n"/>
      <c r="P1033" s="121" t="n"/>
      <c r="Q1033" s="166">
        <f>TODAY()</f>
        <v/>
      </c>
      <c r="R1033" s="165">
        <f>ElencoProdotti[[#This Row],[PRODUZIONE]]+20</f>
        <v/>
      </c>
      <c r="S1033" s="165">
        <f>TODAY()</f>
        <v/>
      </c>
      <c r="T1033" s="133">
        <f>CONCATENATE(A1033," - contiene allergni - prodotto il giorno ",TEXT(Q1033,"gg/mm/aaaa"),"")</f>
        <v/>
      </c>
    </row>
    <row r="1034" ht="15" customHeight="1" s="155">
      <c r="A1034" s="134">
        <f>ric!B1034</f>
        <v/>
      </c>
      <c r="B1034" s="118">
        <f>ric!C1034</f>
        <v/>
      </c>
      <c r="C1034" s="125">
        <f>ric!D1034</f>
        <v/>
      </c>
      <c r="D1034" s="125" t="n"/>
      <c r="E1034" s="125" t="n"/>
      <c r="F1034" s="125" t="n"/>
      <c r="G1034" s="118">
        <f>CONCATENATE(A1034, " ",#REF!, " / ",H1034)</f>
        <v/>
      </c>
      <c r="H1034" s="118" t="n"/>
      <c r="I1034" s="119">
        <f>CONCATENATE(M1034," - ",J1034," - Lotto N° ",K1034,"")</f>
        <v/>
      </c>
      <c r="J1034" s="118" t="n"/>
      <c r="K1034" s="118">
        <f>VLOOKUP(#REF!,Produzione,7,FALSE)</f>
        <v/>
      </c>
      <c r="L1034" s="120" t="n"/>
      <c r="M1034" s="120" t="n"/>
      <c r="N1034" s="118" t="n"/>
      <c r="O1034" s="121" t="n"/>
      <c r="P1034" s="121" t="n"/>
      <c r="Q1034" s="166">
        <f>TODAY()</f>
        <v/>
      </c>
      <c r="R1034" s="165">
        <f>ElencoProdotti[[#This Row],[PRODUZIONE]]+20</f>
        <v/>
      </c>
      <c r="S1034" s="165">
        <f>TODAY()</f>
        <v/>
      </c>
      <c r="T1034" s="133">
        <f>CONCATENATE(A1034," - contiene allergni - prodotto il giorno ",TEXT(Q1034,"gg/mm/aaaa"),"")</f>
        <v/>
      </c>
    </row>
    <row r="1035" ht="15" customHeight="1" s="155">
      <c r="A1035" s="134">
        <f>ric!B1035</f>
        <v/>
      </c>
      <c r="B1035" s="118">
        <f>ric!C1035</f>
        <v/>
      </c>
      <c r="C1035" s="125">
        <f>ric!D1035</f>
        <v/>
      </c>
      <c r="D1035" s="125" t="n"/>
      <c r="E1035" s="125" t="n"/>
      <c r="F1035" s="125" t="n"/>
      <c r="G1035" s="118">
        <f>CONCATENATE(A1035, " ",#REF!, " / ",H1035)</f>
        <v/>
      </c>
      <c r="H1035" s="118" t="n"/>
      <c r="I1035" s="119">
        <f>CONCATENATE(M1035," - ",J1035," - Lotto N° ",K1035,"")</f>
        <v/>
      </c>
      <c r="J1035" s="118" t="n"/>
      <c r="K1035" s="118">
        <f>VLOOKUP(#REF!,Produzione,7,FALSE)</f>
        <v/>
      </c>
      <c r="L1035" s="120" t="n"/>
      <c r="M1035" s="120" t="n"/>
      <c r="N1035" s="118" t="n"/>
      <c r="O1035" s="121" t="n"/>
      <c r="P1035" s="121" t="n"/>
      <c r="Q1035" s="166">
        <f>TODAY()</f>
        <v/>
      </c>
      <c r="R1035" s="165">
        <f>ElencoProdotti[[#This Row],[PRODUZIONE]]+20</f>
        <v/>
      </c>
      <c r="S1035" s="165">
        <f>TODAY()</f>
        <v/>
      </c>
      <c r="T1035" s="133">
        <f>CONCATENATE(A1035," - contiene allergni - prodotto il giorno ",TEXT(Q1035,"gg/mm/aaaa"),"")</f>
        <v/>
      </c>
    </row>
    <row r="1036" ht="15" customHeight="1" s="155">
      <c r="A1036" s="134">
        <f>ric!B1036</f>
        <v/>
      </c>
      <c r="B1036" s="118">
        <f>ric!C1036</f>
        <v/>
      </c>
      <c r="C1036" s="125">
        <f>ric!D1036</f>
        <v/>
      </c>
      <c r="D1036" s="125" t="n"/>
      <c r="E1036" s="125" t="n"/>
      <c r="F1036" s="125" t="n"/>
      <c r="G1036" s="118">
        <f>CONCATENATE(A1036, " ",#REF!, " / ",H1036)</f>
        <v/>
      </c>
      <c r="H1036" s="118" t="n"/>
      <c r="I1036" s="119">
        <f>CONCATENATE(M1036," - ",J1036," - Lotto N° ",K1036,"")</f>
        <v/>
      </c>
      <c r="J1036" s="118" t="n"/>
      <c r="K1036" s="118">
        <f>VLOOKUP(#REF!,Produzione,7,FALSE)</f>
        <v/>
      </c>
      <c r="L1036" s="120" t="n"/>
      <c r="M1036" s="120" t="n"/>
      <c r="N1036" s="118" t="n"/>
      <c r="O1036" s="121" t="n"/>
      <c r="P1036" s="121" t="n"/>
      <c r="Q1036" s="166">
        <f>TODAY()</f>
        <v/>
      </c>
      <c r="R1036" s="165">
        <f>ElencoProdotti[[#This Row],[PRODUZIONE]]+20</f>
        <v/>
      </c>
      <c r="S1036" s="165">
        <f>TODAY()</f>
        <v/>
      </c>
      <c r="T1036" s="133">
        <f>CONCATENATE(A1036," - contiene allergni - prodotto il giorno ",TEXT(Q1036,"gg/mm/aaaa"),"")</f>
        <v/>
      </c>
    </row>
    <row r="1037" ht="15" customHeight="1" s="155">
      <c r="A1037" s="134">
        <f>ric!B1037</f>
        <v/>
      </c>
      <c r="B1037" s="118">
        <f>ric!C1037</f>
        <v/>
      </c>
      <c r="C1037" s="125">
        <f>ric!D1037</f>
        <v/>
      </c>
      <c r="D1037" s="125" t="n"/>
      <c r="E1037" s="125" t="n"/>
      <c r="F1037" s="125" t="n"/>
      <c r="G1037" s="118">
        <f>CONCATENATE(A1037, " ",#REF!, " / ",H1037)</f>
        <v/>
      </c>
      <c r="H1037" s="118" t="n"/>
      <c r="I1037" s="119">
        <f>CONCATENATE(M1037," - ",J1037," - Lotto N° ",K1037,"")</f>
        <v/>
      </c>
      <c r="J1037" s="118" t="n"/>
      <c r="K1037" s="118">
        <f>VLOOKUP(#REF!,Produzione,7,FALSE)</f>
        <v/>
      </c>
      <c r="L1037" s="120" t="n"/>
      <c r="M1037" s="120" t="n"/>
      <c r="N1037" s="118" t="n"/>
      <c r="O1037" s="121" t="n"/>
      <c r="P1037" s="121" t="n"/>
      <c r="Q1037" s="166">
        <f>TODAY()</f>
        <v/>
      </c>
      <c r="R1037" s="165">
        <f>ElencoProdotti[[#This Row],[PRODUZIONE]]+20</f>
        <v/>
      </c>
      <c r="S1037" s="165">
        <f>TODAY()</f>
        <v/>
      </c>
      <c r="T1037" s="133">
        <f>CONCATENATE(A1037," - contiene allergni - prodotto il giorno ",TEXT(Q1037,"gg/mm/aaaa"),"")</f>
        <v/>
      </c>
    </row>
    <row r="1038" ht="15" customHeight="1" s="155">
      <c r="A1038" s="134">
        <f>ric!B1038</f>
        <v/>
      </c>
      <c r="B1038" s="118">
        <f>ric!C1038</f>
        <v/>
      </c>
      <c r="C1038" s="125">
        <f>ric!D1038</f>
        <v/>
      </c>
      <c r="D1038" s="125" t="n"/>
      <c r="E1038" s="125" t="n"/>
      <c r="F1038" s="125" t="n"/>
      <c r="G1038" s="118">
        <f>CONCATENATE(A1038, " ",#REF!, " / ",H1038)</f>
        <v/>
      </c>
      <c r="H1038" s="118" t="n"/>
      <c r="I1038" s="119">
        <f>CONCATENATE(M1038," - ",J1038," - Lotto N° ",K1038,"")</f>
        <v/>
      </c>
      <c r="J1038" s="118" t="n"/>
      <c r="K1038" s="118">
        <f>VLOOKUP(#REF!,Produzione,7,FALSE)</f>
        <v/>
      </c>
      <c r="L1038" s="120" t="n"/>
      <c r="M1038" s="120" t="n"/>
      <c r="N1038" s="118" t="n"/>
      <c r="O1038" s="121" t="n"/>
      <c r="P1038" s="121" t="n"/>
      <c r="Q1038" s="166">
        <f>TODAY()</f>
        <v/>
      </c>
      <c r="R1038" s="165">
        <f>ElencoProdotti[[#This Row],[PRODUZIONE]]+20</f>
        <v/>
      </c>
      <c r="S1038" s="165">
        <f>TODAY()</f>
        <v/>
      </c>
      <c r="T1038" s="133">
        <f>CONCATENATE(A1038," - contiene allergni - prodotto il giorno ",TEXT(Q1038,"gg/mm/aaaa"),"")</f>
        <v/>
      </c>
    </row>
    <row r="1039" ht="15" customHeight="1" s="155">
      <c r="A1039" s="134">
        <f>ric!B1039</f>
        <v/>
      </c>
      <c r="B1039" s="118">
        <f>ric!C1039</f>
        <v/>
      </c>
      <c r="C1039" s="125">
        <f>ric!D1039</f>
        <v/>
      </c>
      <c r="D1039" s="125" t="n"/>
      <c r="E1039" s="125" t="n"/>
      <c r="F1039" s="125" t="n"/>
      <c r="G1039" s="118">
        <f>CONCATENATE(A1039, " ",#REF!, " / ",H1039)</f>
        <v/>
      </c>
      <c r="H1039" s="118" t="n"/>
      <c r="I1039" s="119">
        <f>CONCATENATE(M1039," - ",J1039," - Lotto N° ",K1039,"")</f>
        <v/>
      </c>
      <c r="J1039" s="118" t="n"/>
      <c r="K1039" s="118">
        <f>VLOOKUP(#REF!,Produzione,7,FALSE)</f>
        <v/>
      </c>
      <c r="L1039" s="120" t="n"/>
      <c r="M1039" s="120" t="n"/>
      <c r="N1039" s="118" t="n"/>
      <c r="O1039" s="121" t="n"/>
      <c r="P1039" s="121" t="n"/>
      <c r="Q1039" s="166">
        <f>TODAY()</f>
        <v/>
      </c>
      <c r="R1039" s="165">
        <f>ElencoProdotti[[#This Row],[PRODUZIONE]]+20</f>
        <v/>
      </c>
      <c r="S1039" s="165">
        <f>TODAY()</f>
        <v/>
      </c>
      <c r="T1039" s="133">
        <f>CONCATENATE(A1039," - contiene allergni - prodotto il giorno ",TEXT(Q1039,"gg/mm/aaaa"),"")</f>
        <v/>
      </c>
    </row>
    <row r="1040" ht="15" customHeight="1" s="155">
      <c r="A1040" s="134">
        <f>ric!B1040</f>
        <v/>
      </c>
      <c r="B1040" s="118">
        <f>ric!C1040</f>
        <v/>
      </c>
      <c r="C1040" s="125">
        <f>ric!D1040</f>
        <v/>
      </c>
      <c r="D1040" s="125" t="n"/>
      <c r="E1040" s="125" t="n"/>
      <c r="F1040" s="125" t="n"/>
      <c r="G1040" s="118">
        <f>CONCATENATE(A1040, " ",#REF!, " / ",H1040)</f>
        <v/>
      </c>
      <c r="H1040" s="118" t="n"/>
      <c r="I1040" s="119">
        <f>CONCATENATE(M1040," - ",J1040," - Lotto N° ",K1040,"")</f>
        <v/>
      </c>
      <c r="J1040" s="118" t="n"/>
      <c r="K1040" s="118">
        <f>VLOOKUP(#REF!,Produzione,7,FALSE)</f>
        <v/>
      </c>
      <c r="L1040" s="120" t="n"/>
      <c r="M1040" s="120" t="n"/>
      <c r="N1040" s="118" t="n"/>
      <c r="O1040" s="121" t="n"/>
      <c r="P1040" s="121" t="n"/>
      <c r="Q1040" s="166">
        <f>TODAY()</f>
        <v/>
      </c>
      <c r="R1040" s="165">
        <f>ElencoProdotti[[#This Row],[PRODUZIONE]]+20</f>
        <v/>
      </c>
      <c r="S1040" s="165">
        <f>TODAY()</f>
        <v/>
      </c>
      <c r="T1040" s="133">
        <f>CONCATENATE(A1040," - contiene allergni - prodotto il giorno ",TEXT(Q1040,"gg/mm/aaaa"),"")</f>
        <v/>
      </c>
    </row>
    <row r="1041" ht="15" customHeight="1" s="155">
      <c r="A1041" s="134">
        <f>ric!B1041</f>
        <v/>
      </c>
      <c r="B1041" s="118">
        <f>ric!C1041</f>
        <v/>
      </c>
      <c r="C1041" s="125">
        <f>ric!D1041</f>
        <v/>
      </c>
      <c r="D1041" s="125" t="n"/>
      <c r="E1041" s="125" t="n"/>
      <c r="F1041" s="125" t="n"/>
      <c r="G1041" s="118">
        <f>CONCATENATE(A1041, " ",#REF!, " / ",H1041)</f>
        <v/>
      </c>
      <c r="H1041" s="118" t="n"/>
      <c r="I1041" s="119">
        <f>CONCATENATE(M1041," - ",J1041," - Lotto N° ",K1041,"")</f>
        <v/>
      </c>
      <c r="J1041" s="118" t="n"/>
      <c r="K1041" s="118">
        <f>VLOOKUP(#REF!,Produzione,7,FALSE)</f>
        <v/>
      </c>
      <c r="L1041" s="120" t="n"/>
      <c r="M1041" s="120" t="n"/>
      <c r="N1041" s="118" t="n"/>
      <c r="O1041" s="121" t="n"/>
      <c r="P1041" s="121" t="n"/>
      <c r="Q1041" s="166">
        <f>TODAY()</f>
        <v/>
      </c>
      <c r="R1041" s="165">
        <f>ElencoProdotti[[#This Row],[PRODUZIONE]]+20</f>
        <v/>
      </c>
      <c r="S1041" s="165">
        <f>TODAY()</f>
        <v/>
      </c>
      <c r="T1041" s="133">
        <f>CONCATENATE(A1041," - contiene allergni - prodotto il giorno ",TEXT(Q1041,"gg/mm/aaaa"),"")</f>
        <v/>
      </c>
    </row>
    <row r="1042" ht="15" customHeight="1" s="155">
      <c r="A1042" s="134">
        <f>ric!B1042</f>
        <v/>
      </c>
      <c r="B1042" s="118">
        <f>ric!C1042</f>
        <v/>
      </c>
      <c r="C1042" s="125">
        <f>ric!D1042</f>
        <v/>
      </c>
      <c r="D1042" s="125" t="n"/>
      <c r="E1042" s="125" t="n"/>
      <c r="F1042" s="125" t="n"/>
      <c r="G1042" s="118">
        <f>CONCATENATE(A1042, " ",#REF!, " / ",H1042)</f>
        <v/>
      </c>
      <c r="H1042" s="118" t="n"/>
      <c r="I1042" s="119">
        <f>CONCATENATE(M1042," - ",J1042," - Lotto N° ",K1042,"")</f>
        <v/>
      </c>
      <c r="J1042" s="118" t="n"/>
      <c r="K1042" s="118">
        <f>VLOOKUP(#REF!,Produzione,7,FALSE)</f>
        <v/>
      </c>
      <c r="L1042" s="120" t="n"/>
      <c r="M1042" s="120" t="n"/>
      <c r="N1042" s="118" t="n"/>
      <c r="O1042" s="121" t="n"/>
      <c r="P1042" s="121" t="n"/>
      <c r="Q1042" s="166">
        <f>TODAY()</f>
        <v/>
      </c>
      <c r="R1042" s="165">
        <f>ElencoProdotti[[#This Row],[PRODUZIONE]]+20</f>
        <v/>
      </c>
      <c r="S1042" s="165">
        <f>TODAY()</f>
        <v/>
      </c>
      <c r="T1042" s="133">
        <f>CONCATENATE(A1042," - contiene allergni - prodotto il giorno ",TEXT(Q1042,"gg/mm/aaaa"),"")</f>
        <v/>
      </c>
    </row>
    <row r="1043" ht="15" customHeight="1" s="155">
      <c r="A1043" s="134">
        <f>ric!B1043</f>
        <v/>
      </c>
      <c r="B1043" s="118">
        <f>ric!C1043</f>
        <v/>
      </c>
      <c r="C1043" s="125">
        <f>ric!D1043</f>
        <v/>
      </c>
      <c r="D1043" s="125" t="n"/>
      <c r="E1043" s="125" t="n"/>
      <c r="F1043" s="125" t="n"/>
      <c r="G1043" s="118">
        <f>CONCATENATE(A1043, " ",#REF!, " / ",H1043)</f>
        <v/>
      </c>
      <c r="H1043" s="118" t="n"/>
      <c r="I1043" s="119">
        <f>CONCATENATE(M1043," - ",J1043," - Lotto N° ",K1043,"")</f>
        <v/>
      </c>
      <c r="J1043" s="118" t="n"/>
      <c r="K1043" s="118">
        <f>VLOOKUP(#REF!,Produzione,7,FALSE)</f>
        <v/>
      </c>
      <c r="L1043" s="120" t="n"/>
      <c r="M1043" s="120" t="n"/>
      <c r="N1043" s="118" t="n"/>
      <c r="O1043" s="121" t="n"/>
      <c r="P1043" s="121" t="n"/>
      <c r="Q1043" s="166">
        <f>TODAY()</f>
        <v/>
      </c>
      <c r="R1043" s="165">
        <f>ElencoProdotti[[#This Row],[PRODUZIONE]]+20</f>
        <v/>
      </c>
      <c r="S1043" s="165">
        <f>TODAY()</f>
        <v/>
      </c>
      <c r="T1043" s="133">
        <f>CONCATENATE(A1043," - contiene allergni - prodotto il giorno ",TEXT(Q1043,"gg/mm/aaaa"),"")</f>
        <v/>
      </c>
    </row>
    <row r="1044" ht="15" customHeight="1" s="155">
      <c r="A1044" s="134">
        <f>ric!B1044</f>
        <v/>
      </c>
      <c r="B1044" s="118">
        <f>ric!C1044</f>
        <v/>
      </c>
      <c r="C1044" s="125">
        <f>ric!D1044</f>
        <v/>
      </c>
      <c r="D1044" s="125" t="n"/>
      <c r="E1044" s="125" t="n"/>
      <c r="F1044" s="125" t="n"/>
      <c r="G1044" s="118">
        <f>CONCATENATE(A1044, " ",#REF!, " / ",H1044)</f>
        <v/>
      </c>
      <c r="H1044" s="118" t="n"/>
      <c r="I1044" s="119">
        <f>CONCATENATE(M1044," - ",J1044," - Lotto N° ",K1044,"")</f>
        <v/>
      </c>
      <c r="J1044" s="118" t="n"/>
      <c r="K1044" s="118">
        <f>VLOOKUP(#REF!,Produzione,7,FALSE)</f>
        <v/>
      </c>
      <c r="L1044" s="120" t="n"/>
      <c r="M1044" s="120" t="n"/>
      <c r="N1044" s="118" t="n"/>
      <c r="O1044" s="121" t="n"/>
      <c r="P1044" s="121" t="n"/>
      <c r="Q1044" s="166">
        <f>TODAY()</f>
        <v/>
      </c>
      <c r="R1044" s="165">
        <f>ElencoProdotti[[#This Row],[PRODUZIONE]]+20</f>
        <v/>
      </c>
      <c r="S1044" s="165">
        <f>TODAY()</f>
        <v/>
      </c>
      <c r="T1044" s="133">
        <f>CONCATENATE(A1044," - contiene allergni - prodotto il giorno ",TEXT(Q1044,"gg/mm/aaaa"),"")</f>
        <v/>
      </c>
    </row>
    <row r="1045" ht="15" customHeight="1" s="155">
      <c r="A1045" s="134">
        <f>ric!B1045</f>
        <v/>
      </c>
      <c r="B1045" s="118">
        <f>ric!C1045</f>
        <v/>
      </c>
      <c r="C1045" s="125">
        <f>ric!D1045</f>
        <v/>
      </c>
      <c r="D1045" s="125" t="n"/>
      <c r="E1045" s="125" t="n"/>
      <c r="F1045" s="125" t="n"/>
      <c r="G1045" s="118">
        <f>CONCATENATE(A1045, " ",#REF!, " / ",H1045)</f>
        <v/>
      </c>
      <c r="H1045" s="118" t="n"/>
      <c r="I1045" s="119">
        <f>CONCATENATE(M1045," - ",J1045," - Lotto N° ",K1045,"")</f>
        <v/>
      </c>
      <c r="J1045" s="118" t="n"/>
      <c r="K1045" s="118">
        <f>VLOOKUP(#REF!,Produzione,7,FALSE)</f>
        <v/>
      </c>
      <c r="L1045" s="120" t="n"/>
      <c r="M1045" s="120" t="n"/>
      <c r="N1045" s="118" t="n"/>
      <c r="O1045" s="121" t="n"/>
      <c r="P1045" s="121" t="n"/>
      <c r="Q1045" s="166">
        <f>TODAY()</f>
        <v/>
      </c>
      <c r="R1045" s="165">
        <f>ElencoProdotti[[#This Row],[PRODUZIONE]]+20</f>
        <v/>
      </c>
      <c r="S1045" s="165">
        <f>TODAY()</f>
        <v/>
      </c>
      <c r="T1045" s="133">
        <f>CONCATENATE(A1045," - contiene allergni - prodotto il giorno ",TEXT(Q1045,"gg/mm/aaaa"),"")</f>
        <v/>
      </c>
    </row>
    <row r="1046" ht="15" customHeight="1" s="155">
      <c r="A1046" s="134">
        <f>ric!B1046</f>
        <v/>
      </c>
      <c r="B1046" s="118">
        <f>ric!C1046</f>
        <v/>
      </c>
      <c r="C1046" s="125">
        <f>ric!D1046</f>
        <v/>
      </c>
      <c r="D1046" s="125" t="n"/>
      <c r="E1046" s="125" t="n"/>
      <c r="F1046" s="125" t="n"/>
      <c r="G1046" s="118">
        <f>CONCATENATE(A1046, " ",#REF!, " / ",H1046)</f>
        <v/>
      </c>
      <c r="H1046" s="118" t="n"/>
      <c r="I1046" s="119">
        <f>CONCATENATE(M1046," - ",J1046," - Lotto N° ",K1046,"")</f>
        <v/>
      </c>
      <c r="J1046" s="118" t="n"/>
      <c r="K1046" s="118">
        <f>VLOOKUP(#REF!,Produzione,7,FALSE)</f>
        <v/>
      </c>
      <c r="L1046" s="120" t="n"/>
      <c r="M1046" s="120" t="n"/>
      <c r="N1046" s="118" t="n"/>
      <c r="O1046" s="121" t="n"/>
      <c r="P1046" s="121" t="n"/>
      <c r="Q1046" s="166">
        <f>TODAY()</f>
        <v/>
      </c>
      <c r="R1046" s="165">
        <f>ElencoProdotti[[#This Row],[PRODUZIONE]]+20</f>
        <v/>
      </c>
      <c r="S1046" s="165">
        <f>TODAY()</f>
        <v/>
      </c>
      <c r="T1046" s="133">
        <f>CONCATENATE(A1046," - contiene allergni - prodotto il giorno ",TEXT(Q1046,"gg/mm/aaaa"),"")</f>
        <v/>
      </c>
    </row>
    <row r="1047" ht="15" customHeight="1" s="155">
      <c r="A1047" s="134">
        <f>ric!B1047</f>
        <v/>
      </c>
      <c r="B1047" s="118">
        <f>ric!C1047</f>
        <v/>
      </c>
      <c r="C1047" s="125">
        <f>ric!D1047</f>
        <v/>
      </c>
      <c r="D1047" s="125" t="n"/>
      <c r="E1047" s="125" t="n"/>
      <c r="F1047" s="125" t="n"/>
      <c r="G1047" s="118">
        <f>CONCATENATE(A1047, " ",#REF!, " / ",H1047)</f>
        <v/>
      </c>
      <c r="H1047" s="118" t="n"/>
      <c r="I1047" s="119">
        <f>CONCATENATE(M1047," - ",J1047," - Lotto N° ",K1047,"")</f>
        <v/>
      </c>
      <c r="J1047" s="118" t="n"/>
      <c r="K1047" s="118">
        <f>VLOOKUP(#REF!,Produzione,7,FALSE)</f>
        <v/>
      </c>
      <c r="L1047" s="120" t="n"/>
      <c r="M1047" s="120" t="n"/>
      <c r="N1047" s="118" t="n"/>
      <c r="O1047" s="121" t="n"/>
      <c r="P1047" s="121" t="n"/>
      <c r="Q1047" s="166">
        <f>TODAY()</f>
        <v/>
      </c>
      <c r="R1047" s="165">
        <f>ElencoProdotti[[#This Row],[PRODUZIONE]]+20</f>
        <v/>
      </c>
      <c r="S1047" s="165">
        <f>TODAY()</f>
        <v/>
      </c>
      <c r="T1047" s="133">
        <f>CONCATENATE(A1047," - contiene allergni - prodotto il giorno ",TEXT(Q1047,"gg/mm/aaaa"),"")</f>
        <v/>
      </c>
    </row>
    <row r="1048" ht="15" customHeight="1" s="155">
      <c r="A1048" s="134">
        <f>ric!B1048</f>
        <v/>
      </c>
      <c r="B1048" s="118">
        <f>ric!C1048</f>
        <v/>
      </c>
      <c r="C1048" s="125">
        <f>ric!D1048</f>
        <v/>
      </c>
      <c r="D1048" s="125" t="n"/>
      <c r="E1048" s="125" t="n"/>
      <c r="F1048" s="125" t="n"/>
      <c r="G1048" s="118">
        <f>CONCATENATE(A1048, " ",#REF!, " / ",H1048)</f>
        <v/>
      </c>
      <c r="H1048" s="118" t="n"/>
      <c r="I1048" s="119">
        <f>CONCATENATE(M1048," - ",J1048," - Lotto N° ",K1048,"")</f>
        <v/>
      </c>
      <c r="J1048" s="118" t="n"/>
      <c r="K1048" s="118">
        <f>VLOOKUP(#REF!,Produzione,7,FALSE)</f>
        <v/>
      </c>
      <c r="L1048" s="120" t="n"/>
      <c r="M1048" s="120" t="n"/>
      <c r="N1048" s="118" t="n"/>
      <c r="O1048" s="121" t="n"/>
      <c r="P1048" s="121" t="n"/>
      <c r="Q1048" s="166">
        <f>TODAY()</f>
        <v/>
      </c>
      <c r="R1048" s="165">
        <f>ElencoProdotti[[#This Row],[PRODUZIONE]]+20</f>
        <v/>
      </c>
      <c r="S1048" s="165">
        <f>TODAY()</f>
        <v/>
      </c>
      <c r="T1048" s="133">
        <f>CONCATENATE(A1048," - contiene allergni - prodotto il giorno ",TEXT(Q1048,"gg/mm/aaaa"),"")</f>
        <v/>
      </c>
    </row>
    <row r="1049" ht="15" customHeight="1" s="155">
      <c r="A1049" s="134">
        <f>ric!B1049</f>
        <v/>
      </c>
      <c r="B1049" s="118">
        <f>ric!C1049</f>
        <v/>
      </c>
      <c r="C1049" s="125">
        <f>ric!D1049</f>
        <v/>
      </c>
      <c r="D1049" s="125" t="n"/>
      <c r="E1049" s="125" t="n"/>
      <c r="F1049" s="125" t="n"/>
      <c r="G1049" s="118">
        <f>CONCATENATE(A1049, " ",#REF!, " / ",H1049)</f>
        <v/>
      </c>
      <c r="H1049" s="118" t="n"/>
      <c r="I1049" s="119">
        <f>CONCATENATE(M1049," - ",J1049," - Lotto N° ",K1049,"")</f>
        <v/>
      </c>
      <c r="J1049" s="118" t="n"/>
      <c r="K1049" s="118">
        <f>VLOOKUP(#REF!,Produzione,7,FALSE)</f>
        <v/>
      </c>
      <c r="L1049" s="120" t="n"/>
      <c r="M1049" s="120" t="n"/>
      <c r="N1049" s="118" t="n"/>
      <c r="O1049" s="121" t="n"/>
      <c r="P1049" s="121" t="n"/>
      <c r="Q1049" s="166">
        <f>TODAY()</f>
        <v/>
      </c>
      <c r="R1049" s="165">
        <f>ElencoProdotti[[#This Row],[PRODUZIONE]]+20</f>
        <v/>
      </c>
      <c r="S1049" s="165">
        <f>TODAY()</f>
        <v/>
      </c>
      <c r="T1049" s="133">
        <f>CONCATENATE(A1049," - contiene allergni - prodotto il giorno ",TEXT(Q1049,"gg/mm/aaaa"),"")</f>
        <v/>
      </c>
    </row>
    <row r="1050" ht="15" customHeight="1" s="155">
      <c r="A1050" s="134">
        <f>ric!B1050</f>
        <v/>
      </c>
      <c r="B1050" s="118">
        <f>ric!C1050</f>
        <v/>
      </c>
      <c r="C1050" s="125">
        <f>ric!D1050</f>
        <v/>
      </c>
      <c r="D1050" s="125" t="n"/>
      <c r="E1050" s="125" t="n"/>
      <c r="F1050" s="125" t="n"/>
      <c r="G1050" s="118">
        <f>CONCATENATE(A1050, " ",#REF!, " / ",H1050)</f>
        <v/>
      </c>
      <c r="H1050" s="118" t="n"/>
      <c r="I1050" s="119">
        <f>CONCATENATE(M1050," - ",J1050," - Lotto N° ",K1050,"")</f>
        <v/>
      </c>
      <c r="J1050" s="118" t="n"/>
      <c r="K1050" s="118">
        <f>VLOOKUP(#REF!,Produzione,7,FALSE)</f>
        <v/>
      </c>
      <c r="L1050" s="120" t="n"/>
      <c r="M1050" s="120" t="n"/>
      <c r="N1050" s="118" t="n"/>
      <c r="O1050" s="121" t="n"/>
      <c r="P1050" s="121" t="n"/>
      <c r="Q1050" s="166">
        <f>TODAY()</f>
        <v/>
      </c>
      <c r="R1050" s="165">
        <f>ElencoProdotti[[#This Row],[PRODUZIONE]]+20</f>
        <v/>
      </c>
      <c r="S1050" s="165">
        <f>TODAY()</f>
        <v/>
      </c>
      <c r="T1050" s="133">
        <f>CONCATENATE(A1050," - contiene allergni - prodotto il giorno ",TEXT(Q1050,"gg/mm/aaaa"),"")</f>
        <v/>
      </c>
    </row>
    <row r="1051" ht="15" customHeight="1" s="155">
      <c r="A1051" s="134">
        <f>ric!B1051</f>
        <v/>
      </c>
      <c r="B1051" s="118">
        <f>ric!C1051</f>
        <v/>
      </c>
      <c r="C1051" s="125">
        <f>ric!D1051</f>
        <v/>
      </c>
      <c r="D1051" s="125" t="n"/>
      <c r="E1051" s="125" t="n"/>
      <c r="F1051" s="125" t="n"/>
      <c r="G1051" s="118">
        <f>CONCATENATE(A1051, " ",#REF!, " / ",H1051)</f>
        <v/>
      </c>
      <c r="H1051" s="118" t="n"/>
      <c r="I1051" s="119">
        <f>CONCATENATE(M1051," - ",J1051," - Lotto N° ",K1051,"")</f>
        <v/>
      </c>
      <c r="J1051" s="118" t="n"/>
      <c r="K1051" s="118">
        <f>VLOOKUP(#REF!,Produzione,7,FALSE)</f>
        <v/>
      </c>
      <c r="L1051" s="120" t="n"/>
      <c r="M1051" s="120" t="n"/>
      <c r="N1051" s="118" t="n"/>
      <c r="O1051" s="121" t="n"/>
      <c r="P1051" s="121" t="n"/>
      <c r="Q1051" s="166">
        <f>TODAY()</f>
        <v/>
      </c>
      <c r="R1051" s="165">
        <f>ElencoProdotti[[#This Row],[PRODUZIONE]]+20</f>
        <v/>
      </c>
      <c r="S1051" s="165">
        <f>TODAY()</f>
        <v/>
      </c>
      <c r="T1051" s="133">
        <f>CONCATENATE(A1051," - contiene allergni - prodotto il giorno ",TEXT(Q1051,"gg/mm/aaaa"),"")</f>
        <v/>
      </c>
    </row>
    <row r="1052" ht="15" customHeight="1" s="155">
      <c r="A1052" s="134">
        <f>ric!B1052</f>
        <v/>
      </c>
      <c r="B1052" s="118">
        <f>ric!C1052</f>
        <v/>
      </c>
      <c r="C1052" s="125">
        <f>ric!D1052</f>
        <v/>
      </c>
      <c r="D1052" s="125" t="n"/>
      <c r="E1052" s="125" t="n"/>
      <c r="F1052" s="125" t="n"/>
      <c r="G1052" s="118">
        <f>CONCATENATE(A1052, " ",#REF!, " / ",H1052)</f>
        <v/>
      </c>
      <c r="H1052" s="118" t="n"/>
      <c r="I1052" s="119">
        <f>CONCATENATE(M1052," - ",J1052," - Lotto N° ",K1052,"")</f>
        <v/>
      </c>
      <c r="J1052" s="118" t="n"/>
      <c r="K1052" s="118">
        <f>VLOOKUP(#REF!,Produzione,7,FALSE)</f>
        <v/>
      </c>
      <c r="L1052" s="120" t="n"/>
      <c r="M1052" s="120" t="n"/>
      <c r="N1052" s="118" t="n"/>
      <c r="O1052" s="121" t="n"/>
      <c r="P1052" s="121" t="n"/>
      <c r="Q1052" s="166">
        <f>TODAY()</f>
        <v/>
      </c>
      <c r="R1052" s="165">
        <f>ElencoProdotti[[#This Row],[PRODUZIONE]]+20</f>
        <v/>
      </c>
      <c r="S1052" s="165">
        <f>TODAY()</f>
        <v/>
      </c>
      <c r="T1052" s="133">
        <f>CONCATENATE(A1052," - contiene allergni - prodotto il giorno ",TEXT(Q1052,"gg/mm/aaaa"),"")</f>
        <v/>
      </c>
    </row>
    <row r="1053" ht="15" customHeight="1" s="155">
      <c r="A1053" s="134">
        <f>ric!B1053</f>
        <v/>
      </c>
      <c r="B1053" s="118">
        <f>ric!C1053</f>
        <v/>
      </c>
      <c r="C1053" s="125">
        <f>ric!D1053</f>
        <v/>
      </c>
      <c r="D1053" s="125" t="n"/>
      <c r="E1053" s="125" t="n"/>
      <c r="F1053" s="125" t="n"/>
      <c r="G1053" s="118">
        <f>CONCATENATE(A1053, " ",#REF!, " / ",H1053)</f>
        <v/>
      </c>
      <c r="H1053" s="118" t="n"/>
      <c r="I1053" s="119">
        <f>CONCATENATE(M1053," - ",J1053," - Lotto N° ",K1053,"")</f>
        <v/>
      </c>
      <c r="J1053" s="118" t="n"/>
      <c r="K1053" s="118">
        <f>VLOOKUP(#REF!,Produzione,7,FALSE)</f>
        <v/>
      </c>
      <c r="L1053" s="120" t="n"/>
      <c r="M1053" s="120" t="n"/>
      <c r="N1053" s="118" t="n"/>
      <c r="O1053" s="121" t="n"/>
      <c r="P1053" s="121" t="n"/>
      <c r="Q1053" s="166">
        <f>TODAY()</f>
        <v/>
      </c>
      <c r="R1053" s="165">
        <f>ElencoProdotti[[#This Row],[PRODUZIONE]]+20</f>
        <v/>
      </c>
      <c r="S1053" s="165">
        <f>TODAY()</f>
        <v/>
      </c>
      <c r="T1053" s="133">
        <f>CONCATENATE(A1053," - contiene allergni - prodotto il giorno ",TEXT(Q1053,"gg/mm/aaaa"),"")</f>
        <v/>
      </c>
    </row>
    <row r="1054" ht="15" customHeight="1" s="155">
      <c r="A1054" s="134">
        <f>ric!B1054</f>
        <v/>
      </c>
      <c r="B1054" s="118">
        <f>ric!C1054</f>
        <v/>
      </c>
      <c r="C1054" s="125">
        <f>ric!D1054</f>
        <v/>
      </c>
      <c r="D1054" s="125" t="n"/>
      <c r="E1054" s="125" t="n"/>
      <c r="F1054" s="125" t="n"/>
      <c r="G1054" s="118">
        <f>CONCATENATE(A1054, " ",#REF!, " / ",H1054)</f>
        <v/>
      </c>
      <c r="H1054" s="118" t="n"/>
      <c r="I1054" s="119">
        <f>CONCATENATE(M1054," - ",J1054," - Lotto N° ",K1054,"")</f>
        <v/>
      </c>
      <c r="J1054" s="118" t="n"/>
      <c r="K1054" s="118">
        <f>VLOOKUP(#REF!,Produzione,7,FALSE)</f>
        <v/>
      </c>
      <c r="L1054" s="120" t="n"/>
      <c r="M1054" s="120" t="n"/>
      <c r="N1054" s="118" t="n"/>
      <c r="O1054" s="121" t="n"/>
      <c r="P1054" s="121" t="n"/>
      <c r="Q1054" s="166">
        <f>TODAY()</f>
        <v/>
      </c>
      <c r="R1054" s="165">
        <f>ElencoProdotti[[#This Row],[PRODUZIONE]]+20</f>
        <v/>
      </c>
      <c r="S1054" s="165">
        <f>TODAY()</f>
        <v/>
      </c>
      <c r="T1054" s="133">
        <f>CONCATENATE(A1054," - contiene allergni - prodotto il giorno ",TEXT(Q1054,"gg/mm/aaaa"),"")</f>
        <v/>
      </c>
    </row>
    <row r="1055" ht="15" customHeight="1" s="155">
      <c r="A1055" s="134">
        <f>ric!B1055</f>
        <v/>
      </c>
      <c r="B1055" s="118">
        <f>ric!C1055</f>
        <v/>
      </c>
      <c r="C1055" s="125">
        <f>ric!D1055</f>
        <v/>
      </c>
      <c r="D1055" s="125" t="n"/>
      <c r="E1055" s="125" t="n"/>
      <c r="F1055" s="125" t="n"/>
      <c r="G1055" s="118">
        <f>CONCATENATE(A1055, " ",#REF!, " / ",H1055)</f>
        <v/>
      </c>
      <c r="H1055" s="118" t="n"/>
      <c r="I1055" s="119">
        <f>CONCATENATE(M1055," - ",J1055," - Lotto N° ",K1055,"")</f>
        <v/>
      </c>
      <c r="J1055" s="118" t="n"/>
      <c r="K1055" s="118">
        <f>VLOOKUP(#REF!,Produzione,7,FALSE)</f>
        <v/>
      </c>
      <c r="L1055" s="120" t="n"/>
      <c r="M1055" s="120" t="n"/>
      <c r="N1055" s="118" t="n"/>
      <c r="O1055" s="121" t="n"/>
      <c r="P1055" s="121" t="n"/>
      <c r="Q1055" s="166">
        <f>TODAY()</f>
        <v/>
      </c>
      <c r="R1055" s="165">
        <f>ElencoProdotti[[#This Row],[PRODUZIONE]]+20</f>
        <v/>
      </c>
      <c r="S1055" s="165">
        <f>TODAY()</f>
        <v/>
      </c>
      <c r="T1055" s="133">
        <f>CONCATENATE(A1055," - contiene allergni - prodotto il giorno ",TEXT(Q1055,"gg/mm/aaaa"),"")</f>
        <v/>
      </c>
    </row>
    <row r="1056" ht="15" customHeight="1" s="155">
      <c r="A1056" s="134">
        <f>ric!B1056</f>
        <v/>
      </c>
      <c r="B1056" s="118">
        <f>ric!C1056</f>
        <v/>
      </c>
      <c r="C1056" s="125">
        <f>ric!D1056</f>
        <v/>
      </c>
      <c r="D1056" s="125" t="n"/>
      <c r="E1056" s="125" t="n"/>
      <c r="F1056" s="125" t="n"/>
      <c r="G1056" s="118">
        <f>CONCATENATE(A1056, " ",#REF!, " / ",H1056)</f>
        <v/>
      </c>
      <c r="H1056" s="118" t="n"/>
      <c r="I1056" s="119">
        <f>CONCATENATE(M1056," - ",J1056," - Lotto N° ",K1056,"")</f>
        <v/>
      </c>
      <c r="J1056" s="118" t="n"/>
      <c r="K1056" s="118">
        <f>VLOOKUP(#REF!,Produzione,7,FALSE)</f>
        <v/>
      </c>
      <c r="L1056" s="120" t="n"/>
      <c r="M1056" s="120" t="n"/>
      <c r="N1056" s="118" t="n"/>
      <c r="O1056" s="121" t="n"/>
      <c r="P1056" s="121" t="n"/>
      <c r="Q1056" s="166">
        <f>TODAY()</f>
        <v/>
      </c>
      <c r="R1056" s="165">
        <f>ElencoProdotti[[#This Row],[PRODUZIONE]]+20</f>
        <v/>
      </c>
      <c r="S1056" s="165">
        <f>TODAY()</f>
        <v/>
      </c>
      <c r="T1056" s="133">
        <f>CONCATENATE(A1056," - contiene allergni - prodotto il giorno ",TEXT(Q1056,"gg/mm/aaaa"),"")</f>
        <v/>
      </c>
    </row>
    <row r="1057" ht="15" customHeight="1" s="155">
      <c r="A1057" s="134">
        <f>ric!B1057</f>
        <v/>
      </c>
      <c r="B1057" s="118">
        <f>ric!C1057</f>
        <v/>
      </c>
      <c r="C1057" s="125">
        <f>ric!D1057</f>
        <v/>
      </c>
      <c r="D1057" s="125" t="n"/>
      <c r="E1057" s="125" t="n"/>
      <c r="F1057" s="125" t="n"/>
      <c r="G1057" s="118">
        <f>CONCATENATE(A1057, " ",#REF!, " / ",H1057)</f>
        <v/>
      </c>
      <c r="H1057" s="118" t="n"/>
      <c r="I1057" s="119">
        <f>CONCATENATE(M1057," - ",J1057," - Lotto N° ",K1057,"")</f>
        <v/>
      </c>
      <c r="J1057" s="118" t="n"/>
      <c r="K1057" s="118">
        <f>VLOOKUP(#REF!,Produzione,7,FALSE)</f>
        <v/>
      </c>
      <c r="L1057" s="120" t="n"/>
      <c r="M1057" s="120" t="n"/>
      <c r="N1057" s="118" t="n"/>
      <c r="O1057" s="121" t="n"/>
      <c r="P1057" s="121" t="n"/>
      <c r="Q1057" s="166">
        <f>TODAY()</f>
        <v/>
      </c>
      <c r="R1057" s="165">
        <f>ElencoProdotti[[#This Row],[PRODUZIONE]]+20</f>
        <v/>
      </c>
      <c r="S1057" s="165">
        <f>TODAY()</f>
        <v/>
      </c>
      <c r="T1057" s="133">
        <f>CONCATENATE(A1057," - contiene allergni - prodotto il giorno ",TEXT(Q1057,"gg/mm/aaaa"),"")</f>
        <v/>
      </c>
    </row>
    <row r="1058" ht="15" customHeight="1" s="155">
      <c r="A1058" s="134">
        <f>ric!B1058</f>
        <v/>
      </c>
      <c r="B1058" s="118">
        <f>ric!C1058</f>
        <v/>
      </c>
      <c r="C1058" s="125">
        <f>ric!D1058</f>
        <v/>
      </c>
      <c r="D1058" s="125" t="n"/>
      <c r="E1058" s="125" t="n"/>
      <c r="F1058" s="125" t="n"/>
      <c r="G1058" s="118">
        <f>CONCATENATE(A1058, " ",#REF!, " / ",H1058)</f>
        <v/>
      </c>
      <c r="H1058" s="118" t="n"/>
      <c r="I1058" s="119">
        <f>CONCATENATE(M1058," - ",J1058," - Lotto N° ",K1058,"")</f>
        <v/>
      </c>
      <c r="J1058" s="118" t="n"/>
      <c r="K1058" s="118">
        <f>VLOOKUP(#REF!,Produzione,7,FALSE)</f>
        <v/>
      </c>
      <c r="L1058" s="120" t="n"/>
      <c r="M1058" s="120" t="n"/>
      <c r="N1058" s="118" t="n"/>
      <c r="O1058" s="121" t="n"/>
      <c r="P1058" s="121" t="n"/>
      <c r="Q1058" s="166">
        <f>TODAY()</f>
        <v/>
      </c>
      <c r="R1058" s="165">
        <f>ElencoProdotti[[#This Row],[PRODUZIONE]]+20</f>
        <v/>
      </c>
      <c r="S1058" s="165">
        <f>TODAY()</f>
        <v/>
      </c>
      <c r="T1058" s="133">
        <f>CONCATENATE(A1058," - contiene allergni - prodotto il giorno ",TEXT(Q1058,"gg/mm/aaaa"),"")</f>
        <v/>
      </c>
    </row>
    <row r="1059" ht="15" customHeight="1" s="155">
      <c r="A1059" s="134">
        <f>ric!B1059</f>
        <v/>
      </c>
      <c r="B1059" s="118">
        <f>ric!C1059</f>
        <v/>
      </c>
      <c r="C1059" s="125">
        <f>ric!D1059</f>
        <v/>
      </c>
      <c r="D1059" s="125" t="n"/>
      <c r="E1059" s="125" t="n"/>
      <c r="F1059" s="125" t="n"/>
      <c r="G1059" s="118">
        <f>CONCATENATE(A1059, " ",#REF!, " / ",H1059)</f>
        <v/>
      </c>
      <c r="H1059" s="118" t="n"/>
      <c r="I1059" s="119">
        <f>CONCATENATE(M1059," - ",J1059," - Lotto N° ",K1059,"")</f>
        <v/>
      </c>
      <c r="J1059" s="118" t="n"/>
      <c r="K1059" s="118">
        <f>VLOOKUP(#REF!,Produzione,7,FALSE)</f>
        <v/>
      </c>
      <c r="L1059" s="120" t="n"/>
      <c r="M1059" s="120" t="n"/>
      <c r="N1059" s="118" t="n"/>
      <c r="O1059" s="121" t="n"/>
      <c r="P1059" s="121" t="n"/>
      <c r="Q1059" s="166">
        <f>TODAY()</f>
        <v/>
      </c>
      <c r="R1059" s="165">
        <f>ElencoProdotti[[#This Row],[PRODUZIONE]]+20</f>
        <v/>
      </c>
      <c r="S1059" s="165">
        <f>TODAY()</f>
        <v/>
      </c>
      <c r="T1059" s="133">
        <f>CONCATENATE(A1059," - contiene allergni - prodotto il giorno ",TEXT(Q1059,"gg/mm/aaaa"),"")</f>
        <v/>
      </c>
    </row>
    <row r="1060" ht="15" customHeight="1" s="155">
      <c r="A1060" s="134">
        <f>ric!B1060</f>
        <v/>
      </c>
      <c r="B1060" s="118">
        <f>ric!C1060</f>
        <v/>
      </c>
      <c r="C1060" s="125">
        <f>ric!D1060</f>
        <v/>
      </c>
      <c r="D1060" s="125" t="n"/>
      <c r="E1060" s="125" t="n"/>
      <c r="F1060" s="125" t="n"/>
      <c r="G1060" s="118">
        <f>CONCATENATE(A1060, " ",#REF!, " / ",H1060)</f>
        <v/>
      </c>
      <c r="H1060" s="118" t="n"/>
      <c r="I1060" s="119">
        <f>CONCATENATE(M1060," - ",J1060," - Lotto N° ",K1060,"")</f>
        <v/>
      </c>
      <c r="J1060" s="118" t="n"/>
      <c r="K1060" s="118">
        <f>VLOOKUP(#REF!,Produzione,7,FALSE)</f>
        <v/>
      </c>
      <c r="L1060" s="120" t="n"/>
      <c r="M1060" s="120" t="n"/>
      <c r="N1060" s="118" t="n"/>
      <c r="O1060" s="121" t="n"/>
      <c r="P1060" s="121" t="n"/>
      <c r="Q1060" s="166">
        <f>TODAY()</f>
        <v/>
      </c>
      <c r="R1060" s="165">
        <f>ElencoProdotti[[#This Row],[PRODUZIONE]]+20</f>
        <v/>
      </c>
      <c r="S1060" s="165">
        <f>TODAY()</f>
        <v/>
      </c>
      <c r="T1060" s="133">
        <f>CONCATENATE(A1060," - contiene allergni - prodotto il giorno ",TEXT(Q1060,"gg/mm/aaaa"),"")</f>
        <v/>
      </c>
    </row>
    <row r="1061" ht="15" customHeight="1" s="155">
      <c r="A1061" s="134">
        <f>ric!B1061</f>
        <v/>
      </c>
      <c r="B1061" s="118">
        <f>ric!C1061</f>
        <v/>
      </c>
      <c r="C1061" s="125">
        <f>ric!D1061</f>
        <v/>
      </c>
      <c r="D1061" s="125" t="n"/>
      <c r="E1061" s="125" t="n"/>
      <c r="F1061" s="125" t="n"/>
      <c r="G1061" s="118">
        <f>CONCATENATE(A1061, " ",#REF!, " / ",H1061)</f>
        <v/>
      </c>
      <c r="H1061" s="118" t="n"/>
      <c r="I1061" s="119">
        <f>CONCATENATE(M1061," - ",J1061," - Lotto N° ",K1061,"")</f>
        <v/>
      </c>
      <c r="J1061" s="118" t="n"/>
      <c r="K1061" s="118">
        <f>VLOOKUP(#REF!,Produzione,7,FALSE)</f>
        <v/>
      </c>
      <c r="L1061" s="120" t="n"/>
      <c r="M1061" s="120" t="n"/>
      <c r="N1061" s="118" t="n"/>
      <c r="O1061" s="121" t="n"/>
      <c r="P1061" s="121" t="n"/>
      <c r="Q1061" s="166">
        <f>TODAY()</f>
        <v/>
      </c>
      <c r="R1061" s="165">
        <f>ElencoProdotti[[#This Row],[PRODUZIONE]]+20</f>
        <v/>
      </c>
      <c r="S1061" s="165">
        <f>TODAY()</f>
        <v/>
      </c>
      <c r="T1061" s="133">
        <f>CONCATENATE(A1061," - contiene allergni - prodotto il giorno ",TEXT(Q1061,"gg/mm/aaaa"),"")</f>
        <v/>
      </c>
    </row>
    <row r="1062" ht="15" customHeight="1" s="155">
      <c r="A1062" s="134">
        <f>ric!B1062</f>
        <v/>
      </c>
      <c r="B1062" s="118">
        <f>ric!C1062</f>
        <v/>
      </c>
      <c r="C1062" s="125">
        <f>ric!D1062</f>
        <v/>
      </c>
      <c r="D1062" s="125" t="n"/>
      <c r="E1062" s="125" t="n"/>
      <c r="F1062" s="125" t="n"/>
      <c r="G1062" s="118">
        <f>CONCATENATE(A1062, " ",#REF!, " / ",H1062)</f>
        <v/>
      </c>
      <c r="H1062" s="118" t="n"/>
      <c r="I1062" s="119">
        <f>CONCATENATE(M1062," - ",J1062," - Lotto N° ",K1062,"")</f>
        <v/>
      </c>
      <c r="J1062" s="118" t="n"/>
      <c r="K1062" s="118">
        <f>VLOOKUP(#REF!,Produzione,7,FALSE)</f>
        <v/>
      </c>
      <c r="L1062" s="120" t="n"/>
      <c r="M1062" s="120" t="n"/>
      <c r="N1062" s="118" t="n"/>
      <c r="O1062" s="121" t="n"/>
      <c r="P1062" s="121" t="n"/>
      <c r="Q1062" s="166">
        <f>TODAY()</f>
        <v/>
      </c>
      <c r="R1062" s="165">
        <f>ElencoProdotti[[#This Row],[PRODUZIONE]]+20</f>
        <v/>
      </c>
      <c r="S1062" s="165">
        <f>TODAY()</f>
        <v/>
      </c>
      <c r="T1062" s="133">
        <f>CONCATENATE(A1062," - contiene allergni - prodotto il giorno ",TEXT(Q1062,"gg/mm/aaaa"),"")</f>
        <v/>
      </c>
    </row>
    <row r="1063" ht="15" customHeight="1" s="155">
      <c r="A1063" s="134">
        <f>ric!B1063</f>
        <v/>
      </c>
      <c r="B1063" s="118">
        <f>ric!C1063</f>
        <v/>
      </c>
      <c r="C1063" s="125">
        <f>ric!D1063</f>
        <v/>
      </c>
      <c r="D1063" s="125" t="n"/>
      <c r="E1063" s="125" t="n"/>
      <c r="F1063" s="125" t="n"/>
      <c r="G1063" s="118">
        <f>CONCATENATE(A1063, " ",#REF!, " / ",H1063)</f>
        <v/>
      </c>
      <c r="H1063" s="118" t="n"/>
      <c r="I1063" s="119">
        <f>CONCATENATE(M1063," - ",J1063," - Lotto N° ",K1063,"")</f>
        <v/>
      </c>
      <c r="J1063" s="118" t="n"/>
      <c r="K1063" s="118">
        <f>VLOOKUP(#REF!,Produzione,7,FALSE)</f>
        <v/>
      </c>
      <c r="L1063" s="120" t="n"/>
      <c r="M1063" s="120" t="n"/>
      <c r="N1063" s="118" t="n"/>
      <c r="O1063" s="121" t="n"/>
      <c r="P1063" s="121" t="n"/>
      <c r="Q1063" s="166">
        <f>TODAY()</f>
        <v/>
      </c>
      <c r="R1063" s="165">
        <f>ElencoProdotti[[#This Row],[PRODUZIONE]]+20</f>
        <v/>
      </c>
      <c r="S1063" s="165">
        <f>TODAY()</f>
        <v/>
      </c>
      <c r="T1063" s="133">
        <f>CONCATENATE(A1063," - contiene allergni - prodotto il giorno ",TEXT(Q1063,"gg/mm/aaaa"),"")</f>
        <v/>
      </c>
    </row>
    <row r="1064" ht="15" customHeight="1" s="155">
      <c r="A1064" s="134">
        <f>ric!B1064</f>
        <v/>
      </c>
      <c r="B1064" s="118">
        <f>ric!C1064</f>
        <v/>
      </c>
      <c r="C1064" s="125">
        <f>ric!D1064</f>
        <v/>
      </c>
      <c r="D1064" s="125" t="n"/>
      <c r="E1064" s="125" t="n"/>
      <c r="F1064" s="125" t="n"/>
      <c r="G1064" s="118">
        <f>CONCATENATE(A1064, " ",#REF!, " / ",H1064)</f>
        <v/>
      </c>
      <c r="H1064" s="118" t="n"/>
      <c r="I1064" s="119">
        <f>CONCATENATE(M1064," - ",J1064," - Lotto N° ",K1064,"")</f>
        <v/>
      </c>
      <c r="J1064" s="118" t="n"/>
      <c r="K1064" s="118">
        <f>VLOOKUP(#REF!,Produzione,7,FALSE)</f>
        <v/>
      </c>
      <c r="L1064" s="120" t="n"/>
      <c r="M1064" s="120" t="n"/>
      <c r="N1064" s="118" t="n"/>
      <c r="O1064" s="121" t="n"/>
      <c r="P1064" s="121" t="n"/>
      <c r="Q1064" s="166">
        <f>TODAY()</f>
        <v/>
      </c>
      <c r="R1064" s="165">
        <f>ElencoProdotti[[#This Row],[PRODUZIONE]]+20</f>
        <v/>
      </c>
      <c r="S1064" s="165">
        <f>TODAY()</f>
        <v/>
      </c>
      <c r="T1064" s="133">
        <f>CONCATENATE(A1064," - contiene allergni - prodotto il giorno ",TEXT(Q1064,"gg/mm/aaaa"),"")</f>
        <v/>
      </c>
    </row>
    <row r="1065" ht="15" customHeight="1" s="155">
      <c r="A1065" s="134">
        <f>ric!B1065</f>
        <v/>
      </c>
      <c r="B1065" s="118">
        <f>ric!C1065</f>
        <v/>
      </c>
      <c r="C1065" s="125">
        <f>ric!D1065</f>
        <v/>
      </c>
      <c r="D1065" s="125" t="n"/>
      <c r="E1065" s="125" t="n"/>
      <c r="F1065" s="125" t="n"/>
      <c r="G1065" s="118">
        <f>CONCATENATE(A1065, " ",#REF!, " / ",H1065)</f>
        <v/>
      </c>
      <c r="H1065" s="118" t="n"/>
      <c r="I1065" s="119">
        <f>CONCATENATE(M1065," - ",J1065," - Lotto N° ",K1065,"")</f>
        <v/>
      </c>
      <c r="J1065" s="118" t="n"/>
      <c r="K1065" s="118">
        <f>VLOOKUP(#REF!,Produzione,7,FALSE)</f>
        <v/>
      </c>
      <c r="L1065" s="120" t="n"/>
      <c r="M1065" s="120" t="n"/>
      <c r="N1065" s="118" t="n"/>
      <c r="O1065" s="121" t="n"/>
      <c r="P1065" s="121" t="n"/>
      <c r="Q1065" s="166">
        <f>TODAY()</f>
        <v/>
      </c>
      <c r="R1065" s="165">
        <f>ElencoProdotti[[#This Row],[PRODUZIONE]]+20</f>
        <v/>
      </c>
      <c r="S1065" s="165">
        <f>TODAY()</f>
        <v/>
      </c>
      <c r="T1065" s="133">
        <f>CONCATENATE(A1065," - contiene allergni - prodotto il giorno ",TEXT(Q1065,"gg/mm/aaaa"),"")</f>
        <v/>
      </c>
    </row>
    <row r="1066" ht="15" customHeight="1" s="155">
      <c r="A1066" s="134">
        <f>ric!B1066</f>
        <v/>
      </c>
      <c r="B1066" s="118">
        <f>ric!C1066</f>
        <v/>
      </c>
      <c r="C1066" s="125">
        <f>ric!D1066</f>
        <v/>
      </c>
      <c r="D1066" s="125" t="n"/>
      <c r="E1066" s="125" t="n"/>
      <c r="F1066" s="125" t="n"/>
      <c r="G1066" s="118">
        <f>CONCATENATE(A1066, " ",#REF!, " / ",H1066)</f>
        <v/>
      </c>
      <c r="H1066" s="118" t="n"/>
      <c r="I1066" s="119">
        <f>CONCATENATE(M1066," - ",J1066," - Lotto N° ",K1066,"")</f>
        <v/>
      </c>
      <c r="J1066" s="118" t="n"/>
      <c r="K1066" s="118">
        <f>VLOOKUP(#REF!,Produzione,7,FALSE)</f>
        <v/>
      </c>
      <c r="L1066" s="120" t="n"/>
      <c r="M1066" s="120" t="n"/>
      <c r="N1066" s="118" t="n"/>
      <c r="O1066" s="121" t="n"/>
      <c r="P1066" s="121" t="n"/>
      <c r="Q1066" s="166">
        <f>TODAY()</f>
        <v/>
      </c>
      <c r="R1066" s="165">
        <f>ElencoProdotti[[#This Row],[PRODUZIONE]]+20</f>
        <v/>
      </c>
      <c r="S1066" s="165">
        <f>TODAY()</f>
        <v/>
      </c>
      <c r="T1066" s="133">
        <f>CONCATENATE(A1066," - contiene allergni - prodotto il giorno ",TEXT(Q1066,"gg/mm/aaaa"),"")</f>
        <v/>
      </c>
    </row>
    <row r="1067" ht="15" customHeight="1" s="155">
      <c r="A1067" s="134">
        <f>ric!B1067</f>
        <v/>
      </c>
      <c r="B1067" s="118">
        <f>ric!C1067</f>
        <v/>
      </c>
      <c r="C1067" s="125">
        <f>ric!D1067</f>
        <v/>
      </c>
      <c r="D1067" s="125" t="n"/>
      <c r="E1067" s="125" t="n"/>
      <c r="F1067" s="125" t="n"/>
      <c r="G1067" s="118">
        <f>CONCATENATE(A1067, " ",#REF!, " / ",H1067)</f>
        <v/>
      </c>
      <c r="H1067" s="118" t="n"/>
      <c r="I1067" s="119">
        <f>CONCATENATE(M1067," - ",J1067," - Lotto N° ",K1067,"")</f>
        <v/>
      </c>
      <c r="J1067" s="118" t="n"/>
      <c r="K1067" s="118">
        <f>VLOOKUP(#REF!,Produzione,7,FALSE)</f>
        <v/>
      </c>
      <c r="L1067" s="120" t="n"/>
      <c r="M1067" s="120" t="n"/>
      <c r="N1067" s="118" t="n"/>
      <c r="O1067" s="121" t="n"/>
      <c r="P1067" s="121" t="n"/>
      <c r="Q1067" s="166">
        <f>TODAY()</f>
        <v/>
      </c>
      <c r="R1067" s="165">
        <f>ElencoProdotti[[#This Row],[PRODUZIONE]]+20</f>
        <v/>
      </c>
      <c r="S1067" s="165">
        <f>TODAY()</f>
        <v/>
      </c>
      <c r="T1067" s="133">
        <f>CONCATENATE(A1067," - contiene allergni - prodotto il giorno ",TEXT(Q1067,"gg/mm/aaaa"),"")</f>
        <v/>
      </c>
    </row>
    <row r="1068" ht="15" customHeight="1" s="155">
      <c r="A1068" s="134">
        <f>ric!B1068</f>
        <v/>
      </c>
      <c r="B1068" s="118">
        <f>ric!C1068</f>
        <v/>
      </c>
      <c r="C1068" s="125">
        <f>ric!D1068</f>
        <v/>
      </c>
      <c r="D1068" s="125" t="n"/>
      <c r="E1068" s="125" t="n"/>
      <c r="F1068" s="125" t="n"/>
      <c r="G1068" s="118">
        <f>CONCATENATE(A1068, " ",#REF!, " / ",H1068)</f>
        <v/>
      </c>
      <c r="H1068" s="118" t="n"/>
      <c r="I1068" s="119">
        <f>CONCATENATE(M1068," - ",J1068," - Lotto N° ",K1068,"")</f>
        <v/>
      </c>
      <c r="J1068" s="118" t="n"/>
      <c r="K1068" s="118">
        <f>VLOOKUP(#REF!,Produzione,7,FALSE)</f>
        <v/>
      </c>
      <c r="L1068" s="120" t="n"/>
      <c r="M1068" s="120" t="n"/>
      <c r="N1068" s="118" t="n"/>
      <c r="O1068" s="121" t="n"/>
      <c r="P1068" s="121" t="n"/>
      <c r="Q1068" s="166">
        <f>TODAY()</f>
        <v/>
      </c>
      <c r="R1068" s="165">
        <f>ElencoProdotti[[#This Row],[PRODUZIONE]]+20</f>
        <v/>
      </c>
      <c r="S1068" s="165">
        <f>TODAY()</f>
        <v/>
      </c>
      <c r="T1068" s="133">
        <f>CONCATENATE(A1068," - contiene allergni - prodotto il giorno ",TEXT(Q1068,"gg/mm/aaaa"),"")</f>
        <v/>
      </c>
    </row>
    <row r="1069" ht="15" customHeight="1" s="155">
      <c r="A1069" s="134">
        <f>ric!B1069</f>
        <v/>
      </c>
      <c r="B1069" s="118">
        <f>ric!C1069</f>
        <v/>
      </c>
      <c r="C1069" s="125">
        <f>ric!D1069</f>
        <v/>
      </c>
      <c r="D1069" s="125" t="n"/>
      <c r="E1069" s="125" t="n"/>
      <c r="F1069" s="125" t="n"/>
      <c r="G1069" s="118">
        <f>CONCATENATE(A1069, " ",#REF!, " / ",H1069)</f>
        <v/>
      </c>
      <c r="H1069" s="118" t="n"/>
      <c r="I1069" s="119">
        <f>CONCATENATE(M1069," - ",J1069," - Lotto N° ",K1069,"")</f>
        <v/>
      </c>
      <c r="J1069" s="118" t="n"/>
      <c r="K1069" s="118">
        <f>VLOOKUP(#REF!,Produzione,7,FALSE)</f>
        <v/>
      </c>
      <c r="L1069" s="120" t="n"/>
      <c r="M1069" s="120" t="n"/>
      <c r="N1069" s="118" t="n"/>
      <c r="O1069" s="121" t="n"/>
      <c r="P1069" s="121" t="n"/>
      <c r="Q1069" s="166">
        <f>TODAY()</f>
        <v/>
      </c>
      <c r="R1069" s="165">
        <f>ElencoProdotti[[#This Row],[PRODUZIONE]]+20</f>
        <v/>
      </c>
      <c r="S1069" s="165">
        <f>TODAY()</f>
        <v/>
      </c>
      <c r="T1069" s="133">
        <f>CONCATENATE(A1069," - contiene allergni - prodotto il giorno ",TEXT(Q1069,"gg/mm/aaaa"),"")</f>
        <v/>
      </c>
    </row>
    <row r="1070" ht="15" customHeight="1" s="155">
      <c r="A1070" s="134">
        <f>ric!B1070</f>
        <v/>
      </c>
      <c r="B1070" s="118">
        <f>ric!C1070</f>
        <v/>
      </c>
      <c r="C1070" s="125">
        <f>ric!D1070</f>
        <v/>
      </c>
      <c r="D1070" s="125" t="n"/>
      <c r="E1070" s="125" t="n"/>
      <c r="F1070" s="125" t="n"/>
      <c r="G1070" s="118">
        <f>CONCATENATE(A1070, " ",#REF!, " / ",H1070)</f>
        <v/>
      </c>
      <c r="H1070" s="118" t="n"/>
      <c r="I1070" s="119">
        <f>CONCATENATE(M1070," - ",J1070," - Lotto N° ",K1070,"")</f>
        <v/>
      </c>
      <c r="J1070" s="118" t="n"/>
      <c r="K1070" s="118">
        <f>VLOOKUP(#REF!,Produzione,7,FALSE)</f>
        <v/>
      </c>
      <c r="L1070" s="120" t="n"/>
      <c r="M1070" s="120" t="n"/>
      <c r="N1070" s="118" t="n"/>
      <c r="O1070" s="121" t="n"/>
      <c r="P1070" s="121" t="n"/>
      <c r="Q1070" s="166">
        <f>TODAY()</f>
        <v/>
      </c>
      <c r="R1070" s="165">
        <f>ElencoProdotti[[#This Row],[PRODUZIONE]]+20</f>
        <v/>
      </c>
      <c r="S1070" s="165">
        <f>TODAY()</f>
        <v/>
      </c>
      <c r="T1070" s="133">
        <f>CONCATENATE(A1070," - contiene allergni - prodotto il giorno ",TEXT(Q1070,"gg/mm/aaaa"),"")</f>
        <v/>
      </c>
    </row>
    <row r="1071" ht="15" customHeight="1" s="155">
      <c r="A1071" s="134">
        <f>ric!B1071</f>
        <v/>
      </c>
      <c r="B1071" s="118">
        <f>ric!C1071</f>
        <v/>
      </c>
      <c r="C1071" s="125">
        <f>ric!D1071</f>
        <v/>
      </c>
      <c r="D1071" s="125" t="n"/>
      <c r="E1071" s="125" t="n"/>
      <c r="F1071" s="125" t="n"/>
      <c r="G1071" s="118">
        <f>CONCATENATE(A1071, " ",#REF!, " / ",H1071)</f>
        <v/>
      </c>
      <c r="H1071" s="118" t="n"/>
      <c r="I1071" s="119">
        <f>CONCATENATE(M1071," - ",J1071," - Lotto N° ",K1071,"")</f>
        <v/>
      </c>
      <c r="J1071" s="118" t="n"/>
      <c r="K1071" s="118">
        <f>VLOOKUP(#REF!,Produzione,7,FALSE)</f>
        <v/>
      </c>
      <c r="L1071" s="120" t="n"/>
      <c r="M1071" s="120" t="n"/>
      <c r="N1071" s="118" t="n"/>
      <c r="O1071" s="121" t="n"/>
      <c r="P1071" s="121" t="n"/>
      <c r="Q1071" s="166">
        <f>TODAY()</f>
        <v/>
      </c>
      <c r="R1071" s="165">
        <f>ElencoProdotti[[#This Row],[PRODUZIONE]]+20</f>
        <v/>
      </c>
      <c r="S1071" s="165">
        <f>TODAY()</f>
        <v/>
      </c>
      <c r="T1071" s="133">
        <f>CONCATENATE(A1071," - contiene allergni - prodotto il giorno ",TEXT(Q1071,"gg/mm/aaaa"),"")</f>
        <v/>
      </c>
    </row>
    <row r="1072" ht="15" customHeight="1" s="155">
      <c r="A1072" s="134">
        <f>ric!B1072</f>
        <v/>
      </c>
      <c r="B1072" s="118">
        <f>ric!C1072</f>
        <v/>
      </c>
      <c r="C1072" s="125">
        <f>ric!D1072</f>
        <v/>
      </c>
      <c r="D1072" s="125" t="n"/>
      <c r="E1072" s="125" t="n"/>
      <c r="F1072" s="125" t="n"/>
      <c r="G1072" s="118">
        <f>CONCATENATE(A1072, " ",#REF!, " / ",H1072)</f>
        <v/>
      </c>
      <c r="H1072" s="118" t="n"/>
      <c r="I1072" s="119">
        <f>CONCATENATE(M1072," - ",J1072," - Lotto N° ",K1072,"")</f>
        <v/>
      </c>
      <c r="J1072" s="118" t="n"/>
      <c r="K1072" s="118">
        <f>VLOOKUP(#REF!,Produzione,7,FALSE)</f>
        <v/>
      </c>
      <c r="L1072" s="120" t="n"/>
      <c r="M1072" s="120" t="n"/>
      <c r="N1072" s="118" t="n"/>
      <c r="O1072" s="121" t="n"/>
      <c r="P1072" s="121" t="n"/>
      <c r="Q1072" s="166">
        <f>TODAY()</f>
        <v/>
      </c>
      <c r="R1072" s="165">
        <f>ElencoProdotti[[#This Row],[PRODUZIONE]]+20</f>
        <v/>
      </c>
      <c r="S1072" s="165">
        <f>TODAY()</f>
        <v/>
      </c>
      <c r="T1072" s="133">
        <f>CONCATENATE(A1072," - contiene allergni - prodotto il giorno ",TEXT(Q1072,"gg/mm/aaaa"),"")</f>
        <v/>
      </c>
    </row>
    <row r="1073" ht="15" customHeight="1" s="155">
      <c r="A1073" s="134">
        <f>ric!B1073</f>
        <v/>
      </c>
      <c r="B1073" s="118">
        <f>ric!C1073</f>
        <v/>
      </c>
      <c r="C1073" s="125">
        <f>ric!D1073</f>
        <v/>
      </c>
      <c r="D1073" s="125" t="n"/>
      <c r="E1073" s="125" t="n"/>
      <c r="F1073" s="125" t="n"/>
      <c r="G1073" s="118">
        <f>CONCATENATE(A1073, " ",#REF!, " / ",H1073)</f>
        <v/>
      </c>
      <c r="H1073" s="118" t="n"/>
      <c r="I1073" s="119">
        <f>CONCATENATE(M1073," - ",J1073," - Lotto N° ",K1073,"")</f>
        <v/>
      </c>
      <c r="J1073" s="118" t="n"/>
      <c r="K1073" s="118">
        <f>VLOOKUP(#REF!,Produzione,7,FALSE)</f>
        <v/>
      </c>
      <c r="L1073" s="120" t="n"/>
      <c r="M1073" s="120" t="n"/>
      <c r="N1073" s="118" t="n"/>
      <c r="O1073" s="121" t="n"/>
      <c r="P1073" s="121" t="n"/>
      <c r="Q1073" s="166">
        <f>TODAY()</f>
        <v/>
      </c>
      <c r="R1073" s="165">
        <f>ElencoProdotti[[#This Row],[PRODUZIONE]]+20</f>
        <v/>
      </c>
      <c r="S1073" s="165">
        <f>TODAY()</f>
        <v/>
      </c>
      <c r="T1073" s="133">
        <f>CONCATENATE(A1073," - contiene allergni - prodotto il giorno ",TEXT(Q1073,"gg/mm/aaaa"),"")</f>
        <v/>
      </c>
    </row>
    <row r="1074" ht="15" customHeight="1" s="155">
      <c r="A1074" s="134">
        <f>ric!B1074</f>
        <v/>
      </c>
      <c r="B1074" s="118">
        <f>ric!C1074</f>
        <v/>
      </c>
      <c r="C1074" s="125">
        <f>ric!D1074</f>
        <v/>
      </c>
      <c r="D1074" s="125" t="n"/>
      <c r="E1074" s="125" t="n"/>
      <c r="F1074" s="125" t="n"/>
      <c r="G1074" s="118">
        <f>CONCATENATE(A1074, " ",#REF!, " / ",H1074)</f>
        <v/>
      </c>
      <c r="H1074" s="118" t="n"/>
      <c r="I1074" s="119">
        <f>CONCATENATE(M1074," - ",J1074," - Lotto N° ",K1074,"")</f>
        <v/>
      </c>
      <c r="J1074" s="118" t="n"/>
      <c r="K1074" s="118">
        <f>VLOOKUP(#REF!,Produzione,7,FALSE)</f>
        <v/>
      </c>
      <c r="L1074" s="120" t="n"/>
      <c r="M1074" s="120" t="n"/>
      <c r="N1074" s="118" t="n"/>
      <c r="O1074" s="121" t="n"/>
      <c r="P1074" s="121" t="n"/>
      <c r="Q1074" s="166">
        <f>TODAY()</f>
        <v/>
      </c>
      <c r="R1074" s="165">
        <f>ElencoProdotti[[#This Row],[PRODUZIONE]]+20</f>
        <v/>
      </c>
      <c r="S1074" s="165">
        <f>TODAY()</f>
        <v/>
      </c>
      <c r="T1074" s="133">
        <f>CONCATENATE(A1074," - contiene allergni - prodotto il giorno ",TEXT(Q1074,"gg/mm/aaaa"),"")</f>
        <v/>
      </c>
    </row>
    <row r="1075" ht="15" customHeight="1" s="155">
      <c r="A1075" s="134">
        <f>ric!B1075</f>
        <v/>
      </c>
      <c r="B1075" s="118">
        <f>ric!C1075</f>
        <v/>
      </c>
      <c r="C1075" s="125">
        <f>ric!D1075</f>
        <v/>
      </c>
      <c r="D1075" s="125" t="n"/>
      <c r="E1075" s="125" t="n"/>
      <c r="F1075" s="125" t="n"/>
      <c r="G1075" s="118">
        <f>CONCATENATE(A1075, " ",#REF!, " / ",H1075)</f>
        <v/>
      </c>
      <c r="H1075" s="118" t="n"/>
      <c r="I1075" s="119">
        <f>CONCATENATE(M1075," - ",J1075," - Lotto N° ",K1075,"")</f>
        <v/>
      </c>
      <c r="J1075" s="118" t="n"/>
      <c r="K1075" s="118">
        <f>VLOOKUP(#REF!,Produzione,7,FALSE)</f>
        <v/>
      </c>
      <c r="L1075" s="120" t="n"/>
      <c r="M1075" s="120" t="n"/>
      <c r="N1075" s="118" t="n"/>
      <c r="O1075" s="121" t="n"/>
      <c r="P1075" s="121" t="n"/>
      <c r="Q1075" s="166">
        <f>TODAY()</f>
        <v/>
      </c>
      <c r="R1075" s="165">
        <f>ElencoProdotti[[#This Row],[PRODUZIONE]]+20</f>
        <v/>
      </c>
      <c r="S1075" s="165">
        <f>TODAY()</f>
        <v/>
      </c>
      <c r="T1075" s="133">
        <f>CONCATENATE(A1075," - contiene allergni - prodotto il giorno ",TEXT(Q1075,"gg/mm/aaaa"),"")</f>
        <v/>
      </c>
    </row>
    <row r="1076" ht="15" customHeight="1" s="155">
      <c r="A1076" s="134">
        <f>ric!B1076</f>
        <v/>
      </c>
      <c r="B1076" s="118">
        <f>ric!C1076</f>
        <v/>
      </c>
      <c r="C1076" s="125">
        <f>ric!D1076</f>
        <v/>
      </c>
      <c r="D1076" s="125" t="n"/>
      <c r="E1076" s="125" t="n"/>
      <c r="F1076" s="125" t="n"/>
      <c r="G1076" s="118">
        <f>CONCATENATE(A1076, " ",#REF!, " / ",H1076)</f>
        <v/>
      </c>
      <c r="H1076" s="118" t="n"/>
      <c r="I1076" s="119">
        <f>CONCATENATE(M1076," - ",J1076," - Lotto N° ",K1076,"")</f>
        <v/>
      </c>
      <c r="J1076" s="118" t="n"/>
      <c r="K1076" s="118">
        <f>VLOOKUP(#REF!,Produzione,7,FALSE)</f>
        <v/>
      </c>
      <c r="L1076" s="120" t="n"/>
      <c r="M1076" s="120" t="n"/>
      <c r="N1076" s="118" t="n"/>
      <c r="O1076" s="121" t="n"/>
      <c r="P1076" s="121" t="n"/>
      <c r="Q1076" s="166">
        <f>TODAY()</f>
        <v/>
      </c>
      <c r="R1076" s="165">
        <f>ElencoProdotti[[#This Row],[PRODUZIONE]]+20</f>
        <v/>
      </c>
      <c r="S1076" s="165">
        <f>TODAY()</f>
        <v/>
      </c>
      <c r="T1076" s="133">
        <f>CONCATENATE(A1076," - contiene allergni - prodotto il giorno ",TEXT(Q1076,"gg/mm/aaaa"),"")</f>
        <v/>
      </c>
    </row>
    <row r="1077" ht="15" customHeight="1" s="155">
      <c r="A1077" s="134">
        <f>ric!B1077</f>
        <v/>
      </c>
      <c r="B1077" s="118">
        <f>ric!C1077</f>
        <v/>
      </c>
      <c r="C1077" s="125">
        <f>ric!D1077</f>
        <v/>
      </c>
      <c r="D1077" s="125" t="n"/>
      <c r="E1077" s="125" t="n"/>
      <c r="F1077" s="125" t="n"/>
      <c r="G1077" s="118">
        <f>CONCATENATE(A1077, " ",#REF!, " / ",H1077)</f>
        <v/>
      </c>
      <c r="H1077" s="118" t="n"/>
      <c r="I1077" s="119">
        <f>CONCATENATE(M1077," - ",J1077," - Lotto N° ",K1077,"")</f>
        <v/>
      </c>
      <c r="J1077" s="118" t="n"/>
      <c r="K1077" s="118">
        <f>VLOOKUP(#REF!,Produzione,7,FALSE)</f>
        <v/>
      </c>
      <c r="L1077" s="120" t="n"/>
      <c r="M1077" s="120" t="n"/>
      <c r="N1077" s="118" t="n"/>
      <c r="O1077" s="121" t="n"/>
      <c r="P1077" s="121" t="n"/>
      <c r="Q1077" s="166">
        <f>TODAY()</f>
        <v/>
      </c>
      <c r="R1077" s="165">
        <f>ElencoProdotti[[#This Row],[PRODUZIONE]]+20</f>
        <v/>
      </c>
      <c r="S1077" s="165">
        <f>TODAY()</f>
        <v/>
      </c>
      <c r="T1077" s="133">
        <f>CONCATENATE(A1077," - contiene allergni - prodotto il giorno ",TEXT(Q1077,"gg/mm/aaaa"),"")</f>
        <v/>
      </c>
    </row>
    <row r="1078" ht="15" customHeight="1" s="155">
      <c r="A1078" s="134">
        <f>ric!B1078</f>
        <v/>
      </c>
      <c r="B1078" s="118">
        <f>ric!C1078</f>
        <v/>
      </c>
      <c r="C1078" s="125">
        <f>ric!D1078</f>
        <v/>
      </c>
      <c r="D1078" s="125" t="n"/>
      <c r="E1078" s="125" t="n"/>
      <c r="F1078" s="125" t="n"/>
      <c r="G1078" s="118">
        <f>CONCATENATE(A1078, " ",#REF!, " / ",H1078)</f>
        <v/>
      </c>
      <c r="H1078" s="118" t="n"/>
      <c r="I1078" s="119">
        <f>CONCATENATE(M1078," - ",J1078," - Lotto N° ",K1078,"")</f>
        <v/>
      </c>
      <c r="J1078" s="118" t="n"/>
      <c r="K1078" s="118">
        <f>VLOOKUP(#REF!,Produzione,7,FALSE)</f>
        <v/>
      </c>
      <c r="L1078" s="120" t="n"/>
      <c r="M1078" s="120" t="n"/>
      <c r="N1078" s="118" t="n"/>
      <c r="O1078" s="121" t="n"/>
      <c r="P1078" s="121" t="n"/>
      <c r="Q1078" s="166">
        <f>TODAY()</f>
        <v/>
      </c>
      <c r="R1078" s="165">
        <f>ElencoProdotti[[#This Row],[PRODUZIONE]]+20</f>
        <v/>
      </c>
      <c r="S1078" s="165">
        <f>TODAY()</f>
        <v/>
      </c>
      <c r="T1078" s="133">
        <f>CONCATENATE(A1078," - contiene allergni - prodotto il giorno ",TEXT(Q1078,"gg/mm/aaaa"),"")</f>
        <v/>
      </c>
    </row>
    <row r="1079" ht="15" customHeight="1" s="155">
      <c r="A1079" s="134">
        <f>ric!B1079</f>
        <v/>
      </c>
      <c r="B1079" s="118">
        <f>ric!C1079</f>
        <v/>
      </c>
      <c r="C1079" s="125">
        <f>ric!D1079</f>
        <v/>
      </c>
      <c r="D1079" s="125" t="n"/>
      <c r="E1079" s="125" t="n"/>
      <c r="F1079" s="125" t="n"/>
      <c r="G1079" s="118">
        <f>CONCATENATE(A1079, " ",#REF!, " / ",H1079)</f>
        <v/>
      </c>
      <c r="H1079" s="118" t="n"/>
      <c r="I1079" s="119">
        <f>CONCATENATE(M1079," - ",J1079," - Lotto N° ",K1079,"")</f>
        <v/>
      </c>
      <c r="J1079" s="118" t="n"/>
      <c r="K1079" s="118">
        <f>VLOOKUP(#REF!,Produzione,7,FALSE)</f>
        <v/>
      </c>
      <c r="L1079" s="120" t="n"/>
      <c r="M1079" s="120" t="n"/>
      <c r="N1079" s="118" t="n"/>
      <c r="O1079" s="121" t="n"/>
      <c r="P1079" s="121" t="n"/>
      <c r="Q1079" s="166">
        <f>TODAY()</f>
        <v/>
      </c>
      <c r="R1079" s="165">
        <f>ElencoProdotti[[#This Row],[PRODUZIONE]]+20</f>
        <v/>
      </c>
      <c r="S1079" s="165">
        <f>TODAY()</f>
        <v/>
      </c>
      <c r="T1079" s="133">
        <f>CONCATENATE(A1079," - contiene allergni - prodotto il giorno ",TEXT(Q1079,"gg/mm/aaaa"),"")</f>
        <v/>
      </c>
    </row>
    <row r="1080" ht="15" customHeight="1" s="155">
      <c r="A1080" s="134">
        <f>ric!B1080</f>
        <v/>
      </c>
      <c r="B1080" s="118">
        <f>ric!C1080</f>
        <v/>
      </c>
      <c r="C1080" s="125">
        <f>ric!D1080</f>
        <v/>
      </c>
      <c r="D1080" s="125" t="n"/>
      <c r="E1080" s="125" t="n"/>
      <c r="F1080" s="125" t="n"/>
      <c r="G1080" s="118">
        <f>CONCATENATE(A1080, " ",#REF!, " / ",H1080)</f>
        <v/>
      </c>
      <c r="H1080" s="118" t="n"/>
      <c r="I1080" s="119">
        <f>CONCATENATE(M1080," - ",J1080," - Lotto N° ",K1080,"")</f>
        <v/>
      </c>
      <c r="J1080" s="118" t="n"/>
      <c r="K1080" s="118">
        <f>VLOOKUP(#REF!,Produzione,7,FALSE)</f>
        <v/>
      </c>
      <c r="L1080" s="120" t="n"/>
      <c r="M1080" s="120" t="n"/>
      <c r="N1080" s="118" t="n"/>
      <c r="O1080" s="121" t="n"/>
      <c r="P1080" s="121" t="n"/>
      <c r="Q1080" s="166">
        <f>TODAY()</f>
        <v/>
      </c>
      <c r="R1080" s="165">
        <f>ElencoProdotti[[#This Row],[PRODUZIONE]]+20</f>
        <v/>
      </c>
      <c r="S1080" s="165">
        <f>TODAY()</f>
        <v/>
      </c>
      <c r="T1080" s="133">
        <f>CONCATENATE(A1080," - contiene allergni - prodotto il giorno ",TEXT(Q1080,"gg/mm/aaaa"),"")</f>
        <v/>
      </c>
    </row>
    <row r="1081" ht="15" customHeight="1" s="155">
      <c r="A1081" s="134">
        <f>ric!B1081</f>
        <v/>
      </c>
      <c r="B1081" s="118">
        <f>ric!C1081</f>
        <v/>
      </c>
      <c r="C1081" s="125">
        <f>ric!D1081</f>
        <v/>
      </c>
      <c r="D1081" s="125" t="n"/>
      <c r="E1081" s="125" t="n"/>
      <c r="F1081" s="125" t="n"/>
      <c r="G1081" s="118">
        <f>CONCATENATE(A1081, " ",#REF!, " / ",H1081)</f>
        <v/>
      </c>
      <c r="H1081" s="118" t="n"/>
      <c r="I1081" s="119">
        <f>CONCATENATE(M1081," - ",J1081," - Lotto N° ",K1081,"")</f>
        <v/>
      </c>
      <c r="J1081" s="118" t="n"/>
      <c r="K1081" s="118">
        <f>VLOOKUP(#REF!,Produzione,7,FALSE)</f>
        <v/>
      </c>
      <c r="L1081" s="120" t="n"/>
      <c r="M1081" s="120" t="n"/>
      <c r="N1081" s="118" t="n"/>
      <c r="O1081" s="121" t="n"/>
      <c r="P1081" s="121" t="n"/>
      <c r="Q1081" s="166">
        <f>TODAY()</f>
        <v/>
      </c>
      <c r="R1081" s="165">
        <f>ElencoProdotti[[#This Row],[PRODUZIONE]]+20</f>
        <v/>
      </c>
      <c r="S1081" s="165">
        <f>TODAY()</f>
        <v/>
      </c>
      <c r="T1081" s="133">
        <f>CONCATENATE(A1081," - contiene allergni - prodotto il giorno ",TEXT(Q1081,"gg/mm/aaaa"),"")</f>
        <v/>
      </c>
    </row>
    <row r="1082" ht="15" customHeight="1" s="155">
      <c r="A1082" s="134">
        <f>ric!B1082</f>
        <v/>
      </c>
      <c r="B1082" s="118">
        <f>ric!C1082</f>
        <v/>
      </c>
      <c r="C1082" s="125">
        <f>ric!D1082</f>
        <v/>
      </c>
      <c r="D1082" s="125" t="n"/>
      <c r="E1082" s="125" t="n"/>
      <c r="F1082" s="125" t="n"/>
      <c r="G1082" s="118">
        <f>CONCATENATE(A1082, " ",#REF!, " / ",H1082)</f>
        <v/>
      </c>
      <c r="H1082" s="118" t="n"/>
      <c r="I1082" s="119">
        <f>CONCATENATE(M1082," - ",J1082," - Lotto N° ",K1082,"")</f>
        <v/>
      </c>
      <c r="J1082" s="118" t="n"/>
      <c r="K1082" s="118">
        <f>VLOOKUP(#REF!,Produzione,7,FALSE)</f>
        <v/>
      </c>
      <c r="L1082" s="120" t="n"/>
      <c r="M1082" s="120" t="n"/>
      <c r="N1082" s="118" t="n"/>
      <c r="O1082" s="121" t="n"/>
      <c r="P1082" s="121" t="n"/>
      <c r="Q1082" s="166">
        <f>TODAY()</f>
        <v/>
      </c>
      <c r="R1082" s="165">
        <f>ElencoProdotti[[#This Row],[PRODUZIONE]]+20</f>
        <v/>
      </c>
      <c r="S1082" s="165">
        <f>TODAY()</f>
        <v/>
      </c>
      <c r="T1082" s="133">
        <f>CONCATENATE(A1082," - contiene allergni - prodotto il giorno ",TEXT(Q1082,"gg/mm/aaaa"),"")</f>
        <v/>
      </c>
    </row>
    <row r="1083" ht="15" customHeight="1" s="155">
      <c r="A1083" s="134">
        <f>ric!B1083</f>
        <v/>
      </c>
      <c r="B1083" s="118">
        <f>ric!C1083</f>
        <v/>
      </c>
      <c r="C1083" s="125">
        <f>ric!D1083</f>
        <v/>
      </c>
      <c r="D1083" s="125" t="n"/>
      <c r="E1083" s="125" t="n"/>
      <c r="F1083" s="125" t="n"/>
      <c r="G1083" s="118">
        <f>CONCATENATE(A1083, " ",#REF!, " / ",H1083)</f>
        <v/>
      </c>
      <c r="H1083" s="118" t="n"/>
      <c r="I1083" s="119">
        <f>CONCATENATE(M1083," - ",J1083," - Lotto N° ",K1083,"")</f>
        <v/>
      </c>
      <c r="J1083" s="118" t="n"/>
      <c r="K1083" s="118">
        <f>VLOOKUP(#REF!,Produzione,7,FALSE)</f>
        <v/>
      </c>
      <c r="L1083" s="120" t="n"/>
      <c r="M1083" s="120" t="n"/>
      <c r="N1083" s="118" t="n"/>
      <c r="O1083" s="121" t="n"/>
      <c r="P1083" s="121" t="n"/>
      <c r="Q1083" s="166">
        <f>TODAY()</f>
        <v/>
      </c>
      <c r="R1083" s="165">
        <f>ElencoProdotti[[#This Row],[PRODUZIONE]]+20</f>
        <v/>
      </c>
      <c r="S1083" s="165">
        <f>TODAY()</f>
        <v/>
      </c>
      <c r="T1083" s="133">
        <f>CONCATENATE(A1083," - contiene allergni - prodotto il giorno ",TEXT(Q1083,"gg/mm/aaaa"),"")</f>
        <v/>
      </c>
    </row>
    <row r="1084" ht="15" customHeight="1" s="155">
      <c r="A1084" s="134">
        <f>ric!B1084</f>
        <v/>
      </c>
      <c r="B1084" s="118">
        <f>ric!C1084</f>
        <v/>
      </c>
      <c r="C1084" s="125">
        <f>ric!D1084</f>
        <v/>
      </c>
      <c r="D1084" s="125" t="n"/>
      <c r="E1084" s="125" t="n"/>
      <c r="F1084" s="125" t="n"/>
      <c r="G1084" s="118">
        <f>CONCATENATE(A1084, " ",#REF!, " / ",H1084)</f>
        <v/>
      </c>
      <c r="H1084" s="118" t="n"/>
      <c r="I1084" s="119">
        <f>CONCATENATE(M1084," - ",J1084," - Lotto N° ",K1084,"")</f>
        <v/>
      </c>
      <c r="J1084" s="118" t="n"/>
      <c r="K1084" s="118">
        <f>VLOOKUP(#REF!,Produzione,7,FALSE)</f>
        <v/>
      </c>
      <c r="L1084" s="120" t="n"/>
      <c r="M1084" s="120" t="n"/>
      <c r="N1084" s="118" t="n"/>
      <c r="O1084" s="121" t="n"/>
      <c r="P1084" s="121" t="n"/>
      <c r="Q1084" s="166">
        <f>TODAY()</f>
        <v/>
      </c>
      <c r="R1084" s="165">
        <f>ElencoProdotti[[#This Row],[PRODUZIONE]]+20</f>
        <v/>
      </c>
      <c r="S1084" s="165">
        <f>TODAY()</f>
        <v/>
      </c>
      <c r="T1084" s="133">
        <f>CONCATENATE(A1084," - contiene allergni - prodotto il giorno ",TEXT(Q1084,"gg/mm/aaaa"),"")</f>
        <v/>
      </c>
    </row>
    <row r="1085" ht="15" customHeight="1" s="155">
      <c r="A1085" s="134">
        <f>ric!B1085</f>
        <v/>
      </c>
      <c r="B1085" s="118">
        <f>ric!C1085</f>
        <v/>
      </c>
      <c r="C1085" s="125">
        <f>ric!D1085</f>
        <v/>
      </c>
      <c r="D1085" s="125" t="n"/>
      <c r="E1085" s="125" t="n"/>
      <c r="F1085" s="125" t="n"/>
      <c r="G1085" s="118">
        <f>CONCATENATE(A1085, " ",#REF!, " / ",H1085)</f>
        <v/>
      </c>
      <c r="H1085" s="118" t="n"/>
      <c r="I1085" s="119">
        <f>CONCATENATE(M1085," - ",J1085," - Lotto N° ",K1085,"")</f>
        <v/>
      </c>
      <c r="J1085" s="118" t="n"/>
      <c r="K1085" s="118">
        <f>VLOOKUP(#REF!,Produzione,7,FALSE)</f>
        <v/>
      </c>
      <c r="L1085" s="120" t="n"/>
      <c r="M1085" s="120" t="n"/>
      <c r="N1085" s="118" t="n"/>
      <c r="O1085" s="121" t="n"/>
      <c r="P1085" s="121" t="n"/>
      <c r="Q1085" s="166">
        <f>TODAY()</f>
        <v/>
      </c>
      <c r="R1085" s="165">
        <f>ElencoProdotti[[#This Row],[PRODUZIONE]]+20</f>
        <v/>
      </c>
      <c r="S1085" s="165">
        <f>TODAY()</f>
        <v/>
      </c>
      <c r="T1085" s="133">
        <f>CONCATENATE(A1085," - contiene allergni - prodotto il giorno ",TEXT(Q1085,"gg/mm/aaaa"),"")</f>
        <v/>
      </c>
    </row>
    <row r="1086" ht="15" customHeight="1" s="155">
      <c r="A1086" s="134">
        <f>ric!B1086</f>
        <v/>
      </c>
      <c r="B1086" s="118">
        <f>ric!C1086</f>
        <v/>
      </c>
      <c r="C1086" s="125">
        <f>ric!D1086</f>
        <v/>
      </c>
      <c r="D1086" s="125" t="n"/>
      <c r="E1086" s="125" t="n"/>
      <c r="F1086" s="125" t="n"/>
      <c r="G1086" s="118">
        <f>CONCATENATE(A1086, " ",#REF!, " / ",H1086)</f>
        <v/>
      </c>
      <c r="H1086" s="118" t="n"/>
      <c r="I1086" s="119">
        <f>CONCATENATE(M1086," - ",J1086," - Lotto N° ",K1086,"")</f>
        <v/>
      </c>
      <c r="J1086" s="118" t="n"/>
      <c r="K1086" s="118">
        <f>VLOOKUP(#REF!,Produzione,7,FALSE)</f>
        <v/>
      </c>
      <c r="L1086" s="120" t="n"/>
      <c r="M1086" s="120" t="n"/>
      <c r="N1086" s="118" t="n"/>
      <c r="O1086" s="121" t="n"/>
      <c r="P1086" s="121" t="n"/>
      <c r="Q1086" s="166">
        <f>TODAY()</f>
        <v/>
      </c>
      <c r="R1086" s="165">
        <f>ElencoProdotti[[#This Row],[PRODUZIONE]]+20</f>
        <v/>
      </c>
      <c r="S1086" s="165">
        <f>TODAY()</f>
        <v/>
      </c>
      <c r="T1086" s="133">
        <f>CONCATENATE(A1086," - contiene allergni - prodotto il giorno ",TEXT(Q1086,"gg/mm/aaaa"),"")</f>
        <v/>
      </c>
    </row>
    <row r="1087" ht="15" customHeight="1" s="155">
      <c r="A1087" s="134">
        <f>ric!B1087</f>
        <v/>
      </c>
      <c r="B1087" s="118">
        <f>ric!C1087</f>
        <v/>
      </c>
      <c r="C1087" s="125">
        <f>ric!D1087</f>
        <v/>
      </c>
      <c r="D1087" s="125" t="n"/>
      <c r="E1087" s="125" t="n"/>
      <c r="F1087" s="125" t="n"/>
      <c r="G1087" s="118">
        <f>CONCATENATE(A1087, " ",#REF!, " / ",H1087)</f>
        <v/>
      </c>
      <c r="H1087" s="118" t="n"/>
      <c r="I1087" s="119">
        <f>CONCATENATE(M1087," - ",J1087," - Lotto N° ",K1087,"")</f>
        <v/>
      </c>
      <c r="J1087" s="118" t="n"/>
      <c r="K1087" s="118">
        <f>VLOOKUP(#REF!,Produzione,7,FALSE)</f>
        <v/>
      </c>
      <c r="L1087" s="120" t="n"/>
      <c r="M1087" s="120" t="n"/>
      <c r="N1087" s="118" t="n"/>
      <c r="O1087" s="121" t="n"/>
      <c r="P1087" s="121" t="n"/>
      <c r="Q1087" s="166">
        <f>TODAY()</f>
        <v/>
      </c>
      <c r="R1087" s="165">
        <f>ElencoProdotti[[#This Row],[PRODUZIONE]]+20</f>
        <v/>
      </c>
      <c r="S1087" s="165">
        <f>TODAY()</f>
        <v/>
      </c>
      <c r="T1087" s="133">
        <f>CONCATENATE(A1087," - contiene allergni - prodotto il giorno ",TEXT(Q1087,"gg/mm/aaaa"),"")</f>
        <v/>
      </c>
    </row>
    <row r="1088" ht="15" customHeight="1" s="155">
      <c r="A1088" s="134">
        <f>ric!B1088</f>
        <v/>
      </c>
      <c r="B1088" s="118">
        <f>ric!C1088</f>
        <v/>
      </c>
      <c r="C1088" s="125">
        <f>ric!D1088</f>
        <v/>
      </c>
      <c r="D1088" s="125" t="n"/>
      <c r="E1088" s="125" t="n"/>
      <c r="F1088" s="125" t="n"/>
      <c r="G1088" s="118">
        <f>CONCATENATE(A1088, " ",#REF!, " / ",H1088)</f>
        <v/>
      </c>
      <c r="H1088" s="118" t="n"/>
      <c r="I1088" s="119">
        <f>CONCATENATE(M1088," - ",J1088," - Lotto N° ",K1088,"")</f>
        <v/>
      </c>
      <c r="J1088" s="118" t="n"/>
      <c r="K1088" s="118">
        <f>VLOOKUP(#REF!,Produzione,7,FALSE)</f>
        <v/>
      </c>
      <c r="L1088" s="120" t="n"/>
      <c r="M1088" s="120" t="n"/>
      <c r="N1088" s="118" t="n"/>
      <c r="O1088" s="121" t="n"/>
      <c r="P1088" s="121" t="n"/>
      <c r="Q1088" s="166">
        <f>TODAY()</f>
        <v/>
      </c>
      <c r="R1088" s="165">
        <f>ElencoProdotti[[#This Row],[PRODUZIONE]]+20</f>
        <v/>
      </c>
      <c r="S1088" s="165">
        <f>TODAY()</f>
        <v/>
      </c>
      <c r="T1088" s="133">
        <f>CONCATENATE(A1088," - contiene allergni - prodotto il giorno ",TEXT(Q1088,"gg/mm/aaaa"),"")</f>
        <v/>
      </c>
    </row>
    <row r="1089" ht="15" customHeight="1" s="155">
      <c r="A1089" s="134">
        <f>ric!B1089</f>
        <v/>
      </c>
      <c r="B1089" s="118">
        <f>ric!C1089</f>
        <v/>
      </c>
      <c r="C1089" s="125">
        <f>ric!D1089</f>
        <v/>
      </c>
      <c r="D1089" s="125" t="n"/>
      <c r="E1089" s="125" t="n"/>
      <c r="F1089" s="125" t="n"/>
      <c r="G1089" s="118">
        <f>CONCATENATE(A1089, " ",#REF!, " / ",H1089)</f>
        <v/>
      </c>
      <c r="H1089" s="118" t="n"/>
      <c r="I1089" s="119">
        <f>CONCATENATE(M1089," - ",J1089," - Lotto N° ",K1089,"")</f>
        <v/>
      </c>
      <c r="J1089" s="118" t="n"/>
      <c r="K1089" s="118">
        <f>VLOOKUP(#REF!,Produzione,7,FALSE)</f>
        <v/>
      </c>
      <c r="L1089" s="120" t="n"/>
      <c r="M1089" s="120" t="n"/>
      <c r="N1089" s="118" t="n"/>
      <c r="O1089" s="121" t="n"/>
      <c r="P1089" s="121" t="n"/>
      <c r="Q1089" s="166">
        <f>TODAY()</f>
        <v/>
      </c>
      <c r="R1089" s="165">
        <f>ElencoProdotti[[#This Row],[PRODUZIONE]]+20</f>
        <v/>
      </c>
      <c r="S1089" s="165">
        <f>TODAY()</f>
        <v/>
      </c>
      <c r="T1089" s="133">
        <f>CONCATENATE(A1089," - contiene allergni - prodotto il giorno ",TEXT(Q1089,"gg/mm/aaaa"),"")</f>
        <v/>
      </c>
    </row>
    <row r="1090" ht="15" customHeight="1" s="155">
      <c r="A1090" s="134">
        <f>ric!B1090</f>
        <v/>
      </c>
      <c r="B1090" s="118">
        <f>ric!C1090</f>
        <v/>
      </c>
      <c r="C1090" s="125">
        <f>ric!D1090</f>
        <v/>
      </c>
      <c r="D1090" s="125" t="n"/>
      <c r="E1090" s="125" t="n"/>
      <c r="F1090" s="125" t="n"/>
      <c r="G1090" s="118">
        <f>CONCATENATE(A1090, " ",#REF!, " / ",H1090)</f>
        <v/>
      </c>
      <c r="H1090" s="118" t="n"/>
      <c r="I1090" s="119">
        <f>CONCATENATE(M1090," - ",J1090," - Lotto N° ",K1090,"")</f>
        <v/>
      </c>
      <c r="J1090" s="118" t="n"/>
      <c r="K1090" s="118">
        <f>VLOOKUP(#REF!,Produzione,7,FALSE)</f>
        <v/>
      </c>
      <c r="L1090" s="120" t="n"/>
      <c r="M1090" s="120" t="n"/>
      <c r="N1090" s="118" t="n"/>
      <c r="O1090" s="121" t="n"/>
      <c r="P1090" s="121" t="n"/>
      <c r="Q1090" s="166">
        <f>TODAY()</f>
        <v/>
      </c>
      <c r="R1090" s="165">
        <f>ElencoProdotti[[#This Row],[PRODUZIONE]]+20</f>
        <v/>
      </c>
      <c r="S1090" s="165">
        <f>TODAY()</f>
        <v/>
      </c>
      <c r="T1090" s="133">
        <f>CONCATENATE(A1090," - contiene allergni - prodotto il giorno ",TEXT(Q1090,"gg/mm/aaaa"),"")</f>
        <v/>
      </c>
    </row>
    <row r="1091" ht="15" customHeight="1" s="155">
      <c r="A1091" s="134">
        <f>ric!B1091</f>
        <v/>
      </c>
      <c r="B1091" s="118">
        <f>ric!C1091</f>
        <v/>
      </c>
      <c r="C1091" s="125">
        <f>ric!D1091</f>
        <v/>
      </c>
      <c r="D1091" s="125" t="n"/>
      <c r="E1091" s="125" t="n"/>
      <c r="F1091" s="125" t="n"/>
      <c r="G1091" s="118">
        <f>CONCATENATE(A1091, " ",#REF!, " / ",H1091)</f>
        <v/>
      </c>
      <c r="H1091" s="118" t="n"/>
      <c r="I1091" s="119">
        <f>CONCATENATE(M1091," - ",J1091," - Lotto N° ",K1091,"")</f>
        <v/>
      </c>
      <c r="J1091" s="118" t="n"/>
      <c r="K1091" s="118">
        <f>VLOOKUP(#REF!,Produzione,7,FALSE)</f>
        <v/>
      </c>
      <c r="L1091" s="120" t="n"/>
      <c r="M1091" s="120" t="n"/>
      <c r="N1091" s="118" t="n"/>
      <c r="O1091" s="121" t="n"/>
      <c r="P1091" s="121" t="n"/>
      <c r="Q1091" s="166">
        <f>TODAY()</f>
        <v/>
      </c>
      <c r="R1091" s="165">
        <f>ElencoProdotti[[#This Row],[PRODUZIONE]]+20</f>
        <v/>
      </c>
      <c r="S1091" s="165">
        <f>TODAY()</f>
        <v/>
      </c>
      <c r="T1091" s="133">
        <f>CONCATENATE(A1091," - contiene allergni - prodotto il giorno ",TEXT(Q1091,"gg/mm/aaaa"),"")</f>
        <v/>
      </c>
    </row>
    <row r="1092" ht="15" customHeight="1" s="155">
      <c r="A1092" s="134">
        <f>ric!B1092</f>
        <v/>
      </c>
      <c r="B1092" s="118">
        <f>ric!C1092</f>
        <v/>
      </c>
      <c r="C1092" s="125">
        <f>ric!D1092</f>
        <v/>
      </c>
      <c r="D1092" s="125" t="n"/>
      <c r="E1092" s="125" t="n"/>
      <c r="F1092" s="125" t="n"/>
      <c r="G1092" s="118">
        <f>CONCATENATE(A1092, " ",#REF!, " / ",H1092)</f>
        <v/>
      </c>
      <c r="H1092" s="118" t="n"/>
      <c r="I1092" s="119">
        <f>CONCATENATE(M1092," - ",J1092," - Lotto N° ",K1092,"")</f>
        <v/>
      </c>
      <c r="J1092" s="118" t="n"/>
      <c r="K1092" s="118">
        <f>VLOOKUP(#REF!,Produzione,7,FALSE)</f>
        <v/>
      </c>
      <c r="L1092" s="120" t="n"/>
      <c r="M1092" s="120" t="n"/>
      <c r="N1092" s="118" t="n"/>
      <c r="O1092" s="121" t="n"/>
      <c r="P1092" s="121" t="n"/>
      <c r="Q1092" s="166">
        <f>TODAY()</f>
        <v/>
      </c>
      <c r="R1092" s="165">
        <f>ElencoProdotti[[#This Row],[PRODUZIONE]]+20</f>
        <v/>
      </c>
      <c r="S1092" s="165">
        <f>TODAY()</f>
        <v/>
      </c>
      <c r="T1092" s="133">
        <f>CONCATENATE(A1092," - contiene allergni - prodotto il giorno ",TEXT(Q1092,"gg/mm/aaaa"),"")</f>
        <v/>
      </c>
    </row>
    <row r="1093" ht="15" customHeight="1" s="155">
      <c r="A1093" s="134">
        <f>ric!B1093</f>
        <v/>
      </c>
      <c r="B1093" s="118">
        <f>ric!C1093</f>
        <v/>
      </c>
      <c r="C1093" s="125">
        <f>ric!D1093</f>
        <v/>
      </c>
      <c r="D1093" s="125" t="n"/>
      <c r="E1093" s="125" t="n"/>
      <c r="F1093" s="125" t="n"/>
      <c r="G1093" s="118">
        <f>CONCATENATE(A1093, " ",#REF!, " / ",H1093)</f>
        <v/>
      </c>
      <c r="H1093" s="118" t="n"/>
      <c r="I1093" s="119">
        <f>CONCATENATE(M1093," - ",J1093," - Lotto N° ",K1093,"")</f>
        <v/>
      </c>
      <c r="J1093" s="118" t="n"/>
      <c r="K1093" s="118">
        <f>VLOOKUP(#REF!,Produzione,7,FALSE)</f>
        <v/>
      </c>
      <c r="L1093" s="120" t="n"/>
      <c r="M1093" s="120" t="n"/>
      <c r="N1093" s="118" t="n"/>
      <c r="O1093" s="121" t="n"/>
      <c r="P1093" s="121" t="n"/>
      <c r="Q1093" s="166">
        <f>TODAY()</f>
        <v/>
      </c>
      <c r="R1093" s="165">
        <f>ElencoProdotti[[#This Row],[PRODUZIONE]]+20</f>
        <v/>
      </c>
      <c r="S1093" s="165">
        <f>TODAY()</f>
        <v/>
      </c>
      <c r="T1093" s="133">
        <f>CONCATENATE(A1093," - contiene allergni - prodotto il giorno ",TEXT(Q1093,"gg/mm/aaaa"),"")</f>
        <v/>
      </c>
    </row>
    <row r="1094" ht="15" customHeight="1" s="155">
      <c r="A1094" s="134">
        <f>ric!B1094</f>
        <v/>
      </c>
      <c r="B1094" s="118">
        <f>ric!C1094</f>
        <v/>
      </c>
      <c r="C1094" s="125">
        <f>ric!D1094</f>
        <v/>
      </c>
      <c r="D1094" s="125" t="n"/>
      <c r="E1094" s="125" t="n"/>
      <c r="F1094" s="125" t="n"/>
      <c r="G1094" s="118">
        <f>CONCATENATE(A1094, " ",#REF!, " / ",H1094)</f>
        <v/>
      </c>
      <c r="H1094" s="118" t="n"/>
      <c r="I1094" s="119">
        <f>CONCATENATE(M1094," - ",J1094," - Lotto N° ",K1094,"")</f>
        <v/>
      </c>
      <c r="J1094" s="118" t="n"/>
      <c r="K1094" s="118">
        <f>VLOOKUP(#REF!,Produzione,7,FALSE)</f>
        <v/>
      </c>
      <c r="L1094" s="120" t="n"/>
      <c r="M1094" s="120" t="n"/>
      <c r="N1094" s="118" t="n"/>
      <c r="O1094" s="121" t="n"/>
      <c r="P1094" s="121" t="n"/>
      <c r="Q1094" s="166">
        <f>TODAY()</f>
        <v/>
      </c>
      <c r="R1094" s="165">
        <f>ElencoProdotti[[#This Row],[PRODUZIONE]]+20</f>
        <v/>
      </c>
      <c r="S1094" s="165">
        <f>TODAY()</f>
        <v/>
      </c>
      <c r="T1094" s="133">
        <f>CONCATENATE(A1094," - contiene allergni - prodotto il giorno ",TEXT(Q1094,"gg/mm/aaaa"),"")</f>
        <v/>
      </c>
    </row>
    <row r="1095" ht="15" customHeight="1" s="155">
      <c r="A1095" s="134">
        <f>ric!B1095</f>
        <v/>
      </c>
      <c r="B1095" s="118">
        <f>ric!C1095</f>
        <v/>
      </c>
      <c r="C1095" s="125">
        <f>ric!D1095</f>
        <v/>
      </c>
      <c r="D1095" s="125" t="n"/>
      <c r="E1095" s="125" t="n"/>
      <c r="F1095" s="125" t="n"/>
      <c r="G1095" s="118">
        <f>CONCATENATE(A1095, " ",#REF!, " / ",H1095)</f>
        <v/>
      </c>
      <c r="H1095" s="118" t="n"/>
      <c r="I1095" s="119">
        <f>CONCATENATE(M1095," - ",J1095," - Lotto N° ",K1095,"")</f>
        <v/>
      </c>
      <c r="J1095" s="118" t="n"/>
      <c r="K1095" s="118">
        <f>VLOOKUP(#REF!,Produzione,7,FALSE)</f>
        <v/>
      </c>
      <c r="L1095" s="120" t="n"/>
      <c r="M1095" s="120" t="n"/>
      <c r="N1095" s="118" t="n"/>
      <c r="O1095" s="121" t="n"/>
      <c r="P1095" s="121" t="n"/>
      <c r="Q1095" s="166">
        <f>TODAY()</f>
        <v/>
      </c>
      <c r="R1095" s="165">
        <f>ElencoProdotti[[#This Row],[PRODUZIONE]]+20</f>
        <v/>
      </c>
      <c r="S1095" s="165">
        <f>TODAY()</f>
        <v/>
      </c>
      <c r="T1095" s="133">
        <f>CONCATENATE(A1095," - contiene allergni - prodotto il giorno ",TEXT(Q1095,"gg/mm/aaaa"),"")</f>
        <v/>
      </c>
    </row>
    <row r="1096" ht="15" customHeight="1" s="155">
      <c r="A1096" s="134">
        <f>ric!B1096</f>
        <v/>
      </c>
      <c r="B1096" s="118">
        <f>ric!C1096</f>
        <v/>
      </c>
      <c r="C1096" s="125">
        <f>ric!D1096</f>
        <v/>
      </c>
      <c r="D1096" s="125" t="n"/>
      <c r="E1096" s="125" t="n"/>
      <c r="F1096" s="125" t="n"/>
      <c r="G1096" s="118">
        <f>CONCATENATE(A1096, " ",#REF!, " / ",H1096)</f>
        <v/>
      </c>
      <c r="H1096" s="118" t="n"/>
      <c r="I1096" s="119">
        <f>CONCATENATE(M1096," - ",J1096," - Lotto N° ",K1096,"")</f>
        <v/>
      </c>
      <c r="J1096" s="118" t="n"/>
      <c r="K1096" s="118">
        <f>VLOOKUP(#REF!,Produzione,7,FALSE)</f>
        <v/>
      </c>
      <c r="L1096" s="120" t="n"/>
      <c r="M1096" s="120" t="n"/>
      <c r="N1096" s="118" t="n"/>
      <c r="O1096" s="121" t="n"/>
      <c r="P1096" s="121" t="n"/>
      <c r="Q1096" s="166">
        <f>TODAY()</f>
        <v/>
      </c>
      <c r="R1096" s="165">
        <f>ElencoProdotti[[#This Row],[PRODUZIONE]]+20</f>
        <v/>
      </c>
      <c r="S1096" s="165">
        <f>TODAY()</f>
        <v/>
      </c>
      <c r="T1096" s="133">
        <f>CONCATENATE(A1096," - contiene allergni - prodotto il giorno ",TEXT(Q1096,"gg/mm/aaaa"),"")</f>
        <v/>
      </c>
    </row>
    <row r="1097" ht="15" customHeight="1" s="155">
      <c r="A1097" s="134">
        <f>ric!B1097</f>
        <v/>
      </c>
      <c r="B1097" s="118">
        <f>ric!C1097</f>
        <v/>
      </c>
      <c r="C1097" s="125">
        <f>ric!D1097</f>
        <v/>
      </c>
      <c r="D1097" s="125" t="n"/>
      <c r="E1097" s="125" t="n"/>
      <c r="F1097" s="125" t="n"/>
      <c r="G1097" s="118">
        <f>CONCATENATE(A1097, " ",#REF!, " / ",H1097)</f>
        <v/>
      </c>
      <c r="H1097" s="118" t="n"/>
      <c r="I1097" s="119">
        <f>CONCATENATE(M1097," - ",J1097," - Lotto N° ",K1097,"")</f>
        <v/>
      </c>
      <c r="J1097" s="118" t="n"/>
      <c r="K1097" s="118">
        <f>VLOOKUP(#REF!,Produzione,7,FALSE)</f>
        <v/>
      </c>
      <c r="L1097" s="120" t="n"/>
      <c r="M1097" s="120" t="n"/>
      <c r="N1097" s="118" t="n"/>
      <c r="O1097" s="121" t="n"/>
      <c r="P1097" s="121" t="n"/>
      <c r="Q1097" s="166">
        <f>TODAY()</f>
        <v/>
      </c>
      <c r="R1097" s="165">
        <f>ElencoProdotti[[#This Row],[PRODUZIONE]]+20</f>
        <v/>
      </c>
      <c r="S1097" s="165">
        <f>TODAY()</f>
        <v/>
      </c>
      <c r="T1097" s="133">
        <f>CONCATENATE(A1097," - contiene allergni - prodotto il giorno ",TEXT(Q1097,"gg/mm/aaaa"),"")</f>
        <v/>
      </c>
    </row>
    <row r="1098" ht="15" customHeight="1" s="155">
      <c r="A1098" s="134">
        <f>ric!B1098</f>
        <v/>
      </c>
      <c r="B1098" s="118">
        <f>ric!C1098</f>
        <v/>
      </c>
      <c r="C1098" s="125">
        <f>ric!D1098</f>
        <v/>
      </c>
      <c r="D1098" s="125" t="n"/>
      <c r="E1098" s="125" t="n"/>
      <c r="F1098" s="125" t="n"/>
      <c r="G1098" s="118">
        <f>CONCATENATE(A1098, " ",#REF!, " / ",H1098)</f>
        <v/>
      </c>
      <c r="H1098" s="118" t="n"/>
      <c r="I1098" s="119">
        <f>CONCATENATE(M1098," - ",J1098," - Lotto N° ",K1098,"")</f>
        <v/>
      </c>
      <c r="J1098" s="118" t="n"/>
      <c r="K1098" s="118">
        <f>VLOOKUP(#REF!,Produzione,7,FALSE)</f>
        <v/>
      </c>
      <c r="L1098" s="120" t="n"/>
      <c r="M1098" s="120" t="n"/>
      <c r="N1098" s="118" t="n"/>
      <c r="O1098" s="121" t="n"/>
      <c r="P1098" s="121" t="n"/>
      <c r="Q1098" s="166">
        <f>TODAY()</f>
        <v/>
      </c>
      <c r="R1098" s="165">
        <f>ElencoProdotti[[#This Row],[PRODUZIONE]]+20</f>
        <v/>
      </c>
      <c r="S1098" s="165">
        <f>TODAY()</f>
        <v/>
      </c>
      <c r="T1098" s="133">
        <f>CONCATENATE(A1098," - contiene allergni - prodotto il giorno ",TEXT(Q1098,"gg/mm/aaaa"),"")</f>
        <v/>
      </c>
    </row>
    <row r="1099" ht="15" customHeight="1" s="155">
      <c r="A1099" s="134">
        <f>ric!B1099</f>
        <v/>
      </c>
      <c r="B1099" s="118">
        <f>ric!C1099</f>
        <v/>
      </c>
      <c r="C1099" s="125">
        <f>ric!D1099</f>
        <v/>
      </c>
      <c r="D1099" s="125" t="n"/>
      <c r="E1099" s="125" t="n"/>
      <c r="F1099" s="125" t="n"/>
      <c r="G1099" s="118">
        <f>CONCATENATE(A1099, " ",#REF!, " / ",H1099)</f>
        <v/>
      </c>
      <c r="H1099" s="118" t="n"/>
      <c r="I1099" s="119">
        <f>CONCATENATE(M1099," - ",J1099," - Lotto N° ",K1099,"")</f>
        <v/>
      </c>
      <c r="J1099" s="118" t="n"/>
      <c r="K1099" s="118">
        <f>VLOOKUP(#REF!,Produzione,7,FALSE)</f>
        <v/>
      </c>
      <c r="L1099" s="120" t="n"/>
      <c r="M1099" s="120" t="n"/>
      <c r="N1099" s="118" t="n"/>
      <c r="O1099" s="121" t="n"/>
      <c r="P1099" s="121" t="n"/>
      <c r="Q1099" s="166">
        <f>TODAY()</f>
        <v/>
      </c>
      <c r="R1099" s="165">
        <f>ElencoProdotti[[#This Row],[PRODUZIONE]]+20</f>
        <v/>
      </c>
      <c r="S1099" s="165">
        <f>TODAY()</f>
        <v/>
      </c>
      <c r="T1099" s="133">
        <f>CONCATENATE(A1099," - contiene allergni - prodotto il giorno ",TEXT(Q1099,"gg/mm/aaaa"),"")</f>
        <v/>
      </c>
    </row>
    <row r="1100" ht="15" customHeight="1" s="155">
      <c r="A1100" s="134">
        <f>ric!B1100</f>
        <v/>
      </c>
      <c r="B1100" s="118">
        <f>ric!C1100</f>
        <v/>
      </c>
      <c r="C1100" s="125">
        <f>ric!D1100</f>
        <v/>
      </c>
      <c r="D1100" s="125" t="n"/>
      <c r="E1100" s="125" t="n"/>
      <c r="F1100" s="125" t="n"/>
      <c r="G1100" s="118">
        <f>CONCATENATE(A1100, " ",#REF!, " / ",H1100)</f>
        <v/>
      </c>
      <c r="H1100" s="118" t="n"/>
      <c r="I1100" s="119">
        <f>CONCATENATE(M1100," - ",J1100," - Lotto N° ",K1100,"")</f>
        <v/>
      </c>
      <c r="J1100" s="118" t="n"/>
      <c r="K1100" s="118">
        <f>VLOOKUP(#REF!,Produzione,7,FALSE)</f>
        <v/>
      </c>
      <c r="L1100" s="120" t="n"/>
      <c r="M1100" s="120" t="n"/>
      <c r="N1100" s="118" t="n"/>
      <c r="O1100" s="121" t="n"/>
      <c r="P1100" s="121" t="n"/>
      <c r="Q1100" s="166">
        <f>TODAY()</f>
        <v/>
      </c>
      <c r="R1100" s="165">
        <f>ElencoProdotti[[#This Row],[PRODUZIONE]]+20</f>
        <v/>
      </c>
      <c r="S1100" s="165">
        <f>TODAY()</f>
        <v/>
      </c>
      <c r="T1100" s="133">
        <f>CONCATENATE(A1100," - contiene allergni - prodotto il giorno ",TEXT(Q1100,"gg/mm/aaaa"),"")</f>
        <v/>
      </c>
    </row>
    <row r="1101" ht="15" customHeight="1" s="155">
      <c r="A1101" s="134">
        <f>ric!B1101</f>
        <v/>
      </c>
      <c r="B1101" s="118">
        <f>ric!C1101</f>
        <v/>
      </c>
      <c r="C1101" s="125">
        <f>ric!D1101</f>
        <v/>
      </c>
      <c r="D1101" s="125" t="n"/>
      <c r="E1101" s="125" t="n"/>
      <c r="F1101" s="125" t="n"/>
      <c r="G1101" s="118">
        <f>CONCATENATE(A1101, " ",#REF!, " / ",H1101)</f>
        <v/>
      </c>
      <c r="H1101" s="118" t="n"/>
      <c r="I1101" s="119">
        <f>CONCATENATE(M1101," - ",J1101," - Lotto N° ",K1101,"")</f>
        <v/>
      </c>
      <c r="J1101" s="118" t="n"/>
      <c r="K1101" s="118">
        <f>VLOOKUP(#REF!,Produzione,7,FALSE)</f>
        <v/>
      </c>
      <c r="L1101" s="120" t="n"/>
      <c r="M1101" s="120" t="n"/>
      <c r="N1101" s="118" t="n"/>
      <c r="O1101" s="121" t="n"/>
      <c r="P1101" s="121" t="n"/>
      <c r="Q1101" s="166">
        <f>TODAY()</f>
        <v/>
      </c>
      <c r="R1101" s="165">
        <f>ElencoProdotti[[#This Row],[PRODUZIONE]]+20</f>
        <v/>
      </c>
      <c r="S1101" s="165">
        <f>TODAY()</f>
        <v/>
      </c>
      <c r="T1101" s="133">
        <f>CONCATENATE(A1101," - contiene allergni - prodotto il giorno ",TEXT(Q1101,"gg/mm/aaaa"),"")</f>
        <v/>
      </c>
    </row>
    <row r="1102" ht="15" customHeight="1" s="155">
      <c r="A1102" s="134">
        <f>ric!B1102</f>
        <v/>
      </c>
      <c r="B1102" s="118">
        <f>ric!C1102</f>
        <v/>
      </c>
      <c r="C1102" s="125">
        <f>ric!D1102</f>
        <v/>
      </c>
      <c r="D1102" s="125" t="n"/>
      <c r="E1102" s="125" t="n"/>
      <c r="F1102" s="125" t="n"/>
      <c r="G1102" s="118">
        <f>CONCATENATE(A1102, " ",#REF!, " / ",H1102)</f>
        <v/>
      </c>
      <c r="H1102" s="118" t="n"/>
      <c r="I1102" s="119">
        <f>CONCATENATE(M1102," - ",J1102," - Lotto N° ",K1102,"")</f>
        <v/>
      </c>
      <c r="J1102" s="118" t="n"/>
      <c r="K1102" s="118">
        <f>VLOOKUP(#REF!,Produzione,7,FALSE)</f>
        <v/>
      </c>
      <c r="L1102" s="120" t="n"/>
      <c r="M1102" s="120" t="n"/>
      <c r="N1102" s="118" t="n"/>
      <c r="O1102" s="121" t="n"/>
      <c r="P1102" s="121" t="n"/>
      <c r="Q1102" s="166">
        <f>TODAY()</f>
        <v/>
      </c>
      <c r="R1102" s="165">
        <f>ElencoProdotti[[#This Row],[PRODUZIONE]]+20</f>
        <v/>
      </c>
      <c r="S1102" s="165">
        <f>TODAY()</f>
        <v/>
      </c>
      <c r="T1102" s="133">
        <f>CONCATENATE(A1102," - contiene allergni - prodotto il giorno ",TEXT(Q1102,"gg/mm/aaaa"),"")</f>
        <v/>
      </c>
    </row>
    <row r="1103" ht="15" customHeight="1" s="155">
      <c r="A1103" s="134">
        <f>ric!B1103</f>
        <v/>
      </c>
      <c r="B1103" s="118">
        <f>ric!C1103</f>
        <v/>
      </c>
      <c r="C1103" s="125">
        <f>ric!D1103</f>
        <v/>
      </c>
      <c r="D1103" s="125" t="n"/>
      <c r="E1103" s="125" t="n"/>
      <c r="F1103" s="125" t="n"/>
      <c r="G1103" s="118">
        <f>CONCATENATE(A1103, " ",#REF!, " / ",H1103)</f>
        <v/>
      </c>
      <c r="H1103" s="118" t="n"/>
      <c r="I1103" s="119">
        <f>CONCATENATE(M1103," - ",J1103," - Lotto N° ",K1103,"")</f>
        <v/>
      </c>
      <c r="J1103" s="118" t="n"/>
      <c r="K1103" s="118">
        <f>VLOOKUP(#REF!,Produzione,7,FALSE)</f>
        <v/>
      </c>
      <c r="L1103" s="120" t="n"/>
      <c r="M1103" s="120" t="n"/>
      <c r="N1103" s="118" t="n"/>
      <c r="O1103" s="121" t="n"/>
      <c r="P1103" s="121" t="n"/>
      <c r="Q1103" s="166">
        <f>TODAY()</f>
        <v/>
      </c>
      <c r="R1103" s="165">
        <f>ElencoProdotti[[#This Row],[PRODUZIONE]]+20</f>
        <v/>
      </c>
      <c r="S1103" s="165">
        <f>TODAY()</f>
        <v/>
      </c>
      <c r="T1103" s="133">
        <f>CONCATENATE(A1103," - contiene allergni - prodotto il giorno ",TEXT(Q1103,"gg/mm/aaaa"),"")</f>
        <v/>
      </c>
    </row>
    <row r="1104" ht="15" customHeight="1" s="155">
      <c r="A1104" s="134">
        <f>ric!B1104</f>
        <v/>
      </c>
      <c r="B1104" s="118">
        <f>ric!C1104</f>
        <v/>
      </c>
      <c r="C1104" s="125">
        <f>ric!D1104</f>
        <v/>
      </c>
      <c r="D1104" s="125" t="n"/>
      <c r="E1104" s="125" t="n"/>
      <c r="F1104" s="125" t="n"/>
      <c r="G1104" s="118">
        <f>CONCATENATE(A1104, " ",#REF!, " / ",H1104)</f>
        <v/>
      </c>
      <c r="H1104" s="118" t="n"/>
      <c r="I1104" s="119">
        <f>CONCATENATE(M1104," - ",J1104," - Lotto N° ",K1104,"")</f>
        <v/>
      </c>
      <c r="J1104" s="118" t="n"/>
      <c r="K1104" s="118">
        <f>VLOOKUP(#REF!,Produzione,7,FALSE)</f>
        <v/>
      </c>
      <c r="L1104" s="120" t="n"/>
      <c r="M1104" s="120" t="n"/>
      <c r="N1104" s="118" t="n"/>
      <c r="O1104" s="121" t="n"/>
      <c r="P1104" s="121" t="n"/>
      <c r="Q1104" s="166">
        <f>TODAY()</f>
        <v/>
      </c>
      <c r="R1104" s="165">
        <f>ElencoProdotti[[#This Row],[PRODUZIONE]]+20</f>
        <v/>
      </c>
      <c r="S1104" s="165">
        <f>TODAY()</f>
        <v/>
      </c>
      <c r="T1104" s="133">
        <f>CONCATENATE(A1104," - contiene allergni - prodotto il giorno ",TEXT(Q1104,"gg/mm/aaaa"),"")</f>
        <v/>
      </c>
    </row>
    <row r="1105" ht="15" customHeight="1" s="155">
      <c r="A1105" s="134">
        <f>ric!B1105</f>
        <v/>
      </c>
      <c r="B1105" s="118">
        <f>ric!C1105</f>
        <v/>
      </c>
      <c r="C1105" s="125">
        <f>ric!D1105</f>
        <v/>
      </c>
      <c r="D1105" s="125" t="n"/>
      <c r="E1105" s="125" t="n"/>
      <c r="F1105" s="125" t="n"/>
      <c r="G1105" s="118">
        <f>CONCATENATE(A1105, " ",#REF!, " / ",H1105)</f>
        <v/>
      </c>
      <c r="H1105" s="118" t="n"/>
      <c r="I1105" s="119">
        <f>CONCATENATE(M1105," - ",J1105," - Lotto N° ",K1105,"")</f>
        <v/>
      </c>
      <c r="J1105" s="118" t="n"/>
      <c r="K1105" s="118">
        <f>VLOOKUP(#REF!,Produzione,7,FALSE)</f>
        <v/>
      </c>
      <c r="L1105" s="120" t="n"/>
      <c r="M1105" s="120" t="n"/>
      <c r="N1105" s="118" t="n"/>
      <c r="O1105" s="121" t="n"/>
      <c r="P1105" s="121" t="n"/>
      <c r="Q1105" s="166">
        <f>TODAY()</f>
        <v/>
      </c>
      <c r="R1105" s="165">
        <f>ElencoProdotti[[#This Row],[PRODUZIONE]]+20</f>
        <v/>
      </c>
      <c r="S1105" s="165">
        <f>TODAY()</f>
        <v/>
      </c>
      <c r="T1105" s="133">
        <f>CONCATENATE(A1105," - contiene allergni - prodotto il giorno ",TEXT(Q1105,"gg/mm/aaaa"),"")</f>
        <v/>
      </c>
    </row>
    <row r="1106" ht="15" customHeight="1" s="155">
      <c r="A1106" s="134">
        <f>ric!B1106</f>
        <v/>
      </c>
      <c r="B1106" s="118">
        <f>ric!C1106</f>
        <v/>
      </c>
      <c r="C1106" s="125">
        <f>ric!D1106</f>
        <v/>
      </c>
      <c r="D1106" s="125" t="n"/>
      <c r="E1106" s="125" t="n"/>
      <c r="F1106" s="125" t="n"/>
      <c r="G1106" s="118">
        <f>CONCATENATE(A1106, " ",#REF!, " / ",H1106)</f>
        <v/>
      </c>
      <c r="H1106" s="118" t="n"/>
      <c r="I1106" s="119">
        <f>CONCATENATE(M1106," - ",J1106," - Lotto N° ",K1106,"")</f>
        <v/>
      </c>
      <c r="J1106" s="118" t="n"/>
      <c r="K1106" s="118">
        <f>VLOOKUP(#REF!,Produzione,7,FALSE)</f>
        <v/>
      </c>
      <c r="L1106" s="120" t="n"/>
      <c r="M1106" s="120" t="n"/>
      <c r="N1106" s="118" t="n"/>
      <c r="O1106" s="121" t="n"/>
      <c r="P1106" s="121" t="n"/>
      <c r="Q1106" s="166">
        <f>TODAY()</f>
        <v/>
      </c>
      <c r="R1106" s="165">
        <f>ElencoProdotti[[#This Row],[PRODUZIONE]]+20</f>
        <v/>
      </c>
      <c r="S1106" s="165">
        <f>TODAY()</f>
        <v/>
      </c>
      <c r="T1106" s="133">
        <f>CONCATENATE(A1106," - contiene allergni - prodotto il giorno ",TEXT(Q1106,"gg/mm/aaaa"),"")</f>
        <v/>
      </c>
    </row>
    <row r="1107" ht="15" customHeight="1" s="155">
      <c r="A1107" s="134">
        <f>ric!B1107</f>
        <v/>
      </c>
      <c r="B1107" s="118">
        <f>ric!C1107</f>
        <v/>
      </c>
      <c r="C1107" s="125">
        <f>ric!D1107</f>
        <v/>
      </c>
      <c r="D1107" s="125" t="n"/>
      <c r="E1107" s="125" t="n"/>
      <c r="F1107" s="125" t="n"/>
      <c r="G1107" s="118">
        <f>CONCATENATE(A1107, " ",#REF!, " / ",H1107)</f>
        <v/>
      </c>
      <c r="H1107" s="118" t="n"/>
      <c r="I1107" s="119">
        <f>CONCATENATE(M1107," - ",J1107," - Lotto N° ",K1107,"")</f>
        <v/>
      </c>
      <c r="J1107" s="118" t="n"/>
      <c r="K1107" s="118">
        <f>VLOOKUP(#REF!,Produzione,7,FALSE)</f>
        <v/>
      </c>
      <c r="L1107" s="120" t="n"/>
      <c r="M1107" s="120" t="n"/>
      <c r="N1107" s="118" t="n"/>
      <c r="O1107" s="121" t="n"/>
      <c r="P1107" s="121" t="n"/>
      <c r="Q1107" s="166">
        <f>TODAY()</f>
        <v/>
      </c>
      <c r="R1107" s="165">
        <f>ElencoProdotti[[#This Row],[PRODUZIONE]]+20</f>
        <v/>
      </c>
      <c r="S1107" s="165">
        <f>TODAY()</f>
        <v/>
      </c>
      <c r="T1107" s="133">
        <f>CONCATENATE(A1107," - contiene allergni - prodotto il giorno ",TEXT(Q1107,"gg/mm/aaaa"),"")</f>
        <v/>
      </c>
    </row>
    <row r="1108" ht="15" customHeight="1" s="155">
      <c r="A1108" s="134">
        <f>ric!B1108</f>
        <v/>
      </c>
      <c r="B1108" s="118">
        <f>ric!C1108</f>
        <v/>
      </c>
      <c r="C1108" s="125">
        <f>ric!D1108</f>
        <v/>
      </c>
      <c r="D1108" s="125" t="n"/>
      <c r="E1108" s="125" t="n"/>
      <c r="F1108" s="125" t="n"/>
      <c r="G1108" s="118">
        <f>CONCATENATE(A1108, " ",#REF!, " / ",H1108)</f>
        <v/>
      </c>
      <c r="H1108" s="118" t="n"/>
      <c r="I1108" s="119">
        <f>CONCATENATE(M1108," - ",J1108," - Lotto N° ",K1108,"")</f>
        <v/>
      </c>
      <c r="J1108" s="118" t="n"/>
      <c r="K1108" s="118">
        <f>VLOOKUP(#REF!,Produzione,7,FALSE)</f>
        <v/>
      </c>
      <c r="L1108" s="120" t="n"/>
      <c r="M1108" s="120" t="n"/>
      <c r="N1108" s="118" t="n"/>
      <c r="O1108" s="121" t="n"/>
      <c r="P1108" s="121" t="n"/>
      <c r="Q1108" s="166">
        <f>TODAY()</f>
        <v/>
      </c>
      <c r="R1108" s="165">
        <f>ElencoProdotti[[#This Row],[PRODUZIONE]]+20</f>
        <v/>
      </c>
      <c r="S1108" s="165">
        <f>TODAY()</f>
        <v/>
      </c>
      <c r="T1108" s="133">
        <f>CONCATENATE(A1108," - contiene allergni - prodotto il giorno ",TEXT(Q1108,"gg/mm/aaaa"),"")</f>
        <v/>
      </c>
    </row>
    <row r="1109" ht="15" customHeight="1" s="155">
      <c r="A1109" s="134">
        <f>ric!B1109</f>
        <v/>
      </c>
      <c r="B1109" s="118">
        <f>ric!C1109</f>
        <v/>
      </c>
      <c r="C1109" s="125">
        <f>ric!D1109</f>
        <v/>
      </c>
      <c r="D1109" s="125" t="n"/>
      <c r="E1109" s="125" t="n"/>
      <c r="F1109" s="125" t="n"/>
      <c r="G1109" s="118">
        <f>CONCATENATE(A1109, " ",#REF!, " / ",H1109)</f>
        <v/>
      </c>
      <c r="H1109" s="118" t="n"/>
      <c r="I1109" s="119">
        <f>CONCATENATE(M1109," - ",J1109," - Lotto N° ",K1109,"")</f>
        <v/>
      </c>
      <c r="J1109" s="118" t="n"/>
      <c r="K1109" s="118">
        <f>VLOOKUP(#REF!,Produzione,7,FALSE)</f>
        <v/>
      </c>
      <c r="L1109" s="120" t="n"/>
      <c r="M1109" s="120" t="n"/>
      <c r="N1109" s="118" t="n"/>
      <c r="O1109" s="121" t="n"/>
      <c r="P1109" s="121" t="n"/>
      <c r="Q1109" s="166">
        <f>TODAY()</f>
        <v/>
      </c>
      <c r="R1109" s="165">
        <f>ElencoProdotti[[#This Row],[PRODUZIONE]]+20</f>
        <v/>
      </c>
      <c r="S1109" s="165">
        <f>TODAY()</f>
        <v/>
      </c>
      <c r="T1109" s="133">
        <f>CONCATENATE(A1109," - contiene allergni - prodotto il giorno ",TEXT(Q1109,"gg/mm/aaaa"),"")</f>
        <v/>
      </c>
    </row>
    <row r="1110" ht="15" customHeight="1" s="155">
      <c r="A1110" s="134">
        <f>ric!B1110</f>
        <v/>
      </c>
      <c r="B1110" s="118">
        <f>ric!C1110</f>
        <v/>
      </c>
      <c r="C1110" s="125">
        <f>ric!D1110</f>
        <v/>
      </c>
      <c r="D1110" s="125" t="n"/>
      <c r="E1110" s="125" t="n"/>
      <c r="F1110" s="125" t="n"/>
      <c r="G1110" s="118">
        <f>CONCATENATE(A1110, " ",#REF!, " / ",H1110)</f>
        <v/>
      </c>
      <c r="H1110" s="118" t="n"/>
      <c r="I1110" s="119">
        <f>CONCATENATE(M1110," - ",J1110," - Lotto N° ",K1110,"")</f>
        <v/>
      </c>
      <c r="J1110" s="118" t="n"/>
      <c r="K1110" s="118">
        <f>VLOOKUP(#REF!,Produzione,7,FALSE)</f>
        <v/>
      </c>
      <c r="L1110" s="120" t="n"/>
      <c r="M1110" s="120" t="n"/>
      <c r="N1110" s="118" t="n"/>
      <c r="O1110" s="121" t="n"/>
      <c r="P1110" s="121" t="n"/>
      <c r="Q1110" s="166">
        <f>TODAY()</f>
        <v/>
      </c>
      <c r="R1110" s="165">
        <f>ElencoProdotti[[#This Row],[PRODUZIONE]]+20</f>
        <v/>
      </c>
      <c r="S1110" s="165">
        <f>TODAY()</f>
        <v/>
      </c>
      <c r="T1110" s="133">
        <f>CONCATENATE(A1110," - contiene allergni - prodotto il giorno ",TEXT(Q1110,"gg/mm/aaaa"),"")</f>
        <v/>
      </c>
    </row>
    <row r="1111" ht="15" customHeight="1" s="155">
      <c r="A1111" s="134">
        <f>ric!B1111</f>
        <v/>
      </c>
      <c r="B1111" s="118">
        <f>ric!C1111</f>
        <v/>
      </c>
      <c r="C1111" s="125">
        <f>ric!D1111</f>
        <v/>
      </c>
      <c r="D1111" s="125" t="n"/>
      <c r="E1111" s="125" t="n"/>
      <c r="F1111" s="125" t="n"/>
      <c r="G1111" s="118">
        <f>CONCATENATE(A1111, " ",#REF!, " / ",H1111)</f>
        <v/>
      </c>
      <c r="H1111" s="118" t="n"/>
      <c r="I1111" s="119">
        <f>CONCATENATE(M1111," - ",J1111," - Lotto N° ",K1111,"")</f>
        <v/>
      </c>
      <c r="J1111" s="118" t="n"/>
      <c r="K1111" s="118">
        <f>VLOOKUP(#REF!,Produzione,7,FALSE)</f>
        <v/>
      </c>
      <c r="L1111" s="120" t="n"/>
      <c r="M1111" s="120" t="n"/>
      <c r="N1111" s="118" t="n"/>
      <c r="O1111" s="121" t="n"/>
      <c r="P1111" s="121" t="n"/>
      <c r="Q1111" s="166">
        <f>TODAY()</f>
        <v/>
      </c>
      <c r="R1111" s="165">
        <f>ElencoProdotti[[#This Row],[PRODUZIONE]]+20</f>
        <v/>
      </c>
      <c r="S1111" s="165">
        <f>TODAY()</f>
        <v/>
      </c>
      <c r="T1111" s="133">
        <f>CONCATENATE(A1111," - contiene allergni - prodotto il giorno ",TEXT(Q1111,"gg/mm/aaaa"),"")</f>
        <v/>
      </c>
    </row>
    <row r="1112" ht="15" customHeight="1" s="155">
      <c r="A1112" s="134">
        <f>ric!B1112</f>
        <v/>
      </c>
      <c r="B1112" s="118">
        <f>ric!C1112</f>
        <v/>
      </c>
      <c r="C1112" s="125">
        <f>ric!D1112</f>
        <v/>
      </c>
      <c r="D1112" s="125" t="n"/>
      <c r="E1112" s="125" t="n"/>
      <c r="F1112" s="125" t="n"/>
      <c r="G1112" s="118">
        <f>CONCATENATE(A1112, " ",#REF!, " / ",H1112)</f>
        <v/>
      </c>
      <c r="H1112" s="118" t="n"/>
      <c r="I1112" s="119">
        <f>CONCATENATE(M1112," - ",J1112," - Lotto N° ",K1112,"")</f>
        <v/>
      </c>
      <c r="J1112" s="118" t="n"/>
      <c r="K1112" s="118">
        <f>VLOOKUP(#REF!,Produzione,7,FALSE)</f>
        <v/>
      </c>
      <c r="L1112" s="120" t="n"/>
      <c r="M1112" s="120" t="n"/>
      <c r="N1112" s="118" t="n"/>
      <c r="O1112" s="121" t="n"/>
      <c r="P1112" s="121" t="n"/>
      <c r="Q1112" s="166">
        <f>TODAY()</f>
        <v/>
      </c>
      <c r="R1112" s="165">
        <f>ElencoProdotti[[#This Row],[PRODUZIONE]]+20</f>
        <v/>
      </c>
      <c r="S1112" s="165">
        <f>TODAY()</f>
        <v/>
      </c>
      <c r="T1112" s="133">
        <f>CONCATENATE(A1112," - contiene allergni - prodotto il giorno ",TEXT(Q1112,"gg/mm/aaaa"),"")</f>
        <v/>
      </c>
    </row>
    <row r="1113" ht="15" customHeight="1" s="155">
      <c r="A1113" s="134">
        <f>ric!B1113</f>
        <v/>
      </c>
      <c r="B1113" s="118">
        <f>ric!C1113</f>
        <v/>
      </c>
      <c r="C1113" s="125">
        <f>ric!D1113</f>
        <v/>
      </c>
      <c r="D1113" s="125" t="n"/>
      <c r="E1113" s="125" t="n"/>
      <c r="F1113" s="125" t="n"/>
      <c r="G1113" s="118">
        <f>CONCATENATE(A1113, " ",#REF!, " / ",H1113)</f>
        <v/>
      </c>
      <c r="H1113" s="118" t="n"/>
      <c r="I1113" s="119">
        <f>CONCATENATE(M1113," - ",J1113," - Lotto N° ",K1113,"")</f>
        <v/>
      </c>
      <c r="J1113" s="118" t="n"/>
      <c r="K1113" s="118">
        <f>VLOOKUP(#REF!,Produzione,7,FALSE)</f>
        <v/>
      </c>
      <c r="L1113" s="120" t="n"/>
      <c r="M1113" s="120" t="n"/>
      <c r="N1113" s="118" t="n"/>
      <c r="O1113" s="121" t="n"/>
      <c r="P1113" s="121" t="n"/>
      <c r="Q1113" s="166">
        <f>TODAY()</f>
        <v/>
      </c>
      <c r="R1113" s="165">
        <f>ElencoProdotti[[#This Row],[PRODUZIONE]]+20</f>
        <v/>
      </c>
      <c r="S1113" s="165">
        <f>TODAY()</f>
        <v/>
      </c>
      <c r="T1113" s="133">
        <f>CONCATENATE(A1113," - contiene allergni - prodotto il giorno ",TEXT(Q1113,"gg/mm/aaaa"),"")</f>
        <v/>
      </c>
    </row>
    <row r="1114" ht="15" customHeight="1" s="155">
      <c r="A1114" s="134">
        <f>ric!B1114</f>
        <v/>
      </c>
      <c r="B1114" s="118">
        <f>ric!C1114</f>
        <v/>
      </c>
      <c r="C1114" s="125">
        <f>ric!D1114</f>
        <v/>
      </c>
      <c r="D1114" s="125" t="n"/>
      <c r="E1114" s="125" t="n"/>
      <c r="F1114" s="125" t="n"/>
      <c r="G1114" s="118">
        <f>CONCATENATE(A1114, " ",#REF!, " / ",H1114)</f>
        <v/>
      </c>
      <c r="H1114" s="118" t="n"/>
      <c r="I1114" s="119">
        <f>CONCATENATE(M1114," - ",J1114," - Lotto N° ",K1114,"")</f>
        <v/>
      </c>
      <c r="J1114" s="118" t="n"/>
      <c r="K1114" s="118">
        <f>VLOOKUP(#REF!,Produzione,7,FALSE)</f>
        <v/>
      </c>
      <c r="L1114" s="120" t="n"/>
      <c r="M1114" s="120" t="n"/>
      <c r="N1114" s="118" t="n"/>
      <c r="O1114" s="121" t="n"/>
      <c r="P1114" s="121" t="n"/>
      <c r="Q1114" s="166">
        <f>TODAY()</f>
        <v/>
      </c>
      <c r="R1114" s="165">
        <f>ElencoProdotti[[#This Row],[PRODUZIONE]]+20</f>
        <v/>
      </c>
      <c r="S1114" s="165">
        <f>TODAY()</f>
        <v/>
      </c>
      <c r="T1114" s="133">
        <f>CONCATENATE(A1114," - contiene allergni - prodotto il giorno ",TEXT(Q1114,"gg/mm/aaaa"),"")</f>
        <v/>
      </c>
    </row>
    <row r="1115" ht="15" customHeight="1" s="155">
      <c r="A1115" s="134">
        <f>ric!B1115</f>
        <v/>
      </c>
      <c r="B1115" s="118">
        <f>ric!C1115</f>
        <v/>
      </c>
      <c r="C1115" s="125">
        <f>ric!D1115</f>
        <v/>
      </c>
      <c r="D1115" s="125" t="n"/>
      <c r="E1115" s="125" t="n"/>
      <c r="F1115" s="125" t="n"/>
      <c r="G1115" s="118">
        <f>CONCATENATE(A1115, " ",#REF!, " / ",H1115)</f>
        <v/>
      </c>
      <c r="H1115" s="118" t="n"/>
      <c r="I1115" s="119">
        <f>CONCATENATE(M1115," - ",J1115," - Lotto N° ",K1115,"")</f>
        <v/>
      </c>
      <c r="J1115" s="118" t="n"/>
      <c r="K1115" s="118">
        <f>VLOOKUP(#REF!,Produzione,7,FALSE)</f>
        <v/>
      </c>
      <c r="L1115" s="120" t="n"/>
      <c r="M1115" s="120" t="n"/>
      <c r="N1115" s="118" t="n"/>
      <c r="O1115" s="121" t="n"/>
      <c r="P1115" s="121" t="n"/>
      <c r="Q1115" s="166">
        <f>TODAY()</f>
        <v/>
      </c>
      <c r="R1115" s="165">
        <f>ElencoProdotti[[#This Row],[PRODUZIONE]]+20</f>
        <v/>
      </c>
      <c r="S1115" s="165">
        <f>TODAY()</f>
        <v/>
      </c>
      <c r="T1115" s="133">
        <f>CONCATENATE(A1115," - contiene allergni - prodotto il giorno ",TEXT(Q1115,"gg/mm/aaaa"),"")</f>
        <v/>
      </c>
    </row>
    <row r="1116" ht="15" customHeight="1" s="155">
      <c r="A1116" s="134">
        <f>ric!B1116</f>
        <v/>
      </c>
      <c r="B1116" s="118">
        <f>ric!C1116</f>
        <v/>
      </c>
      <c r="C1116" s="125">
        <f>ric!D1116</f>
        <v/>
      </c>
      <c r="D1116" s="125" t="n"/>
      <c r="E1116" s="125" t="n"/>
      <c r="F1116" s="125" t="n"/>
      <c r="G1116" s="118">
        <f>CONCATENATE(A1116, " ",#REF!, " / ",H1116)</f>
        <v/>
      </c>
      <c r="H1116" s="118" t="n"/>
      <c r="I1116" s="119">
        <f>CONCATENATE(M1116," - ",J1116," - Lotto N° ",K1116,"")</f>
        <v/>
      </c>
      <c r="J1116" s="118" t="n"/>
      <c r="K1116" s="118">
        <f>VLOOKUP(#REF!,Produzione,7,FALSE)</f>
        <v/>
      </c>
      <c r="L1116" s="120" t="n"/>
      <c r="M1116" s="120" t="n"/>
      <c r="N1116" s="118" t="n"/>
      <c r="O1116" s="121" t="n"/>
      <c r="P1116" s="121" t="n"/>
      <c r="Q1116" s="166">
        <f>TODAY()</f>
        <v/>
      </c>
      <c r="R1116" s="165">
        <f>ElencoProdotti[[#This Row],[PRODUZIONE]]+20</f>
        <v/>
      </c>
      <c r="S1116" s="165">
        <f>TODAY()</f>
        <v/>
      </c>
      <c r="T1116" s="133">
        <f>CONCATENATE(A1116," - contiene allergni - prodotto il giorno ",TEXT(Q1116,"gg/mm/aaaa"),"")</f>
        <v/>
      </c>
    </row>
    <row r="1117" ht="15" customHeight="1" s="155">
      <c r="A1117" s="134">
        <f>ric!B1117</f>
        <v/>
      </c>
      <c r="B1117" s="118">
        <f>ric!C1117</f>
        <v/>
      </c>
      <c r="C1117" s="125">
        <f>ric!D1117</f>
        <v/>
      </c>
      <c r="D1117" s="125" t="n"/>
      <c r="E1117" s="125" t="n"/>
      <c r="F1117" s="125" t="n"/>
      <c r="G1117" s="118">
        <f>CONCATENATE(A1117, " ",#REF!, " / ",H1117)</f>
        <v/>
      </c>
      <c r="H1117" s="118" t="n"/>
      <c r="I1117" s="119">
        <f>CONCATENATE(M1117," - ",J1117," - Lotto N° ",K1117,"")</f>
        <v/>
      </c>
      <c r="J1117" s="118" t="n"/>
      <c r="K1117" s="118">
        <f>VLOOKUP(#REF!,Produzione,7,FALSE)</f>
        <v/>
      </c>
      <c r="L1117" s="120" t="n"/>
      <c r="M1117" s="120" t="n"/>
      <c r="N1117" s="118" t="n"/>
      <c r="O1117" s="121" t="n"/>
      <c r="P1117" s="121" t="n"/>
      <c r="Q1117" s="166">
        <f>TODAY()</f>
        <v/>
      </c>
      <c r="R1117" s="165">
        <f>ElencoProdotti[[#This Row],[PRODUZIONE]]+20</f>
        <v/>
      </c>
      <c r="S1117" s="165">
        <f>TODAY()</f>
        <v/>
      </c>
      <c r="T1117" s="133">
        <f>CONCATENATE(A1117," - contiene allergni - prodotto il giorno ",TEXT(Q1117,"gg/mm/aaaa"),"")</f>
        <v/>
      </c>
    </row>
    <row r="1118" ht="15" customHeight="1" s="155">
      <c r="A1118" s="134">
        <f>ric!B1118</f>
        <v/>
      </c>
      <c r="B1118" s="118">
        <f>ric!C1118</f>
        <v/>
      </c>
      <c r="C1118" s="125">
        <f>ric!D1118</f>
        <v/>
      </c>
      <c r="D1118" s="125" t="n"/>
      <c r="E1118" s="125" t="n"/>
      <c r="F1118" s="125" t="n"/>
      <c r="G1118" s="118">
        <f>CONCATENATE(A1118, " ",#REF!, " / ",H1118)</f>
        <v/>
      </c>
      <c r="H1118" s="118" t="n"/>
      <c r="I1118" s="119">
        <f>CONCATENATE(M1118," - ",J1118," - Lotto N° ",K1118,"")</f>
        <v/>
      </c>
      <c r="J1118" s="118" t="n"/>
      <c r="K1118" s="118">
        <f>VLOOKUP(#REF!,Produzione,7,FALSE)</f>
        <v/>
      </c>
      <c r="L1118" s="120" t="n"/>
      <c r="M1118" s="120" t="n"/>
      <c r="N1118" s="118" t="n"/>
      <c r="O1118" s="121" t="n"/>
      <c r="P1118" s="121" t="n"/>
      <c r="Q1118" s="166">
        <f>TODAY()</f>
        <v/>
      </c>
      <c r="R1118" s="165">
        <f>ElencoProdotti[[#This Row],[PRODUZIONE]]+20</f>
        <v/>
      </c>
      <c r="S1118" s="165">
        <f>TODAY()</f>
        <v/>
      </c>
      <c r="T1118" s="133">
        <f>CONCATENATE(A1118," - contiene allergni - prodotto il giorno ",TEXT(Q1118,"gg/mm/aaaa"),"")</f>
        <v/>
      </c>
    </row>
    <row r="1119" ht="15" customHeight="1" s="155">
      <c r="A1119" s="134">
        <f>ric!B1119</f>
        <v/>
      </c>
      <c r="B1119" s="118">
        <f>ric!C1119</f>
        <v/>
      </c>
      <c r="C1119" s="125">
        <f>ric!D1119</f>
        <v/>
      </c>
      <c r="D1119" s="125" t="n"/>
      <c r="E1119" s="125" t="n"/>
      <c r="F1119" s="125" t="n"/>
      <c r="G1119" s="118">
        <f>CONCATENATE(A1119, " ",#REF!, " / ",H1119)</f>
        <v/>
      </c>
      <c r="H1119" s="118" t="n"/>
      <c r="I1119" s="119">
        <f>CONCATENATE(M1119," - ",J1119," - Lotto N° ",K1119,"")</f>
        <v/>
      </c>
      <c r="J1119" s="118" t="n"/>
      <c r="K1119" s="118">
        <f>VLOOKUP(#REF!,Produzione,7,FALSE)</f>
        <v/>
      </c>
      <c r="L1119" s="120" t="n"/>
      <c r="M1119" s="120" t="n"/>
      <c r="N1119" s="118" t="n"/>
      <c r="O1119" s="121" t="n"/>
      <c r="P1119" s="121" t="n"/>
      <c r="Q1119" s="166">
        <f>TODAY()</f>
        <v/>
      </c>
      <c r="R1119" s="165">
        <f>ElencoProdotti[[#This Row],[PRODUZIONE]]+20</f>
        <v/>
      </c>
      <c r="S1119" s="165">
        <f>TODAY()</f>
        <v/>
      </c>
      <c r="T1119" s="133">
        <f>CONCATENATE(A1119," - contiene allergni - prodotto il giorno ",TEXT(Q1119,"gg/mm/aaaa"),"")</f>
        <v/>
      </c>
    </row>
    <row r="1120" ht="15" customHeight="1" s="155">
      <c r="A1120" s="134">
        <f>ric!B1120</f>
        <v/>
      </c>
      <c r="B1120" s="118">
        <f>ric!C1120</f>
        <v/>
      </c>
      <c r="C1120" s="125">
        <f>ric!D1120</f>
        <v/>
      </c>
      <c r="D1120" s="125" t="n"/>
      <c r="E1120" s="125" t="n"/>
      <c r="F1120" s="125" t="n"/>
      <c r="G1120" s="118">
        <f>CONCATENATE(A1120, " ",#REF!, " / ",H1120)</f>
        <v/>
      </c>
      <c r="H1120" s="118" t="n"/>
      <c r="I1120" s="119">
        <f>CONCATENATE(M1120," - ",J1120," - Lotto N° ",K1120,"")</f>
        <v/>
      </c>
      <c r="J1120" s="118" t="n"/>
      <c r="K1120" s="118">
        <f>VLOOKUP(#REF!,Produzione,7,FALSE)</f>
        <v/>
      </c>
      <c r="L1120" s="120" t="n"/>
      <c r="M1120" s="120" t="n"/>
      <c r="N1120" s="118" t="n"/>
      <c r="O1120" s="121" t="n"/>
      <c r="P1120" s="121" t="n"/>
      <c r="Q1120" s="166">
        <f>TODAY()</f>
        <v/>
      </c>
      <c r="R1120" s="165">
        <f>ElencoProdotti[[#This Row],[PRODUZIONE]]+20</f>
        <v/>
      </c>
      <c r="S1120" s="165">
        <f>TODAY()</f>
        <v/>
      </c>
      <c r="T1120" s="133">
        <f>CONCATENATE(A1120," - contiene allergni - prodotto il giorno ",TEXT(Q1120,"gg/mm/aaaa"),"")</f>
        <v/>
      </c>
    </row>
    <row r="1121" ht="15" customHeight="1" s="155">
      <c r="A1121" s="134">
        <f>ric!B1121</f>
        <v/>
      </c>
      <c r="B1121" s="118">
        <f>ric!C1121</f>
        <v/>
      </c>
      <c r="C1121" s="125">
        <f>ric!D1121</f>
        <v/>
      </c>
      <c r="D1121" s="125" t="n"/>
      <c r="E1121" s="125" t="n"/>
      <c r="F1121" s="125" t="n"/>
      <c r="G1121" s="118">
        <f>CONCATENATE(A1121, " ",#REF!, " / ",H1121)</f>
        <v/>
      </c>
      <c r="H1121" s="118" t="n"/>
      <c r="I1121" s="119">
        <f>CONCATENATE(M1121," - ",J1121," - Lotto N° ",K1121,"")</f>
        <v/>
      </c>
      <c r="J1121" s="118" t="n"/>
      <c r="K1121" s="118">
        <f>VLOOKUP(#REF!,Produzione,7,FALSE)</f>
        <v/>
      </c>
      <c r="L1121" s="120" t="n"/>
      <c r="M1121" s="120" t="n"/>
      <c r="N1121" s="118" t="n"/>
      <c r="O1121" s="121" t="n"/>
      <c r="P1121" s="121" t="n"/>
      <c r="Q1121" s="166">
        <f>TODAY()</f>
        <v/>
      </c>
      <c r="R1121" s="165">
        <f>ElencoProdotti[[#This Row],[PRODUZIONE]]+20</f>
        <v/>
      </c>
      <c r="S1121" s="165">
        <f>TODAY()</f>
        <v/>
      </c>
      <c r="T1121" s="133">
        <f>CONCATENATE(A1121," - contiene allergni - prodotto il giorno ",TEXT(Q1121,"gg/mm/aaaa"),"")</f>
        <v/>
      </c>
    </row>
    <row r="1122" ht="15" customHeight="1" s="155">
      <c r="A1122" s="134">
        <f>ric!B1122</f>
        <v/>
      </c>
      <c r="B1122" s="118">
        <f>ric!C1122</f>
        <v/>
      </c>
      <c r="C1122" s="125">
        <f>ric!D1122</f>
        <v/>
      </c>
      <c r="D1122" s="125" t="n"/>
      <c r="E1122" s="125" t="n"/>
      <c r="F1122" s="125" t="n"/>
      <c r="G1122" s="118">
        <f>CONCATENATE(A1122, " ",#REF!, " / ",H1122)</f>
        <v/>
      </c>
      <c r="H1122" s="118" t="n"/>
      <c r="I1122" s="119">
        <f>CONCATENATE(M1122," - ",J1122," - Lotto N° ",K1122,"")</f>
        <v/>
      </c>
      <c r="J1122" s="118" t="n"/>
      <c r="K1122" s="118">
        <f>VLOOKUP(#REF!,Produzione,7,FALSE)</f>
        <v/>
      </c>
      <c r="L1122" s="120" t="n"/>
      <c r="M1122" s="120" t="n"/>
      <c r="N1122" s="118" t="n"/>
      <c r="O1122" s="121" t="n"/>
      <c r="P1122" s="121" t="n"/>
      <c r="Q1122" s="166">
        <f>TODAY()</f>
        <v/>
      </c>
      <c r="R1122" s="165">
        <f>ElencoProdotti[[#This Row],[PRODUZIONE]]+20</f>
        <v/>
      </c>
      <c r="S1122" s="165">
        <f>TODAY()</f>
        <v/>
      </c>
      <c r="T1122" s="133">
        <f>CONCATENATE(A1122," - contiene allergni - prodotto il giorno ",TEXT(Q1122,"gg/mm/aaaa"),"")</f>
        <v/>
      </c>
    </row>
    <row r="1123" ht="15" customHeight="1" s="155">
      <c r="A1123" s="134">
        <f>ric!B1123</f>
        <v/>
      </c>
      <c r="B1123" s="118">
        <f>ric!C1123</f>
        <v/>
      </c>
      <c r="C1123" s="125">
        <f>ric!D1123</f>
        <v/>
      </c>
      <c r="D1123" s="125" t="n"/>
      <c r="E1123" s="125" t="n"/>
      <c r="F1123" s="125" t="n"/>
      <c r="G1123" s="118">
        <f>CONCATENATE(A1123, " ",#REF!, " / ",H1123)</f>
        <v/>
      </c>
      <c r="H1123" s="118" t="n"/>
      <c r="I1123" s="119">
        <f>CONCATENATE(M1123," - ",J1123," - Lotto N° ",K1123,"")</f>
        <v/>
      </c>
      <c r="J1123" s="118" t="n"/>
      <c r="K1123" s="118">
        <f>VLOOKUP(#REF!,Produzione,7,FALSE)</f>
        <v/>
      </c>
      <c r="L1123" s="120" t="n"/>
      <c r="M1123" s="120" t="n"/>
      <c r="N1123" s="118" t="n"/>
      <c r="O1123" s="121" t="n"/>
      <c r="P1123" s="121" t="n"/>
      <c r="Q1123" s="166">
        <f>TODAY()</f>
        <v/>
      </c>
      <c r="R1123" s="165">
        <f>ElencoProdotti[[#This Row],[PRODUZIONE]]+20</f>
        <v/>
      </c>
      <c r="S1123" s="165">
        <f>TODAY()</f>
        <v/>
      </c>
      <c r="T1123" s="133">
        <f>CONCATENATE(A1123," - contiene allergni - prodotto il giorno ",TEXT(Q1123,"gg/mm/aaaa"),"")</f>
        <v/>
      </c>
    </row>
    <row r="1124" ht="15" customHeight="1" s="155">
      <c r="A1124" s="134">
        <f>ric!B1124</f>
        <v/>
      </c>
      <c r="B1124" s="118">
        <f>ric!C1124</f>
        <v/>
      </c>
      <c r="C1124" s="125">
        <f>ric!D1124</f>
        <v/>
      </c>
      <c r="D1124" s="125" t="n"/>
      <c r="E1124" s="125" t="n"/>
      <c r="F1124" s="125" t="n"/>
      <c r="G1124" s="118">
        <f>CONCATENATE(A1124, " ",#REF!, " / ",H1124)</f>
        <v/>
      </c>
      <c r="H1124" s="118" t="n"/>
      <c r="I1124" s="119">
        <f>CONCATENATE(M1124," - ",J1124," - Lotto N° ",K1124,"")</f>
        <v/>
      </c>
      <c r="J1124" s="118" t="n"/>
      <c r="K1124" s="118">
        <f>VLOOKUP(#REF!,Produzione,7,FALSE)</f>
        <v/>
      </c>
      <c r="L1124" s="120" t="n"/>
      <c r="M1124" s="120" t="n"/>
      <c r="N1124" s="118" t="n"/>
      <c r="O1124" s="121" t="n"/>
      <c r="P1124" s="121" t="n"/>
      <c r="Q1124" s="166">
        <f>TODAY()</f>
        <v/>
      </c>
      <c r="R1124" s="165">
        <f>ElencoProdotti[[#This Row],[PRODUZIONE]]+20</f>
        <v/>
      </c>
      <c r="S1124" s="165">
        <f>TODAY()</f>
        <v/>
      </c>
      <c r="T1124" s="133">
        <f>CONCATENATE(A1124," - contiene allergni - prodotto il giorno ",TEXT(Q1124,"gg/mm/aaaa"),"")</f>
        <v/>
      </c>
    </row>
    <row r="1125" ht="15" customHeight="1" s="155">
      <c r="A1125" s="134">
        <f>ric!B1125</f>
        <v/>
      </c>
      <c r="B1125" s="118">
        <f>ric!C1125</f>
        <v/>
      </c>
      <c r="C1125" s="125">
        <f>ric!D1125</f>
        <v/>
      </c>
      <c r="D1125" s="125" t="n"/>
      <c r="E1125" s="125" t="n"/>
      <c r="F1125" s="125" t="n"/>
      <c r="G1125" s="118">
        <f>CONCATENATE(A1125, " ",#REF!, " / ",H1125)</f>
        <v/>
      </c>
      <c r="H1125" s="118" t="n"/>
      <c r="I1125" s="119">
        <f>CONCATENATE(M1125," - ",J1125," - Lotto N° ",K1125,"")</f>
        <v/>
      </c>
      <c r="J1125" s="118" t="n"/>
      <c r="K1125" s="118">
        <f>VLOOKUP(#REF!,Produzione,7,FALSE)</f>
        <v/>
      </c>
      <c r="L1125" s="120" t="n"/>
      <c r="M1125" s="120" t="n"/>
      <c r="N1125" s="118" t="n"/>
      <c r="O1125" s="121" t="n"/>
      <c r="P1125" s="121" t="n"/>
      <c r="Q1125" s="166">
        <f>TODAY()</f>
        <v/>
      </c>
      <c r="R1125" s="165">
        <f>ElencoProdotti[[#This Row],[PRODUZIONE]]+20</f>
        <v/>
      </c>
      <c r="S1125" s="165">
        <f>TODAY()</f>
        <v/>
      </c>
      <c r="T1125" s="133">
        <f>CONCATENATE(A1125," - contiene allergni - prodotto il giorno ",TEXT(Q1125,"gg/mm/aaaa"),"")</f>
        <v/>
      </c>
    </row>
    <row r="1126" ht="15" customHeight="1" s="155">
      <c r="A1126" s="134">
        <f>ric!B1126</f>
        <v/>
      </c>
      <c r="B1126" s="118">
        <f>ric!C1126</f>
        <v/>
      </c>
      <c r="C1126" s="125">
        <f>ric!D1126</f>
        <v/>
      </c>
      <c r="D1126" s="125" t="n"/>
      <c r="E1126" s="125" t="n"/>
      <c r="F1126" s="125" t="n"/>
      <c r="G1126" s="118">
        <f>CONCATENATE(A1126, " ",#REF!, " / ",H1126)</f>
        <v/>
      </c>
      <c r="H1126" s="118" t="n"/>
      <c r="I1126" s="119">
        <f>CONCATENATE(M1126," - ",J1126," - Lotto N° ",K1126,"")</f>
        <v/>
      </c>
      <c r="J1126" s="118" t="n"/>
      <c r="K1126" s="118">
        <f>VLOOKUP(#REF!,Produzione,7,FALSE)</f>
        <v/>
      </c>
      <c r="L1126" s="120" t="n"/>
      <c r="M1126" s="120" t="n"/>
      <c r="N1126" s="118" t="n"/>
      <c r="O1126" s="121" t="n"/>
      <c r="P1126" s="121" t="n"/>
      <c r="Q1126" s="166">
        <f>TODAY()</f>
        <v/>
      </c>
      <c r="R1126" s="165">
        <f>ElencoProdotti[[#This Row],[PRODUZIONE]]+20</f>
        <v/>
      </c>
      <c r="S1126" s="165">
        <f>TODAY()</f>
        <v/>
      </c>
      <c r="T1126" s="133">
        <f>CONCATENATE(A1126," - contiene allergni - prodotto il giorno ",TEXT(Q1126,"gg/mm/aaaa"),"")</f>
        <v/>
      </c>
    </row>
    <row r="1127" ht="15" customHeight="1" s="155">
      <c r="A1127" s="134">
        <f>ric!B1127</f>
        <v/>
      </c>
      <c r="B1127" s="118">
        <f>ric!C1127</f>
        <v/>
      </c>
      <c r="C1127" s="125">
        <f>ric!D1127</f>
        <v/>
      </c>
      <c r="D1127" s="125" t="n"/>
      <c r="E1127" s="125" t="n"/>
      <c r="F1127" s="125" t="n"/>
      <c r="G1127" s="118">
        <f>CONCATENATE(A1127, " ",#REF!, " / ",H1127)</f>
        <v/>
      </c>
      <c r="H1127" s="118" t="n"/>
      <c r="I1127" s="119">
        <f>CONCATENATE(M1127," - ",J1127," - Lotto N° ",K1127,"")</f>
        <v/>
      </c>
      <c r="J1127" s="118" t="n"/>
      <c r="K1127" s="118">
        <f>VLOOKUP(#REF!,Produzione,7,FALSE)</f>
        <v/>
      </c>
      <c r="L1127" s="120" t="n"/>
      <c r="M1127" s="120" t="n"/>
      <c r="N1127" s="118" t="n"/>
      <c r="O1127" s="121" t="n"/>
      <c r="P1127" s="121" t="n"/>
      <c r="Q1127" s="166">
        <f>TODAY()</f>
        <v/>
      </c>
      <c r="R1127" s="165">
        <f>ElencoProdotti[[#This Row],[PRODUZIONE]]+20</f>
        <v/>
      </c>
      <c r="S1127" s="165">
        <f>TODAY()</f>
        <v/>
      </c>
      <c r="T1127" s="133">
        <f>CONCATENATE(A1127," - contiene allergni - prodotto il giorno ",TEXT(Q1127,"gg/mm/aaaa"),"")</f>
        <v/>
      </c>
    </row>
    <row r="1128" ht="15" customHeight="1" s="155">
      <c r="A1128" s="134">
        <f>ric!B1128</f>
        <v/>
      </c>
      <c r="B1128" s="118">
        <f>ric!C1128</f>
        <v/>
      </c>
      <c r="C1128" s="125">
        <f>ric!D1128</f>
        <v/>
      </c>
      <c r="D1128" s="125" t="n"/>
      <c r="E1128" s="125" t="n"/>
      <c r="F1128" s="125" t="n"/>
      <c r="G1128" s="118">
        <f>CONCATENATE(A1128, " ",#REF!, " / ",H1128)</f>
        <v/>
      </c>
      <c r="H1128" s="118" t="n"/>
      <c r="I1128" s="119">
        <f>CONCATENATE(M1128," - ",J1128," - Lotto N° ",K1128,"")</f>
        <v/>
      </c>
      <c r="J1128" s="118" t="n"/>
      <c r="K1128" s="118">
        <f>VLOOKUP(#REF!,Produzione,7,FALSE)</f>
        <v/>
      </c>
      <c r="L1128" s="120" t="n"/>
      <c r="M1128" s="120" t="n"/>
      <c r="N1128" s="118" t="n"/>
      <c r="O1128" s="121" t="n"/>
      <c r="P1128" s="121" t="n"/>
      <c r="Q1128" s="166">
        <f>TODAY()</f>
        <v/>
      </c>
      <c r="R1128" s="165">
        <f>ElencoProdotti[[#This Row],[PRODUZIONE]]+20</f>
        <v/>
      </c>
      <c r="S1128" s="165">
        <f>TODAY()</f>
        <v/>
      </c>
      <c r="T1128" s="133">
        <f>CONCATENATE(A1128," - contiene allergni - prodotto il giorno ",TEXT(Q1128,"gg/mm/aaaa"),"")</f>
        <v/>
      </c>
    </row>
    <row r="1129" ht="15" customHeight="1" s="155">
      <c r="A1129" s="134">
        <f>ric!B1129</f>
        <v/>
      </c>
      <c r="B1129" s="118">
        <f>ric!C1129</f>
        <v/>
      </c>
      <c r="C1129" s="125">
        <f>ric!D1129</f>
        <v/>
      </c>
      <c r="D1129" s="125" t="n"/>
      <c r="E1129" s="125" t="n"/>
      <c r="F1129" s="125" t="n"/>
      <c r="G1129" s="118">
        <f>CONCATENATE(A1129, " ",#REF!, " / ",H1129)</f>
        <v/>
      </c>
      <c r="H1129" s="118" t="n"/>
      <c r="I1129" s="119">
        <f>CONCATENATE(M1129," - ",J1129," - Lotto N° ",K1129,"")</f>
        <v/>
      </c>
      <c r="J1129" s="118" t="n"/>
      <c r="K1129" s="118">
        <f>VLOOKUP(#REF!,Produzione,7,FALSE)</f>
        <v/>
      </c>
      <c r="L1129" s="120" t="n"/>
      <c r="M1129" s="120" t="n"/>
      <c r="N1129" s="118" t="n"/>
      <c r="O1129" s="121" t="n"/>
      <c r="P1129" s="121" t="n"/>
      <c r="Q1129" s="166">
        <f>TODAY()</f>
        <v/>
      </c>
      <c r="R1129" s="165">
        <f>ElencoProdotti[[#This Row],[PRODUZIONE]]+20</f>
        <v/>
      </c>
      <c r="S1129" s="165">
        <f>TODAY()</f>
        <v/>
      </c>
      <c r="T1129" s="133">
        <f>CONCATENATE(A1129," - contiene allergni - prodotto il giorno ",TEXT(Q1129,"gg/mm/aaaa"),"")</f>
        <v/>
      </c>
    </row>
    <row r="1130" ht="15" customHeight="1" s="155">
      <c r="A1130" s="134">
        <f>ric!B1130</f>
        <v/>
      </c>
      <c r="B1130" s="118">
        <f>ric!C1130</f>
        <v/>
      </c>
      <c r="C1130" s="125">
        <f>ric!D1130</f>
        <v/>
      </c>
      <c r="D1130" s="125" t="n"/>
      <c r="E1130" s="125" t="n"/>
      <c r="F1130" s="125" t="n"/>
      <c r="G1130" s="118">
        <f>CONCATENATE(A1130, " ",#REF!, " / ",H1130)</f>
        <v/>
      </c>
      <c r="H1130" s="118" t="n"/>
      <c r="I1130" s="119">
        <f>CONCATENATE(M1130," - ",J1130," - Lotto N° ",K1130,"")</f>
        <v/>
      </c>
      <c r="J1130" s="118" t="n"/>
      <c r="K1130" s="118">
        <f>VLOOKUP(#REF!,Produzione,7,FALSE)</f>
        <v/>
      </c>
      <c r="L1130" s="120" t="n"/>
      <c r="M1130" s="120" t="n"/>
      <c r="N1130" s="118" t="n"/>
      <c r="O1130" s="121" t="n"/>
      <c r="P1130" s="121" t="n"/>
      <c r="Q1130" s="166">
        <f>TODAY()</f>
        <v/>
      </c>
      <c r="R1130" s="165">
        <f>ElencoProdotti[[#This Row],[PRODUZIONE]]+20</f>
        <v/>
      </c>
      <c r="S1130" s="165">
        <f>TODAY()</f>
        <v/>
      </c>
      <c r="T1130" s="133">
        <f>CONCATENATE(A1130," - contiene allergni - prodotto il giorno ",TEXT(Q1130,"gg/mm/aaaa"),"")</f>
        <v/>
      </c>
    </row>
    <row r="1131" ht="15" customHeight="1" s="155">
      <c r="A1131" s="134">
        <f>ric!B1131</f>
        <v/>
      </c>
      <c r="B1131" s="118">
        <f>ric!C1131</f>
        <v/>
      </c>
      <c r="C1131" s="125">
        <f>ric!D1131</f>
        <v/>
      </c>
      <c r="D1131" s="125" t="n"/>
      <c r="E1131" s="125" t="n"/>
      <c r="F1131" s="125" t="n"/>
      <c r="G1131" s="118">
        <f>CONCATENATE(A1131, " ",#REF!, " / ",H1131)</f>
        <v/>
      </c>
      <c r="H1131" s="118" t="n"/>
      <c r="I1131" s="119">
        <f>CONCATENATE(M1131," - ",J1131," - Lotto N° ",K1131,"")</f>
        <v/>
      </c>
      <c r="J1131" s="118" t="n"/>
      <c r="K1131" s="118">
        <f>VLOOKUP(#REF!,Produzione,7,FALSE)</f>
        <v/>
      </c>
      <c r="L1131" s="120" t="n"/>
      <c r="M1131" s="120" t="n"/>
      <c r="N1131" s="118" t="n"/>
      <c r="O1131" s="121" t="n"/>
      <c r="P1131" s="121" t="n"/>
      <c r="Q1131" s="166">
        <f>TODAY()</f>
        <v/>
      </c>
      <c r="R1131" s="165">
        <f>ElencoProdotti[[#This Row],[PRODUZIONE]]+20</f>
        <v/>
      </c>
      <c r="S1131" s="165">
        <f>TODAY()</f>
        <v/>
      </c>
      <c r="T1131" s="133">
        <f>CONCATENATE(A1131," - contiene allergni - prodotto il giorno ",TEXT(Q1131,"gg/mm/aaaa"),"")</f>
        <v/>
      </c>
    </row>
    <row r="1132" ht="15" customHeight="1" s="155">
      <c r="A1132" s="134">
        <f>ric!B1132</f>
        <v/>
      </c>
      <c r="B1132" s="118">
        <f>ric!C1132</f>
        <v/>
      </c>
      <c r="C1132" s="125">
        <f>ric!D1132</f>
        <v/>
      </c>
      <c r="D1132" s="125" t="n"/>
      <c r="E1132" s="125" t="n"/>
      <c r="F1132" s="125" t="n"/>
      <c r="G1132" s="118">
        <f>CONCATENATE(A1132, " ",#REF!, " / ",H1132)</f>
        <v/>
      </c>
      <c r="H1132" s="118" t="n"/>
      <c r="I1132" s="119">
        <f>CONCATENATE(M1132," - ",J1132," - Lotto N° ",K1132,"")</f>
        <v/>
      </c>
      <c r="J1132" s="118" t="n"/>
      <c r="K1132" s="118">
        <f>VLOOKUP(#REF!,Produzione,7,FALSE)</f>
        <v/>
      </c>
      <c r="L1132" s="120" t="n"/>
      <c r="M1132" s="120" t="n"/>
      <c r="N1132" s="118" t="n"/>
      <c r="O1132" s="121" t="n"/>
      <c r="P1132" s="121" t="n"/>
      <c r="Q1132" s="166">
        <f>TODAY()</f>
        <v/>
      </c>
      <c r="R1132" s="165">
        <f>ElencoProdotti[[#This Row],[PRODUZIONE]]+20</f>
        <v/>
      </c>
      <c r="S1132" s="165">
        <f>TODAY()</f>
        <v/>
      </c>
      <c r="T1132" s="133">
        <f>CONCATENATE(A1132," - contiene allergni - prodotto il giorno ",TEXT(Q1132,"gg/mm/aaaa"),"")</f>
        <v/>
      </c>
    </row>
    <row r="1133" ht="15" customHeight="1" s="155">
      <c r="A1133" s="134">
        <f>ric!B1133</f>
        <v/>
      </c>
      <c r="B1133" s="118">
        <f>ric!C1133</f>
        <v/>
      </c>
      <c r="C1133" s="125">
        <f>ric!D1133</f>
        <v/>
      </c>
      <c r="D1133" s="125" t="n"/>
      <c r="E1133" s="125" t="n"/>
      <c r="F1133" s="125" t="n"/>
      <c r="G1133" s="118">
        <f>CONCATENATE(A1133, " ",#REF!, " / ",H1133)</f>
        <v/>
      </c>
      <c r="H1133" s="118" t="n"/>
      <c r="I1133" s="119">
        <f>CONCATENATE(M1133," - ",J1133," - Lotto N° ",K1133,"")</f>
        <v/>
      </c>
      <c r="J1133" s="118" t="n"/>
      <c r="K1133" s="118">
        <f>VLOOKUP(#REF!,Produzione,7,FALSE)</f>
        <v/>
      </c>
      <c r="L1133" s="120" t="n"/>
      <c r="M1133" s="120" t="n"/>
      <c r="N1133" s="118" t="n"/>
      <c r="O1133" s="121" t="n"/>
      <c r="P1133" s="121" t="n"/>
      <c r="Q1133" s="166">
        <f>TODAY()</f>
        <v/>
      </c>
      <c r="R1133" s="165">
        <f>ElencoProdotti[[#This Row],[PRODUZIONE]]+20</f>
        <v/>
      </c>
      <c r="S1133" s="165">
        <f>TODAY()</f>
        <v/>
      </c>
      <c r="T1133" s="133">
        <f>CONCATENATE(A1133," - contiene allergni - prodotto il giorno ",TEXT(Q1133,"gg/mm/aaaa"),"")</f>
        <v/>
      </c>
    </row>
    <row r="1134" ht="15" customHeight="1" s="155">
      <c r="A1134" s="134">
        <f>ric!B1134</f>
        <v/>
      </c>
      <c r="B1134" s="118">
        <f>ric!C1134</f>
        <v/>
      </c>
      <c r="C1134" s="125">
        <f>ric!D1134</f>
        <v/>
      </c>
      <c r="D1134" s="125" t="n"/>
      <c r="E1134" s="125" t="n"/>
      <c r="F1134" s="125" t="n"/>
      <c r="G1134" s="118">
        <f>CONCATENATE(A1134, " ",#REF!, " / ",H1134)</f>
        <v/>
      </c>
      <c r="H1134" s="118" t="n"/>
      <c r="I1134" s="119">
        <f>CONCATENATE(M1134," - ",J1134," - Lotto N° ",K1134,"")</f>
        <v/>
      </c>
      <c r="J1134" s="118" t="n"/>
      <c r="K1134" s="118">
        <f>VLOOKUP(#REF!,Produzione,7,FALSE)</f>
        <v/>
      </c>
      <c r="L1134" s="120" t="n"/>
      <c r="M1134" s="120" t="n"/>
      <c r="N1134" s="118" t="n"/>
      <c r="O1134" s="121" t="n"/>
      <c r="P1134" s="121" t="n"/>
      <c r="Q1134" s="166">
        <f>TODAY()</f>
        <v/>
      </c>
      <c r="R1134" s="165">
        <f>ElencoProdotti[[#This Row],[PRODUZIONE]]+20</f>
        <v/>
      </c>
      <c r="S1134" s="165">
        <f>TODAY()</f>
        <v/>
      </c>
      <c r="T1134" s="133">
        <f>CONCATENATE(A1134," - contiene allergni - prodotto il giorno ",TEXT(Q1134,"gg/mm/aaaa"),"")</f>
        <v/>
      </c>
    </row>
    <row r="1135" ht="15" customHeight="1" s="155">
      <c r="A1135" s="134">
        <f>ric!B1135</f>
        <v/>
      </c>
      <c r="B1135" s="118">
        <f>ric!C1135</f>
        <v/>
      </c>
      <c r="C1135" s="125">
        <f>ric!D1135</f>
        <v/>
      </c>
      <c r="D1135" s="125" t="n"/>
      <c r="E1135" s="125" t="n"/>
      <c r="F1135" s="125" t="n"/>
      <c r="G1135" s="118">
        <f>CONCATENATE(A1135, " ",#REF!, " / ",H1135)</f>
        <v/>
      </c>
      <c r="H1135" s="118" t="n"/>
      <c r="I1135" s="119">
        <f>CONCATENATE(M1135," - ",J1135," - Lotto N° ",K1135,"")</f>
        <v/>
      </c>
      <c r="J1135" s="118" t="n"/>
      <c r="K1135" s="118">
        <f>VLOOKUP(#REF!,Produzione,7,FALSE)</f>
        <v/>
      </c>
      <c r="L1135" s="120" t="n"/>
      <c r="M1135" s="120" t="n"/>
      <c r="N1135" s="118" t="n"/>
      <c r="O1135" s="121" t="n"/>
      <c r="P1135" s="121" t="n"/>
      <c r="Q1135" s="166">
        <f>TODAY()</f>
        <v/>
      </c>
      <c r="R1135" s="165">
        <f>ElencoProdotti[[#This Row],[PRODUZIONE]]+20</f>
        <v/>
      </c>
      <c r="S1135" s="165">
        <f>TODAY()</f>
        <v/>
      </c>
      <c r="T1135" s="133">
        <f>CONCATENATE(A1135," - contiene allergni - prodotto il giorno ",TEXT(Q1135,"gg/mm/aaaa"),"")</f>
        <v/>
      </c>
    </row>
    <row r="1136" ht="15" customHeight="1" s="155">
      <c r="A1136" s="134">
        <f>ric!B1136</f>
        <v/>
      </c>
      <c r="B1136" s="118">
        <f>ric!C1136</f>
        <v/>
      </c>
      <c r="C1136" s="125">
        <f>ric!D1136</f>
        <v/>
      </c>
      <c r="D1136" s="125" t="n"/>
      <c r="E1136" s="125" t="n"/>
      <c r="F1136" s="125" t="n"/>
      <c r="G1136" s="118">
        <f>CONCATENATE(A1136, " ",#REF!, " / ",H1136)</f>
        <v/>
      </c>
      <c r="H1136" s="118" t="n"/>
      <c r="I1136" s="119">
        <f>CONCATENATE(M1136," - ",J1136," - Lotto N° ",K1136,"")</f>
        <v/>
      </c>
      <c r="J1136" s="118" t="n"/>
      <c r="K1136" s="118">
        <f>VLOOKUP(#REF!,Produzione,7,FALSE)</f>
        <v/>
      </c>
      <c r="L1136" s="120" t="n"/>
      <c r="M1136" s="120" t="n"/>
      <c r="N1136" s="118" t="n"/>
      <c r="O1136" s="121" t="n"/>
      <c r="P1136" s="121" t="n"/>
      <c r="Q1136" s="166">
        <f>TODAY()</f>
        <v/>
      </c>
      <c r="R1136" s="165">
        <f>ElencoProdotti[[#This Row],[PRODUZIONE]]+20</f>
        <v/>
      </c>
      <c r="S1136" s="165">
        <f>TODAY()</f>
        <v/>
      </c>
      <c r="T1136" s="133">
        <f>CONCATENATE(A1136," - contiene allergni - prodotto il giorno ",TEXT(Q1136,"gg/mm/aaaa"),"")</f>
        <v/>
      </c>
    </row>
    <row r="1137" ht="15" customHeight="1" s="155">
      <c r="A1137" s="134">
        <f>ric!B1137</f>
        <v/>
      </c>
      <c r="B1137" s="118">
        <f>ric!C1137</f>
        <v/>
      </c>
      <c r="C1137" s="125">
        <f>ric!D1137</f>
        <v/>
      </c>
      <c r="D1137" s="125" t="n"/>
      <c r="E1137" s="125" t="n"/>
      <c r="F1137" s="125" t="n"/>
      <c r="G1137" s="118">
        <f>CONCATENATE(A1137, " ",#REF!, " / ",H1137)</f>
        <v/>
      </c>
      <c r="H1137" s="118" t="n"/>
      <c r="I1137" s="119">
        <f>CONCATENATE(M1137," - ",J1137," - Lotto N° ",K1137,"")</f>
        <v/>
      </c>
      <c r="J1137" s="118" t="n"/>
      <c r="K1137" s="118">
        <f>VLOOKUP(#REF!,Produzione,7,FALSE)</f>
        <v/>
      </c>
      <c r="L1137" s="120" t="n"/>
      <c r="M1137" s="120" t="n"/>
      <c r="N1137" s="118" t="n"/>
      <c r="O1137" s="121" t="n"/>
      <c r="P1137" s="121" t="n"/>
      <c r="Q1137" s="166">
        <f>TODAY()</f>
        <v/>
      </c>
      <c r="R1137" s="165">
        <f>ElencoProdotti[[#This Row],[PRODUZIONE]]+20</f>
        <v/>
      </c>
      <c r="S1137" s="165">
        <f>TODAY()</f>
        <v/>
      </c>
      <c r="T1137" s="133">
        <f>CONCATENATE(A1137," - contiene allergni - prodotto il giorno ",TEXT(Q1137,"gg/mm/aaaa"),"")</f>
        <v/>
      </c>
    </row>
    <row r="1138" ht="15" customHeight="1" s="155">
      <c r="A1138" s="134">
        <f>ric!B1138</f>
        <v/>
      </c>
      <c r="B1138" s="118">
        <f>ric!C1138</f>
        <v/>
      </c>
      <c r="C1138" s="125">
        <f>ric!D1138</f>
        <v/>
      </c>
      <c r="D1138" s="125" t="n"/>
      <c r="E1138" s="125" t="n"/>
      <c r="F1138" s="125" t="n"/>
      <c r="G1138" s="118">
        <f>CONCATENATE(A1138, " ",#REF!, " / ",H1138)</f>
        <v/>
      </c>
      <c r="H1138" s="118" t="n"/>
      <c r="I1138" s="119">
        <f>CONCATENATE(M1138," - ",J1138," - Lotto N° ",K1138,"")</f>
        <v/>
      </c>
      <c r="J1138" s="118" t="n"/>
      <c r="K1138" s="118">
        <f>VLOOKUP(#REF!,Produzione,7,FALSE)</f>
        <v/>
      </c>
      <c r="L1138" s="120" t="n"/>
      <c r="M1138" s="120" t="n"/>
      <c r="N1138" s="118" t="n"/>
      <c r="O1138" s="121" t="n"/>
      <c r="P1138" s="121" t="n"/>
      <c r="Q1138" s="166">
        <f>TODAY()</f>
        <v/>
      </c>
      <c r="R1138" s="165">
        <f>ElencoProdotti[[#This Row],[PRODUZIONE]]+20</f>
        <v/>
      </c>
      <c r="S1138" s="165">
        <f>TODAY()</f>
        <v/>
      </c>
      <c r="T1138" s="133">
        <f>CONCATENATE(A1138," - contiene allergni - prodotto il giorno ",TEXT(Q1138,"gg/mm/aaaa"),"")</f>
        <v/>
      </c>
    </row>
    <row r="1139" ht="15" customHeight="1" s="155">
      <c r="A1139" s="134">
        <f>ric!B1139</f>
        <v/>
      </c>
      <c r="B1139" s="118">
        <f>ric!C1139</f>
        <v/>
      </c>
      <c r="C1139" s="125">
        <f>ric!D1139</f>
        <v/>
      </c>
      <c r="D1139" s="125" t="n"/>
      <c r="E1139" s="125" t="n"/>
      <c r="F1139" s="125" t="n"/>
      <c r="G1139" s="118">
        <f>CONCATENATE(A1139, " ",#REF!, " / ",H1139)</f>
        <v/>
      </c>
      <c r="H1139" s="118" t="n"/>
      <c r="I1139" s="119">
        <f>CONCATENATE(M1139," - ",J1139," - Lotto N° ",K1139,"")</f>
        <v/>
      </c>
      <c r="J1139" s="118" t="n"/>
      <c r="K1139" s="118">
        <f>VLOOKUP(#REF!,Produzione,7,FALSE)</f>
        <v/>
      </c>
      <c r="L1139" s="120" t="n"/>
      <c r="M1139" s="120" t="n"/>
      <c r="N1139" s="118" t="n"/>
      <c r="O1139" s="121" t="n"/>
      <c r="P1139" s="121" t="n"/>
      <c r="Q1139" s="166">
        <f>TODAY()</f>
        <v/>
      </c>
      <c r="R1139" s="165">
        <f>ElencoProdotti[[#This Row],[PRODUZIONE]]+20</f>
        <v/>
      </c>
      <c r="S1139" s="165">
        <f>TODAY()</f>
        <v/>
      </c>
      <c r="T1139" s="133">
        <f>CONCATENATE(A1139," - contiene allergni - prodotto il giorno ",TEXT(Q1139,"gg/mm/aaaa"),"")</f>
        <v/>
      </c>
    </row>
    <row r="1140" ht="15" customHeight="1" s="155">
      <c r="A1140" s="134">
        <f>ric!B1140</f>
        <v/>
      </c>
      <c r="B1140" s="118">
        <f>ric!C1140</f>
        <v/>
      </c>
      <c r="C1140" s="125">
        <f>ric!D1140</f>
        <v/>
      </c>
      <c r="D1140" s="125" t="n"/>
      <c r="E1140" s="125" t="n"/>
      <c r="F1140" s="125" t="n"/>
      <c r="G1140" s="118">
        <f>CONCATENATE(A1140, " ",#REF!, " / ",H1140)</f>
        <v/>
      </c>
      <c r="H1140" s="118" t="n"/>
      <c r="I1140" s="119">
        <f>CONCATENATE(M1140," - ",J1140," - Lotto N° ",K1140,"")</f>
        <v/>
      </c>
      <c r="J1140" s="118" t="n"/>
      <c r="K1140" s="118">
        <f>VLOOKUP(#REF!,Produzione,7,FALSE)</f>
        <v/>
      </c>
      <c r="L1140" s="120" t="n"/>
      <c r="M1140" s="120" t="n"/>
      <c r="N1140" s="118" t="n"/>
      <c r="O1140" s="121" t="n"/>
      <c r="P1140" s="121" t="n"/>
      <c r="Q1140" s="166">
        <f>TODAY()</f>
        <v/>
      </c>
      <c r="R1140" s="165">
        <f>ElencoProdotti[[#This Row],[PRODUZIONE]]+20</f>
        <v/>
      </c>
      <c r="S1140" s="165">
        <f>TODAY()</f>
        <v/>
      </c>
      <c r="T1140" s="133">
        <f>CONCATENATE(A1140," - contiene allergni - prodotto il giorno ",TEXT(Q1140,"gg/mm/aaaa"),"")</f>
        <v/>
      </c>
    </row>
    <row r="1141" ht="15" customHeight="1" s="155">
      <c r="A1141" s="134">
        <f>ric!B1141</f>
        <v/>
      </c>
      <c r="B1141" s="118">
        <f>ric!C1141</f>
        <v/>
      </c>
      <c r="C1141" s="125">
        <f>ric!D1141</f>
        <v/>
      </c>
      <c r="D1141" s="125" t="n"/>
      <c r="E1141" s="125" t="n"/>
      <c r="F1141" s="125" t="n"/>
      <c r="G1141" s="118">
        <f>CONCATENATE(A1141, " ",#REF!, " / ",H1141)</f>
        <v/>
      </c>
      <c r="H1141" s="118" t="n"/>
      <c r="I1141" s="119">
        <f>CONCATENATE(M1141," - ",J1141," - Lotto N° ",K1141,"")</f>
        <v/>
      </c>
      <c r="J1141" s="118" t="n"/>
      <c r="K1141" s="118">
        <f>VLOOKUP(#REF!,Produzione,7,FALSE)</f>
        <v/>
      </c>
      <c r="L1141" s="120" t="n"/>
      <c r="M1141" s="120" t="n"/>
      <c r="N1141" s="118" t="n"/>
      <c r="O1141" s="121" t="n"/>
      <c r="P1141" s="121" t="n"/>
      <c r="Q1141" s="166">
        <f>TODAY()</f>
        <v/>
      </c>
      <c r="R1141" s="165">
        <f>ElencoProdotti[[#This Row],[PRODUZIONE]]+20</f>
        <v/>
      </c>
      <c r="S1141" s="165">
        <f>TODAY()</f>
        <v/>
      </c>
      <c r="T1141" s="133">
        <f>CONCATENATE(A1141," - contiene allergni - prodotto il giorno ",TEXT(Q1141,"gg/mm/aaaa"),"")</f>
        <v/>
      </c>
    </row>
    <row r="1142" ht="15" customHeight="1" s="155">
      <c r="A1142" s="134">
        <f>ric!B1142</f>
        <v/>
      </c>
      <c r="B1142" s="118">
        <f>ric!C1142</f>
        <v/>
      </c>
      <c r="C1142" s="125">
        <f>ric!D1142</f>
        <v/>
      </c>
      <c r="D1142" s="125" t="n"/>
      <c r="E1142" s="125" t="n"/>
      <c r="F1142" s="125" t="n"/>
      <c r="G1142" s="118">
        <f>CONCATENATE(A1142, " ",#REF!, " / ",H1142)</f>
        <v/>
      </c>
      <c r="H1142" s="118" t="n"/>
      <c r="I1142" s="119">
        <f>CONCATENATE(M1142," - ",J1142," - Lotto N° ",K1142,"")</f>
        <v/>
      </c>
      <c r="J1142" s="118" t="n"/>
      <c r="K1142" s="118">
        <f>VLOOKUP(#REF!,Produzione,7,FALSE)</f>
        <v/>
      </c>
      <c r="L1142" s="120" t="n"/>
      <c r="M1142" s="120" t="n"/>
      <c r="N1142" s="118" t="n"/>
      <c r="O1142" s="121" t="n"/>
      <c r="P1142" s="121" t="n"/>
      <c r="Q1142" s="166">
        <f>TODAY()</f>
        <v/>
      </c>
      <c r="R1142" s="165">
        <f>ElencoProdotti[[#This Row],[PRODUZIONE]]+20</f>
        <v/>
      </c>
      <c r="S1142" s="165">
        <f>TODAY()</f>
        <v/>
      </c>
      <c r="T1142" s="133">
        <f>CONCATENATE(A1142," - contiene allergni - prodotto il giorno ",TEXT(Q1142,"gg/mm/aaaa"),"")</f>
        <v/>
      </c>
    </row>
    <row r="1143" ht="15" customHeight="1" s="155">
      <c r="A1143" s="134">
        <f>ric!B1143</f>
        <v/>
      </c>
      <c r="B1143" s="118">
        <f>ric!C1143</f>
        <v/>
      </c>
      <c r="C1143" s="125">
        <f>ric!D1143</f>
        <v/>
      </c>
      <c r="D1143" s="125" t="n"/>
      <c r="E1143" s="125" t="n"/>
      <c r="F1143" s="125" t="n"/>
      <c r="G1143" s="118">
        <f>CONCATENATE(A1143, " ",#REF!, " / ",H1143)</f>
        <v/>
      </c>
      <c r="H1143" s="118" t="n"/>
      <c r="I1143" s="119">
        <f>CONCATENATE(M1143," - ",J1143," - Lotto N° ",K1143,"")</f>
        <v/>
      </c>
      <c r="J1143" s="118" t="n"/>
      <c r="K1143" s="118">
        <f>VLOOKUP(#REF!,Produzione,7,FALSE)</f>
        <v/>
      </c>
      <c r="L1143" s="120" t="n"/>
      <c r="M1143" s="120" t="n"/>
      <c r="N1143" s="118" t="n"/>
      <c r="O1143" s="121" t="n"/>
      <c r="P1143" s="121" t="n"/>
      <c r="Q1143" s="166">
        <f>TODAY()</f>
        <v/>
      </c>
      <c r="R1143" s="165">
        <f>ElencoProdotti[[#This Row],[PRODUZIONE]]+20</f>
        <v/>
      </c>
      <c r="S1143" s="165">
        <f>TODAY()</f>
        <v/>
      </c>
      <c r="T1143" s="133">
        <f>CONCATENATE(A1143," - contiene allergni - prodotto il giorno ",TEXT(Q1143,"gg/mm/aaaa"),"")</f>
        <v/>
      </c>
    </row>
    <row r="1144" ht="15" customHeight="1" s="155">
      <c r="A1144" s="134">
        <f>ric!B1144</f>
        <v/>
      </c>
      <c r="B1144" s="118">
        <f>ric!C1144</f>
        <v/>
      </c>
      <c r="C1144" s="125">
        <f>ric!D1144</f>
        <v/>
      </c>
      <c r="D1144" s="125" t="n"/>
      <c r="E1144" s="125" t="n"/>
      <c r="F1144" s="125" t="n"/>
      <c r="G1144" s="118">
        <f>CONCATENATE(A1144, " ",#REF!, " / ",H1144)</f>
        <v/>
      </c>
      <c r="H1144" s="118" t="n"/>
      <c r="I1144" s="119">
        <f>CONCATENATE(M1144," - ",J1144," - Lotto N° ",K1144,"")</f>
        <v/>
      </c>
      <c r="J1144" s="118" t="n"/>
      <c r="K1144" s="118">
        <f>VLOOKUP(#REF!,Produzione,7,FALSE)</f>
        <v/>
      </c>
      <c r="L1144" s="120" t="n"/>
      <c r="M1144" s="120" t="n"/>
      <c r="N1144" s="118" t="n"/>
      <c r="O1144" s="121" t="n"/>
      <c r="P1144" s="121" t="n"/>
      <c r="Q1144" s="166">
        <f>TODAY()</f>
        <v/>
      </c>
      <c r="R1144" s="165">
        <f>ElencoProdotti[[#This Row],[PRODUZIONE]]+20</f>
        <v/>
      </c>
      <c r="S1144" s="165">
        <f>TODAY()</f>
        <v/>
      </c>
      <c r="T1144" s="133">
        <f>CONCATENATE(A1144," - contiene allergni - prodotto il giorno ",TEXT(Q1144,"gg/mm/aaaa"),"")</f>
        <v/>
      </c>
    </row>
    <row r="1145" ht="15" customHeight="1" s="155">
      <c r="A1145" s="134">
        <f>ric!B1145</f>
        <v/>
      </c>
      <c r="B1145" s="118">
        <f>ric!C1145</f>
        <v/>
      </c>
      <c r="C1145" s="125">
        <f>ric!D1145</f>
        <v/>
      </c>
      <c r="D1145" s="125" t="n"/>
      <c r="E1145" s="125" t="n"/>
      <c r="F1145" s="125" t="n"/>
      <c r="G1145" s="118">
        <f>CONCATENATE(A1145, " ",#REF!, " / ",H1145)</f>
        <v/>
      </c>
      <c r="H1145" s="118" t="n"/>
      <c r="I1145" s="119">
        <f>CONCATENATE(M1145," - ",J1145," - Lotto N° ",K1145,"")</f>
        <v/>
      </c>
      <c r="J1145" s="118" t="n"/>
      <c r="K1145" s="118">
        <f>VLOOKUP(#REF!,Produzione,7,FALSE)</f>
        <v/>
      </c>
      <c r="L1145" s="120" t="n"/>
      <c r="M1145" s="120" t="n"/>
      <c r="N1145" s="118" t="n"/>
      <c r="O1145" s="121" t="n"/>
      <c r="P1145" s="121" t="n"/>
      <c r="Q1145" s="166">
        <f>TODAY()</f>
        <v/>
      </c>
      <c r="R1145" s="165">
        <f>ElencoProdotti[[#This Row],[PRODUZIONE]]+20</f>
        <v/>
      </c>
      <c r="S1145" s="165">
        <f>TODAY()</f>
        <v/>
      </c>
      <c r="T1145" s="133">
        <f>CONCATENATE(A1145," - contiene allergni - prodotto il giorno ",TEXT(Q1145,"gg/mm/aaaa"),"")</f>
        <v/>
      </c>
    </row>
    <row r="1146" ht="15" customHeight="1" s="155">
      <c r="A1146" s="134">
        <f>ric!B1146</f>
        <v/>
      </c>
      <c r="B1146" s="118">
        <f>ric!C1146</f>
        <v/>
      </c>
      <c r="C1146" s="125">
        <f>ric!D1146</f>
        <v/>
      </c>
      <c r="D1146" s="125" t="n"/>
      <c r="E1146" s="125" t="n"/>
      <c r="F1146" s="125" t="n"/>
      <c r="G1146" s="118">
        <f>CONCATENATE(A1146, " ",#REF!, " / ",H1146)</f>
        <v/>
      </c>
      <c r="H1146" s="118" t="n"/>
      <c r="I1146" s="119">
        <f>CONCATENATE(M1146," - ",J1146," - Lotto N° ",K1146,"")</f>
        <v/>
      </c>
      <c r="J1146" s="118" t="n"/>
      <c r="K1146" s="118">
        <f>VLOOKUP(#REF!,Produzione,7,FALSE)</f>
        <v/>
      </c>
      <c r="L1146" s="120" t="n"/>
      <c r="M1146" s="120" t="n"/>
      <c r="N1146" s="118" t="n"/>
      <c r="O1146" s="121" t="n"/>
      <c r="P1146" s="121" t="n"/>
      <c r="Q1146" s="166">
        <f>TODAY()</f>
        <v/>
      </c>
      <c r="R1146" s="165">
        <f>ElencoProdotti[[#This Row],[PRODUZIONE]]+20</f>
        <v/>
      </c>
      <c r="S1146" s="165">
        <f>TODAY()</f>
        <v/>
      </c>
      <c r="T1146" s="133">
        <f>CONCATENATE(A1146," - contiene allergni - prodotto il giorno ",TEXT(Q1146,"gg/mm/aaaa"),"")</f>
        <v/>
      </c>
    </row>
    <row r="1147" ht="15" customHeight="1" s="155">
      <c r="A1147" s="134">
        <f>ric!B1147</f>
        <v/>
      </c>
      <c r="B1147" s="118">
        <f>ric!C1147</f>
        <v/>
      </c>
      <c r="C1147" s="125">
        <f>ric!D1147</f>
        <v/>
      </c>
      <c r="D1147" s="125" t="n"/>
      <c r="E1147" s="125" t="n"/>
      <c r="F1147" s="125" t="n"/>
      <c r="G1147" s="118">
        <f>CONCATENATE(A1147, " ",#REF!, " / ",H1147)</f>
        <v/>
      </c>
      <c r="H1147" s="118" t="n"/>
      <c r="I1147" s="119">
        <f>CONCATENATE(M1147," - ",J1147," - Lotto N° ",K1147,"")</f>
        <v/>
      </c>
      <c r="J1147" s="118" t="n"/>
      <c r="K1147" s="118">
        <f>VLOOKUP(#REF!,Produzione,7,FALSE)</f>
        <v/>
      </c>
      <c r="L1147" s="120" t="n"/>
      <c r="M1147" s="120" t="n"/>
      <c r="N1147" s="118" t="n"/>
      <c r="O1147" s="121" t="n"/>
      <c r="P1147" s="121" t="n"/>
      <c r="Q1147" s="166">
        <f>TODAY()</f>
        <v/>
      </c>
      <c r="R1147" s="165">
        <f>ElencoProdotti[[#This Row],[PRODUZIONE]]+20</f>
        <v/>
      </c>
      <c r="S1147" s="165">
        <f>TODAY()</f>
        <v/>
      </c>
      <c r="T1147" s="133">
        <f>CONCATENATE(A1147," - contiene allergni - prodotto il giorno ",TEXT(Q1147,"gg/mm/aaaa"),"")</f>
        <v/>
      </c>
    </row>
    <row r="1148" ht="15" customHeight="1" s="155">
      <c r="A1148" s="134">
        <f>ric!B1148</f>
        <v/>
      </c>
      <c r="B1148" s="118">
        <f>ric!C1148</f>
        <v/>
      </c>
      <c r="C1148" s="125">
        <f>ric!D1148</f>
        <v/>
      </c>
      <c r="D1148" s="125" t="n"/>
      <c r="E1148" s="125" t="n"/>
      <c r="F1148" s="125" t="n"/>
      <c r="G1148" s="118">
        <f>CONCATENATE(A1148, " ",#REF!, " / ",H1148)</f>
        <v/>
      </c>
      <c r="H1148" s="118" t="n"/>
      <c r="I1148" s="119">
        <f>CONCATENATE(M1148," - ",J1148," - Lotto N° ",K1148,"")</f>
        <v/>
      </c>
      <c r="J1148" s="118" t="n"/>
      <c r="K1148" s="118">
        <f>VLOOKUP(#REF!,Produzione,7,FALSE)</f>
        <v/>
      </c>
      <c r="L1148" s="120" t="n"/>
      <c r="M1148" s="120" t="n"/>
      <c r="N1148" s="118" t="n"/>
      <c r="O1148" s="121" t="n"/>
      <c r="P1148" s="121" t="n"/>
      <c r="Q1148" s="166">
        <f>TODAY()</f>
        <v/>
      </c>
      <c r="R1148" s="165">
        <f>ElencoProdotti[[#This Row],[PRODUZIONE]]+20</f>
        <v/>
      </c>
      <c r="S1148" s="165">
        <f>TODAY()</f>
        <v/>
      </c>
      <c r="T1148" s="133">
        <f>CONCATENATE(A1148," - contiene allergni - prodotto il giorno ",TEXT(Q1148,"gg/mm/aaaa"),"")</f>
        <v/>
      </c>
    </row>
    <row r="1149" ht="15" customHeight="1" s="155">
      <c r="A1149" s="134">
        <f>ric!B1149</f>
        <v/>
      </c>
      <c r="B1149" s="118">
        <f>ric!C1149</f>
        <v/>
      </c>
      <c r="C1149" s="125">
        <f>ric!D1149</f>
        <v/>
      </c>
      <c r="D1149" s="125" t="n"/>
      <c r="E1149" s="125" t="n"/>
      <c r="F1149" s="125" t="n"/>
      <c r="G1149" s="118">
        <f>CONCATENATE(A1149, " ",#REF!, " / ",H1149)</f>
        <v/>
      </c>
      <c r="H1149" s="118" t="n"/>
      <c r="I1149" s="119">
        <f>CONCATENATE(M1149," - ",J1149," - Lotto N° ",K1149,"")</f>
        <v/>
      </c>
      <c r="J1149" s="118" t="n"/>
      <c r="K1149" s="118">
        <f>VLOOKUP(#REF!,Produzione,7,FALSE)</f>
        <v/>
      </c>
      <c r="L1149" s="120" t="n"/>
      <c r="M1149" s="120" t="n"/>
      <c r="N1149" s="118" t="n"/>
      <c r="O1149" s="121" t="n"/>
      <c r="P1149" s="121" t="n"/>
      <c r="Q1149" s="166">
        <f>TODAY()</f>
        <v/>
      </c>
      <c r="R1149" s="165">
        <f>ElencoProdotti[[#This Row],[PRODUZIONE]]+20</f>
        <v/>
      </c>
      <c r="S1149" s="165">
        <f>TODAY()</f>
        <v/>
      </c>
      <c r="T1149" s="133">
        <f>CONCATENATE(A1149," - contiene allergni - prodotto il giorno ",TEXT(Q1149,"gg/mm/aaaa"),"")</f>
        <v/>
      </c>
    </row>
    <row r="1150" ht="15" customHeight="1" s="155">
      <c r="A1150" s="134">
        <f>ric!B1150</f>
        <v/>
      </c>
      <c r="B1150" s="118">
        <f>ric!C1150</f>
        <v/>
      </c>
      <c r="C1150" s="125">
        <f>ric!D1150</f>
        <v/>
      </c>
      <c r="D1150" s="125" t="n"/>
      <c r="E1150" s="125" t="n"/>
      <c r="F1150" s="125" t="n"/>
      <c r="G1150" s="118">
        <f>CONCATENATE(A1150, " ",#REF!, " / ",H1150)</f>
        <v/>
      </c>
      <c r="H1150" s="118" t="n"/>
      <c r="I1150" s="119">
        <f>CONCATENATE(M1150," - ",J1150," - Lotto N° ",K1150,"")</f>
        <v/>
      </c>
      <c r="J1150" s="118" t="n"/>
      <c r="K1150" s="118">
        <f>VLOOKUP(#REF!,Produzione,7,FALSE)</f>
        <v/>
      </c>
      <c r="L1150" s="120" t="n"/>
      <c r="M1150" s="120" t="n"/>
      <c r="N1150" s="118" t="n"/>
      <c r="O1150" s="121" t="n"/>
      <c r="P1150" s="121" t="n"/>
      <c r="Q1150" s="166">
        <f>TODAY()</f>
        <v/>
      </c>
      <c r="R1150" s="165">
        <f>ElencoProdotti[[#This Row],[PRODUZIONE]]+20</f>
        <v/>
      </c>
      <c r="S1150" s="165">
        <f>TODAY()</f>
        <v/>
      </c>
      <c r="T1150" s="133">
        <f>CONCATENATE(A1150," - contiene allergni - prodotto il giorno ",TEXT(Q1150,"gg/mm/aaaa"),"")</f>
        <v/>
      </c>
    </row>
    <row r="1151" ht="15" customHeight="1" s="155">
      <c r="A1151" s="134">
        <f>ric!B1151</f>
        <v/>
      </c>
      <c r="B1151" s="118">
        <f>ric!C1151</f>
        <v/>
      </c>
      <c r="C1151" s="125">
        <f>ric!D1151</f>
        <v/>
      </c>
      <c r="D1151" s="125" t="n"/>
      <c r="E1151" s="125" t="n"/>
      <c r="F1151" s="125" t="n"/>
      <c r="G1151" s="118">
        <f>CONCATENATE(A1151, " ",#REF!, " / ",H1151)</f>
        <v/>
      </c>
      <c r="H1151" s="118" t="n"/>
      <c r="I1151" s="119">
        <f>CONCATENATE(M1151," - ",J1151," - Lotto N° ",K1151,"")</f>
        <v/>
      </c>
      <c r="J1151" s="118" t="n"/>
      <c r="K1151" s="118">
        <f>VLOOKUP(#REF!,Produzione,7,FALSE)</f>
        <v/>
      </c>
      <c r="L1151" s="120" t="n"/>
      <c r="M1151" s="120" t="n"/>
      <c r="N1151" s="118" t="n"/>
      <c r="O1151" s="121" t="n"/>
      <c r="P1151" s="121" t="n"/>
      <c r="Q1151" s="166">
        <f>TODAY()</f>
        <v/>
      </c>
      <c r="R1151" s="165">
        <f>ElencoProdotti[[#This Row],[PRODUZIONE]]+20</f>
        <v/>
      </c>
      <c r="S1151" s="165">
        <f>TODAY()</f>
        <v/>
      </c>
      <c r="T1151" s="133">
        <f>CONCATENATE(A1151," - contiene allergni - prodotto il giorno ",TEXT(Q1151,"gg/mm/aaaa"),"")</f>
        <v/>
      </c>
    </row>
    <row r="1152" ht="15" customHeight="1" s="155">
      <c r="A1152" s="134">
        <f>ric!B1152</f>
        <v/>
      </c>
      <c r="B1152" s="118">
        <f>ric!C1152</f>
        <v/>
      </c>
      <c r="C1152" s="125">
        <f>ric!D1152</f>
        <v/>
      </c>
      <c r="D1152" s="125" t="n"/>
      <c r="E1152" s="125" t="n"/>
      <c r="F1152" s="125" t="n"/>
      <c r="G1152" s="118">
        <f>CONCATENATE(A1152, " ",#REF!, " / ",H1152)</f>
        <v/>
      </c>
      <c r="H1152" s="118" t="n"/>
      <c r="I1152" s="119">
        <f>CONCATENATE(M1152," - ",J1152," - Lotto N° ",K1152,"")</f>
        <v/>
      </c>
      <c r="J1152" s="118" t="n"/>
      <c r="K1152" s="118">
        <f>VLOOKUP(#REF!,Produzione,7,FALSE)</f>
        <v/>
      </c>
      <c r="L1152" s="120" t="n"/>
      <c r="M1152" s="120" t="n"/>
      <c r="N1152" s="118" t="n"/>
      <c r="O1152" s="121" t="n"/>
      <c r="P1152" s="121" t="n"/>
      <c r="Q1152" s="166">
        <f>TODAY()</f>
        <v/>
      </c>
      <c r="R1152" s="165">
        <f>ElencoProdotti[[#This Row],[PRODUZIONE]]+20</f>
        <v/>
      </c>
      <c r="S1152" s="165">
        <f>TODAY()</f>
        <v/>
      </c>
      <c r="T1152" s="133">
        <f>CONCATENATE(A1152," - contiene allergni - prodotto il giorno ",TEXT(Q1152,"gg/mm/aaaa"),"")</f>
        <v/>
      </c>
    </row>
    <row r="1153" ht="15" customHeight="1" s="155">
      <c r="A1153" s="134">
        <f>ric!B1153</f>
        <v/>
      </c>
      <c r="B1153" s="118">
        <f>ric!C1153</f>
        <v/>
      </c>
      <c r="C1153" s="125">
        <f>ric!D1153</f>
        <v/>
      </c>
      <c r="D1153" s="125" t="n"/>
      <c r="E1153" s="125" t="n"/>
      <c r="F1153" s="125" t="n"/>
      <c r="G1153" s="118">
        <f>CONCATENATE(A1153, " ",#REF!, " / ",H1153)</f>
        <v/>
      </c>
      <c r="H1153" s="118" t="n"/>
      <c r="I1153" s="119">
        <f>CONCATENATE(M1153," - ",J1153," - Lotto N° ",K1153,"")</f>
        <v/>
      </c>
      <c r="J1153" s="118" t="n"/>
      <c r="K1153" s="118">
        <f>VLOOKUP(#REF!,Produzione,7,FALSE)</f>
        <v/>
      </c>
      <c r="L1153" s="120" t="n"/>
      <c r="M1153" s="120" t="n"/>
      <c r="N1153" s="118" t="n"/>
      <c r="O1153" s="121" t="n"/>
      <c r="P1153" s="121" t="n"/>
      <c r="Q1153" s="166">
        <f>TODAY()</f>
        <v/>
      </c>
      <c r="R1153" s="165">
        <f>ElencoProdotti[[#This Row],[PRODUZIONE]]+20</f>
        <v/>
      </c>
      <c r="S1153" s="165">
        <f>TODAY()</f>
        <v/>
      </c>
      <c r="T1153" s="133">
        <f>CONCATENATE(A1153," - contiene allergni - prodotto il giorno ",TEXT(Q1153,"gg/mm/aaaa"),"")</f>
        <v/>
      </c>
    </row>
    <row r="1154" ht="15" customHeight="1" s="155">
      <c r="A1154" s="134">
        <f>ric!B1154</f>
        <v/>
      </c>
      <c r="B1154" s="118">
        <f>ric!C1154</f>
        <v/>
      </c>
      <c r="C1154" s="125">
        <f>ric!D1154</f>
        <v/>
      </c>
      <c r="D1154" s="125" t="n"/>
      <c r="E1154" s="125" t="n"/>
      <c r="F1154" s="125" t="n"/>
      <c r="G1154" s="118">
        <f>CONCATENATE(A1154, " ",#REF!, " / ",H1154)</f>
        <v/>
      </c>
      <c r="H1154" s="118" t="n"/>
      <c r="I1154" s="119">
        <f>CONCATENATE(M1154," - ",J1154," - Lotto N° ",K1154,"")</f>
        <v/>
      </c>
      <c r="J1154" s="118" t="n"/>
      <c r="K1154" s="118">
        <f>VLOOKUP(#REF!,Produzione,7,FALSE)</f>
        <v/>
      </c>
      <c r="L1154" s="120" t="n"/>
      <c r="M1154" s="120" t="n"/>
      <c r="N1154" s="118" t="n"/>
      <c r="O1154" s="121" t="n"/>
      <c r="P1154" s="121" t="n"/>
      <c r="Q1154" s="166">
        <f>TODAY()</f>
        <v/>
      </c>
      <c r="R1154" s="165">
        <f>ElencoProdotti[[#This Row],[PRODUZIONE]]+20</f>
        <v/>
      </c>
      <c r="S1154" s="165">
        <f>TODAY()</f>
        <v/>
      </c>
      <c r="T1154" s="133">
        <f>CONCATENATE(A1154," - contiene allergni - prodotto il giorno ",TEXT(Q1154,"gg/mm/aaaa"),"")</f>
        <v/>
      </c>
    </row>
    <row r="1155" ht="15" customHeight="1" s="155">
      <c r="A1155" s="134">
        <f>ric!B1155</f>
        <v/>
      </c>
      <c r="B1155" s="118">
        <f>ric!C1155</f>
        <v/>
      </c>
      <c r="C1155" s="125">
        <f>ric!D1155</f>
        <v/>
      </c>
      <c r="D1155" s="125" t="n"/>
      <c r="E1155" s="125" t="n"/>
      <c r="F1155" s="125" t="n"/>
      <c r="G1155" s="118">
        <f>CONCATENATE(A1155, " ",#REF!, " / ",H1155)</f>
        <v/>
      </c>
      <c r="H1155" s="118" t="n"/>
      <c r="I1155" s="119">
        <f>CONCATENATE(M1155," - ",J1155," - Lotto N° ",K1155,"")</f>
        <v/>
      </c>
      <c r="J1155" s="118" t="n"/>
      <c r="K1155" s="118">
        <f>VLOOKUP(#REF!,Produzione,7,FALSE)</f>
        <v/>
      </c>
      <c r="L1155" s="120" t="n"/>
      <c r="M1155" s="120" t="n"/>
      <c r="N1155" s="118" t="n"/>
      <c r="O1155" s="121" t="n"/>
      <c r="P1155" s="121" t="n"/>
      <c r="Q1155" s="166">
        <f>TODAY()</f>
        <v/>
      </c>
      <c r="R1155" s="165">
        <f>ElencoProdotti[[#This Row],[PRODUZIONE]]+20</f>
        <v/>
      </c>
      <c r="S1155" s="165">
        <f>TODAY()</f>
        <v/>
      </c>
      <c r="T1155" s="133">
        <f>CONCATENATE(A1155," - contiene allergni - prodotto il giorno ",TEXT(Q1155,"gg/mm/aaaa"),"")</f>
        <v/>
      </c>
    </row>
    <row r="1156" ht="15" customHeight="1" s="155">
      <c r="A1156" s="134">
        <f>ric!B1156</f>
        <v/>
      </c>
      <c r="B1156" s="118">
        <f>ric!C1156</f>
        <v/>
      </c>
      <c r="C1156" s="125">
        <f>ric!D1156</f>
        <v/>
      </c>
      <c r="D1156" s="125" t="n"/>
      <c r="E1156" s="125" t="n"/>
      <c r="F1156" s="125" t="n"/>
      <c r="G1156" s="118">
        <f>CONCATENATE(A1156, " ",#REF!, " / ",H1156)</f>
        <v/>
      </c>
      <c r="H1156" s="118" t="n"/>
      <c r="I1156" s="119">
        <f>CONCATENATE(M1156," - ",J1156," - Lotto N° ",K1156,"")</f>
        <v/>
      </c>
      <c r="J1156" s="118" t="n"/>
      <c r="K1156" s="118">
        <f>VLOOKUP(#REF!,Produzione,7,FALSE)</f>
        <v/>
      </c>
      <c r="L1156" s="120" t="n"/>
      <c r="M1156" s="120" t="n"/>
      <c r="N1156" s="118" t="n"/>
      <c r="O1156" s="121" t="n"/>
      <c r="P1156" s="121" t="n"/>
      <c r="Q1156" s="166">
        <f>TODAY()</f>
        <v/>
      </c>
      <c r="R1156" s="165">
        <f>ElencoProdotti[[#This Row],[PRODUZIONE]]+20</f>
        <v/>
      </c>
      <c r="S1156" s="165">
        <f>TODAY()</f>
        <v/>
      </c>
      <c r="T1156" s="133">
        <f>CONCATENATE(A1156," - contiene allergni - prodotto il giorno ",TEXT(Q1156,"gg/mm/aaaa"),"")</f>
        <v/>
      </c>
    </row>
    <row r="1157" ht="15" customHeight="1" s="155">
      <c r="A1157" s="134">
        <f>ric!B1157</f>
        <v/>
      </c>
      <c r="B1157" s="118">
        <f>ric!C1157</f>
        <v/>
      </c>
      <c r="C1157" s="125">
        <f>ric!D1157</f>
        <v/>
      </c>
      <c r="D1157" s="125" t="n"/>
      <c r="E1157" s="125" t="n"/>
      <c r="F1157" s="125" t="n"/>
      <c r="G1157" s="118">
        <f>CONCATENATE(A1157, " ",#REF!, " / ",H1157)</f>
        <v/>
      </c>
      <c r="H1157" s="118" t="n"/>
      <c r="I1157" s="119">
        <f>CONCATENATE(M1157," - ",J1157," - Lotto N° ",K1157,"")</f>
        <v/>
      </c>
      <c r="J1157" s="118" t="n"/>
      <c r="K1157" s="118">
        <f>VLOOKUP(#REF!,Produzione,7,FALSE)</f>
        <v/>
      </c>
      <c r="L1157" s="120" t="n"/>
      <c r="M1157" s="120" t="n"/>
      <c r="N1157" s="118" t="n"/>
      <c r="O1157" s="121" t="n"/>
      <c r="P1157" s="121" t="n"/>
      <c r="Q1157" s="166">
        <f>TODAY()</f>
        <v/>
      </c>
      <c r="R1157" s="165">
        <f>ElencoProdotti[[#This Row],[PRODUZIONE]]+20</f>
        <v/>
      </c>
      <c r="S1157" s="165">
        <f>TODAY()</f>
        <v/>
      </c>
      <c r="T1157" s="133">
        <f>CONCATENATE(A1157," - contiene allergni - prodotto il giorno ",TEXT(Q1157,"gg/mm/aaaa"),"")</f>
        <v/>
      </c>
    </row>
    <row r="1158" ht="15" customHeight="1" s="155">
      <c r="A1158" s="134">
        <f>ric!B1158</f>
        <v/>
      </c>
      <c r="B1158" s="118">
        <f>ric!C1158</f>
        <v/>
      </c>
      <c r="C1158" s="125">
        <f>ric!D1158</f>
        <v/>
      </c>
      <c r="D1158" s="125" t="n"/>
      <c r="E1158" s="125" t="n"/>
      <c r="F1158" s="125" t="n"/>
      <c r="G1158" s="118">
        <f>CONCATENATE(A1158, " ",#REF!, " / ",H1158)</f>
        <v/>
      </c>
      <c r="H1158" s="118" t="n"/>
      <c r="I1158" s="119">
        <f>CONCATENATE(M1158," - ",J1158," - Lotto N° ",K1158,"")</f>
        <v/>
      </c>
      <c r="J1158" s="118" t="n"/>
      <c r="K1158" s="118">
        <f>VLOOKUP(#REF!,Produzione,7,FALSE)</f>
        <v/>
      </c>
      <c r="L1158" s="120" t="n"/>
      <c r="M1158" s="120" t="n"/>
      <c r="N1158" s="118" t="n"/>
      <c r="O1158" s="121" t="n"/>
      <c r="P1158" s="121" t="n"/>
      <c r="Q1158" s="166">
        <f>TODAY()</f>
        <v/>
      </c>
      <c r="R1158" s="165">
        <f>ElencoProdotti[[#This Row],[PRODUZIONE]]+20</f>
        <v/>
      </c>
      <c r="S1158" s="165">
        <f>TODAY()</f>
        <v/>
      </c>
      <c r="T1158" s="133">
        <f>CONCATENATE(A1158," - contiene allergni - prodotto il giorno ",TEXT(Q1158,"gg/mm/aaaa"),"")</f>
        <v/>
      </c>
    </row>
    <row r="1159" ht="15" customHeight="1" s="155">
      <c r="A1159" s="134">
        <f>ric!B1159</f>
        <v/>
      </c>
      <c r="B1159" s="118">
        <f>ric!C1159</f>
        <v/>
      </c>
      <c r="C1159" s="125">
        <f>ric!D1159</f>
        <v/>
      </c>
      <c r="D1159" s="125" t="n"/>
      <c r="E1159" s="125" t="n"/>
      <c r="F1159" s="125" t="n"/>
      <c r="G1159" s="118">
        <f>CONCATENATE(A1159, " ",#REF!, " / ",H1159)</f>
        <v/>
      </c>
      <c r="H1159" s="118" t="n"/>
      <c r="I1159" s="119">
        <f>CONCATENATE(M1159," - ",J1159," - Lotto N° ",K1159,"")</f>
        <v/>
      </c>
      <c r="J1159" s="118" t="n"/>
      <c r="K1159" s="118">
        <f>VLOOKUP(#REF!,Produzione,7,FALSE)</f>
        <v/>
      </c>
      <c r="L1159" s="120" t="n"/>
      <c r="M1159" s="120" t="n"/>
      <c r="N1159" s="118" t="n"/>
      <c r="O1159" s="121" t="n"/>
      <c r="P1159" s="121" t="n"/>
      <c r="Q1159" s="166">
        <f>TODAY()</f>
        <v/>
      </c>
      <c r="R1159" s="165">
        <f>ElencoProdotti[[#This Row],[PRODUZIONE]]+20</f>
        <v/>
      </c>
      <c r="S1159" s="165">
        <f>TODAY()</f>
        <v/>
      </c>
      <c r="T1159" s="133">
        <f>CONCATENATE(A1159," - contiene allergni - prodotto il giorno ",TEXT(Q1159,"gg/mm/aaaa"),"")</f>
        <v/>
      </c>
    </row>
    <row r="1160" ht="15" customHeight="1" s="155">
      <c r="A1160" s="134">
        <f>ric!B1160</f>
        <v/>
      </c>
      <c r="B1160" s="118">
        <f>ric!C1160</f>
        <v/>
      </c>
      <c r="C1160" s="125">
        <f>ric!D1160</f>
        <v/>
      </c>
      <c r="D1160" s="125" t="n"/>
      <c r="E1160" s="125" t="n"/>
      <c r="F1160" s="125" t="n"/>
      <c r="G1160" s="118">
        <f>CONCATENATE(A1160, " ",#REF!, " / ",H1160)</f>
        <v/>
      </c>
      <c r="H1160" s="118" t="n"/>
      <c r="I1160" s="119">
        <f>CONCATENATE(M1160," - ",J1160," - Lotto N° ",K1160,"")</f>
        <v/>
      </c>
      <c r="J1160" s="118" t="n"/>
      <c r="K1160" s="118">
        <f>VLOOKUP(#REF!,Produzione,7,FALSE)</f>
        <v/>
      </c>
      <c r="L1160" s="120" t="n"/>
      <c r="M1160" s="120" t="n"/>
      <c r="N1160" s="118" t="n"/>
      <c r="O1160" s="121" t="n"/>
      <c r="P1160" s="121" t="n"/>
      <c r="Q1160" s="166">
        <f>TODAY()</f>
        <v/>
      </c>
      <c r="R1160" s="165">
        <f>ElencoProdotti[[#This Row],[PRODUZIONE]]+20</f>
        <v/>
      </c>
      <c r="S1160" s="165">
        <f>TODAY()</f>
        <v/>
      </c>
      <c r="T1160" s="133">
        <f>CONCATENATE(A1160," - contiene allergni - prodotto il giorno ",TEXT(Q1160,"gg/mm/aaaa"),"")</f>
        <v/>
      </c>
    </row>
    <row r="1161" ht="15" customHeight="1" s="155">
      <c r="A1161" s="134">
        <f>ric!B1161</f>
        <v/>
      </c>
      <c r="B1161" s="118">
        <f>ric!C1161</f>
        <v/>
      </c>
      <c r="C1161" s="125">
        <f>ric!D1161</f>
        <v/>
      </c>
      <c r="D1161" s="125" t="n"/>
      <c r="E1161" s="125" t="n"/>
      <c r="F1161" s="125" t="n"/>
      <c r="G1161" s="118">
        <f>CONCATENATE(A1161, " ",#REF!, " / ",H1161)</f>
        <v/>
      </c>
      <c r="H1161" s="118" t="n"/>
      <c r="I1161" s="119">
        <f>CONCATENATE(M1161," - ",J1161," - Lotto N° ",K1161,"")</f>
        <v/>
      </c>
      <c r="J1161" s="118" t="n"/>
      <c r="K1161" s="118">
        <f>VLOOKUP(#REF!,Produzione,7,FALSE)</f>
        <v/>
      </c>
      <c r="L1161" s="120" t="n"/>
      <c r="M1161" s="120" t="n"/>
      <c r="N1161" s="118" t="n"/>
      <c r="O1161" s="121" t="n"/>
      <c r="P1161" s="121" t="n"/>
      <c r="Q1161" s="166">
        <f>TODAY()</f>
        <v/>
      </c>
      <c r="R1161" s="165">
        <f>ElencoProdotti[[#This Row],[PRODUZIONE]]+20</f>
        <v/>
      </c>
      <c r="S1161" s="165">
        <f>TODAY()</f>
        <v/>
      </c>
      <c r="T1161" s="133">
        <f>CONCATENATE(A1161," - contiene allergni - prodotto il giorno ",TEXT(Q1161,"gg/mm/aaaa"),"")</f>
        <v/>
      </c>
    </row>
    <row r="1162" ht="15" customHeight="1" s="155">
      <c r="A1162" s="134">
        <f>ric!B1162</f>
        <v/>
      </c>
      <c r="B1162" s="118">
        <f>ric!C1162</f>
        <v/>
      </c>
      <c r="C1162" s="125">
        <f>ric!D1162</f>
        <v/>
      </c>
      <c r="D1162" s="125" t="n"/>
      <c r="E1162" s="125" t="n"/>
      <c r="F1162" s="125" t="n"/>
      <c r="G1162" s="118">
        <f>CONCATENATE(A1162, " ",#REF!, " / ",H1162)</f>
        <v/>
      </c>
      <c r="H1162" s="118" t="n"/>
      <c r="I1162" s="119">
        <f>CONCATENATE(M1162," - ",J1162," - Lotto N° ",K1162,"")</f>
        <v/>
      </c>
      <c r="J1162" s="118" t="n"/>
      <c r="K1162" s="118">
        <f>VLOOKUP(#REF!,Produzione,7,FALSE)</f>
        <v/>
      </c>
      <c r="L1162" s="120" t="n"/>
      <c r="M1162" s="120" t="n"/>
      <c r="N1162" s="118" t="n"/>
      <c r="O1162" s="121" t="n"/>
      <c r="P1162" s="121" t="n"/>
      <c r="Q1162" s="166">
        <f>TODAY()</f>
        <v/>
      </c>
      <c r="R1162" s="165">
        <f>ElencoProdotti[[#This Row],[PRODUZIONE]]+20</f>
        <v/>
      </c>
      <c r="S1162" s="165">
        <f>TODAY()</f>
        <v/>
      </c>
      <c r="T1162" s="133">
        <f>CONCATENATE(A1162," - contiene allergni - prodotto il giorno ",TEXT(Q1162,"gg/mm/aaaa"),"")</f>
        <v/>
      </c>
    </row>
    <row r="1163" ht="15" customHeight="1" s="155">
      <c r="A1163" s="134">
        <f>ric!B1163</f>
        <v/>
      </c>
      <c r="B1163" s="118">
        <f>ric!C1163</f>
        <v/>
      </c>
      <c r="C1163" s="125">
        <f>ric!D1163</f>
        <v/>
      </c>
      <c r="D1163" s="125" t="n"/>
      <c r="E1163" s="125" t="n"/>
      <c r="F1163" s="125" t="n"/>
      <c r="G1163" s="118">
        <f>CONCATENATE(A1163, " ",#REF!, " / ",H1163)</f>
        <v/>
      </c>
      <c r="H1163" s="118" t="n"/>
      <c r="I1163" s="119">
        <f>CONCATENATE(M1163," - ",J1163," - Lotto N° ",K1163,"")</f>
        <v/>
      </c>
      <c r="J1163" s="118" t="n"/>
      <c r="K1163" s="118">
        <f>VLOOKUP(#REF!,Produzione,7,FALSE)</f>
        <v/>
      </c>
      <c r="L1163" s="120" t="n"/>
      <c r="M1163" s="120" t="n"/>
      <c r="N1163" s="118" t="n"/>
      <c r="O1163" s="121" t="n"/>
      <c r="P1163" s="121" t="n"/>
      <c r="Q1163" s="166">
        <f>TODAY()</f>
        <v/>
      </c>
      <c r="R1163" s="165">
        <f>ElencoProdotti[[#This Row],[PRODUZIONE]]+20</f>
        <v/>
      </c>
      <c r="S1163" s="165">
        <f>TODAY()</f>
        <v/>
      </c>
      <c r="T1163" s="133">
        <f>CONCATENATE(A1163," - contiene allergni - prodotto il giorno ",TEXT(Q1163,"gg/mm/aaaa"),"")</f>
        <v/>
      </c>
    </row>
    <row r="1164" ht="15" customHeight="1" s="155">
      <c r="A1164" s="134">
        <f>ric!B1164</f>
        <v/>
      </c>
      <c r="B1164" s="118">
        <f>ric!C1164</f>
        <v/>
      </c>
      <c r="C1164" s="125">
        <f>ric!D1164</f>
        <v/>
      </c>
      <c r="D1164" s="125" t="n"/>
      <c r="E1164" s="125" t="n"/>
      <c r="F1164" s="125" t="n"/>
      <c r="G1164" s="118">
        <f>CONCATENATE(A1164, " ",#REF!, " / ",H1164)</f>
        <v/>
      </c>
      <c r="H1164" s="118" t="n"/>
      <c r="I1164" s="119">
        <f>CONCATENATE(M1164," - ",J1164," - Lotto N° ",K1164,"")</f>
        <v/>
      </c>
      <c r="J1164" s="118" t="n"/>
      <c r="K1164" s="118">
        <f>VLOOKUP(#REF!,Produzione,7,FALSE)</f>
        <v/>
      </c>
      <c r="L1164" s="120" t="n"/>
      <c r="M1164" s="120" t="n"/>
      <c r="N1164" s="118" t="n"/>
      <c r="O1164" s="121" t="n"/>
      <c r="P1164" s="121" t="n"/>
      <c r="Q1164" s="166">
        <f>TODAY()</f>
        <v/>
      </c>
      <c r="R1164" s="165">
        <f>ElencoProdotti[[#This Row],[PRODUZIONE]]+20</f>
        <v/>
      </c>
      <c r="S1164" s="165">
        <f>TODAY()</f>
        <v/>
      </c>
      <c r="T1164" s="133">
        <f>CONCATENATE(A1164," - contiene allergni - prodotto il giorno ",TEXT(Q1164,"gg/mm/aaaa"),"")</f>
        <v/>
      </c>
    </row>
    <row r="1165" ht="15" customHeight="1" s="155">
      <c r="A1165" s="134">
        <f>ric!B1165</f>
        <v/>
      </c>
      <c r="B1165" s="118">
        <f>ric!C1165</f>
        <v/>
      </c>
      <c r="C1165" s="125">
        <f>ric!D1165</f>
        <v/>
      </c>
      <c r="D1165" s="125" t="n"/>
      <c r="E1165" s="125" t="n"/>
      <c r="F1165" s="125" t="n"/>
      <c r="G1165" s="118">
        <f>CONCATENATE(A1165, " ",#REF!, " / ",H1165)</f>
        <v/>
      </c>
      <c r="H1165" s="118" t="n"/>
      <c r="I1165" s="119">
        <f>CONCATENATE(M1165," - ",J1165," - Lotto N° ",K1165,"")</f>
        <v/>
      </c>
      <c r="J1165" s="118" t="n"/>
      <c r="K1165" s="118">
        <f>VLOOKUP(#REF!,Produzione,7,FALSE)</f>
        <v/>
      </c>
      <c r="L1165" s="120" t="n"/>
      <c r="M1165" s="120" t="n"/>
      <c r="N1165" s="118" t="n"/>
      <c r="O1165" s="121" t="n"/>
      <c r="P1165" s="121" t="n"/>
      <c r="Q1165" s="166">
        <f>TODAY()</f>
        <v/>
      </c>
      <c r="R1165" s="165">
        <f>ElencoProdotti[[#This Row],[PRODUZIONE]]+20</f>
        <v/>
      </c>
      <c r="S1165" s="165">
        <f>TODAY()</f>
        <v/>
      </c>
      <c r="T1165" s="133">
        <f>CONCATENATE(A1165," - contiene allergni - prodotto il giorno ",TEXT(Q1165,"gg/mm/aaaa"),"")</f>
        <v/>
      </c>
    </row>
    <row r="1166" ht="15" customHeight="1" s="155">
      <c r="A1166" s="134">
        <f>ric!B1166</f>
        <v/>
      </c>
      <c r="B1166" s="118">
        <f>ric!C1166</f>
        <v/>
      </c>
      <c r="C1166" s="125">
        <f>ric!D1166</f>
        <v/>
      </c>
      <c r="D1166" s="125" t="n"/>
      <c r="E1166" s="125" t="n"/>
      <c r="F1166" s="125" t="n"/>
      <c r="G1166" s="118">
        <f>CONCATENATE(A1166, " ",#REF!, " / ",H1166)</f>
        <v/>
      </c>
      <c r="H1166" s="118" t="n"/>
      <c r="I1166" s="119">
        <f>CONCATENATE(M1166," - ",J1166," - Lotto N° ",K1166,"")</f>
        <v/>
      </c>
      <c r="J1166" s="118" t="n"/>
      <c r="K1166" s="118">
        <f>VLOOKUP(#REF!,Produzione,7,FALSE)</f>
        <v/>
      </c>
      <c r="L1166" s="120" t="n"/>
      <c r="M1166" s="120" t="n"/>
      <c r="N1166" s="118" t="n"/>
      <c r="O1166" s="121" t="n"/>
      <c r="P1166" s="121" t="n"/>
      <c r="Q1166" s="166">
        <f>TODAY()</f>
        <v/>
      </c>
      <c r="R1166" s="165">
        <f>ElencoProdotti[[#This Row],[PRODUZIONE]]+20</f>
        <v/>
      </c>
      <c r="S1166" s="165">
        <f>TODAY()</f>
        <v/>
      </c>
      <c r="T1166" s="133">
        <f>CONCATENATE(A1166," - contiene allergni - prodotto il giorno ",TEXT(Q1166,"gg/mm/aaaa"),"")</f>
        <v/>
      </c>
    </row>
    <row r="1167" ht="15" customHeight="1" s="155">
      <c r="A1167" s="134">
        <f>ric!B1167</f>
        <v/>
      </c>
      <c r="B1167" s="118">
        <f>ric!C1167</f>
        <v/>
      </c>
      <c r="C1167" s="125">
        <f>ric!D1167</f>
        <v/>
      </c>
      <c r="D1167" s="125" t="n"/>
      <c r="E1167" s="125" t="n"/>
      <c r="F1167" s="125" t="n"/>
      <c r="G1167" s="118">
        <f>CONCATENATE(A1167, " ",#REF!, " / ",H1167)</f>
        <v/>
      </c>
      <c r="H1167" s="118" t="n"/>
      <c r="I1167" s="119">
        <f>CONCATENATE(M1167," - ",J1167," - Lotto N° ",K1167,"")</f>
        <v/>
      </c>
      <c r="J1167" s="118" t="n"/>
      <c r="K1167" s="118">
        <f>VLOOKUP(#REF!,Produzione,7,FALSE)</f>
        <v/>
      </c>
      <c r="L1167" s="120" t="n"/>
      <c r="M1167" s="120" t="n"/>
      <c r="N1167" s="118" t="n"/>
      <c r="O1167" s="121" t="n"/>
      <c r="P1167" s="121" t="n"/>
      <c r="Q1167" s="166">
        <f>TODAY()</f>
        <v/>
      </c>
      <c r="R1167" s="165">
        <f>ElencoProdotti[[#This Row],[PRODUZIONE]]+20</f>
        <v/>
      </c>
      <c r="S1167" s="165">
        <f>TODAY()</f>
        <v/>
      </c>
      <c r="T1167" s="133">
        <f>CONCATENATE(A1167," - contiene allergni - prodotto il giorno ",TEXT(Q1167,"gg/mm/aaaa"),"")</f>
        <v/>
      </c>
    </row>
    <row r="1168" ht="15" customHeight="1" s="155">
      <c r="A1168" s="134">
        <f>ric!B1168</f>
        <v/>
      </c>
      <c r="B1168" s="118">
        <f>ric!C1168</f>
        <v/>
      </c>
      <c r="C1168" s="125">
        <f>ric!D1168</f>
        <v/>
      </c>
      <c r="D1168" s="125" t="n"/>
      <c r="E1168" s="125" t="n"/>
      <c r="F1168" s="125" t="n"/>
      <c r="G1168" s="118">
        <f>CONCATENATE(A1168, " ",#REF!, " / ",H1168)</f>
        <v/>
      </c>
      <c r="H1168" s="118" t="n"/>
      <c r="I1168" s="119">
        <f>CONCATENATE(M1168," - ",J1168," - Lotto N° ",K1168,"")</f>
        <v/>
      </c>
      <c r="J1168" s="118" t="n"/>
      <c r="K1168" s="118">
        <f>VLOOKUP(#REF!,Produzione,7,FALSE)</f>
        <v/>
      </c>
      <c r="L1168" s="120" t="n"/>
      <c r="M1168" s="120" t="n"/>
      <c r="N1168" s="118" t="n"/>
      <c r="O1168" s="121" t="n"/>
      <c r="P1168" s="121" t="n"/>
      <c r="Q1168" s="166">
        <f>TODAY()</f>
        <v/>
      </c>
      <c r="R1168" s="165">
        <f>ElencoProdotti[[#This Row],[PRODUZIONE]]+20</f>
        <v/>
      </c>
      <c r="S1168" s="165">
        <f>TODAY()</f>
        <v/>
      </c>
      <c r="T1168" s="133">
        <f>CONCATENATE(A1168," - contiene allergni - prodotto il giorno ",TEXT(Q1168,"gg/mm/aaaa"),"")</f>
        <v/>
      </c>
    </row>
    <row r="1169" ht="15" customHeight="1" s="155">
      <c r="A1169" s="134">
        <f>ric!B1169</f>
        <v/>
      </c>
      <c r="B1169" s="118">
        <f>ric!C1169</f>
        <v/>
      </c>
      <c r="C1169" s="125">
        <f>ric!D1169</f>
        <v/>
      </c>
      <c r="D1169" s="125" t="n"/>
      <c r="E1169" s="125" t="n"/>
      <c r="F1169" s="125" t="n"/>
      <c r="G1169" s="118">
        <f>CONCATENATE(A1169, " ",#REF!, " / ",H1169)</f>
        <v/>
      </c>
      <c r="H1169" s="118" t="n"/>
      <c r="I1169" s="119">
        <f>CONCATENATE(M1169," - ",J1169," - Lotto N° ",K1169,"")</f>
        <v/>
      </c>
      <c r="J1169" s="118" t="n"/>
      <c r="K1169" s="118">
        <f>VLOOKUP(#REF!,Produzione,7,FALSE)</f>
        <v/>
      </c>
      <c r="L1169" s="120" t="n"/>
      <c r="M1169" s="120" t="n"/>
      <c r="N1169" s="118" t="n"/>
      <c r="O1169" s="121" t="n"/>
      <c r="P1169" s="121" t="n"/>
      <c r="Q1169" s="166">
        <f>TODAY()</f>
        <v/>
      </c>
      <c r="R1169" s="165">
        <f>ElencoProdotti[[#This Row],[PRODUZIONE]]+20</f>
        <v/>
      </c>
      <c r="S1169" s="165">
        <f>TODAY()</f>
        <v/>
      </c>
      <c r="T1169" s="133">
        <f>CONCATENATE(A1169," - contiene allergni - prodotto il giorno ",TEXT(Q1169,"gg/mm/aaaa"),"")</f>
        <v/>
      </c>
    </row>
    <row r="1170" ht="15" customHeight="1" s="155">
      <c r="A1170" s="134">
        <f>ric!B1170</f>
        <v/>
      </c>
      <c r="B1170" s="118">
        <f>ric!C1170</f>
        <v/>
      </c>
      <c r="C1170" s="125">
        <f>ric!D1170</f>
        <v/>
      </c>
      <c r="D1170" s="125" t="n"/>
      <c r="E1170" s="125" t="n"/>
      <c r="F1170" s="125" t="n"/>
      <c r="G1170" s="118">
        <f>CONCATENATE(A1170, " ",#REF!, " / ",H1170)</f>
        <v/>
      </c>
      <c r="H1170" s="118" t="n"/>
      <c r="I1170" s="119">
        <f>CONCATENATE(M1170," - ",J1170," - Lotto N° ",K1170,"")</f>
        <v/>
      </c>
      <c r="J1170" s="118" t="n"/>
      <c r="K1170" s="118">
        <f>VLOOKUP(#REF!,Produzione,7,FALSE)</f>
        <v/>
      </c>
      <c r="L1170" s="120" t="n"/>
      <c r="M1170" s="120" t="n"/>
      <c r="N1170" s="118" t="n"/>
      <c r="O1170" s="121" t="n"/>
      <c r="P1170" s="121" t="n"/>
      <c r="Q1170" s="166">
        <f>TODAY()</f>
        <v/>
      </c>
      <c r="R1170" s="165">
        <f>ElencoProdotti[[#This Row],[PRODUZIONE]]+20</f>
        <v/>
      </c>
      <c r="S1170" s="165">
        <f>TODAY()</f>
        <v/>
      </c>
      <c r="T1170" s="133">
        <f>CONCATENATE(A1170," - contiene allergni - prodotto il giorno ",TEXT(Q1170,"gg/mm/aaaa"),"")</f>
        <v/>
      </c>
    </row>
    <row r="1171" ht="15" customHeight="1" s="155">
      <c r="A1171" s="134">
        <f>ric!B1171</f>
        <v/>
      </c>
      <c r="B1171" s="118">
        <f>ric!C1171</f>
        <v/>
      </c>
      <c r="C1171" s="125">
        <f>ric!D1171</f>
        <v/>
      </c>
      <c r="D1171" s="125" t="n"/>
      <c r="E1171" s="125" t="n"/>
      <c r="F1171" s="125" t="n"/>
      <c r="G1171" s="118">
        <f>CONCATENATE(A1171, " ",#REF!, " / ",H1171)</f>
        <v/>
      </c>
      <c r="H1171" s="118" t="n"/>
      <c r="I1171" s="119">
        <f>CONCATENATE(M1171," - ",J1171," - Lotto N° ",K1171,"")</f>
        <v/>
      </c>
      <c r="J1171" s="118" t="n"/>
      <c r="K1171" s="118">
        <f>VLOOKUP(#REF!,Produzione,7,FALSE)</f>
        <v/>
      </c>
      <c r="L1171" s="120" t="n"/>
      <c r="M1171" s="120" t="n"/>
      <c r="N1171" s="118" t="n"/>
      <c r="O1171" s="121" t="n"/>
      <c r="P1171" s="121" t="n"/>
      <c r="Q1171" s="166">
        <f>TODAY()</f>
        <v/>
      </c>
      <c r="R1171" s="165">
        <f>ElencoProdotti[[#This Row],[PRODUZIONE]]+20</f>
        <v/>
      </c>
      <c r="S1171" s="165">
        <f>TODAY()</f>
        <v/>
      </c>
      <c r="T1171" s="133">
        <f>CONCATENATE(A1171," - contiene allergni - prodotto il giorno ",TEXT(Q1171,"gg/mm/aaaa"),"")</f>
        <v/>
      </c>
    </row>
    <row r="1172" ht="15" customHeight="1" s="155">
      <c r="A1172" s="134">
        <f>ric!B1172</f>
        <v/>
      </c>
      <c r="B1172" s="118">
        <f>ric!C1172</f>
        <v/>
      </c>
      <c r="C1172" s="125">
        <f>ric!D1172</f>
        <v/>
      </c>
      <c r="D1172" s="125" t="n"/>
      <c r="E1172" s="125" t="n"/>
      <c r="F1172" s="125" t="n"/>
      <c r="G1172" s="118">
        <f>CONCATENATE(A1172, " ",#REF!, " / ",H1172)</f>
        <v/>
      </c>
      <c r="H1172" s="118" t="n"/>
      <c r="I1172" s="119">
        <f>CONCATENATE(M1172," - ",J1172," - Lotto N° ",K1172,"")</f>
        <v/>
      </c>
      <c r="J1172" s="118" t="n"/>
      <c r="K1172" s="118">
        <f>VLOOKUP(#REF!,Produzione,7,FALSE)</f>
        <v/>
      </c>
      <c r="L1172" s="120" t="n"/>
      <c r="M1172" s="120" t="n"/>
      <c r="N1172" s="118" t="n"/>
      <c r="O1172" s="121" t="n"/>
      <c r="P1172" s="121" t="n"/>
      <c r="Q1172" s="166">
        <f>TODAY()</f>
        <v/>
      </c>
      <c r="R1172" s="165">
        <f>ElencoProdotti[[#This Row],[PRODUZIONE]]+20</f>
        <v/>
      </c>
      <c r="S1172" s="165">
        <f>TODAY()</f>
        <v/>
      </c>
      <c r="T1172" s="133">
        <f>CONCATENATE(A1172," - contiene allergni - prodotto il giorno ",TEXT(Q1172,"gg/mm/aaaa"),"")</f>
        <v/>
      </c>
    </row>
    <row r="1173" ht="15" customHeight="1" s="155">
      <c r="A1173" s="134">
        <f>ric!B1173</f>
        <v/>
      </c>
      <c r="B1173" s="118">
        <f>ric!C1173</f>
        <v/>
      </c>
      <c r="C1173" s="125">
        <f>ric!D1173</f>
        <v/>
      </c>
      <c r="D1173" s="125" t="n"/>
      <c r="E1173" s="125" t="n"/>
      <c r="F1173" s="125" t="n"/>
      <c r="G1173" s="118">
        <f>CONCATENATE(A1173, " ",#REF!, " / ",H1173)</f>
        <v/>
      </c>
      <c r="H1173" s="118" t="n"/>
      <c r="I1173" s="119">
        <f>CONCATENATE(M1173," - ",J1173," - Lotto N° ",K1173,"")</f>
        <v/>
      </c>
      <c r="J1173" s="118" t="n"/>
      <c r="K1173" s="118">
        <f>VLOOKUP(#REF!,Produzione,7,FALSE)</f>
        <v/>
      </c>
      <c r="L1173" s="120" t="n"/>
      <c r="M1173" s="120" t="n"/>
      <c r="N1173" s="118" t="n"/>
      <c r="O1173" s="121" t="n"/>
      <c r="P1173" s="121" t="n"/>
      <c r="Q1173" s="166">
        <f>TODAY()</f>
        <v/>
      </c>
      <c r="R1173" s="165">
        <f>ElencoProdotti[[#This Row],[PRODUZIONE]]+20</f>
        <v/>
      </c>
      <c r="S1173" s="165">
        <f>TODAY()</f>
        <v/>
      </c>
      <c r="T1173" s="133">
        <f>CONCATENATE(A1173," - contiene allergni - prodotto il giorno ",TEXT(Q1173,"gg/mm/aaaa"),"")</f>
        <v/>
      </c>
    </row>
    <row r="1174" ht="15" customHeight="1" s="155">
      <c r="A1174" s="134">
        <f>ric!B1174</f>
        <v/>
      </c>
      <c r="B1174" s="118">
        <f>ric!C1174</f>
        <v/>
      </c>
      <c r="C1174" s="125">
        <f>ric!D1174</f>
        <v/>
      </c>
      <c r="D1174" s="125" t="n"/>
      <c r="E1174" s="125" t="n"/>
      <c r="F1174" s="125" t="n"/>
      <c r="G1174" s="118">
        <f>CONCATENATE(A1174, " ",#REF!, " / ",H1174)</f>
        <v/>
      </c>
      <c r="H1174" s="118" t="n"/>
      <c r="I1174" s="119">
        <f>CONCATENATE(M1174," - ",J1174," - Lotto N° ",K1174,"")</f>
        <v/>
      </c>
      <c r="J1174" s="118" t="n"/>
      <c r="K1174" s="118">
        <f>VLOOKUP(#REF!,Produzione,7,FALSE)</f>
        <v/>
      </c>
      <c r="L1174" s="120" t="n"/>
      <c r="M1174" s="120" t="n"/>
      <c r="N1174" s="118" t="n"/>
      <c r="O1174" s="121" t="n"/>
      <c r="P1174" s="121" t="n"/>
      <c r="Q1174" s="166">
        <f>TODAY()</f>
        <v/>
      </c>
      <c r="R1174" s="165">
        <f>ElencoProdotti[[#This Row],[PRODUZIONE]]+20</f>
        <v/>
      </c>
      <c r="S1174" s="165">
        <f>TODAY()</f>
        <v/>
      </c>
      <c r="T1174" s="133">
        <f>CONCATENATE(A1174," - contiene allergni - prodotto il giorno ",TEXT(Q1174,"gg/mm/aaaa"),"")</f>
        <v/>
      </c>
    </row>
    <row r="1175" ht="15" customHeight="1" s="155">
      <c r="A1175" s="134">
        <f>ric!B1175</f>
        <v/>
      </c>
      <c r="B1175" s="118">
        <f>ric!C1175</f>
        <v/>
      </c>
      <c r="C1175" s="125">
        <f>ric!D1175</f>
        <v/>
      </c>
      <c r="D1175" s="125" t="n"/>
      <c r="E1175" s="125" t="n"/>
      <c r="F1175" s="125" t="n"/>
      <c r="G1175" s="118">
        <f>CONCATENATE(A1175, " ",#REF!, " / ",H1175)</f>
        <v/>
      </c>
      <c r="H1175" s="118" t="n"/>
      <c r="I1175" s="119">
        <f>CONCATENATE(M1175," - ",J1175," - Lotto N° ",K1175,"")</f>
        <v/>
      </c>
      <c r="J1175" s="118" t="n"/>
      <c r="K1175" s="118">
        <f>VLOOKUP(#REF!,Produzione,7,FALSE)</f>
        <v/>
      </c>
      <c r="L1175" s="120" t="n"/>
      <c r="M1175" s="120" t="n"/>
      <c r="N1175" s="118" t="n"/>
      <c r="O1175" s="121" t="n"/>
      <c r="P1175" s="121" t="n"/>
      <c r="Q1175" s="166">
        <f>TODAY()</f>
        <v/>
      </c>
      <c r="R1175" s="165">
        <f>ElencoProdotti[[#This Row],[PRODUZIONE]]+20</f>
        <v/>
      </c>
      <c r="S1175" s="165">
        <f>TODAY()</f>
        <v/>
      </c>
      <c r="T1175" s="133">
        <f>CONCATENATE(A1175," - contiene allergni - prodotto il giorno ",TEXT(Q1175,"gg/mm/aaaa"),"")</f>
        <v/>
      </c>
    </row>
    <row r="1176" ht="15" customHeight="1" s="155">
      <c r="A1176" s="134">
        <f>ric!B1176</f>
        <v/>
      </c>
      <c r="B1176" s="118">
        <f>ric!C1176</f>
        <v/>
      </c>
      <c r="C1176" s="125">
        <f>ric!D1176</f>
        <v/>
      </c>
      <c r="D1176" s="125" t="n"/>
      <c r="E1176" s="125" t="n"/>
      <c r="F1176" s="125" t="n"/>
      <c r="G1176" s="118">
        <f>CONCATENATE(A1176, " ",#REF!, " / ",H1176)</f>
        <v/>
      </c>
      <c r="H1176" s="118" t="n"/>
      <c r="I1176" s="119">
        <f>CONCATENATE(M1176," - ",J1176," - Lotto N° ",K1176,"")</f>
        <v/>
      </c>
      <c r="J1176" s="118" t="n"/>
      <c r="K1176" s="118">
        <f>VLOOKUP(#REF!,Produzione,7,FALSE)</f>
        <v/>
      </c>
      <c r="L1176" s="120" t="n"/>
      <c r="M1176" s="120" t="n"/>
      <c r="N1176" s="118" t="n"/>
      <c r="O1176" s="121" t="n"/>
      <c r="P1176" s="121" t="n"/>
      <c r="Q1176" s="166">
        <f>TODAY()</f>
        <v/>
      </c>
      <c r="R1176" s="165">
        <f>ElencoProdotti[[#This Row],[PRODUZIONE]]+20</f>
        <v/>
      </c>
      <c r="S1176" s="165">
        <f>TODAY()</f>
        <v/>
      </c>
      <c r="T1176" s="133">
        <f>CONCATENATE(A1176," - contiene allergni - prodotto il giorno ",TEXT(Q1176,"gg/mm/aaaa"),"")</f>
        <v/>
      </c>
    </row>
    <row r="1177" ht="15" customHeight="1" s="155">
      <c r="A1177" s="134">
        <f>ric!B1177</f>
        <v/>
      </c>
      <c r="B1177" s="118">
        <f>ric!C1177</f>
        <v/>
      </c>
      <c r="C1177" s="125">
        <f>ric!D1177</f>
        <v/>
      </c>
      <c r="D1177" s="125" t="n"/>
      <c r="E1177" s="125" t="n"/>
      <c r="F1177" s="125" t="n"/>
      <c r="G1177" s="118">
        <f>CONCATENATE(A1177, " ",#REF!, " / ",H1177)</f>
        <v/>
      </c>
      <c r="H1177" s="118" t="n"/>
      <c r="I1177" s="119">
        <f>CONCATENATE(M1177," - ",J1177," - Lotto N° ",K1177,"")</f>
        <v/>
      </c>
      <c r="J1177" s="118" t="n"/>
      <c r="K1177" s="118">
        <f>VLOOKUP(#REF!,Produzione,7,FALSE)</f>
        <v/>
      </c>
      <c r="L1177" s="120" t="n"/>
      <c r="M1177" s="120" t="n"/>
      <c r="N1177" s="118" t="n"/>
      <c r="O1177" s="121" t="n"/>
      <c r="P1177" s="121" t="n"/>
      <c r="Q1177" s="166">
        <f>TODAY()</f>
        <v/>
      </c>
      <c r="R1177" s="165">
        <f>ElencoProdotti[[#This Row],[PRODUZIONE]]+20</f>
        <v/>
      </c>
      <c r="S1177" s="165">
        <f>TODAY()</f>
        <v/>
      </c>
      <c r="T1177" s="133">
        <f>CONCATENATE(A1177," - contiene allergni - prodotto il giorno ",TEXT(Q1177,"gg/mm/aaaa"),"")</f>
        <v/>
      </c>
    </row>
    <row r="1178" ht="15" customHeight="1" s="155">
      <c r="A1178" s="134">
        <f>ric!B1178</f>
        <v/>
      </c>
      <c r="B1178" s="118">
        <f>ric!C1178</f>
        <v/>
      </c>
      <c r="C1178" s="125">
        <f>ric!D1178</f>
        <v/>
      </c>
      <c r="D1178" s="125" t="n"/>
      <c r="E1178" s="125" t="n"/>
      <c r="F1178" s="125" t="n"/>
      <c r="G1178" s="118">
        <f>CONCATENATE(A1178, " ",#REF!, " / ",H1178)</f>
        <v/>
      </c>
      <c r="H1178" s="118" t="n"/>
      <c r="I1178" s="119">
        <f>CONCATENATE(M1178," - ",J1178," - Lotto N° ",K1178,"")</f>
        <v/>
      </c>
      <c r="J1178" s="118" t="n"/>
      <c r="K1178" s="118">
        <f>VLOOKUP(#REF!,Produzione,7,FALSE)</f>
        <v/>
      </c>
      <c r="L1178" s="120" t="n"/>
      <c r="M1178" s="120" t="n"/>
      <c r="N1178" s="118" t="n"/>
      <c r="O1178" s="121" t="n"/>
      <c r="P1178" s="121" t="n"/>
      <c r="Q1178" s="166">
        <f>TODAY()</f>
        <v/>
      </c>
      <c r="R1178" s="165">
        <f>ElencoProdotti[[#This Row],[PRODUZIONE]]+20</f>
        <v/>
      </c>
      <c r="S1178" s="165">
        <f>TODAY()</f>
        <v/>
      </c>
      <c r="T1178" s="133">
        <f>CONCATENATE(A1178," - contiene allergni - prodotto il giorno ",TEXT(Q1178,"gg/mm/aaaa"),"")</f>
        <v/>
      </c>
    </row>
    <row r="1179" ht="15" customHeight="1" s="155">
      <c r="A1179" s="134">
        <f>ric!B1179</f>
        <v/>
      </c>
      <c r="B1179" s="118">
        <f>ric!C1179</f>
        <v/>
      </c>
      <c r="C1179" s="125">
        <f>ric!D1179</f>
        <v/>
      </c>
      <c r="D1179" s="125" t="n"/>
      <c r="E1179" s="125" t="n"/>
      <c r="F1179" s="125" t="n"/>
      <c r="G1179" s="118">
        <f>CONCATENATE(A1179, " ",#REF!, " / ",H1179)</f>
        <v/>
      </c>
      <c r="H1179" s="118" t="n"/>
      <c r="I1179" s="119">
        <f>CONCATENATE(M1179," - ",J1179," - Lotto N° ",K1179,"")</f>
        <v/>
      </c>
      <c r="J1179" s="118" t="n"/>
      <c r="K1179" s="118">
        <f>VLOOKUP(#REF!,Produzione,7,FALSE)</f>
        <v/>
      </c>
      <c r="L1179" s="120" t="n"/>
      <c r="M1179" s="120" t="n"/>
      <c r="N1179" s="118" t="n"/>
      <c r="O1179" s="121" t="n"/>
      <c r="P1179" s="121" t="n"/>
      <c r="Q1179" s="166">
        <f>TODAY()</f>
        <v/>
      </c>
      <c r="R1179" s="165">
        <f>ElencoProdotti[[#This Row],[PRODUZIONE]]+20</f>
        <v/>
      </c>
      <c r="S1179" s="165">
        <f>TODAY()</f>
        <v/>
      </c>
      <c r="T1179" s="133">
        <f>CONCATENATE(A1179," - contiene allergni - prodotto il giorno ",TEXT(Q1179,"gg/mm/aaaa"),"")</f>
        <v/>
      </c>
    </row>
    <row r="1180" ht="15" customHeight="1" s="155">
      <c r="A1180" s="134">
        <f>ric!B1180</f>
        <v/>
      </c>
      <c r="B1180" s="118">
        <f>ric!C1180</f>
        <v/>
      </c>
      <c r="C1180" s="125">
        <f>ric!D1180</f>
        <v/>
      </c>
      <c r="D1180" s="125" t="n"/>
      <c r="E1180" s="125" t="n"/>
      <c r="F1180" s="125" t="n"/>
      <c r="G1180" s="118">
        <f>CONCATENATE(A1180, " ",#REF!, " / ",H1180)</f>
        <v/>
      </c>
      <c r="H1180" s="118" t="n"/>
      <c r="I1180" s="119">
        <f>CONCATENATE(M1180," - ",J1180," - Lotto N° ",K1180,"")</f>
        <v/>
      </c>
      <c r="J1180" s="118" t="n"/>
      <c r="K1180" s="118">
        <f>VLOOKUP(#REF!,Produzione,7,FALSE)</f>
        <v/>
      </c>
      <c r="L1180" s="120" t="n"/>
      <c r="M1180" s="120" t="n"/>
      <c r="N1180" s="118" t="n"/>
      <c r="O1180" s="121" t="n"/>
      <c r="P1180" s="121" t="n"/>
      <c r="Q1180" s="166">
        <f>TODAY()</f>
        <v/>
      </c>
      <c r="R1180" s="165">
        <f>ElencoProdotti[[#This Row],[PRODUZIONE]]+20</f>
        <v/>
      </c>
      <c r="S1180" s="165">
        <f>TODAY()</f>
        <v/>
      </c>
      <c r="T1180" s="133">
        <f>CONCATENATE(A1180," - contiene allergni - prodotto il giorno ",TEXT(Q1180,"gg/mm/aaaa"),"")</f>
        <v/>
      </c>
    </row>
    <row r="1181" ht="15" customHeight="1" s="155">
      <c r="A1181" s="134">
        <f>ric!B1181</f>
        <v/>
      </c>
      <c r="B1181" s="118">
        <f>ric!C1181</f>
        <v/>
      </c>
      <c r="C1181" s="125">
        <f>ric!D1181</f>
        <v/>
      </c>
      <c r="D1181" s="125" t="n"/>
      <c r="E1181" s="125" t="n"/>
      <c r="F1181" s="125" t="n"/>
      <c r="G1181" s="118">
        <f>CONCATENATE(A1181, " ",#REF!, " / ",H1181)</f>
        <v/>
      </c>
      <c r="H1181" s="118" t="n"/>
      <c r="I1181" s="119">
        <f>CONCATENATE(M1181," - ",J1181," - Lotto N° ",K1181,"")</f>
        <v/>
      </c>
      <c r="J1181" s="118" t="n"/>
      <c r="K1181" s="118">
        <f>VLOOKUP(#REF!,Produzione,7,FALSE)</f>
        <v/>
      </c>
      <c r="L1181" s="120" t="n"/>
      <c r="M1181" s="120" t="n"/>
      <c r="N1181" s="118" t="n"/>
      <c r="O1181" s="121" t="n"/>
      <c r="P1181" s="121" t="n"/>
      <c r="Q1181" s="166">
        <f>TODAY()</f>
        <v/>
      </c>
      <c r="R1181" s="165">
        <f>ElencoProdotti[[#This Row],[PRODUZIONE]]+20</f>
        <v/>
      </c>
      <c r="S1181" s="165">
        <f>TODAY()</f>
        <v/>
      </c>
      <c r="T1181" s="133">
        <f>CONCATENATE(A1181," - contiene allergni - prodotto il giorno ",TEXT(Q1181,"gg/mm/aaaa"),"")</f>
        <v/>
      </c>
    </row>
    <row r="1182" ht="15" customHeight="1" s="155">
      <c r="A1182" s="134">
        <f>ric!B1182</f>
        <v/>
      </c>
      <c r="B1182" s="118">
        <f>ric!C1182</f>
        <v/>
      </c>
      <c r="C1182" s="125">
        <f>ric!D1182</f>
        <v/>
      </c>
      <c r="D1182" s="125" t="n"/>
      <c r="E1182" s="125" t="n"/>
      <c r="F1182" s="125" t="n"/>
      <c r="G1182" s="118">
        <f>CONCATENATE(A1182, " ",#REF!, " / ",H1182)</f>
        <v/>
      </c>
      <c r="H1182" s="118" t="n"/>
      <c r="I1182" s="119">
        <f>CONCATENATE(M1182," - ",J1182," - Lotto N° ",K1182,"")</f>
        <v/>
      </c>
      <c r="J1182" s="118" t="n"/>
      <c r="K1182" s="118">
        <f>VLOOKUP(#REF!,Produzione,7,FALSE)</f>
        <v/>
      </c>
      <c r="L1182" s="120" t="n"/>
      <c r="M1182" s="120" t="n"/>
      <c r="N1182" s="118" t="n"/>
      <c r="O1182" s="121" t="n"/>
      <c r="P1182" s="121" t="n"/>
      <c r="Q1182" s="166">
        <f>TODAY()</f>
        <v/>
      </c>
      <c r="R1182" s="165">
        <f>ElencoProdotti[[#This Row],[PRODUZIONE]]+20</f>
        <v/>
      </c>
      <c r="S1182" s="165">
        <f>TODAY()</f>
        <v/>
      </c>
      <c r="T1182" s="133">
        <f>CONCATENATE(A1182," - contiene allergni - prodotto il giorno ",TEXT(Q1182,"gg/mm/aaaa"),"")</f>
        <v/>
      </c>
    </row>
    <row r="1183" ht="15" customHeight="1" s="155">
      <c r="A1183" s="134">
        <f>ric!B1183</f>
        <v/>
      </c>
      <c r="B1183" s="118">
        <f>ric!C1183</f>
        <v/>
      </c>
      <c r="C1183" s="125">
        <f>ric!D1183</f>
        <v/>
      </c>
      <c r="D1183" s="125" t="n"/>
      <c r="E1183" s="125" t="n"/>
      <c r="F1183" s="125" t="n"/>
      <c r="G1183" s="118">
        <f>CONCATENATE(A1183, " ",#REF!, " / ",H1183)</f>
        <v/>
      </c>
      <c r="H1183" s="118" t="n"/>
      <c r="I1183" s="119">
        <f>CONCATENATE(M1183," - ",J1183," - Lotto N° ",K1183,"")</f>
        <v/>
      </c>
      <c r="J1183" s="118" t="n"/>
      <c r="K1183" s="118">
        <f>VLOOKUP(#REF!,Produzione,7,FALSE)</f>
        <v/>
      </c>
      <c r="L1183" s="120" t="n"/>
      <c r="M1183" s="120" t="n"/>
      <c r="N1183" s="118" t="n"/>
      <c r="O1183" s="121" t="n"/>
      <c r="P1183" s="121" t="n"/>
      <c r="Q1183" s="166">
        <f>TODAY()</f>
        <v/>
      </c>
      <c r="R1183" s="165">
        <f>ElencoProdotti[[#This Row],[PRODUZIONE]]+20</f>
        <v/>
      </c>
      <c r="S1183" s="165">
        <f>TODAY()</f>
        <v/>
      </c>
      <c r="T1183" s="133">
        <f>CONCATENATE(A1183," - contiene allergni - prodotto il giorno ",TEXT(Q1183,"gg/mm/aaaa"),"")</f>
        <v/>
      </c>
    </row>
    <row r="1184" ht="15" customHeight="1" s="155">
      <c r="A1184" s="134">
        <f>ric!B1184</f>
        <v/>
      </c>
      <c r="B1184" s="118">
        <f>ric!C1184</f>
        <v/>
      </c>
      <c r="C1184" s="125">
        <f>ric!D1184</f>
        <v/>
      </c>
      <c r="D1184" s="125" t="n"/>
      <c r="E1184" s="125" t="n"/>
      <c r="F1184" s="125" t="n"/>
      <c r="G1184" s="118">
        <f>CONCATENATE(A1184, " ",#REF!, " / ",H1184)</f>
        <v/>
      </c>
      <c r="H1184" s="118" t="n"/>
      <c r="I1184" s="119">
        <f>CONCATENATE(M1184," - ",J1184," - Lotto N° ",K1184,"")</f>
        <v/>
      </c>
      <c r="J1184" s="118" t="n"/>
      <c r="K1184" s="118">
        <f>VLOOKUP(#REF!,Produzione,7,FALSE)</f>
        <v/>
      </c>
      <c r="L1184" s="120" t="n"/>
      <c r="M1184" s="120" t="n"/>
      <c r="N1184" s="118" t="n"/>
      <c r="O1184" s="121" t="n"/>
      <c r="P1184" s="121" t="n"/>
      <c r="Q1184" s="166">
        <f>TODAY()</f>
        <v/>
      </c>
      <c r="R1184" s="165">
        <f>ElencoProdotti[[#This Row],[PRODUZIONE]]+20</f>
        <v/>
      </c>
      <c r="S1184" s="165">
        <f>TODAY()</f>
        <v/>
      </c>
      <c r="T1184" s="133">
        <f>CONCATENATE(A1184," - contiene allergni - prodotto il giorno ",TEXT(Q1184,"gg/mm/aaaa"),"")</f>
        <v/>
      </c>
    </row>
    <row r="1185" ht="15" customHeight="1" s="155">
      <c r="A1185" s="134">
        <f>ric!B1185</f>
        <v/>
      </c>
      <c r="B1185" s="118">
        <f>ric!C1185</f>
        <v/>
      </c>
      <c r="C1185" s="125">
        <f>ric!D1185</f>
        <v/>
      </c>
      <c r="D1185" s="125" t="n"/>
      <c r="E1185" s="125" t="n"/>
      <c r="F1185" s="125" t="n"/>
      <c r="G1185" s="118">
        <f>CONCATENATE(A1185, " ",#REF!, " / ",H1185)</f>
        <v/>
      </c>
      <c r="H1185" s="118" t="n"/>
      <c r="I1185" s="119">
        <f>CONCATENATE(M1185," - ",J1185," - Lotto N° ",K1185,"")</f>
        <v/>
      </c>
      <c r="J1185" s="118" t="n"/>
      <c r="K1185" s="118">
        <f>VLOOKUP(#REF!,Produzione,7,FALSE)</f>
        <v/>
      </c>
      <c r="L1185" s="120" t="n"/>
      <c r="M1185" s="120" t="n"/>
      <c r="N1185" s="118" t="n"/>
      <c r="O1185" s="121" t="n"/>
      <c r="P1185" s="121" t="n"/>
      <c r="Q1185" s="166">
        <f>TODAY()</f>
        <v/>
      </c>
      <c r="R1185" s="165">
        <f>ElencoProdotti[[#This Row],[PRODUZIONE]]+20</f>
        <v/>
      </c>
      <c r="S1185" s="165">
        <f>TODAY()</f>
        <v/>
      </c>
      <c r="T1185" s="133">
        <f>CONCATENATE(A1185," - contiene allergni - prodotto il giorno ",TEXT(Q1185,"gg/mm/aaaa"),"")</f>
        <v/>
      </c>
    </row>
    <row r="1186" ht="15" customHeight="1" s="155">
      <c r="A1186" s="134">
        <f>ric!B1186</f>
        <v/>
      </c>
      <c r="B1186" s="118">
        <f>ric!C1186</f>
        <v/>
      </c>
      <c r="C1186" s="125">
        <f>ric!D1186</f>
        <v/>
      </c>
      <c r="D1186" s="125" t="n"/>
      <c r="E1186" s="125" t="n"/>
      <c r="F1186" s="125" t="n"/>
      <c r="G1186" s="118">
        <f>CONCATENATE(A1186, " ",#REF!, " / ",H1186)</f>
        <v/>
      </c>
      <c r="H1186" s="118" t="n"/>
      <c r="I1186" s="119">
        <f>CONCATENATE(M1186," - ",J1186," - Lotto N° ",K1186,"")</f>
        <v/>
      </c>
      <c r="J1186" s="118" t="n"/>
      <c r="K1186" s="118">
        <f>VLOOKUP(#REF!,Produzione,7,FALSE)</f>
        <v/>
      </c>
      <c r="L1186" s="120" t="n"/>
      <c r="M1186" s="120" t="n"/>
      <c r="N1186" s="118" t="n"/>
      <c r="O1186" s="121" t="n"/>
      <c r="P1186" s="121" t="n"/>
      <c r="Q1186" s="166">
        <f>TODAY()</f>
        <v/>
      </c>
      <c r="R1186" s="165">
        <f>ElencoProdotti[[#This Row],[PRODUZIONE]]+20</f>
        <v/>
      </c>
      <c r="S1186" s="165">
        <f>TODAY()</f>
        <v/>
      </c>
      <c r="T1186" s="133">
        <f>CONCATENATE(A1186," - contiene allergni - prodotto il giorno ",TEXT(Q1186,"gg/mm/aaaa"),"")</f>
        <v/>
      </c>
    </row>
    <row r="1187" ht="15" customHeight="1" s="155">
      <c r="A1187" s="134">
        <f>ric!B1187</f>
        <v/>
      </c>
      <c r="B1187" s="118">
        <f>ric!C1187</f>
        <v/>
      </c>
      <c r="C1187" s="125">
        <f>ric!D1187</f>
        <v/>
      </c>
      <c r="D1187" s="125" t="n"/>
      <c r="E1187" s="125" t="n"/>
      <c r="F1187" s="125" t="n"/>
      <c r="G1187" s="118">
        <f>CONCATENATE(A1187, " ",#REF!, " / ",H1187)</f>
        <v/>
      </c>
      <c r="H1187" s="118" t="n"/>
      <c r="I1187" s="119">
        <f>CONCATENATE(M1187," - ",J1187," - Lotto N° ",K1187,"")</f>
        <v/>
      </c>
      <c r="J1187" s="118" t="n"/>
      <c r="K1187" s="118">
        <f>VLOOKUP(#REF!,Produzione,7,FALSE)</f>
        <v/>
      </c>
      <c r="L1187" s="120" t="n"/>
      <c r="M1187" s="120" t="n"/>
      <c r="N1187" s="118" t="n"/>
      <c r="O1187" s="121" t="n"/>
      <c r="P1187" s="121" t="n"/>
      <c r="Q1187" s="166">
        <f>TODAY()</f>
        <v/>
      </c>
      <c r="R1187" s="165">
        <f>ElencoProdotti[[#This Row],[PRODUZIONE]]+20</f>
        <v/>
      </c>
      <c r="S1187" s="165">
        <f>TODAY()</f>
        <v/>
      </c>
      <c r="T1187" s="133">
        <f>CONCATENATE(A1187," - contiene allergni - prodotto il giorno ",TEXT(Q1187,"gg/mm/aaaa"),"")</f>
        <v/>
      </c>
    </row>
    <row r="1188" ht="15" customHeight="1" s="155">
      <c r="A1188" s="134">
        <f>ric!B1188</f>
        <v/>
      </c>
      <c r="B1188" s="118">
        <f>ric!C1188</f>
        <v/>
      </c>
      <c r="C1188" s="125">
        <f>ric!D1188</f>
        <v/>
      </c>
      <c r="D1188" s="125" t="n"/>
      <c r="E1188" s="125" t="n"/>
      <c r="F1188" s="125" t="n"/>
      <c r="G1188" s="118">
        <f>CONCATENATE(A1188, " ",#REF!, " / ",H1188)</f>
        <v/>
      </c>
      <c r="H1188" s="118" t="n"/>
      <c r="I1188" s="119">
        <f>CONCATENATE(M1188," - ",J1188," - Lotto N° ",K1188,"")</f>
        <v/>
      </c>
      <c r="J1188" s="118" t="n"/>
      <c r="K1188" s="118">
        <f>VLOOKUP(#REF!,Produzione,7,FALSE)</f>
        <v/>
      </c>
      <c r="L1188" s="120" t="n"/>
      <c r="M1188" s="120" t="n"/>
      <c r="N1188" s="118" t="n"/>
      <c r="O1188" s="121" t="n"/>
      <c r="P1188" s="121" t="n"/>
      <c r="Q1188" s="166">
        <f>TODAY()</f>
        <v/>
      </c>
      <c r="R1188" s="165">
        <f>ElencoProdotti[[#This Row],[PRODUZIONE]]+20</f>
        <v/>
      </c>
      <c r="S1188" s="165">
        <f>TODAY()</f>
        <v/>
      </c>
      <c r="T1188" s="133">
        <f>CONCATENATE(A1188," - contiene allergni - prodotto il giorno ",TEXT(Q1188,"gg/mm/aaaa"),"")</f>
        <v/>
      </c>
    </row>
    <row r="1189" ht="15" customHeight="1" s="155">
      <c r="A1189" s="134">
        <f>ric!B1189</f>
        <v/>
      </c>
      <c r="B1189" s="118">
        <f>ric!C1189</f>
        <v/>
      </c>
      <c r="C1189" s="125">
        <f>ric!D1189</f>
        <v/>
      </c>
      <c r="D1189" s="125" t="n"/>
      <c r="E1189" s="125" t="n"/>
      <c r="F1189" s="125" t="n"/>
      <c r="G1189" s="118">
        <f>CONCATENATE(A1189, " ",#REF!, " / ",H1189)</f>
        <v/>
      </c>
      <c r="H1189" s="118" t="n"/>
      <c r="I1189" s="119">
        <f>CONCATENATE(M1189," - ",J1189," - Lotto N° ",K1189,"")</f>
        <v/>
      </c>
      <c r="J1189" s="118" t="n"/>
      <c r="K1189" s="118">
        <f>VLOOKUP(#REF!,Produzione,7,FALSE)</f>
        <v/>
      </c>
      <c r="L1189" s="120" t="n"/>
      <c r="M1189" s="120" t="n"/>
      <c r="N1189" s="118" t="n"/>
      <c r="O1189" s="121" t="n"/>
      <c r="P1189" s="121" t="n"/>
      <c r="Q1189" s="166">
        <f>TODAY()</f>
        <v/>
      </c>
      <c r="R1189" s="165">
        <f>ElencoProdotti[[#This Row],[PRODUZIONE]]+20</f>
        <v/>
      </c>
      <c r="S1189" s="165">
        <f>TODAY()</f>
        <v/>
      </c>
      <c r="T1189" s="133">
        <f>CONCATENATE(A1189," - contiene allergni - prodotto il giorno ",TEXT(Q1189,"gg/mm/aaaa"),"")</f>
        <v/>
      </c>
    </row>
    <row r="1190" ht="15" customHeight="1" s="155">
      <c r="A1190" s="134">
        <f>ric!B1190</f>
        <v/>
      </c>
      <c r="B1190" s="118">
        <f>ric!C1190</f>
        <v/>
      </c>
      <c r="C1190" s="125">
        <f>ric!D1190</f>
        <v/>
      </c>
      <c r="D1190" s="125" t="n"/>
      <c r="E1190" s="125" t="n"/>
      <c r="F1190" s="125" t="n"/>
      <c r="G1190" s="118">
        <f>CONCATENATE(A1190, " ",#REF!, " / ",H1190)</f>
        <v/>
      </c>
      <c r="H1190" s="118" t="n"/>
      <c r="I1190" s="119">
        <f>CONCATENATE(M1190," - ",J1190," - Lotto N° ",K1190,"")</f>
        <v/>
      </c>
      <c r="J1190" s="118" t="n"/>
      <c r="K1190" s="118">
        <f>VLOOKUP(#REF!,Produzione,7,FALSE)</f>
        <v/>
      </c>
      <c r="L1190" s="120" t="n"/>
      <c r="M1190" s="120" t="n"/>
      <c r="N1190" s="118" t="n"/>
      <c r="O1190" s="121" t="n"/>
      <c r="P1190" s="121" t="n"/>
      <c r="Q1190" s="166">
        <f>TODAY()</f>
        <v/>
      </c>
      <c r="R1190" s="165">
        <f>ElencoProdotti[[#This Row],[PRODUZIONE]]+20</f>
        <v/>
      </c>
      <c r="S1190" s="165">
        <f>TODAY()</f>
        <v/>
      </c>
      <c r="T1190" s="133">
        <f>CONCATENATE(A1190," - contiene allergni - prodotto il giorno ",TEXT(Q1190,"gg/mm/aaaa"),"")</f>
        <v/>
      </c>
    </row>
    <row r="1191" ht="15" customHeight="1" s="155">
      <c r="A1191" s="134">
        <f>ric!B1191</f>
        <v/>
      </c>
      <c r="B1191" s="118">
        <f>ric!C1191</f>
        <v/>
      </c>
      <c r="C1191" s="125">
        <f>ric!D1191</f>
        <v/>
      </c>
      <c r="D1191" s="125" t="n"/>
      <c r="E1191" s="125" t="n"/>
      <c r="F1191" s="125" t="n"/>
      <c r="G1191" s="118">
        <f>CONCATENATE(A1191, " ",#REF!, " / ",H1191)</f>
        <v/>
      </c>
      <c r="H1191" s="118" t="n"/>
      <c r="I1191" s="119">
        <f>CONCATENATE(M1191," - ",J1191," - Lotto N° ",K1191,"")</f>
        <v/>
      </c>
      <c r="J1191" s="118" t="n"/>
      <c r="K1191" s="118">
        <f>VLOOKUP(#REF!,Produzione,7,FALSE)</f>
        <v/>
      </c>
      <c r="L1191" s="120" t="n"/>
      <c r="M1191" s="120" t="n"/>
      <c r="N1191" s="118" t="n"/>
      <c r="O1191" s="121" t="n"/>
      <c r="P1191" s="121" t="n"/>
      <c r="Q1191" s="166">
        <f>TODAY()</f>
        <v/>
      </c>
      <c r="R1191" s="165">
        <f>ElencoProdotti[[#This Row],[PRODUZIONE]]+20</f>
        <v/>
      </c>
      <c r="S1191" s="165">
        <f>TODAY()</f>
        <v/>
      </c>
      <c r="T1191" s="133">
        <f>CONCATENATE(A1191," - contiene allergni - prodotto il giorno ",TEXT(Q1191,"gg/mm/aaaa"),"")</f>
        <v/>
      </c>
    </row>
    <row r="1192" ht="15" customHeight="1" s="155">
      <c r="A1192" s="134">
        <f>ric!B1192</f>
        <v/>
      </c>
      <c r="B1192" s="118">
        <f>ric!C1192</f>
        <v/>
      </c>
      <c r="C1192" s="125">
        <f>ric!D1192</f>
        <v/>
      </c>
      <c r="D1192" s="125" t="n"/>
      <c r="E1192" s="125" t="n"/>
      <c r="F1192" s="125" t="n"/>
      <c r="G1192" s="118">
        <f>CONCATENATE(A1192, " ",#REF!, " / ",H1192)</f>
        <v/>
      </c>
      <c r="H1192" s="118" t="n"/>
      <c r="I1192" s="119">
        <f>CONCATENATE(M1192," - ",J1192," - Lotto N° ",K1192,"")</f>
        <v/>
      </c>
      <c r="J1192" s="118" t="n"/>
      <c r="K1192" s="118">
        <f>VLOOKUP(#REF!,Produzione,7,FALSE)</f>
        <v/>
      </c>
      <c r="L1192" s="120" t="n"/>
      <c r="M1192" s="120" t="n"/>
      <c r="N1192" s="118" t="n"/>
      <c r="O1192" s="121" t="n"/>
      <c r="P1192" s="121" t="n"/>
      <c r="Q1192" s="166">
        <f>TODAY()</f>
        <v/>
      </c>
      <c r="R1192" s="165">
        <f>ElencoProdotti[[#This Row],[PRODUZIONE]]+20</f>
        <v/>
      </c>
      <c r="S1192" s="165">
        <f>TODAY()</f>
        <v/>
      </c>
      <c r="T1192" s="133">
        <f>CONCATENATE(A1192," - contiene allergni - prodotto il giorno ",TEXT(Q1192,"gg/mm/aaaa"),"")</f>
        <v/>
      </c>
    </row>
    <row r="1193" ht="15" customHeight="1" s="155">
      <c r="A1193" s="134">
        <f>ric!B1193</f>
        <v/>
      </c>
      <c r="B1193" s="118">
        <f>ric!C1193</f>
        <v/>
      </c>
      <c r="C1193" s="125">
        <f>ric!D1193</f>
        <v/>
      </c>
      <c r="D1193" s="125" t="n"/>
      <c r="E1193" s="125" t="n"/>
      <c r="F1193" s="125" t="n"/>
      <c r="G1193" s="118">
        <f>CONCATENATE(A1193, " ",#REF!, " / ",H1193)</f>
        <v/>
      </c>
      <c r="H1193" s="118" t="n"/>
      <c r="I1193" s="119">
        <f>CONCATENATE(M1193," - ",J1193," - Lotto N° ",K1193,"")</f>
        <v/>
      </c>
      <c r="J1193" s="118" t="n"/>
      <c r="K1193" s="118">
        <f>VLOOKUP(#REF!,Produzione,7,FALSE)</f>
        <v/>
      </c>
      <c r="L1193" s="120" t="n"/>
      <c r="M1193" s="120" t="n"/>
      <c r="N1193" s="118" t="n"/>
      <c r="O1193" s="121" t="n"/>
      <c r="P1193" s="121" t="n"/>
      <c r="Q1193" s="166">
        <f>TODAY()</f>
        <v/>
      </c>
      <c r="R1193" s="165">
        <f>ElencoProdotti[[#This Row],[PRODUZIONE]]+20</f>
        <v/>
      </c>
      <c r="S1193" s="165">
        <f>TODAY()</f>
        <v/>
      </c>
      <c r="T1193" s="133">
        <f>CONCATENATE(A1193," - contiene allergni - prodotto il giorno ",TEXT(Q1193,"gg/mm/aaaa"),"")</f>
        <v/>
      </c>
    </row>
    <row r="1194" ht="15" customHeight="1" s="155">
      <c r="A1194" s="134">
        <f>ric!B1194</f>
        <v/>
      </c>
      <c r="B1194" s="118">
        <f>ric!C1194</f>
        <v/>
      </c>
      <c r="C1194" s="125">
        <f>ric!D1194</f>
        <v/>
      </c>
      <c r="D1194" s="125" t="n"/>
      <c r="E1194" s="125" t="n"/>
      <c r="F1194" s="125" t="n"/>
      <c r="G1194" s="118">
        <f>CONCATENATE(A1194, " ",#REF!, " / ",H1194)</f>
        <v/>
      </c>
      <c r="H1194" s="118" t="n"/>
      <c r="I1194" s="119">
        <f>CONCATENATE(M1194," - ",J1194," - Lotto N° ",K1194,"")</f>
        <v/>
      </c>
      <c r="J1194" s="118" t="n"/>
      <c r="K1194" s="118">
        <f>VLOOKUP(#REF!,Produzione,7,FALSE)</f>
        <v/>
      </c>
      <c r="L1194" s="120" t="n"/>
      <c r="M1194" s="120" t="n"/>
      <c r="N1194" s="118" t="n"/>
      <c r="O1194" s="121" t="n"/>
      <c r="P1194" s="121" t="n"/>
      <c r="Q1194" s="166">
        <f>TODAY()</f>
        <v/>
      </c>
      <c r="R1194" s="165">
        <f>ElencoProdotti[[#This Row],[PRODUZIONE]]+20</f>
        <v/>
      </c>
      <c r="S1194" s="165">
        <f>TODAY()</f>
        <v/>
      </c>
      <c r="T1194" s="133">
        <f>CONCATENATE(A1194," - contiene allergni - prodotto il giorno ",TEXT(Q1194,"gg/mm/aaaa"),"")</f>
        <v/>
      </c>
    </row>
    <row r="1195" ht="15" customHeight="1" s="155">
      <c r="A1195" s="134">
        <f>ric!B1195</f>
        <v/>
      </c>
      <c r="B1195" s="118">
        <f>ric!C1195</f>
        <v/>
      </c>
      <c r="C1195" s="125">
        <f>ric!D1195</f>
        <v/>
      </c>
      <c r="D1195" s="125" t="n"/>
      <c r="E1195" s="125" t="n"/>
      <c r="F1195" s="125" t="n"/>
      <c r="G1195" s="118">
        <f>CONCATENATE(A1195, " ",#REF!, " / ",H1195)</f>
        <v/>
      </c>
      <c r="H1195" s="118" t="n"/>
      <c r="I1195" s="119">
        <f>CONCATENATE(M1195," - ",J1195," - Lotto N° ",K1195,"")</f>
        <v/>
      </c>
      <c r="J1195" s="118" t="n"/>
      <c r="K1195" s="118">
        <f>VLOOKUP(#REF!,Produzione,7,FALSE)</f>
        <v/>
      </c>
      <c r="L1195" s="120" t="n"/>
      <c r="M1195" s="120" t="n"/>
      <c r="N1195" s="118" t="n"/>
      <c r="O1195" s="121" t="n"/>
      <c r="P1195" s="121" t="n"/>
      <c r="Q1195" s="166">
        <f>TODAY()</f>
        <v/>
      </c>
      <c r="R1195" s="165">
        <f>ElencoProdotti[[#This Row],[PRODUZIONE]]+20</f>
        <v/>
      </c>
      <c r="S1195" s="165">
        <f>TODAY()</f>
        <v/>
      </c>
      <c r="T1195" s="133">
        <f>CONCATENATE(A1195," - contiene allergni - prodotto il giorno ",TEXT(Q1195,"gg/mm/aaaa"),"")</f>
        <v/>
      </c>
    </row>
    <row r="1196" ht="15" customHeight="1" s="155">
      <c r="A1196" s="134">
        <f>ric!B1196</f>
        <v/>
      </c>
      <c r="B1196" s="118">
        <f>ric!C1196</f>
        <v/>
      </c>
      <c r="C1196" s="125">
        <f>ric!D1196</f>
        <v/>
      </c>
      <c r="D1196" s="125" t="n"/>
      <c r="E1196" s="125" t="n"/>
      <c r="F1196" s="125" t="n"/>
      <c r="G1196" s="118">
        <f>CONCATENATE(A1196, " ",#REF!, " / ",H1196)</f>
        <v/>
      </c>
      <c r="H1196" s="118" t="n"/>
      <c r="I1196" s="119">
        <f>CONCATENATE(M1196," - ",J1196," - Lotto N° ",K1196,"")</f>
        <v/>
      </c>
      <c r="J1196" s="118" t="n"/>
      <c r="K1196" s="118">
        <f>VLOOKUP(#REF!,Produzione,7,FALSE)</f>
        <v/>
      </c>
      <c r="L1196" s="120" t="n"/>
      <c r="M1196" s="120" t="n"/>
      <c r="N1196" s="118" t="n"/>
      <c r="O1196" s="121" t="n"/>
      <c r="P1196" s="121" t="n"/>
      <c r="Q1196" s="166">
        <f>TODAY()</f>
        <v/>
      </c>
      <c r="R1196" s="165">
        <f>ElencoProdotti[[#This Row],[PRODUZIONE]]+20</f>
        <v/>
      </c>
      <c r="S1196" s="165">
        <f>TODAY()</f>
        <v/>
      </c>
      <c r="T1196" s="133">
        <f>CONCATENATE(A1196," - contiene allergni - prodotto il giorno ",TEXT(Q1196,"gg/mm/aaaa"),"")</f>
        <v/>
      </c>
    </row>
    <row r="1197" ht="15" customHeight="1" s="155">
      <c r="A1197" s="134">
        <f>ric!B1197</f>
        <v/>
      </c>
      <c r="B1197" s="118">
        <f>ric!C1197</f>
        <v/>
      </c>
      <c r="C1197" s="125">
        <f>ric!D1197</f>
        <v/>
      </c>
      <c r="D1197" s="125" t="n"/>
      <c r="E1197" s="125" t="n"/>
      <c r="F1197" s="125" t="n"/>
      <c r="G1197" s="118">
        <f>CONCATENATE(A1197, " ",#REF!, " / ",H1197)</f>
        <v/>
      </c>
      <c r="H1197" s="118" t="n"/>
      <c r="I1197" s="119">
        <f>CONCATENATE(M1197," - ",J1197," - Lotto N° ",K1197,"")</f>
        <v/>
      </c>
      <c r="J1197" s="118" t="n"/>
      <c r="K1197" s="118">
        <f>VLOOKUP(#REF!,Produzione,7,FALSE)</f>
        <v/>
      </c>
      <c r="L1197" s="120" t="n"/>
      <c r="M1197" s="120" t="n"/>
      <c r="N1197" s="118" t="n"/>
      <c r="O1197" s="121" t="n"/>
      <c r="P1197" s="121" t="n"/>
      <c r="Q1197" s="166">
        <f>TODAY()</f>
        <v/>
      </c>
      <c r="R1197" s="165">
        <f>ElencoProdotti[[#This Row],[PRODUZIONE]]+20</f>
        <v/>
      </c>
      <c r="S1197" s="165">
        <f>TODAY()</f>
        <v/>
      </c>
      <c r="T1197" s="133">
        <f>CONCATENATE(A1197," - contiene allergni - prodotto il giorno ",TEXT(Q1197,"gg/mm/aaaa"),"")</f>
        <v/>
      </c>
    </row>
    <row r="1198" ht="15" customHeight="1" s="155">
      <c r="A1198" s="134">
        <f>ric!B1198</f>
        <v/>
      </c>
      <c r="B1198" s="118">
        <f>ric!C1198</f>
        <v/>
      </c>
      <c r="C1198" s="125">
        <f>ric!D1198</f>
        <v/>
      </c>
      <c r="D1198" s="125" t="n"/>
      <c r="E1198" s="125" t="n"/>
      <c r="F1198" s="125" t="n"/>
      <c r="G1198" s="118">
        <f>CONCATENATE(A1198, " ",#REF!, " / ",H1198)</f>
        <v/>
      </c>
      <c r="H1198" s="118" t="n"/>
      <c r="I1198" s="119">
        <f>CONCATENATE(M1198," - ",J1198," - Lotto N° ",K1198,"")</f>
        <v/>
      </c>
      <c r="J1198" s="118" t="n"/>
      <c r="K1198" s="118">
        <f>VLOOKUP(#REF!,Produzione,7,FALSE)</f>
        <v/>
      </c>
      <c r="L1198" s="120" t="n"/>
      <c r="M1198" s="120" t="n"/>
      <c r="N1198" s="118" t="n"/>
      <c r="O1198" s="121" t="n"/>
      <c r="P1198" s="121" t="n"/>
      <c r="Q1198" s="166">
        <f>TODAY()</f>
        <v/>
      </c>
      <c r="R1198" s="165">
        <f>ElencoProdotti[[#This Row],[PRODUZIONE]]+20</f>
        <v/>
      </c>
      <c r="S1198" s="165">
        <f>TODAY()</f>
        <v/>
      </c>
      <c r="T1198" s="133">
        <f>CONCATENATE(A1198," - contiene allergni - prodotto il giorno ",TEXT(Q1198,"gg/mm/aaaa"),"")</f>
        <v/>
      </c>
    </row>
    <row r="1199" ht="15" customHeight="1" s="155">
      <c r="A1199" s="134">
        <f>ric!B1199</f>
        <v/>
      </c>
      <c r="B1199" s="118">
        <f>ric!C1199</f>
        <v/>
      </c>
      <c r="C1199" s="125">
        <f>ric!D1199</f>
        <v/>
      </c>
      <c r="D1199" s="125" t="n"/>
      <c r="E1199" s="125" t="n"/>
      <c r="F1199" s="125" t="n"/>
      <c r="G1199" s="118">
        <f>CONCATENATE(A1199, " ",#REF!, " / ",H1199)</f>
        <v/>
      </c>
      <c r="H1199" s="118" t="n"/>
      <c r="I1199" s="119">
        <f>CONCATENATE(M1199," - ",J1199," - Lotto N° ",K1199,"")</f>
        <v/>
      </c>
      <c r="J1199" s="118" t="n"/>
      <c r="K1199" s="118">
        <f>VLOOKUP(#REF!,Produzione,7,FALSE)</f>
        <v/>
      </c>
      <c r="L1199" s="120" t="n"/>
      <c r="M1199" s="120" t="n"/>
      <c r="N1199" s="118" t="n"/>
      <c r="O1199" s="121" t="n"/>
      <c r="P1199" s="121" t="n"/>
      <c r="Q1199" s="166">
        <f>TODAY()</f>
        <v/>
      </c>
      <c r="R1199" s="165">
        <f>ElencoProdotti[[#This Row],[PRODUZIONE]]+20</f>
        <v/>
      </c>
      <c r="S1199" s="165">
        <f>TODAY()</f>
        <v/>
      </c>
      <c r="T1199" s="133">
        <f>CONCATENATE(A1199," - contiene allergni - prodotto il giorno ",TEXT(Q1199,"gg/mm/aaaa"),"")</f>
        <v/>
      </c>
    </row>
    <row r="1200" ht="15" customHeight="1" s="155">
      <c r="A1200" s="134">
        <f>ric!B1200</f>
        <v/>
      </c>
      <c r="B1200" s="118">
        <f>ric!C1200</f>
        <v/>
      </c>
      <c r="C1200" s="125">
        <f>ric!D1200</f>
        <v/>
      </c>
      <c r="D1200" s="125" t="n"/>
      <c r="E1200" s="125" t="n"/>
      <c r="F1200" s="125" t="n"/>
      <c r="G1200" s="118">
        <f>CONCATENATE(A1200, " ",#REF!, " / ",H1200)</f>
        <v/>
      </c>
      <c r="H1200" s="118" t="n"/>
      <c r="I1200" s="119">
        <f>CONCATENATE(M1200," - ",J1200," - Lotto N° ",K1200,"")</f>
        <v/>
      </c>
      <c r="J1200" s="118" t="n"/>
      <c r="K1200" s="118">
        <f>VLOOKUP(#REF!,Produzione,7,FALSE)</f>
        <v/>
      </c>
      <c r="L1200" s="120" t="n"/>
      <c r="M1200" s="120" t="n"/>
      <c r="N1200" s="118" t="n"/>
      <c r="O1200" s="121" t="n"/>
      <c r="P1200" s="121" t="n"/>
      <c r="Q1200" s="166">
        <f>TODAY()</f>
        <v/>
      </c>
      <c r="R1200" s="165">
        <f>ElencoProdotti[[#This Row],[PRODUZIONE]]+20</f>
        <v/>
      </c>
      <c r="S1200" s="165">
        <f>TODAY()</f>
        <v/>
      </c>
      <c r="T1200" s="133">
        <f>CONCATENATE(A1200," - contiene allergni - prodotto il giorno ",TEXT(Q1200,"gg/mm/aaaa"),"")</f>
        <v/>
      </c>
    </row>
    <row r="1201" ht="15" customHeight="1" s="155">
      <c r="A1201" s="134">
        <f>ric!B1201</f>
        <v/>
      </c>
      <c r="B1201" s="118">
        <f>ric!C1201</f>
        <v/>
      </c>
      <c r="C1201" s="125">
        <f>ric!D1201</f>
        <v/>
      </c>
      <c r="D1201" s="125" t="n"/>
      <c r="E1201" s="125" t="n"/>
      <c r="F1201" s="125" t="n"/>
      <c r="G1201" s="118">
        <f>CONCATENATE(A1201, " ",#REF!, " / ",H1201)</f>
        <v/>
      </c>
      <c r="H1201" s="118" t="n"/>
      <c r="I1201" s="119">
        <f>CONCATENATE(M1201," - ",J1201," - Lotto N° ",K1201,"")</f>
        <v/>
      </c>
      <c r="J1201" s="118" t="n"/>
      <c r="K1201" s="118">
        <f>VLOOKUP(#REF!,Produzione,7,FALSE)</f>
        <v/>
      </c>
      <c r="L1201" s="120" t="n"/>
      <c r="M1201" s="120" t="n"/>
      <c r="N1201" s="118" t="n"/>
      <c r="O1201" s="121" t="n"/>
      <c r="P1201" s="121" t="n"/>
      <c r="Q1201" s="166">
        <f>TODAY()</f>
        <v/>
      </c>
      <c r="R1201" s="165">
        <f>ElencoProdotti[[#This Row],[PRODUZIONE]]+20</f>
        <v/>
      </c>
      <c r="S1201" s="165">
        <f>TODAY()</f>
        <v/>
      </c>
      <c r="T1201" s="133">
        <f>CONCATENATE(A1201," - contiene allergni - prodotto il giorno ",TEXT(Q1201,"gg/mm/aaaa"),"")</f>
        <v/>
      </c>
    </row>
    <row r="1202" ht="15" customHeight="1" s="155">
      <c r="A1202" s="134">
        <f>ric!B1202</f>
        <v/>
      </c>
      <c r="B1202" s="118">
        <f>ric!C1202</f>
        <v/>
      </c>
      <c r="C1202" s="125">
        <f>ric!D1202</f>
        <v/>
      </c>
      <c r="D1202" s="125" t="n"/>
      <c r="E1202" s="125" t="n"/>
      <c r="F1202" s="125" t="n"/>
      <c r="G1202" s="118">
        <f>CONCATENATE(A1202, " ",#REF!, " / ",H1202)</f>
        <v/>
      </c>
      <c r="H1202" s="118" t="n"/>
      <c r="I1202" s="119">
        <f>CONCATENATE(M1202," - ",J1202," - Lotto N° ",K1202,"")</f>
        <v/>
      </c>
      <c r="J1202" s="118" t="n"/>
      <c r="K1202" s="118">
        <f>VLOOKUP(#REF!,Produzione,7,FALSE)</f>
        <v/>
      </c>
      <c r="L1202" s="120" t="n"/>
      <c r="M1202" s="120" t="n"/>
      <c r="N1202" s="118" t="n"/>
      <c r="O1202" s="121" t="n"/>
      <c r="P1202" s="121" t="n"/>
      <c r="Q1202" s="166">
        <f>TODAY()</f>
        <v/>
      </c>
      <c r="R1202" s="165">
        <f>ElencoProdotti[[#This Row],[PRODUZIONE]]+20</f>
        <v/>
      </c>
      <c r="S1202" s="165">
        <f>TODAY()</f>
        <v/>
      </c>
      <c r="T1202" s="133">
        <f>CONCATENATE(A1202," - contiene allergni - prodotto il giorno ",TEXT(Q1202,"gg/mm/aaaa"),"")</f>
        <v/>
      </c>
    </row>
    <row r="1203" ht="15" customHeight="1" s="155">
      <c r="A1203" s="134">
        <f>ric!B1203</f>
        <v/>
      </c>
      <c r="B1203" s="118">
        <f>ric!C1203</f>
        <v/>
      </c>
      <c r="C1203" s="125">
        <f>ric!D1203</f>
        <v/>
      </c>
      <c r="D1203" s="125" t="n"/>
      <c r="E1203" s="125" t="n"/>
      <c r="F1203" s="125" t="n"/>
      <c r="G1203" s="118">
        <f>CONCATENATE(A1203, " ",#REF!, " / ",H1203)</f>
        <v/>
      </c>
      <c r="H1203" s="118" t="n"/>
      <c r="I1203" s="119">
        <f>CONCATENATE(M1203," - ",J1203," - Lotto N° ",K1203,"")</f>
        <v/>
      </c>
      <c r="J1203" s="118" t="n"/>
      <c r="K1203" s="118">
        <f>VLOOKUP(#REF!,Produzione,7,FALSE)</f>
        <v/>
      </c>
      <c r="L1203" s="120" t="n"/>
      <c r="M1203" s="120" t="n"/>
      <c r="N1203" s="118" t="n"/>
      <c r="O1203" s="121" t="n"/>
      <c r="P1203" s="121" t="n"/>
      <c r="Q1203" s="166">
        <f>TODAY()</f>
        <v/>
      </c>
      <c r="R1203" s="165">
        <f>ElencoProdotti[[#This Row],[PRODUZIONE]]+20</f>
        <v/>
      </c>
      <c r="S1203" s="165">
        <f>TODAY()</f>
        <v/>
      </c>
      <c r="T1203" s="133">
        <f>CONCATENATE(A1203," - contiene allergni - prodotto il giorno ",TEXT(Q1203,"gg/mm/aaaa"),"")</f>
        <v/>
      </c>
    </row>
    <row r="1204" ht="15" customHeight="1" s="155">
      <c r="A1204" s="134">
        <f>ric!B1204</f>
        <v/>
      </c>
      <c r="B1204" s="118">
        <f>ric!C1204</f>
        <v/>
      </c>
      <c r="C1204" s="125">
        <f>ric!D1204</f>
        <v/>
      </c>
      <c r="D1204" s="125" t="n"/>
      <c r="E1204" s="125" t="n"/>
      <c r="F1204" s="125" t="n"/>
      <c r="G1204" s="118">
        <f>CONCATENATE(A1204, " ",#REF!, " / ",H1204)</f>
        <v/>
      </c>
      <c r="H1204" s="118" t="n"/>
      <c r="I1204" s="119">
        <f>CONCATENATE(M1204," - ",J1204," - Lotto N° ",K1204,"")</f>
        <v/>
      </c>
      <c r="J1204" s="118" t="n"/>
      <c r="K1204" s="118">
        <f>VLOOKUP(#REF!,Produzione,7,FALSE)</f>
        <v/>
      </c>
      <c r="L1204" s="120" t="n"/>
      <c r="M1204" s="120" t="n"/>
      <c r="N1204" s="118" t="n"/>
      <c r="O1204" s="121" t="n"/>
      <c r="P1204" s="121" t="n"/>
      <c r="Q1204" s="166">
        <f>TODAY()</f>
        <v/>
      </c>
      <c r="R1204" s="165">
        <f>ElencoProdotti[[#This Row],[PRODUZIONE]]+20</f>
        <v/>
      </c>
      <c r="S1204" s="165">
        <f>TODAY()</f>
        <v/>
      </c>
      <c r="T1204" s="133">
        <f>CONCATENATE(A1204," - contiene allergni - prodotto il giorno ",TEXT(Q1204,"gg/mm/aaaa"),"")</f>
        <v/>
      </c>
    </row>
    <row r="1205" ht="15" customHeight="1" s="155">
      <c r="A1205" s="134">
        <f>ric!B1205</f>
        <v/>
      </c>
      <c r="B1205" s="118">
        <f>ric!C1205</f>
        <v/>
      </c>
      <c r="C1205" s="125">
        <f>ric!D1205</f>
        <v/>
      </c>
      <c r="D1205" s="125" t="n"/>
      <c r="E1205" s="125" t="n"/>
      <c r="F1205" s="125" t="n"/>
      <c r="G1205" s="118">
        <f>CONCATENATE(A1205, " ",#REF!, " / ",H1205)</f>
        <v/>
      </c>
      <c r="H1205" s="118" t="n"/>
      <c r="I1205" s="119">
        <f>CONCATENATE(M1205," - ",J1205," - Lotto N° ",K1205,"")</f>
        <v/>
      </c>
      <c r="J1205" s="118" t="n"/>
      <c r="K1205" s="118">
        <f>VLOOKUP(#REF!,Produzione,7,FALSE)</f>
        <v/>
      </c>
      <c r="L1205" s="120" t="n"/>
      <c r="M1205" s="120" t="n"/>
      <c r="N1205" s="118" t="n"/>
      <c r="O1205" s="121" t="n"/>
      <c r="P1205" s="121" t="n"/>
      <c r="Q1205" s="166">
        <f>TODAY()</f>
        <v/>
      </c>
      <c r="R1205" s="165">
        <f>ElencoProdotti[[#This Row],[PRODUZIONE]]+20</f>
        <v/>
      </c>
      <c r="S1205" s="165">
        <f>TODAY()</f>
        <v/>
      </c>
      <c r="T1205" s="133">
        <f>CONCATENATE(A1205," - contiene allergni - prodotto il giorno ",TEXT(Q1205,"gg/mm/aaaa"),"")</f>
        <v/>
      </c>
    </row>
    <row r="1206" ht="15" customHeight="1" s="155">
      <c r="A1206" s="134">
        <f>ric!B1206</f>
        <v/>
      </c>
      <c r="B1206" s="118">
        <f>ric!C1206</f>
        <v/>
      </c>
      <c r="C1206" s="125">
        <f>ric!D1206</f>
        <v/>
      </c>
      <c r="D1206" s="125" t="n"/>
      <c r="E1206" s="125" t="n"/>
      <c r="F1206" s="125" t="n"/>
      <c r="G1206" s="118">
        <f>CONCATENATE(A1206, " ",#REF!, " / ",H1206)</f>
        <v/>
      </c>
      <c r="H1206" s="118" t="n"/>
      <c r="I1206" s="119">
        <f>CONCATENATE(M1206," - ",J1206," - Lotto N° ",K1206,"")</f>
        <v/>
      </c>
      <c r="J1206" s="118" t="n"/>
      <c r="K1206" s="118">
        <f>VLOOKUP(#REF!,Produzione,7,FALSE)</f>
        <v/>
      </c>
      <c r="L1206" s="120" t="n"/>
      <c r="M1206" s="120" t="n"/>
      <c r="N1206" s="118" t="n"/>
      <c r="O1206" s="121" t="n"/>
      <c r="P1206" s="121" t="n"/>
      <c r="Q1206" s="166">
        <f>TODAY()</f>
        <v/>
      </c>
      <c r="R1206" s="165">
        <f>ElencoProdotti[[#This Row],[PRODUZIONE]]+20</f>
        <v/>
      </c>
      <c r="S1206" s="165">
        <f>TODAY()</f>
        <v/>
      </c>
      <c r="T1206" s="133">
        <f>CONCATENATE(A1206," - contiene allergni - prodotto il giorno ",TEXT(Q1206,"gg/mm/aaaa"),"")</f>
        <v/>
      </c>
    </row>
    <row r="1207" ht="15" customHeight="1" s="155">
      <c r="A1207" s="134">
        <f>ric!B1207</f>
        <v/>
      </c>
      <c r="B1207" s="118">
        <f>ric!C1207</f>
        <v/>
      </c>
      <c r="C1207" s="125">
        <f>ric!D1207</f>
        <v/>
      </c>
      <c r="D1207" s="125" t="n"/>
      <c r="E1207" s="125" t="n"/>
      <c r="F1207" s="125" t="n"/>
      <c r="G1207" s="118">
        <f>CONCATENATE(A1207, " ",#REF!, " / ",H1207)</f>
        <v/>
      </c>
      <c r="H1207" s="118" t="n"/>
      <c r="I1207" s="119">
        <f>CONCATENATE(M1207," - ",J1207," - Lotto N° ",K1207,"")</f>
        <v/>
      </c>
      <c r="J1207" s="118" t="n"/>
      <c r="K1207" s="118">
        <f>VLOOKUP(#REF!,Produzione,7,FALSE)</f>
        <v/>
      </c>
      <c r="L1207" s="120" t="n"/>
      <c r="M1207" s="120" t="n"/>
      <c r="N1207" s="118" t="n"/>
      <c r="O1207" s="121" t="n"/>
      <c r="P1207" s="121" t="n"/>
      <c r="Q1207" s="166">
        <f>TODAY()</f>
        <v/>
      </c>
      <c r="R1207" s="165">
        <f>ElencoProdotti[[#This Row],[PRODUZIONE]]+20</f>
        <v/>
      </c>
      <c r="S1207" s="165">
        <f>TODAY()</f>
        <v/>
      </c>
      <c r="T1207" s="133">
        <f>CONCATENATE(A1207," - contiene allergni - prodotto il giorno ",TEXT(Q1207,"gg/mm/aaaa"),"")</f>
        <v/>
      </c>
    </row>
    <row r="1208" ht="15" customHeight="1" s="155">
      <c r="A1208" s="134">
        <f>ric!B1208</f>
        <v/>
      </c>
      <c r="B1208" s="118">
        <f>ric!C1208</f>
        <v/>
      </c>
      <c r="C1208" s="125">
        <f>ric!D1208</f>
        <v/>
      </c>
      <c r="D1208" s="125" t="n"/>
      <c r="E1208" s="125" t="n"/>
      <c r="F1208" s="125" t="n"/>
      <c r="G1208" s="118">
        <f>CONCATENATE(A1208, " ",#REF!, " / ",H1208)</f>
        <v/>
      </c>
      <c r="H1208" s="118" t="n"/>
      <c r="I1208" s="119">
        <f>CONCATENATE(M1208," - ",J1208," - Lotto N° ",K1208,"")</f>
        <v/>
      </c>
      <c r="J1208" s="118" t="n"/>
      <c r="K1208" s="118">
        <f>VLOOKUP(#REF!,Produzione,7,FALSE)</f>
        <v/>
      </c>
      <c r="L1208" s="120" t="n"/>
      <c r="M1208" s="120" t="n"/>
      <c r="N1208" s="118" t="n"/>
      <c r="O1208" s="121" t="n"/>
      <c r="P1208" s="121" t="n"/>
      <c r="Q1208" s="166">
        <f>TODAY()</f>
        <v/>
      </c>
      <c r="R1208" s="165">
        <f>ElencoProdotti[[#This Row],[PRODUZIONE]]+20</f>
        <v/>
      </c>
      <c r="S1208" s="165">
        <f>TODAY()</f>
        <v/>
      </c>
      <c r="T1208" s="133">
        <f>CONCATENATE(A1208," - contiene allergni - prodotto il giorno ",TEXT(Q1208,"gg/mm/aaaa"),"")</f>
        <v/>
      </c>
    </row>
    <row r="1209" ht="15" customHeight="1" s="155">
      <c r="A1209" s="134">
        <f>ric!B1209</f>
        <v/>
      </c>
      <c r="B1209" s="118">
        <f>ric!C1209</f>
        <v/>
      </c>
      <c r="C1209" s="125">
        <f>ric!D1209</f>
        <v/>
      </c>
      <c r="D1209" s="125" t="n"/>
      <c r="E1209" s="125" t="n"/>
      <c r="F1209" s="125" t="n"/>
      <c r="G1209" s="118">
        <f>CONCATENATE(A1209, " ",#REF!, " / ",H1209)</f>
        <v/>
      </c>
      <c r="H1209" s="118" t="n"/>
      <c r="I1209" s="119">
        <f>CONCATENATE(M1209," - ",J1209," - Lotto N° ",K1209,"")</f>
        <v/>
      </c>
      <c r="J1209" s="118" t="n"/>
      <c r="K1209" s="118">
        <f>VLOOKUP(#REF!,Produzione,7,FALSE)</f>
        <v/>
      </c>
      <c r="L1209" s="120" t="n"/>
      <c r="M1209" s="120" t="n"/>
      <c r="N1209" s="118" t="n"/>
      <c r="O1209" s="121" t="n"/>
      <c r="P1209" s="121" t="n"/>
      <c r="Q1209" s="166">
        <f>TODAY()</f>
        <v/>
      </c>
      <c r="R1209" s="165">
        <f>ElencoProdotti[[#This Row],[PRODUZIONE]]+20</f>
        <v/>
      </c>
      <c r="S1209" s="165">
        <f>TODAY()</f>
        <v/>
      </c>
      <c r="T1209" s="133">
        <f>CONCATENATE(A1209," - contiene allergni - prodotto il giorno ",TEXT(Q1209,"gg/mm/aaaa"),"")</f>
        <v/>
      </c>
    </row>
    <row r="1210" ht="15" customHeight="1" s="155">
      <c r="A1210" s="134">
        <f>ric!B1210</f>
        <v/>
      </c>
      <c r="B1210" s="118">
        <f>ric!C1210</f>
        <v/>
      </c>
      <c r="C1210" s="125">
        <f>ric!D1210</f>
        <v/>
      </c>
      <c r="D1210" s="125" t="n"/>
      <c r="E1210" s="125" t="n"/>
      <c r="F1210" s="125" t="n"/>
      <c r="G1210" s="118">
        <f>CONCATENATE(A1210, " ",#REF!, " / ",H1210)</f>
        <v/>
      </c>
      <c r="H1210" s="118" t="n"/>
      <c r="I1210" s="119">
        <f>CONCATENATE(M1210," - ",J1210," - Lotto N° ",K1210,"")</f>
        <v/>
      </c>
      <c r="J1210" s="118" t="n"/>
      <c r="K1210" s="118">
        <f>VLOOKUP(#REF!,Produzione,7,FALSE)</f>
        <v/>
      </c>
      <c r="L1210" s="120" t="n"/>
      <c r="M1210" s="120" t="n"/>
      <c r="N1210" s="118" t="n"/>
      <c r="O1210" s="121" t="n"/>
      <c r="P1210" s="121" t="n"/>
      <c r="Q1210" s="166">
        <f>TODAY()</f>
        <v/>
      </c>
      <c r="R1210" s="165">
        <f>ElencoProdotti[[#This Row],[PRODUZIONE]]+20</f>
        <v/>
      </c>
      <c r="S1210" s="165">
        <f>TODAY()</f>
        <v/>
      </c>
      <c r="T1210" s="133">
        <f>CONCATENATE(A1210," - contiene allergni - prodotto il giorno ",TEXT(Q1210,"gg/mm/aaaa"),"")</f>
        <v/>
      </c>
    </row>
    <row r="1211" ht="15" customHeight="1" s="155">
      <c r="A1211" s="134">
        <f>ric!B1211</f>
        <v/>
      </c>
      <c r="B1211" s="118">
        <f>ric!C1211</f>
        <v/>
      </c>
      <c r="C1211" s="125">
        <f>ric!D1211</f>
        <v/>
      </c>
      <c r="D1211" s="125" t="n"/>
      <c r="E1211" s="125" t="n"/>
      <c r="F1211" s="125" t="n"/>
      <c r="G1211" s="118">
        <f>CONCATENATE(A1211, " ",#REF!, " / ",H1211)</f>
        <v/>
      </c>
      <c r="H1211" s="118" t="n"/>
      <c r="I1211" s="119">
        <f>CONCATENATE(M1211," - ",J1211," - Lotto N° ",K1211,"")</f>
        <v/>
      </c>
      <c r="J1211" s="118" t="n"/>
      <c r="K1211" s="118">
        <f>VLOOKUP(#REF!,Produzione,7,FALSE)</f>
        <v/>
      </c>
      <c r="L1211" s="120" t="n"/>
      <c r="M1211" s="120" t="n"/>
      <c r="N1211" s="118" t="n"/>
      <c r="O1211" s="121" t="n"/>
      <c r="P1211" s="121" t="n"/>
      <c r="Q1211" s="166">
        <f>TODAY()</f>
        <v/>
      </c>
      <c r="R1211" s="165">
        <f>ElencoProdotti[[#This Row],[PRODUZIONE]]+20</f>
        <v/>
      </c>
      <c r="S1211" s="165">
        <f>TODAY()</f>
        <v/>
      </c>
      <c r="T1211" s="133">
        <f>CONCATENATE(A1211," - contiene allergni - prodotto il giorno ",TEXT(Q1211,"gg/mm/aaaa"),"")</f>
        <v/>
      </c>
    </row>
    <row r="1212" ht="15" customHeight="1" s="155">
      <c r="A1212" s="134">
        <f>ric!B1212</f>
        <v/>
      </c>
      <c r="B1212" s="118">
        <f>ric!C1212</f>
        <v/>
      </c>
      <c r="C1212" s="125">
        <f>ric!D1212</f>
        <v/>
      </c>
      <c r="D1212" s="125" t="n"/>
      <c r="E1212" s="125" t="n"/>
      <c r="F1212" s="125" t="n"/>
      <c r="G1212" s="118">
        <f>CONCATENATE(A1212, " ",#REF!, " / ",H1212)</f>
        <v/>
      </c>
      <c r="H1212" s="118" t="n"/>
      <c r="I1212" s="119">
        <f>CONCATENATE(M1212," - ",J1212," - Lotto N° ",K1212,"")</f>
        <v/>
      </c>
      <c r="J1212" s="118" t="n"/>
      <c r="K1212" s="118">
        <f>VLOOKUP(#REF!,Produzione,7,FALSE)</f>
        <v/>
      </c>
      <c r="L1212" s="120" t="n"/>
      <c r="M1212" s="120" t="n"/>
      <c r="N1212" s="118" t="n"/>
      <c r="O1212" s="121" t="n"/>
      <c r="P1212" s="121" t="n"/>
      <c r="Q1212" s="166">
        <f>TODAY()</f>
        <v/>
      </c>
      <c r="R1212" s="165">
        <f>ElencoProdotti[[#This Row],[PRODUZIONE]]+20</f>
        <v/>
      </c>
      <c r="S1212" s="165">
        <f>TODAY()</f>
        <v/>
      </c>
      <c r="T1212" s="133">
        <f>CONCATENATE(A1212," - contiene allergni - prodotto il giorno ",TEXT(Q1212,"gg/mm/aaaa"),"")</f>
        <v/>
      </c>
    </row>
    <row r="1213" ht="15" customHeight="1" s="155">
      <c r="A1213" s="134">
        <f>ric!B1213</f>
        <v/>
      </c>
      <c r="B1213" s="118">
        <f>ric!C1213</f>
        <v/>
      </c>
      <c r="C1213" s="125">
        <f>ric!D1213</f>
        <v/>
      </c>
      <c r="D1213" s="125" t="n"/>
      <c r="E1213" s="125" t="n"/>
      <c r="F1213" s="125" t="n"/>
      <c r="G1213" s="118">
        <f>CONCATENATE(A1213, " ",#REF!, " / ",H1213)</f>
        <v/>
      </c>
      <c r="H1213" s="118" t="n"/>
      <c r="I1213" s="119">
        <f>CONCATENATE(M1213," - ",J1213," - Lotto N° ",K1213,"")</f>
        <v/>
      </c>
      <c r="J1213" s="118" t="n"/>
      <c r="K1213" s="118">
        <f>VLOOKUP(#REF!,Produzione,7,FALSE)</f>
        <v/>
      </c>
      <c r="L1213" s="120" t="n"/>
      <c r="M1213" s="120" t="n"/>
      <c r="N1213" s="118" t="n"/>
      <c r="O1213" s="121" t="n"/>
      <c r="P1213" s="121" t="n"/>
      <c r="Q1213" s="166">
        <f>TODAY()</f>
        <v/>
      </c>
      <c r="R1213" s="165">
        <f>ElencoProdotti[[#This Row],[PRODUZIONE]]+20</f>
        <v/>
      </c>
      <c r="S1213" s="165">
        <f>TODAY()</f>
        <v/>
      </c>
      <c r="T1213" s="133">
        <f>CONCATENATE(A1213," - contiene allergni - prodotto il giorno ",TEXT(Q1213,"gg/mm/aaaa"),"")</f>
        <v/>
      </c>
    </row>
    <row r="1214" ht="15" customHeight="1" s="155">
      <c r="A1214" s="134">
        <f>ric!B1214</f>
        <v/>
      </c>
      <c r="B1214" s="118">
        <f>ric!C1214</f>
        <v/>
      </c>
      <c r="C1214" s="125">
        <f>ric!D1214</f>
        <v/>
      </c>
      <c r="D1214" s="125" t="n"/>
      <c r="E1214" s="125" t="n"/>
      <c r="F1214" s="125" t="n"/>
      <c r="G1214" s="118">
        <f>CONCATENATE(A1214, " ",#REF!, " / ",H1214)</f>
        <v/>
      </c>
      <c r="H1214" s="118" t="n"/>
      <c r="I1214" s="119">
        <f>CONCATENATE(M1214," - ",J1214," - Lotto N° ",K1214,"")</f>
        <v/>
      </c>
      <c r="J1214" s="118" t="n"/>
      <c r="K1214" s="118">
        <f>VLOOKUP(#REF!,Produzione,7,FALSE)</f>
        <v/>
      </c>
      <c r="L1214" s="120" t="n"/>
      <c r="M1214" s="120" t="n"/>
      <c r="N1214" s="118" t="n"/>
      <c r="O1214" s="121" t="n"/>
      <c r="P1214" s="121" t="n"/>
      <c r="Q1214" s="166">
        <f>TODAY()</f>
        <v/>
      </c>
      <c r="R1214" s="165">
        <f>ElencoProdotti[[#This Row],[PRODUZIONE]]+20</f>
        <v/>
      </c>
      <c r="S1214" s="165">
        <f>TODAY()</f>
        <v/>
      </c>
      <c r="T1214" s="133">
        <f>CONCATENATE(A1214," - contiene allergni - prodotto il giorno ",TEXT(Q1214,"gg/mm/aaaa"),"")</f>
        <v/>
      </c>
    </row>
    <row r="1215" ht="15" customHeight="1" s="155">
      <c r="A1215" s="134">
        <f>ric!B1215</f>
        <v/>
      </c>
      <c r="B1215" s="118">
        <f>ric!C1215</f>
        <v/>
      </c>
      <c r="C1215" s="125">
        <f>ric!D1215</f>
        <v/>
      </c>
      <c r="D1215" s="125" t="n"/>
      <c r="E1215" s="125" t="n"/>
      <c r="F1215" s="125" t="n"/>
      <c r="G1215" s="118">
        <f>CONCATENATE(A1215, " ",#REF!, " / ",H1215)</f>
        <v/>
      </c>
      <c r="H1215" s="118" t="n"/>
      <c r="I1215" s="119">
        <f>CONCATENATE(M1215," - ",J1215," - Lotto N° ",K1215,"")</f>
        <v/>
      </c>
      <c r="J1215" s="118" t="n"/>
      <c r="K1215" s="118">
        <f>VLOOKUP(#REF!,Produzione,7,FALSE)</f>
        <v/>
      </c>
      <c r="L1215" s="120" t="n"/>
      <c r="M1215" s="120" t="n"/>
      <c r="N1215" s="118" t="n"/>
      <c r="O1215" s="121" t="n"/>
      <c r="P1215" s="121" t="n"/>
      <c r="Q1215" s="166">
        <f>TODAY()</f>
        <v/>
      </c>
      <c r="R1215" s="165">
        <f>ElencoProdotti[[#This Row],[PRODUZIONE]]+20</f>
        <v/>
      </c>
      <c r="S1215" s="165">
        <f>TODAY()</f>
        <v/>
      </c>
      <c r="T1215" s="133">
        <f>CONCATENATE(A1215," - contiene allergni - prodotto il giorno ",TEXT(Q1215,"gg/mm/aaaa"),"")</f>
        <v/>
      </c>
    </row>
    <row r="1216" ht="15" customHeight="1" s="155">
      <c r="A1216" s="134">
        <f>ric!B1216</f>
        <v/>
      </c>
      <c r="B1216" s="118">
        <f>ric!C1216</f>
        <v/>
      </c>
      <c r="C1216" s="125">
        <f>ric!D1216</f>
        <v/>
      </c>
      <c r="D1216" s="125" t="n"/>
      <c r="E1216" s="125" t="n"/>
      <c r="F1216" s="125" t="n"/>
      <c r="G1216" s="118">
        <f>CONCATENATE(A1216, " ",#REF!, " / ",H1216)</f>
        <v/>
      </c>
      <c r="H1216" s="118" t="n"/>
      <c r="I1216" s="119">
        <f>CONCATENATE(M1216," - ",J1216," - Lotto N° ",K1216,"")</f>
        <v/>
      </c>
      <c r="J1216" s="118" t="n"/>
      <c r="K1216" s="118">
        <f>VLOOKUP(#REF!,Produzione,7,FALSE)</f>
        <v/>
      </c>
      <c r="L1216" s="120" t="n"/>
      <c r="M1216" s="120" t="n"/>
      <c r="N1216" s="118" t="n"/>
      <c r="O1216" s="121" t="n"/>
      <c r="P1216" s="121" t="n"/>
      <c r="Q1216" s="166">
        <f>TODAY()</f>
        <v/>
      </c>
      <c r="R1216" s="165">
        <f>ElencoProdotti[[#This Row],[PRODUZIONE]]+20</f>
        <v/>
      </c>
      <c r="S1216" s="165">
        <f>TODAY()</f>
        <v/>
      </c>
      <c r="T1216" s="133">
        <f>CONCATENATE(A1216," - contiene allergni - prodotto il giorno ",TEXT(Q1216,"gg/mm/aaaa"),"")</f>
        <v/>
      </c>
    </row>
    <row r="1217" ht="15" customHeight="1" s="155">
      <c r="A1217" s="134">
        <f>ric!B1217</f>
        <v/>
      </c>
      <c r="B1217" s="118">
        <f>ric!C1217</f>
        <v/>
      </c>
      <c r="C1217" s="125">
        <f>ric!D1217</f>
        <v/>
      </c>
      <c r="D1217" s="125" t="n"/>
      <c r="E1217" s="125" t="n"/>
      <c r="F1217" s="125" t="n"/>
      <c r="G1217" s="118">
        <f>CONCATENATE(A1217, " ",#REF!, " / ",H1217)</f>
        <v/>
      </c>
      <c r="H1217" s="118" t="n"/>
      <c r="I1217" s="119">
        <f>CONCATENATE(M1217," - ",J1217," - Lotto N° ",K1217,"")</f>
        <v/>
      </c>
      <c r="J1217" s="118" t="n"/>
      <c r="K1217" s="118">
        <f>VLOOKUP(#REF!,Produzione,7,FALSE)</f>
        <v/>
      </c>
      <c r="L1217" s="120" t="n"/>
      <c r="M1217" s="120" t="n"/>
      <c r="N1217" s="118" t="n"/>
      <c r="O1217" s="121" t="n"/>
      <c r="P1217" s="121" t="n"/>
      <c r="Q1217" s="166">
        <f>TODAY()</f>
        <v/>
      </c>
      <c r="R1217" s="165">
        <f>ElencoProdotti[[#This Row],[PRODUZIONE]]+20</f>
        <v/>
      </c>
      <c r="S1217" s="165">
        <f>TODAY()</f>
        <v/>
      </c>
      <c r="T1217" s="133">
        <f>CONCATENATE(A1217," - contiene allergni - prodotto il giorno ",TEXT(Q1217,"gg/mm/aaaa"),"")</f>
        <v/>
      </c>
    </row>
    <row r="1218" ht="15" customHeight="1" s="155">
      <c r="A1218" s="134">
        <f>ric!B1218</f>
        <v/>
      </c>
      <c r="B1218" s="118">
        <f>ric!C1218</f>
        <v/>
      </c>
      <c r="C1218" s="125">
        <f>ric!D1218</f>
        <v/>
      </c>
      <c r="D1218" s="125" t="n"/>
      <c r="E1218" s="125" t="n"/>
      <c r="F1218" s="125" t="n"/>
      <c r="G1218" s="118">
        <f>CONCATENATE(A1218, " ",#REF!, " / ",H1218)</f>
        <v/>
      </c>
      <c r="H1218" s="118" t="n"/>
      <c r="I1218" s="119">
        <f>CONCATENATE(M1218," - ",J1218," - Lotto N° ",K1218,"")</f>
        <v/>
      </c>
      <c r="J1218" s="118" t="n"/>
      <c r="K1218" s="118">
        <f>VLOOKUP(#REF!,Produzione,7,FALSE)</f>
        <v/>
      </c>
      <c r="L1218" s="120" t="n"/>
      <c r="M1218" s="120" t="n"/>
      <c r="N1218" s="118" t="n"/>
      <c r="O1218" s="121" t="n"/>
      <c r="P1218" s="121" t="n"/>
      <c r="Q1218" s="166">
        <f>TODAY()</f>
        <v/>
      </c>
      <c r="R1218" s="165">
        <f>ElencoProdotti[[#This Row],[PRODUZIONE]]+20</f>
        <v/>
      </c>
      <c r="S1218" s="165">
        <f>TODAY()</f>
        <v/>
      </c>
      <c r="T1218" s="133">
        <f>CONCATENATE(A1218," - contiene allergni - prodotto il giorno ",TEXT(Q1218,"gg/mm/aaaa"),"")</f>
        <v/>
      </c>
    </row>
    <row r="1219" ht="15" customHeight="1" s="155">
      <c r="A1219" s="134">
        <f>ric!B1219</f>
        <v/>
      </c>
      <c r="B1219" s="118">
        <f>ric!C1219</f>
        <v/>
      </c>
      <c r="C1219" s="125">
        <f>ric!D1219</f>
        <v/>
      </c>
      <c r="D1219" s="125" t="n"/>
      <c r="E1219" s="125" t="n"/>
      <c r="F1219" s="125" t="n"/>
      <c r="G1219" s="118">
        <f>CONCATENATE(A1219, " ",#REF!, " / ",H1219)</f>
        <v/>
      </c>
      <c r="H1219" s="118" t="n"/>
      <c r="I1219" s="119">
        <f>CONCATENATE(M1219," - ",J1219," - Lotto N° ",K1219,"")</f>
        <v/>
      </c>
      <c r="J1219" s="118" t="n"/>
      <c r="K1219" s="118">
        <f>VLOOKUP(#REF!,Produzione,7,FALSE)</f>
        <v/>
      </c>
      <c r="L1219" s="120" t="n"/>
      <c r="M1219" s="120" t="n"/>
      <c r="N1219" s="118" t="n"/>
      <c r="O1219" s="121" t="n"/>
      <c r="P1219" s="121" t="n"/>
      <c r="Q1219" s="166">
        <f>TODAY()</f>
        <v/>
      </c>
      <c r="R1219" s="165">
        <f>ElencoProdotti[[#This Row],[PRODUZIONE]]+20</f>
        <v/>
      </c>
      <c r="S1219" s="165">
        <f>TODAY()</f>
        <v/>
      </c>
      <c r="T1219" s="133">
        <f>CONCATENATE(A1219," - contiene allergni - prodotto il giorno ",TEXT(Q1219,"gg/mm/aaaa"),"")</f>
        <v/>
      </c>
    </row>
    <row r="1220" ht="15" customHeight="1" s="155">
      <c r="A1220" s="134">
        <f>ric!B1220</f>
        <v/>
      </c>
      <c r="B1220" s="118">
        <f>ric!C1220</f>
        <v/>
      </c>
      <c r="C1220" s="125">
        <f>ric!D1220</f>
        <v/>
      </c>
      <c r="D1220" s="125" t="n"/>
      <c r="E1220" s="125" t="n"/>
      <c r="F1220" s="125" t="n"/>
      <c r="G1220" s="118">
        <f>CONCATENATE(A1220, " ",#REF!, " / ",H1220)</f>
        <v/>
      </c>
      <c r="H1220" s="118" t="n"/>
      <c r="I1220" s="119">
        <f>CONCATENATE(M1220," - ",J1220," - Lotto N° ",K1220,"")</f>
        <v/>
      </c>
      <c r="J1220" s="118" t="n"/>
      <c r="K1220" s="118">
        <f>VLOOKUP(#REF!,Produzione,7,FALSE)</f>
        <v/>
      </c>
      <c r="L1220" s="120" t="n"/>
      <c r="M1220" s="120" t="n"/>
      <c r="N1220" s="118" t="n"/>
      <c r="O1220" s="121" t="n"/>
      <c r="P1220" s="121" t="n"/>
      <c r="Q1220" s="166">
        <f>TODAY()</f>
        <v/>
      </c>
      <c r="R1220" s="165">
        <f>ElencoProdotti[[#This Row],[PRODUZIONE]]+20</f>
        <v/>
      </c>
      <c r="S1220" s="165">
        <f>TODAY()</f>
        <v/>
      </c>
      <c r="T1220" s="133">
        <f>CONCATENATE(A1220," - contiene allergni - prodotto il giorno ",TEXT(Q1220,"gg/mm/aaaa"),"")</f>
        <v/>
      </c>
    </row>
    <row r="1221" ht="15" customHeight="1" s="155">
      <c r="A1221" s="134">
        <f>ric!B1221</f>
        <v/>
      </c>
      <c r="B1221" s="118">
        <f>ric!C1221</f>
        <v/>
      </c>
      <c r="C1221" s="125">
        <f>ric!D1221</f>
        <v/>
      </c>
      <c r="D1221" s="125" t="n"/>
      <c r="E1221" s="125" t="n"/>
      <c r="F1221" s="125" t="n"/>
      <c r="G1221" s="118">
        <f>CONCATENATE(A1221, " ",#REF!, " / ",H1221)</f>
        <v/>
      </c>
      <c r="H1221" s="118" t="n"/>
      <c r="I1221" s="119">
        <f>CONCATENATE(M1221," - ",J1221," - Lotto N° ",K1221,"")</f>
        <v/>
      </c>
      <c r="J1221" s="118" t="n"/>
      <c r="K1221" s="118">
        <f>VLOOKUP(#REF!,Produzione,7,FALSE)</f>
        <v/>
      </c>
      <c r="L1221" s="120" t="n"/>
      <c r="M1221" s="120" t="n"/>
      <c r="N1221" s="118" t="n"/>
      <c r="O1221" s="121" t="n"/>
      <c r="P1221" s="121" t="n"/>
      <c r="Q1221" s="166">
        <f>TODAY()</f>
        <v/>
      </c>
      <c r="R1221" s="165">
        <f>ElencoProdotti[[#This Row],[PRODUZIONE]]+20</f>
        <v/>
      </c>
      <c r="S1221" s="165">
        <f>TODAY()</f>
        <v/>
      </c>
      <c r="T1221" s="133">
        <f>CONCATENATE(A1221," - contiene allergni - prodotto il giorno ",TEXT(Q1221,"gg/mm/aaaa"),"")</f>
        <v/>
      </c>
    </row>
    <row r="1222" ht="15" customHeight="1" s="155">
      <c r="A1222" s="134">
        <f>ric!B1222</f>
        <v/>
      </c>
      <c r="B1222" s="118">
        <f>ric!C1222</f>
        <v/>
      </c>
      <c r="C1222" s="125">
        <f>ric!D1222</f>
        <v/>
      </c>
      <c r="D1222" s="125" t="n"/>
      <c r="E1222" s="125" t="n"/>
      <c r="F1222" s="125" t="n"/>
      <c r="G1222" s="118">
        <f>CONCATENATE(A1222, " ",#REF!, " / ",H1222)</f>
        <v/>
      </c>
      <c r="H1222" s="118" t="n"/>
      <c r="I1222" s="119">
        <f>CONCATENATE(M1222," - ",J1222," - Lotto N° ",K1222,"")</f>
        <v/>
      </c>
      <c r="J1222" s="118" t="n"/>
      <c r="K1222" s="118">
        <f>VLOOKUP(#REF!,Produzione,7,FALSE)</f>
        <v/>
      </c>
      <c r="L1222" s="120" t="n"/>
      <c r="M1222" s="120" t="n"/>
      <c r="N1222" s="118" t="n"/>
      <c r="O1222" s="121" t="n"/>
      <c r="P1222" s="121" t="n"/>
      <c r="Q1222" s="166">
        <f>TODAY()</f>
        <v/>
      </c>
      <c r="R1222" s="165">
        <f>ElencoProdotti[[#This Row],[PRODUZIONE]]+20</f>
        <v/>
      </c>
      <c r="S1222" s="165">
        <f>TODAY()</f>
        <v/>
      </c>
      <c r="T1222" s="133">
        <f>CONCATENATE(A1222," - contiene allergni - prodotto il giorno ",TEXT(Q1222,"gg/mm/aaaa"),"")</f>
        <v/>
      </c>
    </row>
    <row r="1223" ht="15" customHeight="1" s="155">
      <c r="A1223" s="134">
        <f>ric!B1223</f>
        <v/>
      </c>
      <c r="B1223" s="118">
        <f>ric!C1223</f>
        <v/>
      </c>
      <c r="C1223" s="125">
        <f>ric!D1223</f>
        <v/>
      </c>
      <c r="D1223" s="125" t="n"/>
      <c r="E1223" s="125" t="n"/>
      <c r="F1223" s="125" t="n"/>
      <c r="G1223" s="118">
        <f>CONCATENATE(A1223, " ",#REF!, " / ",H1223)</f>
        <v/>
      </c>
      <c r="H1223" s="118" t="n"/>
      <c r="I1223" s="119">
        <f>CONCATENATE(M1223," - ",J1223," - Lotto N° ",K1223,"")</f>
        <v/>
      </c>
      <c r="J1223" s="118" t="n"/>
      <c r="K1223" s="118">
        <f>VLOOKUP(#REF!,Produzione,7,FALSE)</f>
        <v/>
      </c>
      <c r="L1223" s="120" t="n"/>
      <c r="M1223" s="120" t="n"/>
      <c r="N1223" s="118" t="n"/>
      <c r="O1223" s="121" t="n"/>
      <c r="P1223" s="121" t="n"/>
      <c r="Q1223" s="166">
        <f>TODAY()</f>
        <v/>
      </c>
      <c r="R1223" s="165">
        <f>ElencoProdotti[[#This Row],[PRODUZIONE]]+20</f>
        <v/>
      </c>
      <c r="S1223" s="165">
        <f>TODAY()</f>
        <v/>
      </c>
      <c r="T1223" s="133">
        <f>CONCATENATE(A1223," - contiene allergni - prodotto il giorno ",TEXT(Q1223,"gg/mm/aaaa"),"")</f>
        <v/>
      </c>
    </row>
    <row r="1224" ht="15" customHeight="1" s="155">
      <c r="A1224" s="134">
        <f>ric!B1224</f>
        <v/>
      </c>
      <c r="B1224" s="118">
        <f>ric!C1224</f>
        <v/>
      </c>
      <c r="C1224" s="125">
        <f>ric!D1224</f>
        <v/>
      </c>
      <c r="D1224" s="125" t="n"/>
      <c r="E1224" s="125" t="n"/>
      <c r="F1224" s="125" t="n"/>
      <c r="G1224" s="118">
        <f>CONCATENATE(A1224, " ",#REF!, " / ",H1224)</f>
        <v/>
      </c>
      <c r="H1224" s="118" t="n"/>
      <c r="I1224" s="119">
        <f>CONCATENATE(M1224," - ",J1224," - Lotto N° ",K1224,"")</f>
        <v/>
      </c>
      <c r="J1224" s="118" t="n"/>
      <c r="K1224" s="118">
        <f>VLOOKUP(#REF!,Produzione,7,FALSE)</f>
        <v/>
      </c>
      <c r="L1224" s="120" t="n"/>
      <c r="M1224" s="120" t="n"/>
      <c r="N1224" s="118" t="n"/>
      <c r="O1224" s="121" t="n"/>
      <c r="P1224" s="121" t="n"/>
      <c r="Q1224" s="166">
        <f>TODAY()</f>
        <v/>
      </c>
      <c r="R1224" s="165">
        <f>ElencoProdotti[[#This Row],[PRODUZIONE]]+20</f>
        <v/>
      </c>
      <c r="S1224" s="165">
        <f>TODAY()</f>
        <v/>
      </c>
      <c r="T1224" s="133">
        <f>CONCATENATE(A1224," - contiene allergni - prodotto il giorno ",TEXT(Q1224,"gg/mm/aaaa"),"")</f>
        <v/>
      </c>
    </row>
    <row r="1225" ht="15" customHeight="1" s="155">
      <c r="A1225" s="134">
        <f>ric!B1225</f>
        <v/>
      </c>
      <c r="B1225" s="118">
        <f>ric!C1225</f>
        <v/>
      </c>
      <c r="C1225" s="125">
        <f>ric!D1225</f>
        <v/>
      </c>
      <c r="D1225" s="125" t="n"/>
      <c r="E1225" s="125" t="n"/>
      <c r="F1225" s="125" t="n"/>
      <c r="G1225" s="118">
        <f>CONCATENATE(A1225, " ",#REF!, " / ",H1225)</f>
        <v/>
      </c>
      <c r="H1225" s="118" t="n"/>
      <c r="I1225" s="119">
        <f>CONCATENATE(M1225," - ",J1225," - Lotto N° ",K1225,"")</f>
        <v/>
      </c>
      <c r="J1225" s="118" t="n"/>
      <c r="K1225" s="118">
        <f>VLOOKUP(#REF!,Produzione,7,FALSE)</f>
        <v/>
      </c>
      <c r="L1225" s="120" t="n"/>
      <c r="M1225" s="120" t="n"/>
      <c r="N1225" s="118" t="n"/>
      <c r="O1225" s="121" t="n"/>
      <c r="P1225" s="121" t="n"/>
      <c r="Q1225" s="166">
        <f>TODAY()</f>
        <v/>
      </c>
      <c r="R1225" s="165">
        <f>ElencoProdotti[[#This Row],[PRODUZIONE]]+20</f>
        <v/>
      </c>
      <c r="S1225" s="165">
        <f>TODAY()</f>
        <v/>
      </c>
      <c r="T1225" s="133">
        <f>CONCATENATE(A1225," - contiene allergni - prodotto il giorno ",TEXT(Q1225,"gg/mm/aaaa"),"")</f>
        <v/>
      </c>
    </row>
    <row r="1226" ht="15" customHeight="1" s="155">
      <c r="A1226" s="134">
        <f>ric!B1226</f>
        <v/>
      </c>
      <c r="B1226" s="118">
        <f>ric!C1226</f>
        <v/>
      </c>
      <c r="C1226" s="125">
        <f>ric!D1226</f>
        <v/>
      </c>
      <c r="D1226" s="125" t="n"/>
      <c r="E1226" s="125" t="n"/>
      <c r="F1226" s="125" t="n"/>
      <c r="G1226" s="118">
        <f>CONCATENATE(A1226, " ",#REF!, " / ",H1226)</f>
        <v/>
      </c>
      <c r="H1226" s="118" t="n"/>
      <c r="I1226" s="119">
        <f>CONCATENATE(M1226," - ",J1226," - Lotto N° ",K1226,"")</f>
        <v/>
      </c>
      <c r="J1226" s="118" t="n"/>
      <c r="K1226" s="118">
        <f>VLOOKUP(#REF!,Produzione,7,FALSE)</f>
        <v/>
      </c>
      <c r="L1226" s="120" t="n"/>
      <c r="M1226" s="120" t="n"/>
      <c r="N1226" s="118" t="n"/>
      <c r="O1226" s="121" t="n"/>
      <c r="P1226" s="121" t="n"/>
      <c r="Q1226" s="166">
        <f>TODAY()</f>
        <v/>
      </c>
      <c r="R1226" s="165">
        <f>ElencoProdotti[[#This Row],[PRODUZIONE]]+20</f>
        <v/>
      </c>
      <c r="S1226" s="165">
        <f>TODAY()</f>
        <v/>
      </c>
      <c r="T1226" s="133">
        <f>CONCATENATE(A1226," - contiene allergni - prodotto il giorno ",TEXT(Q1226,"gg/mm/aaaa"),"")</f>
        <v/>
      </c>
    </row>
    <row r="1227" ht="15" customHeight="1" s="155">
      <c r="A1227" s="134">
        <f>ric!B1227</f>
        <v/>
      </c>
      <c r="B1227" s="118">
        <f>ric!C1227</f>
        <v/>
      </c>
      <c r="C1227" s="125">
        <f>ric!D1227</f>
        <v/>
      </c>
      <c r="D1227" s="125" t="n"/>
      <c r="E1227" s="125" t="n"/>
      <c r="F1227" s="125" t="n"/>
      <c r="G1227" s="118">
        <f>CONCATENATE(A1227, " ",#REF!, " / ",H1227)</f>
        <v/>
      </c>
      <c r="H1227" s="118" t="n"/>
      <c r="I1227" s="119">
        <f>CONCATENATE(M1227," - ",J1227," - Lotto N° ",K1227,"")</f>
        <v/>
      </c>
      <c r="J1227" s="118" t="n"/>
      <c r="K1227" s="118">
        <f>VLOOKUP(#REF!,Produzione,7,FALSE)</f>
        <v/>
      </c>
      <c r="L1227" s="120" t="n"/>
      <c r="M1227" s="120" t="n"/>
      <c r="N1227" s="118" t="n"/>
      <c r="O1227" s="121" t="n"/>
      <c r="P1227" s="121" t="n"/>
      <c r="Q1227" s="166">
        <f>TODAY()</f>
        <v/>
      </c>
      <c r="R1227" s="165">
        <f>ElencoProdotti[[#This Row],[PRODUZIONE]]+20</f>
        <v/>
      </c>
      <c r="S1227" s="165">
        <f>TODAY()</f>
        <v/>
      </c>
      <c r="T1227" s="133">
        <f>CONCATENATE(A1227," - contiene allergni - prodotto il giorno ",TEXT(Q1227,"gg/mm/aaaa"),"")</f>
        <v/>
      </c>
    </row>
    <row r="1228" ht="15" customHeight="1" s="155">
      <c r="A1228" s="134">
        <f>ric!B1228</f>
        <v/>
      </c>
      <c r="B1228" s="118">
        <f>ric!C1228</f>
        <v/>
      </c>
      <c r="C1228" s="125">
        <f>ric!D1228</f>
        <v/>
      </c>
      <c r="D1228" s="125" t="n"/>
      <c r="E1228" s="125" t="n"/>
      <c r="F1228" s="125" t="n"/>
      <c r="G1228" s="118">
        <f>CONCATENATE(A1228, " ",#REF!, " / ",H1228)</f>
        <v/>
      </c>
      <c r="H1228" s="118" t="n"/>
      <c r="I1228" s="119">
        <f>CONCATENATE(M1228," - ",J1228," - Lotto N° ",K1228,"")</f>
        <v/>
      </c>
      <c r="J1228" s="118" t="n"/>
      <c r="K1228" s="118">
        <f>VLOOKUP(#REF!,Produzione,7,FALSE)</f>
        <v/>
      </c>
      <c r="L1228" s="120" t="n"/>
      <c r="M1228" s="120" t="n"/>
      <c r="N1228" s="118" t="n"/>
      <c r="O1228" s="121" t="n"/>
      <c r="P1228" s="121" t="n"/>
      <c r="Q1228" s="166">
        <f>TODAY()</f>
        <v/>
      </c>
      <c r="R1228" s="165">
        <f>ElencoProdotti[[#This Row],[PRODUZIONE]]+20</f>
        <v/>
      </c>
      <c r="S1228" s="165">
        <f>TODAY()</f>
        <v/>
      </c>
      <c r="T1228" s="133">
        <f>CONCATENATE(A1228," - contiene allergni - prodotto il giorno ",TEXT(Q1228,"gg/mm/aaaa"),"")</f>
        <v/>
      </c>
    </row>
    <row r="1229" ht="15" customHeight="1" s="155">
      <c r="A1229" s="134">
        <f>ric!B1229</f>
        <v/>
      </c>
      <c r="B1229" s="118">
        <f>ric!C1229</f>
        <v/>
      </c>
      <c r="C1229" s="125">
        <f>ric!D1229</f>
        <v/>
      </c>
      <c r="D1229" s="125" t="n"/>
      <c r="E1229" s="125" t="n"/>
      <c r="F1229" s="125" t="n"/>
      <c r="G1229" s="118">
        <f>CONCATENATE(A1229, " ",#REF!, " / ",H1229)</f>
        <v/>
      </c>
      <c r="H1229" s="118" t="n"/>
      <c r="I1229" s="119">
        <f>CONCATENATE(M1229," - ",J1229," - Lotto N° ",K1229,"")</f>
        <v/>
      </c>
      <c r="J1229" s="118" t="n"/>
      <c r="K1229" s="118">
        <f>VLOOKUP(#REF!,Produzione,7,FALSE)</f>
        <v/>
      </c>
      <c r="L1229" s="120" t="n"/>
      <c r="M1229" s="120" t="n"/>
      <c r="N1229" s="118" t="n"/>
      <c r="O1229" s="121" t="n"/>
      <c r="P1229" s="121" t="n"/>
      <c r="Q1229" s="166">
        <f>TODAY()</f>
        <v/>
      </c>
      <c r="R1229" s="165">
        <f>ElencoProdotti[[#This Row],[PRODUZIONE]]+20</f>
        <v/>
      </c>
      <c r="S1229" s="165">
        <f>TODAY()</f>
        <v/>
      </c>
      <c r="T1229" s="133">
        <f>CONCATENATE(A1229," - contiene allergni - prodotto il giorno ",TEXT(Q1229,"gg/mm/aaaa"),"")</f>
        <v/>
      </c>
    </row>
    <row r="1230" ht="15" customHeight="1" s="155">
      <c r="A1230" s="134">
        <f>ric!B1230</f>
        <v/>
      </c>
      <c r="B1230" s="118">
        <f>ric!C1230</f>
        <v/>
      </c>
      <c r="C1230" s="125">
        <f>ric!D1230</f>
        <v/>
      </c>
      <c r="D1230" s="125" t="n"/>
      <c r="E1230" s="125" t="n"/>
      <c r="F1230" s="125" t="n"/>
      <c r="G1230" s="118">
        <f>CONCATENATE(A1230, " ",#REF!, " / ",H1230)</f>
        <v/>
      </c>
      <c r="H1230" s="118" t="n"/>
      <c r="I1230" s="119">
        <f>CONCATENATE(M1230," - ",J1230," - Lotto N° ",K1230,"")</f>
        <v/>
      </c>
      <c r="J1230" s="118" t="n"/>
      <c r="K1230" s="118">
        <f>VLOOKUP(#REF!,Produzione,7,FALSE)</f>
        <v/>
      </c>
      <c r="L1230" s="120" t="n"/>
      <c r="M1230" s="120" t="n"/>
      <c r="N1230" s="118" t="n"/>
      <c r="O1230" s="121" t="n"/>
      <c r="P1230" s="121" t="n"/>
      <c r="Q1230" s="166">
        <f>TODAY()</f>
        <v/>
      </c>
      <c r="R1230" s="165">
        <f>ElencoProdotti[[#This Row],[PRODUZIONE]]+20</f>
        <v/>
      </c>
      <c r="S1230" s="165">
        <f>TODAY()</f>
        <v/>
      </c>
      <c r="T1230" s="133">
        <f>CONCATENATE(A1230," - contiene allergni - prodotto il giorno ",TEXT(Q1230,"gg/mm/aaaa"),"")</f>
        <v/>
      </c>
    </row>
    <row r="1231" ht="15" customHeight="1" s="155">
      <c r="A1231" s="134">
        <f>ric!B1231</f>
        <v/>
      </c>
      <c r="B1231" s="118">
        <f>ric!C1231</f>
        <v/>
      </c>
      <c r="C1231" s="125">
        <f>ric!D1231</f>
        <v/>
      </c>
      <c r="D1231" s="125" t="n"/>
      <c r="E1231" s="125" t="n"/>
      <c r="F1231" s="125" t="n"/>
      <c r="G1231" s="118">
        <f>CONCATENATE(A1231, " ",#REF!, " / ",H1231)</f>
        <v/>
      </c>
      <c r="H1231" s="118" t="n"/>
      <c r="I1231" s="119">
        <f>CONCATENATE(M1231," - ",J1231," - Lotto N° ",K1231,"")</f>
        <v/>
      </c>
      <c r="J1231" s="118" t="n"/>
      <c r="K1231" s="118">
        <f>VLOOKUP(#REF!,Produzione,7,FALSE)</f>
        <v/>
      </c>
      <c r="L1231" s="120" t="n"/>
      <c r="M1231" s="120" t="n"/>
      <c r="N1231" s="118" t="n"/>
      <c r="O1231" s="121" t="n"/>
      <c r="P1231" s="121" t="n"/>
      <c r="Q1231" s="166">
        <f>TODAY()</f>
        <v/>
      </c>
      <c r="R1231" s="165">
        <f>ElencoProdotti[[#This Row],[PRODUZIONE]]+20</f>
        <v/>
      </c>
      <c r="S1231" s="165">
        <f>TODAY()</f>
        <v/>
      </c>
      <c r="T1231" s="133">
        <f>CONCATENATE(A1231," - contiene allergni - prodotto il giorno ",TEXT(Q1231,"gg/mm/aaaa"),"")</f>
        <v/>
      </c>
    </row>
    <row r="1232" ht="15" customHeight="1" s="155">
      <c r="A1232" s="134">
        <f>ric!B1232</f>
        <v/>
      </c>
      <c r="B1232" s="118">
        <f>ric!C1232</f>
        <v/>
      </c>
      <c r="C1232" s="125">
        <f>ric!D1232</f>
        <v/>
      </c>
      <c r="D1232" s="125" t="n"/>
      <c r="E1232" s="125" t="n"/>
      <c r="F1232" s="125" t="n"/>
      <c r="G1232" s="118">
        <f>CONCATENATE(A1232, " ",#REF!, " / ",H1232)</f>
        <v/>
      </c>
      <c r="H1232" s="118" t="n"/>
      <c r="I1232" s="119">
        <f>CONCATENATE(M1232," - ",J1232," - Lotto N° ",K1232,"")</f>
        <v/>
      </c>
      <c r="J1232" s="118" t="n"/>
      <c r="K1232" s="118">
        <f>VLOOKUP(#REF!,Produzione,7,FALSE)</f>
        <v/>
      </c>
      <c r="L1232" s="120" t="n"/>
      <c r="M1232" s="120" t="n"/>
      <c r="N1232" s="118" t="n"/>
      <c r="O1232" s="121" t="n"/>
      <c r="P1232" s="121" t="n"/>
      <c r="Q1232" s="166">
        <f>TODAY()</f>
        <v/>
      </c>
      <c r="R1232" s="165">
        <f>ElencoProdotti[[#This Row],[PRODUZIONE]]+20</f>
        <v/>
      </c>
      <c r="S1232" s="165">
        <f>TODAY()</f>
        <v/>
      </c>
      <c r="T1232" s="133">
        <f>CONCATENATE(A1232," - contiene allergni - prodotto il giorno ",TEXT(Q1232,"gg/mm/aaaa"),"")</f>
        <v/>
      </c>
    </row>
    <row r="1233" ht="15" customHeight="1" s="155">
      <c r="A1233" s="134">
        <f>ric!B1233</f>
        <v/>
      </c>
      <c r="B1233" s="118">
        <f>ric!C1233</f>
        <v/>
      </c>
      <c r="C1233" s="125">
        <f>ric!D1233</f>
        <v/>
      </c>
      <c r="D1233" s="125" t="n"/>
      <c r="E1233" s="125" t="n"/>
      <c r="F1233" s="125" t="n"/>
      <c r="G1233" s="118">
        <f>CONCATENATE(A1233, " ",#REF!, " / ",H1233)</f>
        <v/>
      </c>
      <c r="H1233" s="118" t="n"/>
      <c r="I1233" s="119">
        <f>CONCATENATE(M1233," - ",J1233," - Lotto N° ",K1233,"")</f>
        <v/>
      </c>
      <c r="J1233" s="118" t="n"/>
      <c r="K1233" s="118">
        <f>VLOOKUP(#REF!,Produzione,7,FALSE)</f>
        <v/>
      </c>
      <c r="L1233" s="120" t="n"/>
      <c r="M1233" s="120" t="n"/>
      <c r="N1233" s="118" t="n"/>
      <c r="O1233" s="121" t="n"/>
      <c r="P1233" s="121" t="n"/>
      <c r="Q1233" s="166">
        <f>TODAY()</f>
        <v/>
      </c>
      <c r="R1233" s="165">
        <f>ElencoProdotti[[#This Row],[PRODUZIONE]]+20</f>
        <v/>
      </c>
      <c r="S1233" s="165">
        <f>TODAY()</f>
        <v/>
      </c>
      <c r="T1233" s="133">
        <f>CONCATENATE(A1233," - contiene allergni - prodotto il giorno ",TEXT(Q1233,"gg/mm/aaaa"),"")</f>
        <v/>
      </c>
    </row>
    <row r="1234" ht="15" customHeight="1" s="155">
      <c r="A1234" s="134">
        <f>ric!B1234</f>
        <v/>
      </c>
      <c r="B1234" s="118">
        <f>ric!C1234</f>
        <v/>
      </c>
      <c r="C1234" s="125">
        <f>ric!D1234</f>
        <v/>
      </c>
      <c r="D1234" s="125" t="n"/>
      <c r="E1234" s="125" t="n"/>
      <c r="F1234" s="125" t="n"/>
      <c r="G1234" s="118">
        <f>CONCATENATE(A1234, " ",#REF!, " / ",H1234)</f>
        <v/>
      </c>
      <c r="H1234" s="118" t="n"/>
      <c r="I1234" s="119">
        <f>CONCATENATE(M1234," - ",J1234," - Lotto N° ",K1234,"")</f>
        <v/>
      </c>
      <c r="J1234" s="118" t="n"/>
      <c r="K1234" s="118">
        <f>VLOOKUP(#REF!,Produzione,7,FALSE)</f>
        <v/>
      </c>
      <c r="L1234" s="120" t="n"/>
      <c r="M1234" s="120" t="n"/>
      <c r="N1234" s="118" t="n"/>
      <c r="O1234" s="121" t="n"/>
      <c r="P1234" s="121" t="n"/>
      <c r="Q1234" s="166">
        <f>TODAY()</f>
        <v/>
      </c>
      <c r="R1234" s="165">
        <f>ElencoProdotti[[#This Row],[PRODUZIONE]]+20</f>
        <v/>
      </c>
      <c r="S1234" s="165">
        <f>TODAY()</f>
        <v/>
      </c>
      <c r="T1234" s="133">
        <f>CONCATENATE(A1234," - contiene allergni - prodotto il giorno ",TEXT(Q1234,"gg/mm/aaaa"),"")</f>
        <v/>
      </c>
    </row>
    <row r="1235" ht="15" customHeight="1" s="155">
      <c r="A1235" s="134">
        <f>ric!B1235</f>
        <v/>
      </c>
      <c r="B1235" s="118">
        <f>ric!C1235</f>
        <v/>
      </c>
      <c r="C1235" s="125">
        <f>ric!D1235</f>
        <v/>
      </c>
      <c r="D1235" s="125" t="n"/>
      <c r="E1235" s="125" t="n"/>
      <c r="F1235" s="125" t="n"/>
      <c r="G1235" s="118">
        <f>CONCATENATE(A1235, " ",#REF!, " / ",H1235)</f>
        <v/>
      </c>
      <c r="H1235" s="118" t="n"/>
      <c r="I1235" s="119">
        <f>CONCATENATE(M1235," - ",J1235," - Lotto N° ",K1235,"")</f>
        <v/>
      </c>
      <c r="J1235" s="118" t="n"/>
      <c r="K1235" s="118">
        <f>VLOOKUP(#REF!,Produzione,7,FALSE)</f>
        <v/>
      </c>
      <c r="L1235" s="120" t="n"/>
      <c r="M1235" s="120" t="n"/>
      <c r="N1235" s="118" t="n"/>
      <c r="O1235" s="121" t="n"/>
      <c r="P1235" s="121" t="n"/>
      <c r="Q1235" s="166">
        <f>TODAY()</f>
        <v/>
      </c>
      <c r="R1235" s="165">
        <f>ElencoProdotti[[#This Row],[PRODUZIONE]]+20</f>
        <v/>
      </c>
      <c r="S1235" s="165">
        <f>TODAY()</f>
        <v/>
      </c>
      <c r="T1235" s="133">
        <f>CONCATENATE(A1235," - contiene allergni - prodotto il giorno ",TEXT(Q1235,"gg/mm/aaaa"),"")</f>
        <v/>
      </c>
    </row>
    <row r="1236" ht="15" customHeight="1" s="155">
      <c r="A1236" s="134">
        <f>ric!B1236</f>
        <v/>
      </c>
      <c r="B1236" s="118">
        <f>ric!C1236</f>
        <v/>
      </c>
      <c r="C1236" s="125">
        <f>ric!D1236</f>
        <v/>
      </c>
      <c r="D1236" s="125" t="n"/>
      <c r="E1236" s="125" t="n"/>
      <c r="F1236" s="125" t="n"/>
      <c r="G1236" s="118">
        <f>CONCATENATE(A1236, " ",#REF!, " / ",H1236)</f>
        <v/>
      </c>
      <c r="H1236" s="118" t="n"/>
      <c r="I1236" s="119">
        <f>CONCATENATE(M1236," - ",J1236," - Lotto N° ",K1236,"")</f>
        <v/>
      </c>
      <c r="J1236" s="118" t="n"/>
      <c r="K1236" s="118">
        <f>VLOOKUP(#REF!,Produzione,7,FALSE)</f>
        <v/>
      </c>
      <c r="L1236" s="120" t="n"/>
      <c r="M1236" s="120" t="n"/>
      <c r="N1236" s="118" t="n"/>
      <c r="O1236" s="121" t="n"/>
      <c r="P1236" s="121" t="n"/>
      <c r="Q1236" s="166">
        <f>TODAY()</f>
        <v/>
      </c>
      <c r="R1236" s="165">
        <f>ElencoProdotti[[#This Row],[PRODUZIONE]]+20</f>
        <v/>
      </c>
      <c r="S1236" s="165">
        <f>TODAY()</f>
        <v/>
      </c>
      <c r="T1236" s="133">
        <f>CONCATENATE(A1236," - contiene allergni - prodotto il giorno ",TEXT(Q1236,"gg/mm/aaaa"),"")</f>
        <v/>
      </c>
    </row>
    <row r="1237" ht="15" customHeight="1" s="155">
      <c r="A1237" s="134">
        <f>ric!B1237</f>
        <v/>
      </c>
      <c r="B1237" s="118">
        <f>ric!C1237</f>
        <v/>
      </c>
      <c r="C1237" s="125">
        <f>ric!D1237</f>
        <v/>
      </c>
      <c r="D1237" s="125" t="n"/>
      <c r="E1237" s="125" t="n"/>
      <c r="F1237" s="125" t="n"/>
      <c r="G1237" s="118">
        <f>CONCATENATE(A1237, " ",#REF!, " / ",H1237)</f>
        <v/>
      </c>
      <c r="H1237" s="118" t="n"/>
      <c r="I1237" s="119">
        <f>CONCATENATE(M1237," - ",J1237," - Lotto N° ",K1237,"")</f>
        <v/>
      </c>
      <c r="J1237" s="118" t="n"/>
      <c r="K1237" s="118">
        <f>VLOOKUP(#REF!,Produzione,7,FALSE)</f>
        <v/>
      </c>
      <c r="L1237" s="120" t="n"/>
      <c r="M1237" s="120" t="n"/>
      <c r="N1237" s="118" t="n"/>
      <c r="O1237" s="121" t="n"/>
      <c r="P1237" s="121" t="n"/>
      <c r="Q1237" s="166">
        <f>TODAY()</f>
        <v/>
      </c>
      <c r="R1237" s="165">
        <f>ElencoProdotti[[#This Row],[PRODUZIONE]]+20</f>
        <v/>
      </c>
      <c r="S1237" s="165">
        <f>TODAY()</f>
        <v/>
      </c>
      <c r="T1237" s="133">
        <f>CONCATENATE(A1237," - contiene allergni - prodotto il giorno ",TEXT(Q1237,"gg/mm/aaaa"),"")</f>
        <v/>
      </c>
    </row>
    <row r="1238" ht="15" customHeight="1" s="155">
      <c r="A1238" s="134">
        <f>ric!B1238</f>
        <v/>
      </c>
      <c r="B1238" s="118">
        <f>ric!C1238</f>
        <v/>
      </c>
      <c r="C1238" s="125">
        <f>ric!D1238</f>
        <v/>
      </c>
      <c r="D1238" s="125" t="n"/>
      <c r="E1238" s="125" t="n"/>
      <c r="F1238" s="125" t="n"/>
      <c r="G1238" s="118">
        <f>CONCATENATE(A1238, " ",#REF!, " / ",H1238)</f>
        <v/>
      </c>
      <c r="H1238" s="118" t="n"/>
      <c r="I1238" s="119">
        <f>CONCATENATE(M1238," - ",J1238," - Lotto N° ",K1238,"")</f>
        <v/>
      </c>
      <c r="J1238" s="118" t="n"/>
      <c r="K1238" s="118">
        <f>VLOOKUP(#REF!,Produzione,7,FALSE)</f>
        <v/>
      </c>
      <c r="L1238" s="120" t="n"/>
      <c r="M1238" s="120" t="n"/>
      <c r="N1238" s="118" t="n"/>
      <c r="O1238" s="121" t="n"/>
      <c r="P1238" s="121" t="n"/>
      <c r="Q1238" s="166">
        <f>TODAY()</f>
        <v/>
      </c>
      <c r="R1238" s="165">
        <f>ElencoProdotti[[#This Row],[PRODUZIONE]]+20</f>
        <v/>
      </c>
      <c r="S1238" s="165">
        <f>TODAY()</f>
        <v/>
      </c>
      <c r="T1238" s="133">
        <f>CONCATENATE(A1238," - contiene allergni - prodotto il giorno ",TEXT(Q1238,"gg/mm/aaaa"),"")</f>
        <v/>
      </c>
    </row>
    <row r="1239" ht="15" customHeight="1" s="155">
      <c r="A1239" s="134">
        <f>ric!B1239</f>
        <v/>
      </c>
      <c r="B1239" s="118">
        <f>ric!C1239</f>
        <v/>
      </c>
      <c r="C1239" s="125">
        <f>ric!D1239</f>
        <v/>
      </c>
      <c r="D1239" s="125" t="n"/>
      <c r="E1239" s="125" t="n"/>
      <c r="F1239" s="125" t="n"/>
      <c r="G1239" s="118">
        <f>CONCATENATE(A1239, " ",#REF!, " / ",H1239)</f>
        <v/>
      </c>
      <c r="H1239" s="118" t="n"/>
      <c r="I1239" s="119">
        <f>CONCATENATE(M1239," - ",J1239," - Lotto N° ",K1239,"")</f>
        <v/>
      </c>
      <c r="J1239" s="118" t="n"/>
      <c r="K1239" s="118">
        <f>VLOOKUP(#REF!,Produzione,7,FALSE)</f>
        <v/>
      </c>
      <c r="L1239" s="120" t="n"/>
      <c r="M1239" s="120" t="n"/>
      <c r="N1239" s="118" t="n"/>
      <c r="O1239" s="121" t="n"/>
      <c r="P1239" s="121" t="n"/>
      <c r="Q1239" s="166">
        <f>TODAY()</f>
        <v/>
      </c>
      <c r="R1239" s="165">
        <f>ElencoProdotti[[#This Row],[PRODUZIONE]]+20</f>
        <v/>
      </c>
      <c r="S1239" s="165">
        <f>TODAY()</f>
        <v/>
      </c>
      <c r="T1239" s="133">
        <f>CONCATENATE(A1239," - contiene allergni - prodotto il giorno ",TEXT(Q1239,"gg/mm/aaaa"),"")</f>
        <v/>
      </c>
    </row>
    <row r="1240" ht="15" customHeight="1" s="155">
      <c r="A1240" s="134">
        <f>ric!B1240</f>
        <v/>
      </c>
      <c r="B1240" s="118">
        <f>ric!C1240</f>
        <v/>
      </c>
      <c r="C1240" s="125">
        <f>ric!D1240</f>
        <v/>
      </c>
      <c r="D1240" s="125" t="n"/>
      <c r="E1240" s="125" t="n"/>
      <c r="F1240" s="125" t="n"/>
      <c r="G1240" s="118">
        <f>CONCATENATE(A1240, " ",#REF!, " / ",H1240)</f>
        <v/>
      </c>
      <c r="H1240" s="118" t="n"/>
      <c r="I1240" s="119">
        <f>CONCATENATE(M1240," - ",J1240," - Lotto N° ",K1240,"")</f>
        <v/>
      </c>
      <c r="J1240" s="118" t="n"/>
      <c r="K1240" s="118">
        <f>VLOOKUP(#REF!,Produzione,7,FALSE)</f>
        <v/>
      </c>
      <c r="L1240" s="120" t="n"/>
      <c r="M1240" s="120" t="n"/>
      <c r="N1240" s="118" t="n"/>
      <c r="O1240" s="121" t="n"/>
      <c r="P1240" s="121" t="n"/>
      <c r="Q1240" s="166">
        <f>TODAY()</f>
        <v/>
      </c>
      <c r="R1240" s="165">
        <f>ElencoProdotti[[#This Row],[PRODUZIONE]]+20</f>
        <v/>
      </c>
      <c r="S1240" s="165">
        <f>TODAY()</f>
        <v/>
      </c>
      <c r="T1240" s="133">
        <f>CONCATENATE(A1240," - contiene allergni - prodotto il giorno ",TEXT(Q1240,"gg/mm/aaaa"),"")</f>
        <v/>
      </c>
    </row>
    <row r="1241" ht="15" customHeight="1" s="155">
      <c r="A1241" s="134">
        <f>ric!B1241</f>
        <v/>
      </c>
      <c r="B1241" s="118">
        <f>ric!C1241</f>
        <v/>
      </c>
      <c r="C1241" s="125">
        <f>ric!D1241</f>
        <v/>
      </c>
      <c r="D1241" s="125" t="n"/>
      <c r="E1241" s="125" t="n"/>
      <c r="F1241" s="125" t="n"/>
      <c r="G1241" s="118">
        <f>CONCATENATE(A1241, " ",#REF!, " / ",H1241)</f>
        <v/>
      </c>
      <c r="H1241" s="118" t="n"/>
      <c r="I1241" s="119">
        <f>CONCATENATE(M1241," - ",J1241," - Lotto N° ",K1241,"")</f>
        <v/>
      </c>
      <c r="J1241" s="118" t="n"/>
      <c r="K1241" s="118">
        <f>VLOOKUP(#REF!,Produzione,7,FALSE)</f>
        <v/>
      </c>
      <c r="L1241" s="120" t="n"/>
      <c r="M1241" s="120" t="n"/>
      <c r="N1241" s="118" t="n"/>
      <c r="O1241" s="121" t="n"/>
      <c r="P1241" s="121" t="n"/>
      <c r="Q1241" s="166">
        <f>TODAY()</f>
        <v/>
      </c>
      <c r="R1241" s="165">
        <f>ElencoProdotti[[#This Row],[PRODUZIONE]]+20</f>
        <v/>
      </c>
      <c r="S1241" s="165">
        <f>TODAY()</f>
        <v/>
      </c>
      <c r="T1241" s="133">
        <f>CONCATENATE(A1241," - contiene allergni - prodotto il giorno ",TEXT(Q1241,"gg/mm/aaaa"),"")</f>
        <v/>
      </c>
    </row>
    <row r="1242" ht="15" customHeight="1" s="155">
      <c r="A1242" s="134">
        <f>ric!B1242</f>
        <v/>
      </c>
      <c r="B1242" s="118">
        <f>ric!C1242</f>
        <v/>
      </c>
      <c r="C1242" s="125">
        <f>ric!D1242</f>
        <v/>
      </c>
      <c r="D1242" s="125" t="n"/>
      <c r="E1242" s="125" t="n"/>
      <c r="F1242" s="125" t="n"/>
      <c r="G1242" s="118">
        <f>CONCATENATE(A1242, " ",#REF!, " / ",H1242)</f>
        <v/>
      </c>
      <c r="H1242" s="118" t="n"/>
      <c r="I1242" s="119">
        <f>CONCATENATE(M1242," - ",J1242," - Lotto N° ",K1242,"")</f>
        <v/>
      </c>
      <c r="J1242" s="118" t="n"/>
      <c r="K1242" s="118">
        <f>VLOOKUP(#REF!,Produzione,7,FALSE)</f>
        <v/>
      </c>
      <c r="L1242" s="120" t="n"/>
      <c r="M1242" s="120" t="n"/>
      <c r="N1242" s="118" t="n"/>
      <c r="O1242" s="121" t="n"/>
      <c r="P1242" s="121" t="n"/>
      <c r="Q1242" s="166">
        <f>TODAY()</f>
        <v/>
      </c>
      <c r="R1242" s="165">
        <f>ElencoProdotti[[#This Row],[PRODUZIONE]]+20</f>
        <v/>
      </c>
      <c r="S1242" s="165">
        <f>TODAY()</f>
        <v/>
      </c>
      <c r="T1242" s="133">
        <f>CONCATENATE(A1242," - contiene allergni - prodotto il giorno ",TEXT(Q1242,"gg/mm/aaaa"),"")</f>
        <v/>
      </c>
    </row>
    <row r="1243" ht="15" customHeight="1" s="155">
      <c r="A1243" s="134">
        <f>ric!B1243</f>
        <v/>
      </c>
      <c r="B1243" s="118">
        <f>ric!C1243</f>
        <v/>
      </c>
      <c r="C1243" s="125">
        <f>ric!D1243</f>
        <v/>
      </c>
      <c r="D1243" s="125" t="n"/>
      <c r="E1243" s="125" t="n"/>
      <c r="F1243" s="125" t="n"/>
      <c r="G1243" s="118">
        <f>CONCATENATE(A1243, " ",#REF!, " / ",H1243)</f>
        <v/>
      </c>
      <c r="H1243" s="118" t="n"/>
      <c r="I1243" s="119">
        <f>CONCATENATE(M1243," - ",J1243," - Lotto N° ",K1243,"")</f>
        <v/>
      </c>
      <c r="J1243" s="118" t="n"/>
      <c r="K1243" s="118">
        <f>VLOOKUP(#REF!,Produzione,7,FALSE)</f>
        <v/>
      </c>
      <c r="L1243" s="120" t="n"/>
      <c r="M1243" s="120" t="n"/>
      <c r="N1243" s="118" t="n"/>
      <c r="O1243" s="121" t="n"/>
      <c r="P1243" s="121" t="n"/>
      <c r="Q1243" s="166">
        <f>TODAY()</f>
        <v/>
      </c>
      <c r="R1243" s="165">
        <f>ElencoProdotti[[#This Row],[PRODUZIONE]]+20</f>
        <v/>
      </c>
      <c r="S1243" s="165">
        <f>TODAY()</f>
        <v/>
      </c>
      <c r="T1243" s="133">
        <f>CONCATENATE(A1243," - contiene allergni - prodotto il giorno ",TEXT(Q1243,"gg/mm/aaaa"),"")</f>
        <v/>
      </c>
    </row>
    <row r="1244" ht="15" customHeight="1" s="155">
      <c r="A1244" s="134">
        <f>ric!B1244</f>
        <v/>
      </c>
      <c r="B1244" s="118">
        <f>ric!C1244</f>
        <v/>
      </c>
      <c r="C1244" s="125">
        <f>ric!D1244</f>
        <v/>
      </c>
      <c r="D1244" s="125" t="n"/>
      <c r="E1244" s="125" t="n"/>
      <c r="F1244" s="125" t="n"/>
      <c r="G1244" s="118">
        <f>CONCATENATE(A1244, " ",#REF!, " / ",H1244)</f>
        <v/>
      </c>
      <c r="H1244" s="118" t="n"/>
      <c r="I1244" s="119">
        <f>CONCATENATE(M1244," - ",J1244," - Lotto N° ",K1244,"")</f>
        <v/>
      </c>
      <c r="J1244" s="118" t="n"/>
      <c r="K1244" s="118">
        <f>VLOOKUP(#REF!,Produzione,7,FALSE)</f>
        <v/>
      </c>
      <c r="L1244" s="120" t="n"/>
      <c r="M1244" s="120" t="n"/>
      <c r="N1244" s="118" t="n"/>
      <c r="O1244" s="121" t="n"/>
      <c r="P1244" s="121" t="n"/>
      <c r="Q1244" s="166">
        <f>TODAY()</f>
        <v/>
      </c>
      <c r="R1244" s="165">
        <f>ElencoProdotti[[#This Row],[PRODUZIONE]]+20</f>
        <v/>
      </c>
      <c r="S1244" s="165">
        <f>TODAY()</f>
        <v/>
      </c>
      <c r="T1244" s="133">
        <f>CONCATENATE(A1244," - contiene allergni - prodotto il giorno ",TEXT(Q1244,"gg/mm/aaaa"),"")</f>
        <v/>
      </c>
    </row>
    <row r="1245" ht="15" customHeight="1" s="155">
      <c r="A1245" s="134">
        <f>ric!B1245</f>
        <v/>
      </c>
      <c r="B1245" s="118">
        <f>ric!C1245</f>
        <v/>
      </c>
      <c r="C1245" s="125">
        <f>ric!D1245</f>
        <v/>
      </c>
      <c r="D1245" s="125" t="n"/>
      <c r="E1245" s="125" t="n"/>
      <c r="F1245" s="125" t="n"/>
      <c r="G1245" s="118">
        <f>CONCATENATE(A1245, " ",#REF!, " / ",H1245)</f>
        <v/>
      </c>
      <c r="H1245" s="118" t="n"/>
      <c r="I1245" s="119">
        <f>CONCATENATE(M1245," - ",J1245," - Lotto N° ",K1245,"")</f>
        <v/>
      </c>
      <c r="J1245" s="118" t="n"/>
      <c r="K1245" s="118">
        <f>VLOOKUP(#REF!,Produzione,7,FALSE)</f>
        <v/>
      </c>
      <c r="L1245" s="120" t="n"/>
      <c r="M1245" s="120" t="n"/>
      <c r="N1245" s="118" t="n"/>
      <c r="O1245" s="121" t="n"/>
      <c r="P1245" s="121" t="n"/>
      <c r="Q1245" s="166">
        <f>TODAY()</f>
        <v/>
      </c>
      <c r="R1245" s="165">
        <f>ElencoProdotti[[#This Row],[PRODUZIONE]]+20</f>
        <v/>
      </c>
      <c r="S1245" s="165">
        <f>TODAY()</f>
        <v/>
      </c>
      <c r="T1245" s="133">
        <f>CONCATENATE(A1245," - contiene allergni - prodotto il giorno ",TEXT(Q1245,"gg/mm/aaaa"),"")</f>
        <v/>
      </c>
    </row>
    <row r="1246" ht="15" customHeight="1" s="155">
      <c r="A1246" s="134">
        <f>ric!B1246</f>
        <v/>
      </c>
      <c r="B1246" s="118">
        <f>ric!C1246</f>
        <v/>
      </c>
      <c r="C1246" s="125">
        <f>ric!D1246</f>
        <v/>
      </c>
      <c r="D1246" s="125" t="n"/>
      <c r="E1246" s="125" t="n"/>
      <c r="F1246" s="125" t="n"/>
      <c r="G1246" s="118">
        <f>CONCATENATE(A1246, " ",#REF!, " / ",H1246)</f>
        <v/>
      </c>
      <c r="H1246" s="118" t="n"/>
      <c r="I1246" s="119">
        <f>CONCATENATE(M1246," - ",J1246," - Lotto N° ",K1246,"")</f>
        <v/>
      </c>
      <c r="J1246" s="118" t="n"/>
      <c r="K1246" s="118">
        <f>VLOOKUP(#REF!,Produzione,7,FALSE)</f>
        <v/>
      </c>
      <c r="L1246" s="120" t="n"/>
      <c r="M1246" s="120" t="n"/>
      <c r="N1246" s="118" t="n"/>
      <c r="O1246" s="121" t="n"/>
      <c r="P1246" s="121" t="n"/>
      <c r="Q1246" s="166">
        <f>TODAY()</f>
        <v/>
      </c>
      <c r="R1246" s="165">
        <f>ElencoProdotti[[#This Row],[PRODUZIONE]]+20</f>
        <v/>
      </c>
      <c r="S1246" s="165">
        <f>TODAY()</f>
        <v/>
      </c>
      <c r="T1246" s="133">
        <f>CONCATENATE(A1246," - contiene allergni - prodotto il giorno ",TEXT(Q1246,"gg/mm/aaaa"),"")</f>
        <v/>
      </c>
    </row>
    <row r="1247" ht="15" customHeight="1" s="155">
      <c r="A1247" s="134">
        <f>ric!B1247</f>
        <v/>
      </c>
      <c r="B1247" s="118">
        <f>ric!C1247</f>
        <v/>
      </c>
      <c r="C1247" s="125">
        <f>ric!D1247</f>
        <v/>
      </c>
      <c r="D1247" s="125" t="n"/>
      <c r="E1247" s="125" t="n"/>
      <c r="F1247" s="125" t="n"/>
      <c r="G1247" s="118">
        <f>CONCATENATE(A1247, " ",#REF!, " / ",H1247)</f>
        <v/>
      </c>
      <c r="H1247" s="118" t="n"/>
      <c r="I1247" s="119">
        <f>CONCATENATE(M1247," - ",J1247," - Lotto N° ",K1247,"")</f>
        <v/>
      </c>
      <c r="J1247" s="118" t="n"/>
      <c r="K1247" s="118">
        <f>VLOOKUP(#REF!,Produzione,7,FALSE)</f>
        <v/>
      </c>
      <c r="L1247" s="120" t="n"/>
      <c r="M1247" s="120" t="n"/>
      <c r="N1247" s="118" t="n"/>
      <c r="O1247" s="121" t="n"/>
      <c r="P1247" s="121" t="n"/>
      <c r="Q1247" s="166">
        <f>TODAY()</f>
        <v/>
      </c>
      <c r="R1247" s="165">
        <f>ElencoProdotti[[#This Row],[PRODUZIONE]]+20</f>
        <v/>
      </c>
      <c r="S1247" s="165">
        <f>TODAY()</f>
        <v/>
      </c>
      <c r="T1247" s="133">
        <f>CONCATENATE(A1247," - contiene allergni - prodotto il giorno ",TEXT(Q1247,"gg/mm/aaaa"),"")</f>
        <v/>
      </c>
    </row>
    <row r="1248" ht="15" customHeight="1" s="155">
      <c r="A1248" s="134">
        <f>ric!B1248</f>
        <v/>
      </c>
      <c r="B1248" s="118">
        <f>ric!C1248</f>
        <v/>
      </c>
      <c r="C1248" s="125">
        <f>ric!D1248</f>
        <v/>
      </c>
      <c r="D1248" s="125" t="n"/>
      <c r="E1248" s="125" t="n"/>
      <c r="F1248" s="125" t="n"/>
      <c r="G1248" s="118">
        <f>CONCATENATE(A1248, " ",#REF!, " / ",H1248)</f>
        <v/>
      </c>
      <c r="H1248" s="118" t="n"/>
      <c r="I1248" s="119">
        <f>CONCATENATE(M1248," - ",J1248," - Lotto N° ",K1248,"")</f>
        <v/>
      </c>
      <c r="J1248" s="118" t="n"/>
      <c r="K1248" s="118">
        <f>VLOOKUP(#REF!,Produzione,7,FALSE)</f>
        <v/>
      </c>
      <c r="L1248" s="120" t="n"/>
      <c r="M1248" s="120" t="n"/>
      <c r="N1248" s="118" t="n"/>
      <c r="O1248" s="121" t="n"/>
      <c r="P1248" s="121" t="n"/>
      <c r="Q1248" s="166">
        <f>TODAY()</f>
        <v/>
      </c>
      <c r="R1248" s="165">
        <f>ElencoProdotti[[#This Row],[PRODUZIONE]]+20</f>
        <v/>
      </c>
      <c r="S1248" s="165">
        <f>TODAY()</f>
        <v/>
      </c>
      <c r="T1248" s="133">
        <f>CONCATENATE(A1248," - contiene allergni - prodotto il giorno ",TEXT(Q1248,"gg/mm/aaaa"),"")</f>
        <v/>
      </c>
    </row>
    <row r="1249" ht="15" customHeight="1" s="155">
      <c r="A1249" s="134">
        <f>ric!B1249</f>
        <v/>
      </c>
      <c r="B1249" s="118">
        <f>ric!C1249</f>
        <v/>
      </c>
      <c r="C1249" s="125">
        <f>ric!D1249</f>
        <v/>
      </c>
      <c r="D1249" s="125" t="n"/>
      <c r="E1249" s="125" t="n"/>
      <c r="F1249" s="125" t="n"/>
      <c r="G1249" s="118">
        <f>CONCATENATE(A1249, " ",#REF!, " / ",H1249)</f>
        <v/>
      </c>
      <c r="H1249" s="118" t="n"/>
      <c r="I1249" s="119">
        <f>CONCATENATE(M1249," - ",J1249," - Lotto N° ",K1249,"")</f>
        <v/>
      </c>
      <c r="J1249" s="118" t="n"/>
      <c r="K1249" s="118">
        <f>VLOOKUP(#REF!,Produzione,7,FALSE)</f>
        <v/>
      </c>
      <c r="L1249" s="120" t="n"/>
      <c r="M1249" s="120" t="n"/>
      <c r="N1249" s="118" t="n"/>
      <c r="O1249" s="121" t="n"/>
      <c r="P1249" s="121" t="n"/>
      <c r="Q1249" s="166">
        <f>TODAY()</f>
        <v/>
      </c>
      <c r="R1249" s="165">
        <f>ElencoProdotti[[#This Row],[PRODUZIONE]]+20</f>
        <v/>
      </c>
      <c r="S1249" s="165">
        <f>TODAY()</f>
        <v/>
      </c>
      <c r="T1249" s="133">
        <f>CONCATENATE(A1249," - contiene allergni - prodotto il giorno ",TEXT(Q1249,"gg/mm/aaaa"),"")</f>
        <v/>
      </c>
    </row>
    <row r="1250" ht="15" customHeight="1" s="155">
      <c r="A1250" s="134">
        <f>ric!B1250</f>
        <v/>
      </c>
      <c r="B1250" s="118">
        <f>ric!C1250</f>
        <v/>
      </c>
      <c r="C1250" s="125">
        <f>ric!D1250</f>
        <v/>
      </c>
      <c r="D1250" s="125" t="n"/>
      <c r="E1250" s="125" t="n"/>
      <c r="F1250" s="125" t="n"/>
      <c r="G1250" s="118">
        <f>CONCATENATE(A1250, " ",#REF!, " / ",H1250)</f>
        <v/>
      </c>
      <c r="H1250" s="118" t="n"/>
      <c r="I1250" s="119">
        <f>CONCATENATE(M1250," - ",J1250," - Lotto N° ",K1250,"")</f>
        <v/>
      </c>
      <c r="J1250" s="118" t="n"/>
      <c r="K1250" s="118">
        <f>VLOOKUP(#REF!,Produzione,7,FALSE)</f>
        <v/>
      </c>
      <c r="L1250" s="120" t="n"/>
      <c r="M1250" s="120" t="n"/>
      <c r="N1250" s="118" t="n"/>
      <c r="O1250" s="121" t="n"/>
      <c r="P1250" s="121" t="n"/>
      <c r="Q1250" s="166">
        <f>TODAY()</f>
        <v/>
      </c>
      <c r="R1250" s="165">
        <f>ElencoProdotti[[#This Row],[PRODUZIONE]]+20</f>
        <v/>
      </c>
      <c r="S1250" s="165">
        <f>TODAY()</f>
        <v/>
      </c>
      <c r="T1250" s="133">
        <f>CONCATENATE(A1250," - contiene allergni - prodotto il giorno ",TEXT(Q1250,"gg/mm/aaaa"),"")</f>
        <v/>
      </c>
    </row>
    <row r="1251" ht="15" customHeight="1" s="155">
      <c r="A1251" s="134">
        <f>ric!B1251</f>
        <v/>
      </c>
      <c r="B1251" s="118">
        <f>ric!C1251</f>
        <v/>
      </c>
      <c r="C1251" s="125">
        <f>ric!D1251</f>
        <v/>
      </c>
      <c r="D1251" s="125" t="n"/>
      <c r="E1251" s="125" t="n"/>
      <c r="F1251" s="125" t="n"/>
      <c r="G1251" s="118">
        <f>CONCATENATE(A1251, " ",#REF!, " / ",H1251)</f>
        <v/>
      </c>
      <c r="H1251" s="118" t="n"/>
      <c r="I1251" s="119">
        <f>CONCATENATE(M1251," - ",J1251," - Lotto N° ",K1251,"")</f>
        <v/>
      </c>
      <c r="J1251" s="118" t="n"/>
      <c r="K1251" s="118">
        <f>VLOOKUP(#REF!,Produzione,7,FALSE)</f>
        <v/>
      </c>
      <c r="L1251" s="120" t="n"/>
      <c r="M1251" s="120" t="n"/>
      <c r="N1251" s="118" t="n"/>
      <c r="O1251" s="121" t="n"/>
      <c r="P1251" s="121" t="n"/>
      <c r="Q1251" s="166">
        <f>TODAY()</f>
        <v/>
      </c>
      <c r="R1251" s="165">
        <f>ElencoProdotti[[#This Row],[PRODUZIONE]]+20</f>
        <v/>
      </c>
      <c r="S1251" s="165">
        <f>TODAY()</f>
        <v/>
      </c>
      <c r="T1251" s="133">
        <f>CONCATENATE(A1251," - contiene allergni - prodotto il giorno ",TEXT(Q1251,"gg/mm/aaaa"),"")</f>
        <v/>
      </c>
    </row>
    <row r="1252" ht="15" customHeight="1" s="155">
      <c r="A1252" s="134">
        <f>ric!B1252</f>
        <v/>
      </c>
      <c r="B1252" s="118">
        <f>ric!C1252</f>
        <v/>
      </c>
      <c r="C1252" s="125">
        <f>ric!D1252</f>
        <v/>
      </c>
      <c r="D1252" s="125" t="n"/>
      <c r="E1252" s="125" t="n"/>
      <c r="F1252" s="125" t="n"/>
      <c r="G1252" s="118">
        <f>CONCATENATE(A1252, " ",#REF!, " / ",H1252)</f>
        <v/>
      </c>
      <c r="H1252" s="118" t="n"/>
      <c r="I1252" s="119">
        <f>CONCATENATE(M1252," - ",J1252," - Lotto N° ",K1252,"")</f>
        <v/>
      </c>
      <c r="J1252" s="118" t="n"/>
      <c r="K1252" s="118">
        <f>VLOOKUP(#REF!,Produzione,7,FALSE)</f>
        <v/>
      </c>
      <c r="L1252" s="120" t="n"/>
      <c r="M1252" s="120" t="n"/>
      <c r="N1252" s="118" t="n"/>
      <c r="O1252" s="121" t="n"/>
      <c r="P1252" s="121" t="n"/>
      <c r="Q1252" s="166">
        <f>TODAY()</f>
        <v/>
      </c>
      <c r="R1252" s="165">
        <f>ElencoProdotti[[#This Row],[PRODUZIONE]]+20</f>
        <v/>
      </c>
      <c r="S1252" s="165">
        <f>TODAY()</f>
        <v/>
      </c>
      <c r="T1252" s="133">
        <f>CONCATENATE(A1252," - contiene allergni - prodotto il giorno ",TEXT(Q1252,"gg/mm/aaaa"),"")</f>
        <v/>
      </c>
    </row>
    <row r="1253" ht="15" customHeight="1" s="155">
      <c r="A1253" s="134">
        <f>ric!B1253</f>
        <v/>
      </c>
      <c r="B1253" s="118">
        <f>ric!C1253</f>
        <v/>
      </c>
      <c r="C1253" s="125">
        <f>ric!D1253</f>
        <v/>
      </c>
      <c r="D1253" s="125" t="n"/>
      <c r="E1253" s="125" t="n"/>
      <c r="F1253" s="125" t="n"/>
      <c r="G1253" s="118">
        <f>CONCATENATE(A1253, " ",#REF!, " / ",H1253)</f>
        <v/>
      </c>
      <c r="H1253" s="118" t="n"/>
      <c r="I1253" s="119">
        <f>CONCATENATE(M1253," - ",J1253," - Lotto N° ",K1253,"")</f>
        <v/>
      </c>
      <c r="J1253" s="118" t="n"/>
      <c r="K1253" s="118">
        <f>VLOOKUP(#REF!,Produzione,7,FALSE)</f>
        <v/>
      </c>
      <c r="L1253" s="120" t="n"/>
      <c r="M1253" s="120" t="n"/>
      <c r="N1253" s="118" t="n"/>
      <c r="O1253" s="121" t="n"/>
      <c r="P1253" s="121" t="n"/>
      <c r="Q1253" s="166">
        <f>TODAY()</f>
        <v/>
      </c>
      <c r="R1253" s="165">
        <f>ElencoProdotti[[#This Row],[PRODUZIONE]]+20</f>
        <v/>
      </c>
      <c r="S1253" s="165">
        <f>TODAY()</f>
        <v/>
      </c>
      <c r="T1253" s="133">
        <f>CONCATENATE(A1253," - contiene allergni - prodotto il giorno ",TEXT(Q1253,"gg/mm/aaaa"),"")</f>
        <v/>
      </c>
    </row>
    <row r="1254" ht="15" customHeight="1" s="155">
      <c r="A1254" s="134">
        <f>ric!B1254</f>
        <v/>
      </c>
      <c r="B1254" s="118">
        <f>ric!C1254</f>
        <v/>
      </c>
      <c r="C1254" s="125">
        <f>ric!D1254</f>
        <v/>
      </c>
      <c r="D1254" s="125" t="n"/>
      <c r="E1254" s="125" t="n"/>
      <c r="F1254" s="125" t="n"/>
      <c r="G1254" s="118">
        <f>CONCATENATE(A1254, " ",#REF!, " / ",H1254)</f>
        <v/>
      </c>
      <c r="H1254" s="118" t="n"/>
      <c r="I1254" s="119">
        <f>CONCATENATE(M1254," - ",J1254," - Lotto N° ",K1254,"")</f>
        <v/>
      </c>
      <c r="J1254" s="118" t="n"/>
      <c r="K1254" s="118">
        <f>VLOOKUP(#REF!,Produzione,7,FALSE)</f>
        <v/>
      </c>
      <c r="L1254" s="120" t="n"/>
      <c r="M1254" s="120" t="n"/>
      <c r="N1254" s="118" t="n"/>
      <c r="O1254" s="121" t="n"/>
      <c r="P1254" s="121" t="n"/>
      <c r="Q1254" s="166">
        <f>TODAY()</f>
        <v/>
      </c>
      <c r="R1254" s="165">
        <f>ElencoProdotti[[#This Row],[PRODUZIONE]]+20</f>
        <v/>
      </c>
      <c r="S1254" s="165">
        <f>TODAY()</f>
        <v/>
      </c>
      <c r="T1254" s="133">
        <f>CONCATENATE(A1254," - contiene allergni - prodotto il giorno ",TEXT(Q1254,"gg/mm/aaaa"),"")</f>
        <v/>
      </c>
    </row>
    <row r="1255" ht="15" customHeight="1" s="155">
      <c r="A1255" s="134">
        <f>ric!B1255</f>
        <v/>
      </c>
      <c r="B1255" s="118">
        <f>ric!C1255</f>
        <v/>
      </c>
      <c r="C1255" s="125">
        <f>ric!D1255</f>
        <v/>
      </c>
      <c r="D1255" s="125" t="n"/>
      <c r="E1255" s="125" t="n"/>
      <c r="F1255" s="125" t="n"/>
      <c r="G1255" s="118">
        <f>CONCATENATE(A1255, " ",#REF!, " / ",H1255)</f>
        <v/>
      </c>
      <c r="H1255" s="118" t="n"/>
      <c r="I1255" s="119">
        <f>CONCATENATE(M1255," - ",J1255," - Lotto N° ",K1255,"")</f>
        <v/>
      </c>
      <c r="J1255" s="118" t="n"/>
      <c r="K1255" s="118">
        <f>VLOOKUP(#REF!,Produzione,7,FALSE)</f>
        <v/>
      </c>
      <c r="L1255" s="120" t="n"/>
      <c r="M1255" s="120" t="n"/>
      <c r="N1255" s="118" t="n"/>
      <c r="O1255" s="121" t="n"/>
      <c r="P1255" s="121" t="n"/>
      <c r="Q1255" s="166">
        <f>TODAY()</f>
        <v/>
      </c>
      <c r="R1255" s="165">
        <f>ElencoProdotti[[#This Row],[PRODUZIONE]]+20</f>
        <v/>
      </c>
      <c r="S1255" s="165">
        <f>TODAY()</f>
        <v/>
      </c>
      <c r="T1255" s="133">
        <f>CONCATENATE(A1255," - contiene allergni - prodotto il giorno ",TEXT(Q1255,"gg/mm/aaaa"),"")</f>
        <v/>
      </c>
    </row>
    <row r="1256" ht="15" customHeight="1" s="155">
      <c r="A1256" s="134">
        <f>ric!B1256</f>
        <v/>
      </c>
      <c r="B1256" s="118">
        <f>ric!C1256</f>
        <v/>
      </c>
      <c r="C1256" s="125">
        <f>ric!D1256</f>
        <v/>
      </c>
      <c r="D1256" s="125" t="n"/>
      <c r="E1256" s="125" t="n"/>
      <c r="F1256" s="125" t="n"/>
      <c r="G1256" s="118">
        <f>CONCATENATE(A1256, " ",#REF!, " / ",H1256)</f>
        <v/>
      </c>
      <c r="H1256" s="118" t="n"/>
      <c r="I1256" s="119">
        <f>CONCATENATE(M1256," - ",J1256," - Lotto N° ",K1256,"")</f>
        <v/>
      </c>
      <c r="J1256" s="118" t="n"/>
      <c r="K1256" s="118">
        <f>VLOOKUP(#REF!,Produzione,7,FALSE)</f>
        <v/>
      </c>
      <c r="L1256" s="120" t="n"/>
      <c r="M1256" s="120" t="n"/>
      <c r="N1256" s="118" t="n"/>
      <c r="O1256" s="121" t="n"/>
      <c r="P1256" s="121" t="n"/>
      <c r="Q1256" s="166">
        <f>TODAY()</f>
        <v/>
      </c>
      <c r="R1256" s="165">
        <f>ElencoProdotti[[#This Row],[PRODUZIONE]]+20</f>
        <v/>
      </c>
      <c r="S1256" s="165">
        <f>TODAY()</f>
        <v/>
      </c>
      <c r="T1256" s="133">
        <f>CONCATENATE(A1256," - contiene allergni - prodotto il giorno ",TEXT(Q1256,"gg/mm/aaaa"),"")</f>
        <v/>
      </c>
    </row>
    <row r="1257" ht="15" customHeight="1" s="155">
      <c r="A1257" s="134">
        <f>ric!B1257</f>
        <v/>
      </c>
      <c r="B1257" s="118">
        <f>ric!C1257</f>
        <v/>
      </c>
      <c r="C1257" s="125">
        <f>ric!D1257</f>
        <v/>
      </c>
      <c r="D1257" s="125" t="n"/>
      <c r="E1257" s="125" t="n"/>
      <c r="F1257" s="125" t="n"/>
      <c r="G1257" s="118">
        <f>CONCATENATE(A1257, " ",#REF!, " / ",H1257)</f>
        <v/>
      </c>
      <c r="H1257" s="118" t="n"/>
      <c r="I1257" s="119">
        <f>CONCATENATE(M1257," - ",J1257," - Lotto N° ",K1257,"")</f>
        <v/>
      </c>
      <c r="J1257" s="118" t="n"/>
      <c r="K1257" s="118">
        <f>VLOOKUP(#REF!,Produzione,7,FALSE)</f>
        <v/>
      </c>
      <c r="L1257" s="120" t="n"/>
      <c r="M1257" s="120" t="n"/>
      <c r="N1257" s="118" t="n"/>
      <c r="O1257" s="121" t="n"/>
      <c r="P1257" s="121" t="n"/>
      <c r="Q1257" s="166">
        <f>TODAY()</f>
        <v/>
      </c>
      <c r="R1257" s="165">
        <f>ElencoProdotti[[#This Row],[PRODUZIONE]]+20</f>
        <v/>
      </c>
      <c r="S1257" s="165">
        <f>TODAY()</f>
        <v/>
      </c>
      <c r="T1257" s="133">
        <f>CONCATENATE(A1257," - contiene allergni - prodotto il giorno ",TEXT(Q1257,"gg/mm/aaaa"),"")</f>
        <v/>
      </c>
    </row>
    <row r="1258" ht="15" customHeight="1" s="155">
      <c r="A1258" s="134">
        <f>ric!B1258</f>
        <v/>
      </c>
      <c r="B1258" s="118">
        <f>ric!C1258</f>
        <v/>
      </c>
      <c r="C1258" s="125">
        <f>ric!D1258</f>
        <v/>
      </c>
      <c r="D1258" s="125" t="n"/>
      <c r="E1258" s="125" t="n"/>
      <c r="F1258" s="125" t="n"/>
      <c r="G1258" s="118">
        <f>CONCATENATE(A1258, " ",#REF!, " / ",H1258)</f>
        <v/>
      </c>
      <c r="H1258" s="118" t="n"/>
      <c r="I1258" s="119">
        <f>CONCATENATE(M1258," - ",J1258," - Lotto N° ",K1258,"")</f>
        <v/>
      </c>
      <c r="J1258" s="118" t="n"/>
      <c r="K1258" s="118">
        <f>VLOOKUP(#REF!,Produzione,7,FALSE)</f>
        <v/>
      </c>
      <c r="L1258" s="120" t="n"/>
      <c r="M1258" s="120" t="n"/>
      <c r="N1258" s="118" t="n"/>
      <c r="O1258" s="121" t="n"/>
      <c r="P1258" s="121" t="n"/>
      <c r="Q1258" s="166">
        <f>TODAY()</f>
        <v/>
      </c>
      <c r="R1258" s="165">
        <f>ElencoProdotti[[#This Row],[PRODUZIONE]]+20</f>
        <v/>
      </c>
      <c r="S1258" s="165">
        <f>TODAY()</f>
        <v/>
      </c>
      <c r="T1258" s="133">
        <f>CONCATENATE(A1258," - contiene allergni - prodotto il giorno ",TEXT(Q1258,"gg/mm/aaaa"),"")</f>
        <v/>
      </c>
    </row>
    <row r="1259" ht="15" customHeight="1" s="155">
      <c r="A1259" s="134">
        <f>ric!B1259</f>
        <v/>
      </c>
      <c r="B1259" s="118">
        <f>ric!C1259</f>
        <v/>
      </c>
      <c r="C1259" s="125">
        <f>ric!D1259</f>
        <v/>
      </c>
      <c r="D1259" s="125" t="n"/>
      <c r="E1259" s="125" t="n"/>
      <c r="F1259" s="125" t="n"/>
      <c r="G1259" s="118">
        <f>CONCATENATE(A1259, " ",#REF!, " / ",H1259)</f>
        <v/>
      </c>
      <c r="H1259" s="118" t="n"/>
      <c r="I1259" s="119">
        <f>CONCATENATE(M1259," - ",J1259," - Lotto N° ",K1259,"")</f>
        <v/>
      </c>
      <c r="J1259" s="118" t="n"/>
      <c r="K1259" s="118">
        <f>VLOOKUP(#REF!,Produzione,7,FALSE)</f>
        <v/>
      </c>
      <c r="L1259" s="120" t="n"/>
      <c r="M1259" s="120" t="n"/>
      <c r="N1259" s="118" t="n"/>
      <c r="O1259" s="121" t="n"/>
      <c r="P1259" s="121" t="n"/>
      <c r="Q1259" s="166">
        <f>TODAY()</f>
        <v/>
      </c>
      <c r="R1259" s="165">
        <f>ElencoProdotti[[#This Row],[PRODUZIONE]]+20</f>
        <v/>
      </c>
      <c r="S1259" s="165">
        <f>TODAY()</f>
        <v/>
      </c>
      <c r="T1259" s="133">
        <f>CONCATENATE(A1259," - contiene allergni - prodotto il giorno ",TEXT(Q1259,"gg/mm/aaaa"),"")</f>
        <v/>
      </c>
    </row>
    <row r="1260" ht="15" customHeight="1" s="155">
      <c r="A1260" s="134">
        <f>ric!B1260</f>
        <v/>
      </c>
      <c r="B1260" s="118">
        <f>ric!C1260</f>
        <v/>
      </c>
      <c r="C1260" s="125">
        <f>ric!D1260</f>
        <v/>
      </c>
      <c r="D1260" s="125" t="n"/>
      <c r="E1260" s="125" t="n"/>
      <c r="F1260" s="125" t="n"/>
      <c r="G1260" s="118">
        <f>CONCATENATE(A1260, " ",#REF!, " / ",H1260)</f>
        <v/>
      </c>
      <c r="H1260" s="118" t="n"/>
      <c r="I1260" s="119">
        <f>CONCATENATE(M1260," - ",J1260," - Lotto N° ",K1260,"")</f>
        <v/>
      </c>
      <c r="J1260" s="118" t="n"/>
      <c r="K1260" s="118">
        <f>VLOOKUP(#REF!,Produzione,7,FALSE)</f>
        <v/>
      </c>
      <c r="L1260" s="120" t="n"/>
      <c r="M1260" s="120" t="n"/>
      <c r="N1260" s="118" t="n"/>
      <c r="O1260" s="121" t="n"/>
      <c r="P1260" s="121" t="n"/>
      <c r="Q1260" s="166">
        <f>TODAY()</f>
        <v/>
      </c>
      <c r="R1260" s="165">
        <f>ElencoProdotti[[#This Row],[PRODUZIONE]]+20</f>
        <v/>
      </c>
      <c r="S1260" s="165">
        <f>TODAY()</f>
        <v/>
      </c>
      <c r="T1260" s="133">
        <f>CONCATENATE(A1260," - contiene allergni - prodotto il giorno ",TEXT(Q1260,"gg/mm/aaaa"),"")</f>
        <v/>
      </c>
    </row>
    <row r="1261" ht="15" customHeight="1" s="155">
      <c r="A1261" s="134">
        <f>ric!B1261</f>
        <v/>
      </c>
      <c r="B1261" s="118">
        <f>ric!C1261</f>
        <v/>
      </c>
      <c r="C1261" s="125">
        <f>ric!D1261</f>
        <v/>
      </c>
      <c r="D1261" s="125" t="n"/>
      <c r="E1261" s="125" t="n"/>
      <c r="F1261" s="125" t="n"/>
      <c r="G1261" s="118">
        <f>CONCATENATE(A1261, " ",#REF!, " / ",H1261)</f>
        <v/>
      </c>
      <c r="H1261" s="118" t="n"/>
      <c r="I1261" s="119">
        <f>CONCATENATE(M1261," - ",J1261," - Lotto N° ",K1261,"")</f>
        <v/>
      </c>
      <c r="J1261" s="118" t="n"/>
      <c r="K1261" s="118">
        <f>VLOOKUP(#REF!,Produzione,7,FALSE)</f>
        <v/>
      </c>
      <c r="L1261" s="120" t="n"/>
      <c r="M1261" s="120" t="n"/>
      <c r="N1261" s="118" t="n"/>
      <c r="O1261" s="121" t="n"/>
      <c r="P1261" s="121" t="n"/>
      <c r="Q1261" s="166">
        <f>TODAY()</f>
        <v/>
      </c>
      <c r="R1261" s="165">
        <f>ElencoProdotti[[#This Row],[PRODUZIONE]]+20</f>
        <v/>
      </c>
      <c r="S1261" s="165">
        <f>TODAY()</f>
        <v/>
      </c>
      <c r="T1261" s="133">
        <f>CONCATENATE(A1261," - contiene allergni - prodotto il giorno ",TEXT(Q1261,"gg/mm/aaaa"),"")</f>
        <v/>
      </c>
    </row>
    <row r="1262" ht="15" customHeight="1" s="155">
      <c r="A1262" s="134">
        <f>ric!B1262</f>
        <v/>
      </c>
      <c r="B1262" s="118">
        <f>ric!C1262</f>
        <v/>
      </c>
      <c r="C1262" s="125">
        <f>ric!D1262</f>
        <v/>
      </c>
      <c r="D1262" s="125" t="n"/>
      <c r="E1262" s="125" t="n"/>
      <c r="F1262" s="125" t="n"/>
      <c r="G1262" s="118">
        <f>CONCATENATE(A1262, " ",#REF!, " / ",H1262)</f>
        <v/>
      </c>
      <c r="H1262" s="118" t="n"/>
      <c r="I1262" s="119">
        <f>CONCATENATE(M1262," - ",J1262," - Lotto N° ",K1262,"")</f>
        <v/>
      </c>
      <c r="J1262" s="118" t="n"/>
      <c r="K1262" s="118">
        <f>VLOOKUP(#REF!,Produzione,7,FALSE)</f>
        <v/>
      </c>
      <c r="L1262" s="120" t="n"/>
      <c r="M1262" s="120" t="n"/>
      <c r="N1262" s="118" t="n"/>
      <c r="O1262" s="121" t="n"/>
      <c r="P1262" s="121" t="n"/>
      <c r="Q1262" s="166">
        <f>TODAY()</f>
        <v/>
      </c>
      <c r="R1262" s="165">
        <f>ElencoProdotti[[#This Row],[PRODUZIONE]]+20</f>
        <v/>
      </c>
      <c r="S1262" s="165">
        <f>TODAY()</f>
        <v/>
      </c>
      <c r="T1262" s="133">
        <f>CONCATENATE(A1262," - contiene allergni - prodotto il giorno ",TEXT(Q1262,"gg/mm/aaaa"),"")</f>
        <v/>
      </c>
    </row>
    <row r="1263" ht="15" customHeight="1" s="155">
      <c r="A1263" s="134">
        <f>ric!B1263</f>
        <v/>
      </c>
      <c r="B1263" s="118">
        <f>ric!C1263</f>
        <v/>
      </c>
      <c r="C1263" s="125">
        <f>ric!D1263</f>
        <v/>
      </c>
      <c r="D1263" s="125" t="n"/>
      <c r="E1263" s="125" t="n"/>
      <c r="F1263" s="125" t="n"/>
      <c r="G1263" s="118">
        <f>CONCATENATE(A1263, " ",#REF!, " / ",H1263)</f>
        <v/>
      </c>
      <c r="H1263" s="118" t="n"/>
      <c r="I1263" s="119">
        <f>CONCATENATE(M1263," - ",J1263," - Lotto N° ",K1263,"")</f>
        <v/>
      </c>
      <c r="J1263" s="118" t="n"/>
      <c r="K1263" s="118">
        <f>VLOOKUP(#REF!,Produzione,7,FALSE)</f>
        <v/>
      </c>
      <c r="L1263" s="120" t="n"/>
      <c r="M1263" s="120" t="n"/>
      <c r="N1263" s="118" t="n"/>
      <c r="O1263" s="121" t="n"/>
      <c r="P1263" s="121" t="n"/>
      <c r="Q1263" s="166">
        <f>TODAY()</f>
        <v/>
      </c>
      <c r="R1263" s="165">
        <f>ElencoProdotti[[#This Row],[PRODUZIONE]]+20</f>
        <v/>
      </c>
      <c r="S1263" s="165">
        <f>TODAY()</f>
        <v/>
      </c>
      <c r="T1263" s="133">
        <f>CONCATENATE(A1263," - contiene allergni - prodotto il giorno ",TEXT(Q1263,"gg/mm/aaaa"),"")</f>
        <v/>
      </c>
    </row>
    <row r="1264" ht="15" customHeight="1" s="155">
      <c r="A1264" s="134">
        <f>ric!B1264</f>
        <v/>
      </c>
      <c r="B1264" s="118">
        <f>ric!C1264</f>
        <v/>
      </c>
      <c r="C1264" s="125">
        <f>ric!D1264</f>
        <v/>
      </c>
      <c r="D1264" s="125" t="n"/>
      <c r="E1264" s="125" t="n"/>
      <c r="F1264" s="125" t="n"/>
      <c r="G1264" s="118">
        <f>CONCATENATE(A1264, " ",#REF!, " / ",H1264)</f>
        <v/>
      </c>
      <c r="H1264" s="118" t="n"/>
      <c r="I1264" s="119">
        <f>CONCATENATE(M1264," - ",J1264," - Lotto N° ",K1264,"")</f>
        <v/>
      </c>
      <c r="J1264" s="118" t="n"/>
      <c r="K1264" s="118">
        <f>VLOOKUP(#REF!,Produzione,7,FALSE)</f>
        <v/>
      </c>
      <c r="L1264" s="120" t="n"/>
      <c r="M1264" s="120" t="n"/>
      <c r="N1264" s="118" t="n"/>
      <c r="O1264" s="121" t="n"/>
      <c r="P1264" s="121" t="n"/>
      <c r="Q1264" s="166">
        <f>TODAY()</f>
        <v/>
      </c>
      <c r="R1264" s="165">
        <f>ElencoProdotti[[#This Row],[PRODUZIONE]]+20</f>
        <v/>
      </c>
      <c r="S1264" s="165">
        <f>TODAY()</f>
        <v/>
      </c>
      <c r="T1264" s="133">
        <f>CONCATENATE(A1264," - contiene allergni - prodotto il giorno ",TEXT(Q1264,"gg/mm/aaaa"),"")</f>
        <v/>
      </c>
    </row>
    <row r="1265" ht="15" customHeight="1" s="155">
      <c r="A1265" s="134">
        <f>ric!B1265</f>
        <v/>
      </c>
      <c r="B1265" s="118">
        <f>ric!C1265</f>
        <v/>
      </c>
      <c r="C1265" s="125">
        <f>ric!D1265</f>
        <v/>
      </c>
      <c r="D1265" s="125" t="n"/>
      <c r="E1265" s="125" t="n"/>
      <c r="F1265" s="125" t="n"/>
      <c r="G1265" s="118">
        <f>CONCATENATE(A1265, " ",#REF!, " / ",H1265)</f>
        <v/>
      </c>
      <c r="H1265" s="118" t="n"/>
      <c r="I1265" s="119">
        <f>CONCATENATE(M1265," - ",J1265," - Lotto N° ",K1265,"")</f>
        <v/>
      </c>
      <c r="J1265" s="118" t="n"/>
      <c r="K1265" s="118">
        <f>VLOOKUP(#REF!,Produzione,7,FALSE)</f>
        <v/>
      </c>
      <c r="L1265" s="120" t="n"/>
      <c r="M1265" s="120" t="n"/>
      <c r="N1265" s="118" t="n"/>
      <c r="O1265" s="121" t="n"/>
      <c r="P1265" s="121" t="n"/>
      <c r="Q1265" s="166">
        <f>TODAY()</f>
        <v/>
      </c>
      <c r="R1265" s="165">
        <f>ElencoProdotti[[#This Row],[PRODUZIONE]]+20</f>
        <v/>
      </c>
      <c r="S1265" s="165">
        <f>TODAY()</f>
        <v/>
      </c>
      <c r="T1265" s="133">
        <f>CONCATENATE(A1265," - contiene allergni - prodotto il giorno ",TEXT(Q1265,"gg/mm/aaaa"),"")</f>
        <v/>
      </c>
    </row>
    <row r="1266" ht="15" customHeight="1" s="155">
      <c r="A1266" s="134">
        <f>ric!B1266</f>
        <v/>
      </c>
      <c r="B1266" s="118">
        <f>ric!C1266</f>
        <v/>
      </c>
      <c r="C1266" s="125">
        <f>ric!D1266</f>
        <v/>
      </c>
      <c r="D1266" s="125" t="n"/>
      <c r="E1266" s="125" t="n"/>
      <c r="F1266" s="125" t="n"/>
      <c r="G1266" s="118">
        <f>CONCATENATE(A1266, " ",#REF!, " / ",H1266)</f>
        <v/>
      </c>
      <c r="H1266" s="118" t="n"/>
      <c r="I1266" s="119">
        <f>CONCATENATE(M1266," - ",J1266," - Lotto N° ",K1266,"")</f>
        <v/>
      </c>
      <c r="J1266" s="118" t="n"/>
      <c r="K1266" s="118">
        <f>VLOOKUP(#REF!,Produzione,7,FALSE)</f>
        <v/>
      </c>
      <c r="L1266" s="120" t="n"/>
      <c r="M1266" s="120" t="n"/>
      <c r="N1266" s="118" t="n"/>
      <c r="O1266" s="121" t="n"/>
      <c r="P1266" s="121" t="n"/>
      <c r="Q1266" s="166">
        <f>TODAY()</f>
        <v/>
      </c>
      <c r="R1266" s="165">
        <f>ElencoProdotti[[#This Row],[PRODUZIONE]]+20</f>
        <v/>
      </c>
      <c r="S1266" s="165">
        <f>TODAY()</f>
        <v/>
      </c>
      <c r="T1266" s="133">
        <f>CONCATENATE(A1266," - contiene allergni - prodotto il giorno ",TEXT(Q1266,"gg/mm/aaaa"),"")</f>
        <v/>
      </c>
    </row>
    <row r="1267" ht="15" customHeight="1" s="155">
      <c r="A1267" s="134">
        <f>ric!B1267</f>
        <v/>
      </c>
      <c r="B1267" s="118">
        <f>ric!C1267</f>
        <v/>
      </c>
      <c r="C1267" s="125">
        <f>ric!D1267</f>
        <v/>
      </c>
      <c r="D1267" s="125" t="n"/>
      <c r="E1267" s="125" t="n"/>
      <c r="F1267" s="125" t="n"/>
      <c r="G1267" s="118">
        <f>CONCATENATE(A1267, " ",#REF!, " / ",H1267)</f>
        <v/>
      </c>
      <c r="H1267" s="118" t="n"/>
      <c r="I1267" s="119">
        <f>CONCATENATE(M1267," - ",J1267," - Lotto N° ",K1267,"")</f>
        <v/>
      </c>
      <c r="J1267" s="118" t="n"/>
      <c r="K1267" s="118">
        <f>VLOOKUP(#REF!,Produzione,7,FALSE)</f>
        <v/>
      </c>
      <c r="L1267" s="120" t="n"/>
      <c r="M1267" s="120" t="n"/>
      <c r="N1267" s="118" t="n"/>
      <c r="O1267" s="121" t="n"/>
      <c r="P1267" s="121" t="n"/>
      <c r="Q1267" s="166">
        <f>TODAY()</f>
        <v/>
      </c>
      <c r="R1267" s="165">
        <f>ElencoProdotti[[#This Row],[PRODUZIONE]]+20</f>
        <v/>
      </c>
      <c r="S1267" s="165">
        <f>TODAY()</f>
        <v/>
      </c>
      <c r="T1267" s="133">
        <f>CONCATENATE(A1267," - contiene allergni - prodotto il giorno ",TEXT(Q1267,"gg/mm/aaaa"),"")</f>
        <v/>
      </c>
    </row>
    <row r="1268" ht="15" customHeight="1" s="155">
      <c r="A1268" s="134">
        <f>ric!B1268</f>
        <v/>
      </c>
      <c r="B1268" s="118">
        <f>ric!C1268</f>
        <v/>
      </c>
      <c r="C1268" s="125">
        <f>ric!D1268</f>
        <v/>
      </c>
      <c r="D1268" s="125" t="n"/>
      <c r="E1268" s="125" t="n"/>
      <c r="F1268" s="125" t="n"/>
      <c r="G1268" s="118">
        <f>CONCATENATE(A1268, " ",#REF!, " / ",H1268)</f>
        <v/>
      </c>
      <c r="H1268" s="118" t="n"/>
      <c r="I1268" s="119">
        <f>CONCATENATE(M1268," - ",J1268," - Lotto N° ",K1268,"")</f>
        <v/>
      </c>
      <c r="J1268" s="118" t="n"/>
      <c r="K1268" s="118">
        <f>VLOOKUP(#REF!,Produzione,7,FALSE)</f>
        <v/>
      </c>
      <c r="L1268" s="120" t="n"/>
      <c r="M1268" s="120" t="n"/>
      <c r="N1268" s="118" t="n"/>
      <c r="O1268" s="121" t="n"/>
      <c r="P1268" s="121" t="n"/>
      <c r="Q1268" s="166">
        <f>TODAY()</f>
        <v/>
      </c>
      <c r="R1268" s="165">
        <f>ElencoProdotti[[#This Row],[PRODUZIONE]]+20</f>
        <v/>
      </c>
      <c r="S1268" s="165">
        <f>TODAY()</f>
        <v/>
      </c>
      <c r="T1268" s="133">
        <f>CONCATENATE(A1268," - contiene allergni - prodotto il giorno ",TEXT(Q1268,"gg/mm/aaaa"),"")</f>
        <v/>
      </c>
    </row>
    <row r="1269" ht="15" customHeight="1" s="155">
      <c r="A1269" s="134">
        <f>ric!B1269</f>
        <v/>
      </c>
      <c r="B1269" s="118">
        <f>ric!C1269</f>
        <v/>
      </c>
      <c r="C1269" s="125">
        <f>ric!D1269</f>
        <v/>
      </c>
      <c r="D1269" s="125" t="n"/>
      <c r="E1269" s="125" t="n"/>
      <c r="F1269" s="125" t="n"/>
      <c r="G1269" s="118">
        <f>CONCATENATE(A1269, " ",#REF!, " / ",H1269)</f>
        <v/>
      </c>
      <c r="H1269" s="118" t="n"/>
      <c r="I1269" s="119">
        <f>CONCATENATE(M1269," - ",J1269," - Lotto N° ",K1269,"")</f>
        <v/>
      </c>
      <c r="J1269" s="118" t="n"/>
      <c r="K1269" s="118">
        <f>VLOOKUP(#REF!,Produzione,7,FALSE)</f>
        <v/>
      </c>
      <c r="L1269" s="120" t="n"/>
      <c r="M1269" s="120" t="n"/>
      <c r="N1269" s="118" t="n"/>
      <c r="O1269" s="121" t="n"/>
      <c r="P1269" s="121" t="n"/>
      <c r="Q1269" s="166">
        <f>TODAY()</f>
        <v/>
      </c>
      <c r="R1269" s="165">
        <f>ElencoProdotti[[#This Row],[PRODUZIONE]]+20</f>
        <v/>
      </c>
      <c r="S1269" s="165">
        <f>TODAY()</f>
        <v/>
      </c>
      <c r="T1269" s="133">
        <f>CONCATENATE(A1269," - contiene allergni - prodotto il giorno ",TEXT(Q1269,"gg/mm/aaaa"),"")</f>
        <v/>
      </c>
    </row>
    <row r="1270" ht="15" customHeight="1" s="155">
      <c r="A1270" s="134">
        <f>ric!B1270</f>
        <v/>
      </c>
      <c r="B1270" s="118">
        <f>ric!C1270</f>
        <v/>
      </c>
      <c r="C1270" s="125">
        <f>ric!D1270</f>
        <v/>
      </c>
      <c r="D1270" s="125" t="n"/>
      <c r="E1270" s="125" t="n"/>
      <c r="F1270" s="125" t="n"/>
      <c r="G1270" s="118">
        <f>CONCATENATE(A1270, " ",#REF!, " / ",H1270)</f>
        <v/>
      </c>
      <c r="H1270" s="118" t="n"/>
      <c r="I1270" s="119">
        <f>CONCATENATE(M1270," - ",J1270," - Lotto N° ",K1270,"")</f>
        <v/>
      </c>
      <c r="J1270" s="118" t="n"/>
      <c r="K1270" s="118">
        <f>VLOOKUP(#REF!,Produzione,7,FALSE)</f>
        <v/>
      </c>
      <c r="L1270" s="120" t="n"/>
      <c r="M1270" s="120" t="n"/>
      <c r="N1270" s="118" t="n"/>
      <c r="O1270" s="121" t="n"/>
      <c r="P1270" s="121" t="n"/>
      <c r="Q1270" s="166">
        <f>TODAY()</f>
        <v/>
      </c>
      <c r="R1270" s="165">
        <f>ElencoProdotti[[#This Row],[PRODUZIONE]]+20</f>
        <v/>
      </c>
      <c r="S1270" s="165">
        <f>TODAY()</f>
        <v/>
      </c>
      <c r="T1270" s="133">
        <f>CONCATENATE(A1270," - contiene allergni - prodotto il giorno ",TEXT(Q1270,"gg/mm/aaaa"),"")</f>
        <v/>
      </c>
    </row>
    <row r="1271" ht="15" customHeight="1" s="155">
      <c r="A1271" s="134">
        <f>ric!B1271</f>
        <v/>
      </c>
      <c r="B1271" s="118">
        <f>ric!C1271</f>
        <v/>
      </c>
      <c r="C1271" s="125">
        <f>ric!D1271</f>
        <v/>
      </c>
      <c r="D1271" s="125" t="n"/>
      <c r="E1271" s="125" t="n"/>
      <c r="F1271" s="125" t="n"/>
      <c r="G1271" s="118">
        <f>CONCATENATE(A1271, " ",#REF!, " / ",H1271)</f>
        <v/>
      </c>
      <c r="H1271" s="118" t="n"/>
      <c r="I1271" s="119">
        <f>CONCATENATE(M1271," - ",J1271," - Lotto N° ",K1271,"")</f>
        <v/>
      </c>
      <c r="J1271" s="118" t="n"/>
      <c r="K1271" s="118">
        <f>VLOOKUP(#REF!,Produzione,7,FALSE)</f>
        <v/>
      </c>
      <c r="L1271" s="120" t="n"/>
      <c r="M1271" s="120" t="n"/>
      <c r="N1271" s="118" t="n"/>
      <c r="O1271" s="121" t="n"/>
      <c r="P1271" s="121" t="n"/>
      <c r="Q1271" s="166">
        <f>TODAY()</f>
        <v/>
      </c>
      <c r="R1271" s="165">
        <f>ElencoProdotti[[#This Row],[PRODUZIONE]]+20</f>
        <v/>
      </c>
      <c r="S1271" s="165">
        <f>TODAY()</f>
        <v/>
      </c>
      <c r="T1271" s="133">
        <f>CONCATENATE(A1271," - contiene allergni - prodotto il giorno ",TEXT(Q1271,"gg/mm/aaaa"),"")</f>
        <v/>
      </c>
    </row>
    <row r="1272" ht="15" customHeight="1" s="155">
      <c r="A1272" s="134">
        <f>ric!B1272</f>
        <v/>
      </c>
      <c r="B1272" s="118">
        <f>ric!C1272</f>
        <v/>
      </c>
      <c r="C1272" s="125">
        <f>ric!D1272</f>
        <v/>
      </c>
      <c r="D1272" s="125" t="n"/>
      <c r="E1272" s="125" t="n"/>
      <c r="F1272" s="125" t="n"/>
      <c r="G1272" s="118">
        <f>CONCATENATE(A1272, " ",#REF!, " / ",H1272)</f>
        <v/>
      </c>
      <c r="H1272" s="118" t="n"/>
      <c r="I1272" s="119">
        <f>CONCATENATE(M1272," - ",J1272," - Lotto N° ",K1272,"")</f>
        <v/>
      </c>
      <c r="J1272" s="118" t="n"/>
      <c r="K1272" s="118">
        <f>VLOOKUP(#REF!,Produzione,7,FALSE)</f>
        <v/>
      </c>
      <c r="L1272" s="120" t="n"/>
      <c r="M1272" s="120" t="n"/>
      <c r="N1272" s="118" t="n"/>
      <c r="O1272" s="121" t="n"/>
      <c r="P1272" s="121" t="n"/>
      <c r="Q1272" s="166">
        <f>TODAY()</f>
        <v/>
      </c>
      <c r="R1272" s="165">
        <f>ElencoProdotti[[#This Row],[PRODUZIONE]]+20</f>
        <v/>
      </c>
      <c r="S1272" s="165">
        <f>TODAY()</f>
        <v/>
      </c>
      <c r="T1272" s="133">
        <f>CONCATENATE(A1272," - contiene allergni - prodotto il giorno ",TEXT(Q1272,"gg/mm/aaaa"),"")</f>
        <v/>
      </c>
    </row>
    <row r="1273" ht="15" customHeight="1" s="155">
      <c r="A1273" s="134">
        <f>ric!B1273</f>
        <v/>
      </c>
      <c r="B1273" s="118">
        <f>ric!C1273</f>
        <v/>
      </c>
      <c r="C1273" s="125">
        <f>ric!D1273</f>
        <v/>
      </c>
      <c r="D1273" s="125" t="n"/>
      <c r="E1273" s="125" t="n"/>
      <c r="F1273" s="125" t="n"/>
      <c r="G1273" s="118">
        <f>CONCATENATE(A1273, " ",#REF!, " / ",H1273)</f>
        <v/>
      </c>
      <c r="H1273" s="118" t="n"/>
      <c r="I1273" s="119">
        <f>CONCATENATE(M1273," - ",J1273," - Lotto N° ",K1273,"")</f>
        <v/>
      </c>
      <c r="J1273" s="118" t="n"/>
      <c r="K1273" s="118">
        <f>VLOOKUP(#REF!,Produzione,7,FALSE)</f>
        <v/>
      </c>
      <c r="L1273" s="120" t="n"/>
      <c r="M1273" s="120" t="n"/>
      <c r="N1273" s="118" t="n"/>
      <c r="O1273" s="121" t="n"/>
      <c r="P1273" s="121" t="n"/>
      <c r="Q1273" s="166">
        <f>TODAY()</f>
        <v/>
      </c>
      <c r="R1273" s="165">
        <f>ElencoProdotti[[#This Row],[PRODUZIONE]]+20</f>
        <v/>
      </c>
      <c r="S1273" s="165">
        <f>TODAY()</f>
        <v/>
      </c>
      <c r="T1273" s="133">
        <f>CONCATENATE(A1273," - contiene allergni - prodotto il giorno ",TEXT(Q1273,"gg/mm/aaaa"),"")</f>
        <v/>
      </c>
    </row>
    <row r="1274" ht="15" customHeight="1" s="155">
      <c r="A1274" s="134">
        <f>ric!B1274</f>
        <v/>
      </c>
      <c r="B1274" s="118">
        <f>ric!C1274</f>
        <v/>
      </c>
      <c r="C1274" s="125">
        <f>ric!D1274</f>
        <v/>
      </c>
      <c r="D1274" s="125" t="n"/>
      <c r="E1274" s="125" t="n"/>
      <c r="F1274" s="125" t="n"/>
      <c r="G1274" s="118">
        <f>CONCATENATE(A1274, " ",#REF!, " / ",H1274)</f>
        <v/>
      </c>
      <c r="H1274" s="118" t="n"/>
      <c r="I1274" s="119">
        <f>CONCATENATE(M1274," - ",J1274," - Lotto N° ",K1274,"")</f>
        <v/>
      </c>
      <c r="J1274" s="118" t="n"/>
      <c r="K1274" s="118">
        <f>VLOOKUP(#REF!,Produzione,7,FALSE)</f>
        <v/>
      </c>
      <c r="L1274" s="120" t="n"/>
      <c r="M1274" s="120" t="n"/>
      <c r="N1274" s="118" t="n"/>
      <c r="O1274" s="121" t="n"/>
      <c r="P1274" s="121" t="n"/>
      <c r="Q1274" s="166">
        <f>TODAY()</f>
        <v/>
      </c>
      <c r="R1274" s="165">
        <f>ElencoProdotti[[#This Row],[PRODUZIONE]]+20</f>
        <v/>
      </c>
      <c r="S1274" s="165">
        <f>TODAY()</f>
        <v/>
      </c>
      <c r="T1274" s="133">
        <f>CONCATENATE(A1274," - contiene allergni - prodotto il giorno ",TEXT(Q1274,"gg/mm/aaaa"),"")</f>
        <v/>
      </c>
    </row>
    <row r="1275" ht="15" customHeight="1" s="155">
      <c r="A1275" s="134">
        <f>ric!B1275</f>
        <v/>
      </c>
      <c r="B1275" s="118">
        <f>ric!C1275</f>
        <v/>
      </c>
      <c r="C1275" s="125">
        <f>ric!D1275</f>
        <v/>
      </c>
      <c r="D1275" s="125" t="n"/>
      <c r="E1275" s="125" t="n"/>
      <c r="F1275" s="125" t="n"/>
      <c r="G1275" s="118">
        <f>CONCATENATE(A1275, " ",#REF!, " / ",H1275)</f>
        <v/>
      </c>
      <c r="H1275" s="118" t="n"/>
      <c r="I1275" s="119">
        <f>CONCATENATE(M1275," - ",J1275," - Lotto N° ",K1275,"")</f>
        <v/>
      </c>
      <c r="J1275" s="118" t="n"/>
      <c r="K1275" s="118">
        <f>VLOOKUP(#REF!,Produzione,7,FALSE)</f>
        <v/>
      </c>
      <c r="L1275" s="120" t="n"/>
      <c r="M1275" s="120" t="n"/>
      <c r="N1275" s="118" t="n"/>
      <c r="O1275" s="121" t="n"/>
      <c r="P1275" s="121" t="n"/>
      <c r="Q1275" s="166">
        <f>TODAY()</f>
        <v/>
      </c>
      <c r="R1275" s="165">
        <f>ElencoProdotti[[#This Row],[PRODUZIONE]]+20</f>
        <v/>
      </c>
      <c r="S1275" s="165">
        <f>TODAY()</f>
        <v/>
      </c>
      <c r="T1275" s="133">
        <f>CONCATENATE(A1275," - contiene allergni - prodotto il giorno ",TEXT(Q1275,"gg/mm/aaaa"),"")</f>
        <v/>
      </c>
    </row>
    <row r="1276" ht="15" customHeight="1" s="155">
      <c r="A1276" s="134">
        <f>ric!B1276</f>
        <v/>
      </c>
      <c r="B1276" s="118">
        <f>ric!C1276</f>
        <v/>
      </c>
      <c r="C1276" s="125">
        <f>ric!D1276</f>
        <v/>
      </c>
      <c r="D1276" s="125" t="n"/>
      <c r="E1276" s="125" t="n"/>
      <c r="F1276" s="125" t="n"/>
      <c r="G1276" s="118">
        <f>CONCATENATE(A1276, " ",#REF!, " / ",H1276)</f>
        <v/>
      </c>
      <c r="H1276" s="118" t="n"/>
      <c r="I1276" s="119">
        <f>CONCATENATE(M1276," - ",J1276," - Lotto N° ",K1276,"")</f>
        <v/>
      </c>
      <c r="J1276" s="118" t="n"/>
      <c r="K1276" s="118">
        <f>VLOOKUP(#REF!,Produzione,7,FALSE)</f>
        <v/>
      </c>
      <c r="L1276" s="120" t="n"/>
      <c r="M1276" s="120" t="n"/>
      <c r="N1276" s="118" t="n"/>
      <c r="O1276" s="121" t="n"/>
      <c r="P1276" s="121" t="n"/>
      <c r="Q1276" s="166">
        <f>TODAY()</f>
        <v/>
      </c>
      <c r="R1276" s="165">
        <f>ElencoProdotti[[#This Row],[PRODUZIONE]]+20</f>
        <v/>
      </c>
      <c r="S1276" s="165">
        <f>TODAY()</f>
        <v/>
      </c>
      <c r="T1276" s="133">
        <f>CONCATENATE(A1276," - contiene allergni - prodotto il giorno ",TEXT(Q1276,"gg/mm/aaaa"),"")</f>
        <v/>
      </c>
    </row>
    <row r="1277" ht="15" customHeight="1" s="155">
      <c r="A1277" s="134">
        <f>ric!B1277</f>
        <v/>
      </c>
      <c r="B1277" s="118">
        <f>ric!C1277</f>
        <v/>
      </c>
      <c r="C1277" s="125">
        <f>ric!D1277</f>
        <v/>
      </c>
      <c r="D1277" s="125" t="n"/>
      <c r="E1277" s="125" t="n"/>
      <c r="F1277" s="125" t="n"/>
      <c r="G1277" s="118">
        <f>CONCATENATE(A1277, " ",#REF!, " / ",H1277)</f>
        <v/>
      </c>
      <c r="H1277" s="118" t="n"/>
      <c r="I1277" s="119">
        <f>CONCATENATE(M1277," - ",J1277," - Lotto N° ",K1277,"")</f>
        <v/>
      </c>
      <c r="J1277" s="118" t="n"/>
      <c r="K1277" s="118">
        <f>VLOOKUP(#REF!,Produzione,7,FALSE)</f>
        <v/>
      </c>
      <c r="L1277" s="120" t="n"/>
      <c r="M1277" s="120" t="n"/>
      <c r="N1277" s="118" t="n"/>
      <c r="O1277" s="121" t="n"/>
      <c r="P1277" s="121" t="n"/>
      <c r="Q1277" s="166">
        <f>TODAY()</f>
        <v/>
      </c>
      <c r="R1277" s="165">
        <f>ElencoProdotti[[#This Row],[PRODUZIONE]]+20</f>
        <v/>
      </c>
      <c r="S1277" s="165">
        <f>TODAY()</f>
        <v/>
      </c>
      <c r="T1277" s="133">
        <f>CONCATENATE(A1277," - contiene allergni - prodotto il giorno ",TEXT(Q1277,"gg/mm/aaaa"),"")</f>
        <v/>
      </c>
    </row>
    <row r="1278" ht="15" customHeight="1" s="155">
      <c r="A1278" s="134">
        <f>ric!B1278</f>
        <v/>
      </c>
      <c r="B1278" s="118">
        <f>ric!C1278</f>
        <v/>
      </c>
      <c r="C1278" s="125">
        <f>ric!D1278</f>
        <v/>
      </c>
      <c r="D1278" s="125" t="n"/>
      <c r="E1278" s="125" t="n"/>
      <c r="F1278" s="125" t="n"/>
      <c r="G1278" s="118">
        <f>CONCATENATE(A1278, " ",#REF!, " / ",H1278)</f>
        <v/>
      </c>
      <c r="H1278" s="118" t="n"/>
      <c r="I1278" s="119">
        <f>CONCATENATE(M1278," - ",J1278," - Lotto N° ",K1278,"")</f>
        <v/>
      </c>
      <c r="J1278" s="118" t="n"/>
      <c r="K1278" s="118">
        <f>VLOOKUP(#REF!,Produzione,7,FALSE)</f>
        <v/>
      </c>
      <c r="L1278" s="120" t="n"/>
      <c r="M1278" s="120" t="n"/>
      <c r="N1278" s="118" t="n"/>
      <c r="O1278" s="121" t="n"/>
      <c r="P1278" s="121" t="n"/>
      <c r="Q1278" s="166">
        <f>TODAY()</f>
        <v/>
      </c>
      <c r="R1278" s="165">
        <f>ElencoProdotti[[#This Row],[PRODUZIONE]]+20</f>
        <v/>
      </c>
      <c r="S1278" s="165">
        <f>TODAY()</f>
        <v/>
      </c>
      <c r="T1278" s="133">
        <f>CONCATENATE(A1278," - contiene allergni - prodotto il giorno ",TEXT(Q1278,"gg/mm/aaaa"),"")</f>
        <v/>
      </c>
    </row>
    <row r="1279" ht="15" customHeight="1" s="155">
      <c r="A1279" s="134">
        <f>ric!B1279</f>
        <v/>
      </c>
      <c r="B1279" s="118">
        <f>ric!C1279</f>
        <v/>
      </c>
      <c r="C1279" s="125">
        <f>ric!D1279</f>
        <v/>
      </c>
      <c r="D1279" s="125" t="n"/>
      <c r="E1279" s="125" t="n"/>
      <c r="F1279" s="125" t="n"/>
      <c r="G1279" s="118">
        <f>CONCATENATE(A1279, " ",#REF!, " / ",H1279)</f>
        <v/>
      </c>
      <c r="H1279" s="118" t="n"/>
      <c r="I1279" s="119">
        <f>CONCATENATE(M1279," - ",J1279," - Lotto N° ",K1279,"")</f>
        <v/>
      </c>
      <c r="J1279" s="118" t="n"/>
      <c r="K1279" s="118">
        <f>VLOOKUP(#REF!,Produzione,7,FALSE)</f>
        <v/>
      </c>
      <c r="L1279" s="120" t="n"/>
      <c r="M1279" s="120" t="n"/>
      <c r="N1279" s="118" t="n"/>
      <c r="O1279" s="121" t="n"/>
      <c r="P1279" s="121" t="n"/>
      <c r="Q1279" s="166">
        <f>TODAY()</f>
        <v/>
      </c>
      <c r="R1279" s="165">
        <f>ElencoProdotti[[#This Row],[PRODUZIONE]]+20</f>
        <v/>
      </c>
      <c r="S1279" s="165">
        <f>TODAY()</f>
        <v/>
      </c>
      <c r="T1279" s="133">
        <f>CONCATENATE(A1279," - contiene allergni - prodotto il giorno ",TEXT(Q1279,"gg/mm/aaaa"),"")</f>
        <v/>
      </c>
    </row>
    <row r="1280" ht="15" customHeight="1" s="155">
      <c r="A1280" s="134">
        <f>ric!B1280</f>
        <v/>
      </c>
      <c r="B1280" s="118">
        <f>ric!C1280</f>
        <v/>
      </c>
      <c r="C1280" s="125">
        <f>ric!D1280</f>
        <v/>
      </c>
      <c r="D1280" s="125" t="n"/>
      <c r="E1280" s="125" t="n"/>
      <c r="F1280" s="125" t="n"/>
      <c r="G1280" s="118">
        <f>CONCATENATE(A1280, " ",#REF!, " / ",H1280)</f>
        <v/>
      </c>
      <c r="H1280" s="118" t="n"/>
      <c r="I1280" s="119">
        <f>CONCATENATE(M1280," - ",J1280," - Lotto N° ",K1280,"")</f>
        <v/>
      </c>
      <c r="J1280" s="118" t="n"/>
      <c r="K1280" s="118">
        <f>VLOOKUP(#REF!,Produzione,7,FALSE)</f>
        <v/>
      </c>
      <c r="L1280" s="120" t="n"/>
      <c r="M1280" s="120" t="n"/>
      <c r="N1280" s="118" t="n"/>
      <c r="O1280" s="121" t="n"/>
      <c r="P1280" s="121" t="n"/>
      <c r="Q1280" s="166">
        <f>TODAY()</f>
        <v/>
      </c>
      <c r="R1280" s="165">
        <f>ElencoProdotti[[#This Row],[PRODUZIONE]]+20</f>
        <v/>
      </c>
      <c r="S1280" s="165">
        <f>TODAY()</f>
        <v/>
      </c>
      <c r="T1280" s="133">
        <f>CONCATENATE(A1280," - contiene allergni - prodotto il giorno ",TEXT(Q1280,"gg/mm/aaaa"),"")</f>
        <v/>
      </c>
    </row>
    <row r="1281" ht="15" customHeight="1" s="155">
      <c r="A1281" s="134">
        <f>ric!B1281</f>
        <v/>
      </c>
      <c r="B1281" s="118">
        <f>ric!C1281</f>
        <v/>
      </c>
      <c r="C1281" s="125">
        <f>ric!D1281</f>
        <v/>
      </c>
      <c r="D1281" s="125" t="n"/>
      <c r="E1281" s="125" t="n"/>
      <c r="F1281" s="125" t="n"/>
      <c r="G1281" s="118">
        <f>CONCATENATE(A1281, " ",#REF!, " / ",H1281)</f>
        <v/>
      </c>
      <c r="H1281" s="118" t="n"/>
      <c r="I1281" s="119">
        <f>CONCATENATE(M1281," - ",J1281," - Lotto N° ",K1281,"")</f>
        <v/>
      </c>
      <c r="J1281" s="118" t="n"/>
      <c r="K1281" s="118">
        <f>VLOOKUP(#REF!,Produzione,7,FALSE)</f>
        <v/>
      </c>
      <c r="L1281" s="120" t="n"/>
      <c r="M1281" s="120" t="n"/>
      <c r="N1281" s="118" t="n"/>
      <c r="O1281" s="121" t="n"/>
      <c r="P1281" s="121" t="n"/>
      <c r="Q1281" s="166">
        <f>TODAY()</f>
        <v/>
      </c>
      <c r="R1281" s="165">
        <f>ElencoProdotti[[#This Row],[PRODUZIONE]]+20</f>
        <v/>
      </c>
      <c r="S1281" s="165">
        <f>TODAY()</f>
        <v/>
      </c>
      <c r="T1281" s="133">
        <f>CONCATENATE(A1281," - contiene allergni - prodotto il giorno ",TEXT(Q1281,"gg/mm/aaaa"),"")</f>
        <v/>
      </c>
    </row>
    <row r="1282" ht="15" customHeight="1" s="155">
      <c r="A1282" s="134">
        <f>ric!B1282</f>
        <v/>
      </c>
      <c r="B1282" s="118">
        <f>ric!C1282</f>
        <v/>
      </c>
      <c r="C1282" s="125">
        <f>ric!D1282</f>
        <v/>
      </c>
      <c r="D1282" s="125" t="n"/>
      <c r="E1282" s="125" t="n"/>
      <c r="F1282" s="125" t="n"/>
      <c r="G1282" s="118">
        <f>CONCATENATE(A1282, " ",#REF!, " / ",H1282)</f>
        <v/>
      </c>
      <c r="H1282" s="118" t="n"/>
      <c r="I1282" s="119">
        <f>CONCATENATE(M1282," - ",J1282," - Lotto N° ",K1282,"")</f>
        <v/>
      </c>
      <c r="J1282" s="118" t="n"/>
      <c r="K1282" s="118">
        <f>VLOOKUP(#REF!,Produzione,7,FALSE)</f>
        <v/>
      </c>
      <c r="L1282" s="120" t="n"/>
      <c r="M1282" s="120" t="n"/>
      <c r="N1282" s="118" t="n"/>
      <c r="O1282" s="121" t="n"/>
      <c r="P1282" s="121" t="n"/>
      <c r="Q1282" s="166">
        <f>TODAY()</f>
        <v/>
      </c>
      <c r="R1282" s="165">
        <f>ElencoProdotti[[#This Row],[PRODUZIONE]]+20</f>
        <v/>
      </c>
      <c r="S1282" s="165">
        <f>TODAY()</f>
        <v/>
      </c>
      <c r="T1282" s="133">
        <f>CONCATENATE(A1282," - contiene allergni - prodotto il giorno ",TEXT(Q1282,"gg/mm/aaaa"),"")</f>
        <v/>
      </c>
    </row>
    <row r="1283" ht="15" customHeight="1" s="155">
      <c r="A1283" s="134">
        <f>ric!B1283</f>
        <v/>
      </c>
      <c r="B1283" s="118">
        <f>ric!C1283</f>
        <v/>
      </c>
      <c r="C1283" s="125">
        <f>ric!D1283</f>
        <v/>
      </c>
      <c r="D1283" s="125" t="n"/>
      <c r="E1283" s="125" t="n"/>
      <c r="F1283" s="125" t="n"/>
      <c r="G1283" s="118">
        <f>CONCATENATE(A1283, " ",#REF!, " / ",H1283)</f>
        <v/>
      </c>
      <c r="H1283" s="118" t="n"/>
      <c r="I1283" s="119">
        <f>CONCATENATE(M1283," - ",J1283," - Lotto N° ",K1283,"")</f>
        <v/>
      </c>
      <c r="J1283" s="118" t="n"/>
      <c r="K1283" s="118">
        <f>VLOOKUP(#REF!,Produzione,7,FALSE)</f>
        <v/>
      </c>
      <c r="L1283" s="120" t="n"/>
      <c r="M1283" s="120" t="n"/>
      <c r="N1283" s="118" t="n"/>
      <c r="O1283" s="121" t="n"/>
      <c r="P1283" s="121" t="n"/>
      <c r="Q1283" s="166">
        <f>TODAY()</f>
        <v/>
      </c>
      <c r="R1283" s="165">
        <f>ElencoProdotti[[#This Row],[PRODUZIONE]]+20</f>
        <v/>
      </c>
      <c r="S1283" s="165">
        <f>TODAY()</f>
        <v/>
      </c>
      <c r="T1283" s="133">
        <f>CONCATENATE(A1283," - contiene allergni - prodotto il giorno ",TEXT(Q1283,"gg/mm/aaaa"),"")</f>
        <v/>
      </c>
    </row>
    <row r="1284" ht="15" customHeight="1" s="155">
      <c r="A1284" s="134">
        <f>ric!B1284</f>
        <v/>
      </c>
      <c r="B1284" s="118">
        <f>ric!C1284</f>
        <v/>
      </c>
      <c r="C1284" s="125">
        <f>ric!D1284</f>
        <v/>
      </c>
      <c r="D1284" s="125" t="n"/>
      <c r="E1284" s="125" t="n"/>
      <c r="F1284" s="125" t="n"/>
      <c r="G1284" s="118">
        <f>CONCATENATE(A1284, " ",#REF!, " / ",H1284)</f>
        <v/>
      </c>
      <c r="H1284" s="118" t="n"/>
      <c r="I1284" s="119">
        <f>CONCATENATE(M1284," - ",J1284," - Lotto N° ",K1284,"")</f>
        <v/>
      </c>
      <c r="J1284" s="118" t="n"/>
      <c r="K1284" s="118">
        <f>VLOOKUP(#REF!,Produzione,7,FALSE)</f>
        <v/>
      </c>
      <c r="L1284" s="120" t="n"/>
      <c r="M1284" s="120" t="n"/>
      <c r="N1284" s="118" t="n"/>
      <c r="O1284" s="121" t="n"/>
      <c r="P1284" s="121" t="n"/>
      <c r="Q1284" s="166">
        <f>TODAY()</f>
        <v/>
      </c>
      <c r="R1284" s="165">
        <f>ElencoProdotti[[#This Row],[PRODUZIONE]]+20</f>
        <v/>
      </c>
      <c r="S1284" s="165">
        <f>TODAY()</f>
        <v/>
      </c>
      <c r="T1284" s="133">
        <f>CONCATENATE(A1284," - contiene allergni - prodotto il giorno ",TEXT(Q1284,"gg/mm/aaaa"),"")</f>
        <v/>
      </c>
    </row>
    <row r="1285" ht="15" customHeight="1" s="155">
      <c r="A1285" s="134">
        <f>ric!B1285</f>
        <v/>
      </c>
      <c r="B1285" s="118">
        <f>ric!C1285</f>
        <v/>
      </c>
      <c r="C1285" s="125">
        <f>ric!D1285</f>
        <v/>
      </c>
      <c r="D1285" s="125" t="n"/>
      <c r="E1285" s="125" t="n"/>
      <c r="F1285" s="125" t="n"/>
      <c r="G1285" s="118">
        <f>CONCATENATE(A1285, " ",#REF!, " / ",H1285)</f>
        <v/>
      </c>
      <c r="H1285" s="118" t="n"/>
      <c r="I1285" s="119">
        <f>CONCATENATE(M1285," - ",J1285," - Lotto N° ",K1285,"")</f>
        <v/>
      </c>
      <c r="J1285" s="118" t="n"/>
      <c r="K1285" s="118">
        <f>VLOOKUP(#REF!,Produzione,7,FALSE)</f>
        <v/>
      </c>
      <c r="L1285" s="120" t="n"/>
      <c r="M1285" s="120" t="n"/>
      <c r="N1285" s="118" t="n"/>
      <c r="O1285" s="121" t="n"/>
      <c r="P1285" s="121" t="n"/>
      <c r="Q1285" s="166">
        <f>TODAY()</f>
        <v/>
      </c>
      <c r="R1285" s="165">
        <f>ElencoProdotti[[#This Row],[PRODUZIONE]]+20</f>
        <v/>
      </c>
      <c r="S1285" s="165">
        <f>TODAY()</f>
        <v/>
      </c>
      <c r="T1285" s="133">
        <f>CONCATENATE(A1285," - contiene allergni - prodotto il giorno ",TEXT(Q1285,"gg/mm/aaaa"),"")</f>
        <v/>
      </c>
    </row>
    <row r="1286" ht="15" customHeight="1" s="155">
      <c r="A1286" s="134">
        <f>ric!B1286</f>
        <v/>
      </c>
      <c r="B1286" s="118">
        <f>ric!C1286</f>
        <v/>
      </c>
      <c r="C1286" s="125">
        <f>ric!D1286</f>
        <v/>
      </c>
      <c r="D1286" s="125" t="n"/>
      <c r="E1286" s="125" t="n"/>
      <c r="F1286" s="125" t="n"/>
      <c r="G1286" s="118">
        <f>CONCATENATE(A1286, " ",#REF!, " / ",H1286)</f>
        <v/>
      </c>
      <c r="H1286" s="118" t="n"/>
      <c r="I1286" s="119">
        <f>CONCATENATE(M1286," - ",J1286," - Lotto N° ",K1286,"")</f>
        <v/>
      </c>
      <c r="J1286" s="118" t="n"/>
      <c r="K1286" s="118">
        <f>VLOOKUP(#REF!,Produzione,7,FALSE)</f>
        <v/>
      </c>
      <c r="L1286" s="120" t="n"/>
      <c r="M1286" s="120" t="n"/>
      <c r="N1286" s="118" t="n"/>
      <c r="O1286" s="121" t="n"/>
      <c r="P1286" s="121" t="n"/>
      <c r="Q1286" s="166">
        <f>TODAY()</f>
        <v/>
      </c>
      <c r="R1286" s="165">
        <f>ElencoProdotti[[#This Row],[PRODUZIONE]]+20</f>
        <v/>
      </c>
      <c r="S1286" s="165">
        <f>TODAY()</f>
        <v/>
      </c>
      <c r="T1286" s="133">
        <f>CONCATENATE(A1286," - contiene allergni - prodotto il giorno ",TEXT(Q1286,"gg/mm/aaaa"),"")</f>
        <v/>
      </c>
    </row>
    <row r="1287" ht="15" customHeight="1" s="155">
      <c r="A1287" s="134">
        <f>ric!B1287</f>
        <v/>
      </c>
      <c r="B1287" s="118">
        <f>ric!C1287</f>
        <v/>
      </c>
      <c r="C1287" s="125">
        <f>ric!D1287</f>
        <v/>
      </c>
      <c r="D1287" s="125" t="n"/>
      <c r="E1287" s="125" t="n"/>
      <c r="F1287" s="125" t="n"/>
      <c r="G1287" s="118">
        <f>CONCATENATE(A1287, " ",#REF!, " / ",H1287)</f>
        <v/>
      </c>
      <c r="H1287" s="118" t="n"/>
      <c r="I1287" s="119">
        <f>CONCATENATE(M1287," - ",J1287," - Lotto N° ",K1287,"")</f>
        <v/>
      </c>
      <c r="J1287" s="118" t="n"/>
      <c r="K1287" s="118">
        <f>VLOOKUP(#REF!,Produzione,7,FALSE)</f>
        <v/>
      </c>
      <c r="L1287" s="120" t="n"/>
      <c r="M1287" s="120" t="n"/>
      <c r="N1287" s="118" t="n"/>
      <c r="O1287" s="121" t="n"/>
      <c r="P1287" s="121" t="n"/>
      <c r="Q1287" s="166">
        <f>TODAY()</f>
        <v/>
      </c>
      <c r="R1287" s="165">
        <f>ElencoProdotti[[#This Row],[PRODUZIONE]]+20</f>
        <v/>
      </c>
      <c r="S1287" s="165">
        <f>TODAY()</f>
        <v/>
      </c>
      <c r="T1287" s="133">
        <f>CONCATENATE(A1287," - contiene allergni - prodotto il giorno ",TEXT(Q1287,"gg/mm/aaaa"),"")</f>
        <v/>
      </c>
    </row>
    <row r="1288" ht="15" customHeight="1" s="155">
      <c r="A1288" s="134">
        <f>ric!B1288</f>
        <v/>
      </c>
      <c r="B1288" s="118">
        <f>ric!C1288</f>
        <v/>
      </c>
      <c r="C1288" s="125">
        <f>ric!D1288</f>
        <v/>
      </c>
      <c r="D1288" s="125" t="n"/>
      <c r="E1288" s="125" t="n"/>
      <c r="F1288" s="125" t="n"/>
      <c r="G1288" s="118">
        <f>CONCATENATE(A1288, " ",#REF!, " / ",H1288)</f>
        <v/>
      </c>
      <c r="H1288" s="118" t="n"/>
      <c r="I1288" s="119">
        <f>CONCATENATE(M1288," - ",J1288," - Lotto N° ",K1288,"")</f>
        <v/>
      </c>
      <c r="J1288" s="118" t="n"/>
      <c r="K1288" s="118">
        <f>VLOOKUP(#REF!,Produzione,7,FALSE)</f>
        <v/>
      </c>
      <c r="L1288" s="120" t="n"/>
      <c r="M1288" s="120" t="n"/>
      <c r="N1288" s="118" t="n"/>
      <c r="O1288" s="121" t="n"/>
      <c r="P1288" s="121" t="n"/>
      <c r="Q1288" s="166">
        <f>TODAY()</f>
        <v/>
      </c>
      <c r="R1288" s="165">
        <f>ElencoProdotti[[#This Row],[PRODUZIONE]]+20</f>
        <v/>
      </c>
      <c r="S1288" s="165">
        <f>TODAY()</f>
        <v/>
      </c>
      <c r="T1288" s="133">
        <f>CONCATENATE(A1288," - contiene allergni - prodotto il giorno ",TEXT(Q1288,"gg/mm/aaaa"),"")</f>
        <v/>
      </c>
    </row>
    <row r="1289" ht="15" customHeight="1" s="155">
      <c r="A1289" s="134">
        <f>ric!B1289</f>
        <v/>
      </c>
      <c r="B1289" s="118">
        <f>ric!C1289</f>
        <v/>
      </c>
      <c r="C1289" s="125">
        <f>ric!D1289</f>
        <v/>
      </c>
      <c r="D1289" s="125" t="n"/>
      <c r="E1289" s="125" t="n"/>
      <c r="F1289" s="125" t="n"/>
      <c r="G1289" s="118">
        <f>CONCATENATE(A1289, " ",#REF!, " / ",H1289)</f>
        <v/>
      </c>
      <c r="H1289" s="118" t="n"/>
      <c r="I1289" s="119">
        <f>CONCATENATE(M1289," - ",J1289," - Lotto N° ",K1289,"")</f>
        <v/>
      </c>
      <c r="J1289" s="118" t="n"/>
      <c r="K1289" s="118">
        <f>VLOOKUP(#REF!,Produzione,7,FALSE)</f>
        <v/>
      </c>
      <c r="L1289" s="120" t="n"/>
      <c r="M1289" s="120" t="n"/>
      <c r="N1289" s="118" t="n"/>
      <c r="O1289" s="121" t="n"/>
      <c r="P1289" s="121" t="n"/>
      <c r="Q1289" s="166">
        <f>TODAY()</f>
        <v/>
      </c>
      <c r="R1289" s="165">
        <f>ElencoProdotti[[#This Row],[PRODUZIONE]]+20</f>
        <v/>
      </c>
      <c r="S1289" s="165">
        <f>TODAY()</f>
        <v/>
      </c>
      <c r="T1289" s="133">
        <f>CONCATENATE(A1289," - contiene allergni - prodotto il giorno ",TEXT(Q1289,"gg/mm/aaaa"),"")</f>
        <v/>
      </c>
    </row>
    <row r="1290" ht="15" customHeight="1" s="155">
      <c r="A1290" s="134">
        <f>ric!B1290</f>
        <v/>
      </c>
      <c r="B1290" s="118">
        <f>ric!C1290</f>
        <v/>
      </c>
      <c r="C1290" s="125">
        <f>ric!D1290</f>
        <v/>
      </c>
      <c r="D1290" s="125" t="n"/>
      <c r="E1290" s="125" t="n"/>
      <c r="F1290" s="125" t="n"/>
      <c r="G1290" s="118">
        <f>CONCATENATE(A1290, " ",#REF!, " / ",H1290)</f>
        <v/>
      </c>
      <c r="H1290" s="118" t="n"/>
      <c r="I1290" s="119">
        <f>CONCATENATE(M1290," - ",J1290," - Lotto N° ",K1290,"")</f>
        <v/>
      </c>
      <c r="J1290" s="118" t="n"/>
      <c r="K1290" s="118">
        <f>VLOOKUP(#REF!,Produzione,7,FALSE)</f>
        <v/>
      </c>
      <c r="L1290" s="120" t="n"/>
      <c r="M1290" s="120" t="n"/>
      <c r="N1290" s="118" t="n"/>
      <c r="O1290" s="121" t="n"/>
      <c r="P1290" s="121" t="n"/>
      <c r="Q1290" s="166">
        <f>TODAY()</f>
        <v/>
      </c>
      <c r="R1290" s="165">
        <f>ElencoProdotti[[#This Row],[PRODUZIONE]]+20</f>
        <v/>
      </c>
      <c r="S1290" s="165">
        <f>TODAY()</f>
        <v/>
      </c>
      <c r="T1290" s="133">
        <f>CONCATENATE(A1290," - contiene allergni - prodotto il giorno ",TEXT(Q1290,"gg/mm/aaaa"),"")</f>
        <v/>
      </c>
    </row>
    <row r="1291" ht="15" customHeight="1" s="155">
      <c r="A1291" s="134">
        <f>ric!B1291</f>
        <v/>
      </c>
      <c r="B1291" s="118">
        <f>ric!C1291</f>
        <v/>
      </c>
      <c r="C1291" s="125">
        <f>ric!D1291</f>
        <v/>
      </c>
      <c r="D1291" s="125" t="n"/>
      <c r="E1291" s="125" t="n"/>
      <c r="F1291" s="125" t="n"/>
      <c r="G1291" s="118">
        <f>CONCATENATE(A1291, " ",#REF!, " / ",H1291)</f>
        <v/>
      </c>
      <c r="H1291" s="118" t="n"/>
      <c r="I1291" s="119">
        <f>CONCATENATE(M1291," - ",J1291," - Lotto N° ",K1291,"")</f>
        <v/>
      </c>
      <c r="J1291" s="118" t="n"/>
      <c r="K1291" s="118">
        <f>VLOOKUP(#REF!,Produzione,7,FALSE)</f>
        <v/>
      </c>
      <c r="L1291" s="120" t="n"/>
      <c r="M1291" s="120" t="n"/>
      <c r="N1291" s="118" t="n"/>
      <c r="O1291" s="121" t="n"/>
      <c r="P1291" s="121" t="n"/>
      <c r="Q1291" s="166">
        <f>TODAY()</f>
        <v/>
      </c>
      <c r="R1291" s="165">
        <f>ElencoProdotti[[#This Row],[PRODUZIONE]]+20</f>
        <v/>
      </c>
      <c r="S1291" s="165">
        <f>TODAY()</f>
        <v/>
      </c>
      <c r="T1291" s="133">
        <f>CONCATENATE(A1291," - contiene allergni - prodotto il giorno ",TEXT(Q1291,"gg/mm/aaaa"),"")</f>
        <v/>
      </c>
    </row>
    <row r="1292" ht="15" customHeight="1" s="155">
      <c r="A1292" s="134">
        <f>ric!B1292</f>
        <v/>
      </c>
      <c r="B1292" s="118">
        <f>ric!C1292</f>
        <v/>
      </c>
      <c r="C1292" s="125">
        <f>ric!D1292</f>
        <v/>
      </c>
      <c r="D1292" s="125" t="n"/>
      <c r="E1292" s="125" t="n"/>
      <c r="F1292" s="125" t="n"/>
      <c r="G1292" s="118">
        <f>CONCATENATE(A1292, " ",#REF!, " / ",H1292)</f>
        <v/>
      </c>
      <c r="H1292" s="118" t="n"/>
      <c r="I1292" s="119">
        <f>CONCATENATE(M1292," - ",J1292," - Lotto N° ",K1292,"")</f>
        <v/>
      </c>
      <c r="J1292" s="118" t="n"/>
      <c r="K1292" s="118">
        <f>VLOOKUP(#REF!,Produzione,7,FALSE)</f>
        <v/>
      </c>
      <c r="L1292" s="120" t="n"/>
      <c r="M1292" s="120" t="n"/>
      <c r="N1292" s="118" t="n"/>
      <c r="O1292" s="121" t="n"/>
      <c r="P1292" s="121" t="n"/>
      <c r="Q1292" s="166">
        <f>TODAY()</f>
        <v/>
      </c>
      <c r="R1292" s="165">
        <f>ElencoProdotti[[#This Row],[PRODUZIONE]]+20</f>
        <v/>
      </c>
      <c r="S1292" s="165">
        <f>TODAY()</f>
        <v/>
      </c>
      <c r="T1292" s="133">
        <f>CONCATENATE(A1292," - contiene allergni - prodotto il giorno ",TEXT(Q1292,"gg/mm/aaaa"),"")</f>
        <v/>
      </c>
    </row>
    <row r="1293" ht="15" customHeight="1" s="155">
      <c r="A1293" s="134">
        <f>ric!B1293</f>
        <v/>
      </c>
      <c r="B1293" s="118">
        <f>ric!C1293</f>
        <v/>
      </c>
      <c r="C1293" s="125">
        <f>ric!D1293</f>
        <v/>
      </c>
      <c r="D1293" s="125" t="n"/>
      <c r="E1293" s="125" t="n"/>
      <c r="F1293" s="125" t="n"/>
      <c r="G1293" s="118">
        <f>CONCATENATE(A1293, " ",#REF!, " / ",H1293)</f>
        <v/>
      </c>
      <c r="H1293" s="118" t="n"/>
      <c r="I1293" s="119">
        <f>CONCATENATE(M1293," - ",J1293," - Lotto N° ",K1293,"")</f>
        <v/>
      </c>
      <c r="J1293" s="118" t="n"/>
      <c r="K1293" s="118">
        <f>VLOOKUP(#REF!,Produzione,7,FALSE)</f>
        <v/>
      </c>
      <c r="L1293" s="120" t="n"/>
      <c r="M1293" s="120" t="n"/>
      <c r="N1293" s="118" t="n"/>
      <c r="O1293" s="121" t="n"/>
      <c r="P1293" s="121" t="n"/>
      <c r="Q1293" s="166">
        <f>TODAY()</f>
        <v/>
      </c>
      <c r="R1293" s="165">
        <f>ElencoProdotti[[#This Row],[PRODUZIONE]]+20</f>
        <v/>
      </c>
      <c r="S1293" s="165">
        <f>TODAY()</f>
        <v/>
      </c>
      <c r="T1293" s="133">
        <f>CONCATENATE(A1293," - contiene allergni - prodotto il giorno ",TEXT(Q1293,"gg/mm/aaaa"),"")</f>
        <v/>
      </c>
    </row>
    <row r="1294" ht="15" customHeight="1" s="155">
      <c r="A1294" s="134">
        <f>ric!B1294</f>
        <v/>
      </c>
      <c r="B1294" s="118">
        <f>ric!C1294</f>
        <v/>
      </c>
      <c r="C1294" s="125">
        <f>ric!D1294</f>
        <v/>
      </c>
      <c r="D1294" s="125" t="n"/>
      <c r="E1294" s="125" t="n"/>
      <c r="F1294" s="125" t="n"/>
      <c r="G1294" s="118">
        <f>CONCATENATE(A1294, " ",#REF!, " / ",H1294)</f>
        <v/>
      </c>
      <c r="H1294" s="118" t="n"/>
      <c r="I1294" s="119">
        <f>CONCATENATE(M1294," - ",J1294," - Lotto N° ",K1294,"")</f>
        <v/>
      </c>
      <c r="J1294" s="118" t="n"/>
      <c r="K1294" s="118">
        <f>VLOOKUP(#REF!,Produzione,7,FALSE)</f>
        <v/>
      </c>
      <c r="L1294" s="120" t="n"/>
      <c r="M1294" s="120" t="n"/>
      <c r="N1294" s="118" t="n"/>
      <c r="O1294" s="121" t="n"/>
      <c r="P1294" s="121" t="n"/>
      <c r="Q1294" s="166">
        <f>TODAY()</f>
        <v/>
      </c>
      <c r="R1294" s="165">
        <f>ElencoProdotti[[#This Row],[PRODUZIONE]]+20</f>
        <v/>
      </c>
      <c r="S1294" s="165">
        <f>TODAY()</f>
        <v/>
      </c>
      <c r="T1294" s="133">
        <f>CONCATENATE(A1294," - contiene allergni - prodotto il giorno ",TEXT(Q1294,"gg/mm/aaaa"),"")</f>
        <v/>
      </c>
    </row>
    <row r="1295" ht="15" customHeight="1" s="155">
      <c r="A1295" s="134">
        <f>ric!B1295</f>
        <v/>
      </c>
      <c r="B1295" s="118">
        <f>ric!C1295</f>
        <v/>
      </c>
      <c r="C1295" s="125">
        <f>ric!D1295</f>
        <v/>
      </c>
      <c r="D1295" s="125" t="n"/>
      <c r="E1295" s="125" t="n"/>
      <c r="F1295" s="125" t="n"/>
      <c r="G1295" s="118">
        <f>CONCATENATE(A1295, " ",#REF!, " / ",H1295)</f>
        <v/>
      </c>
      <c r="H1295" s="118" t="n"/>
      <c r="I1295" s="119">
        <f>CONCATENATE(M1295," - ",J1295," - Lotto N° ",K1295,"")</f>
        <v/>
      </c>
      <c r="J1295" s="118" t="n"/>
      <c r="K1295" s="118">
        <f>VLOOKUP(#REF!,Produzione,7,FALSE)</f>
        <v/>
      </c>
      <c r="L1295" s="120" t="n"/>
      <c r="M1295" s="120" t="n"/>
      <c r="N1295" s="118" t="n"/>
      <c r="O1295" s="121" t="n"/>
      <c r="P1295" s="121" t="n"/>
      <c r="Q1295" s="166">
        <f>TODAY()</f>
        <v/>
      </c>
      <c r="R1295" s="165">
        <f>ElencoProdotti[[#This Row],[PRODUZIONE]]+20</f>
        <v/>
      </c>
      <c r="S1295" s="165">
        <f>TODAY()</f>
        <v/>
      </c>
      <c r="T1295" s="133">
        <f>CONCATENATE(A1295," - contiene allergni - prodotto il giorno ",TEXT(Q1295,"gg/mm/aaaa"),"")</f>
        <v/>
      </c>
    </row>
    <row r="1296" ht="15" customHeight="1" s="155">
      <c r="A1296" s="134">
        <f>ric!B1296</f>
        <v/>
      </c>
      <c r="B1296" s="118">
        <f>ric!C1296</f>
        <v/>
      </c>
      <c r="C1296" s="125">
        <f>ric!D1296</f>
        <v/>
      </c>
      <c r="D1296" s="125" t="n"/>
      <c r="E1296" s="125" t="n"/>
      <c r="F1296" s="125" t="n"/>
      <c r="G1296" s="118">
        <f>CONCATENATE(A1296, " ",#REF!, " / ",H1296)</f>
        <v/>
      </c>
      <c r="H1296" s="118" t="n"/>
      <c r="I1296" s="119">
        <f>CONCATENATE(M1296," - ",J1296," - Lotto N° ",K1296,"")</f>
        <v/>
      </c>
      <c r="J1296" s="118" t="n"/>
      <c r="K1296" s="118">
        <f>VLOOKUP(#REF!,Produzione,7,FALSE)</f>
        <v/>
      </c>
      <c r="L1296" s="120" t="n"/>
      <c r="M1296" s="120" t="n"/>
      <c r="N1296" s="118" t="n"/>
      <c r="O1296" s="121" t="n"/>
      <c r="P1296" s="121" t="n"/>
      <c r="Q1296" s="166">
        <f>TODAY()</f>
        <v/>
      </c>
      <c r="R1296" s="165">
        <f>ElencoProdotti[[#This Row],[PRODUZIONE]]+20</f>
        <v/>
      </c>
      <c r="S1296" s="165">
        <f>TODAY()</f>
        <v/>
      </c>
      <c r="T1296" s="133">
        <f>CONCATENATE(A1296," - contiene allergni - prodotto il giorno ",TEXT(Q1296,"gg/mm/aaaa"),"")</f>
        <v/>
      </c>
    </row>
    <row r="1297" ht="15" customHeight="1" s="155">
      <c r="A1297" s="134">
        <f>ric!B1297</f>
        <v/>
      </c>
      <c r="B1297" s="118">
        <f>ric!C1297</f>
        <v/>
      </c>
      <c r="C1297" s="125">
        <f>ric!D1297</f>
        <v/>
      </c>
      <c r="D1297" s="125" t="n"/>
      <c r="E1297" s="125" t="n"/>
      <c r="F1297" s="125" t="n"/>
      <c r="G1297" s="118">
        <f>CONCATENATE(A1297, " ",#REF!, " / ",H1297)</f>
        <v/>
      </c>
      <c r="H1297" s="118" t="n"/>
      <c r="I1297" s="119">
        <f>CONCATENATE(M1297," - ",J1297," - Lotto N° ",K1297,"")</f>
        <v/>
      </c>
      <c r="J1297" s="118" t="n"/>
      <c r="K1297" s="118">
        <f>VLOOKUP(#REF!,Produzione,7,FALSE)</f>
        <v/>
      </c>
      <c r="L1297" s="120" t="n"/>
      <c r="M1297" s="120" t="n"/>
      <c r="N1297" s="118" t="n"/>
      <c r="O1297" s="121" t="n"/>
      <c r="P1297" s="121" t="n"/>
      <c r="Q1297" s="166">
        <f>TODAY()</f>
        <v/>
      </c>
      <c r="R1297" s="165">
        <f>ElencoProdotti[[#This Row],[PRODUZIONE]]+20</f>
        <v/>
      </c>
      <c r="S1297" s="165">
        <f>TODAY()</f>
        <v/>
      </c>
      <c r="T1297" s="133">
        <f>CONCATENATE(A1297," - contiene allergni - prodotto il giorno ",TEXT(Q1297,"gg/mm/aaaa"),"")</f>
        <v/>
      </c>
    </row>
    <row r="1298" ht="15" customHeight="1" s="155">
      <c r="A1298" s="134">
        <f>ric!B1298</f>
        <v/>
      </c>
      <c r="B1298" s="118">
        <f>ric!C1298</f>
        <v/>
      </c>
      <c r="C1298" s="125">
        <f>ric!D1298</f>
        <v/>
      </c>
      <c r="D1298" s="125" t="n"/>
      <c r="E1298" s="125" t="n"/>
      <c r="F1298" s="125" t="n"/>
      <c r="G1298" s="118">
        <f>CONCATENATE(A1298, " ",#REF!, " / ",H1298)</f>
        <v/>
      </c>
      <c r="H1298" s="118" t="n"/>
      <c r="I1298" s="119">
        <f>CONCATENATE(M1298," - ",J1298," - Lotto N° ",K1298,"")</f>
        <v/>
      </c>
      <c r="J1298" s="118" t="n"/>
      <c r="K1298" s="118">
        <f>VLOOKUP(#REF!,Produzione,7,FALSE)</f>
        <v/>
      </c>
      <c r="L1298" s="120" t="n"/>
      <c r="M1298" s="120" t="n"/>
      <c r="N1298" s="118" t="n"/>
      <c r="O1298" s="121" t="n"/>
      <c r="P1298" s="121" t="n"/>
      <c r="Q1298" s="166">
        <f>TODAY()</f>
        <v/>
      </c>
      <c r="R1298" s="165">
        <f>ElencoProdotti[[#This Row],[PRODUZIONE]]+20</f>
        <v/>
      </c>
      <c r="S1298" s="165">
        <f>TODAY()</f>
        <v/>
      </c>
      <c r="T1298" s="133">
        <f>CONCATENATE(A1298," - contiene allergni - prodotto il giorno ",TEXT(Q1298,"gg/mm/aaaa"),"")</f>
        <v/>
      </c>
    </row>
    <row r="1299" ht="15" customHeight="1" s="155">
      <c r="A1299" s="134">
        <f>ric!B1299</f>
        <v/>
      </c>
      <c r="B1299" s="118">
        <f>ric!C1299</f>
        <v/>
      </c>
      <c r="C1299" s="125">
        <f>ric!D1299</f>
        <v/>
      </c>
      <c r="D1299" s="125" t="n"/>
      <c r="E1299" s="125" t="n"/>
      <c r="F1299" s="125" t="n"/>
      <c r="G1299" s="118">
        <f>CONCATENATE(A1299, " ",#REF!, " / ",H1299)</f>
        <v/>
      </c>
      <c r="H1299" s="118" t="n"/>
      <c r="I1299" s="119">
        <f>CONCATENATE(M1299," - ",J1299," - Lotto N° ",K1299,"")</f>
        <v/>
      </c>
      <c r="J1299" s="118" t="n"/>
      <c r="K1299" s="118">
        <f>VLOOKUP(#REF!,Produzione,7,FALSE)</f>
        <v/>
      </c>
      <c r="L1299" s="120" t="n"/>
      <c r="M1299" s="120" t="n"/>
      <c r="N1299" s="118" t="n"/>
      <c r="O1299" s="121" t="n"/>
      <c r="P1299" s="121" t="n"/>
      <c r="Q1299" s="166">
        <f>TODAY()</f>
        <v/>
      </c>
      <c r="R1299" s="165">
        <f>ElencoProdotti[[#This Row],[PRODUZIONE]]+20</f>
        <v/>
      </c>
      <c r="S1299" s="165">
        <f>TODAY()</f>
        <v/>
      </c>
      <c r="T1299" s="133">
        <f>CONCATENATE(A1299," - contiene allergni - prodotto il giorno ",TEXT(Q1299,"gg/mm/aaaa"),"")</f>
        <v/>
      </c>
    </row>
    <row r="1300" ht="15" customHeight="1" s="155">
      <c r="A1300" s="134">
        <f>ric!B1300</f>
        <v/>
      </c>
      <c r="B1300" s="118">
        <f>ric!C1300</f>
        <v/>
      </c>
      <c r="C1300" s="125">
        <f>ric!D1300</f>
        <v/>
      </c>
      <c r="D1300" s="125" t="n"/>
      <c r="E1300" s="125" t="n"/>
      <c r="F1300" s="125" t="n"/>
      <c r="G1300" s="118">
        <f>CONCATENATE(A1300, " ",#REF!, " / ",H1300)</f>
        <v/>
      </c>
      <c r="H1300" s="118" t="n"/>
      <c r="I1300" s="119">
        <f>CONCATENATE(M1300," - ",J1300," - Lotto N° ",K1300,"")</f>
        <v/>
      </c>
      <c r="J1300" s="118" t="n"/>
      <c r="K1300" s="118">
        <f>VLOOKUP(#REF!,Produzione,7,FALSE)</f>
        <v/>
      </c>
      <c r="L1300" s="120" t="n"/>
      <c r="M1300" s="120" t="n"/>
      <c r="N1300" s="118" t="n"/>
      <c r="O1300" s="121" t="n"/>
      <c r="P1300" s="121" t="n"/>
      <c r="Q1300" s="166">
        <f>TODAY()</f>
        <v/>
      </c>
      <c r="R1300" s="165">
        <f>ElencoProdotti[[#This Row],[PRODUZIONE]]+20</f>
        <v/>
      </c>
      <c r="S1300" s="165">
        <f>TODAY()</f>
        <v/>
      </c>
      <c r="T1300" s="133">
        <f>CONCATENATE(A1300," - contiene allergni - prodotto il giorno ",TEXT(Q1300,"gg/mm/aaaa"),"")</f>
        <v/>
      </c>
    </row>
    <row r="1301" ht="15" customHeight="1" s="155">
      <c r="A1301" s="134">
        <f>ric!B1301</f>
        <v/>
      </c>
      <c r="B1301" s="118">
        <f>ric!C1301</f>
        <v/>
      </c>
      <c r="C1301" s="125">
        <f>ric!D1301</f>
        <v/>
      </c>
      <c r="D1301" s="125" t="n"/>
      <c r="E1301" s="125" t="n"/>
      <c r="F1301" s="125" t="n"/>
      <c r="G1301" s="118">
        <f>CONCATENATE(A1301, " ",#REF!, " / ",H1301)</f>
        <v/>
      </c>
      <c r="H1301" s="118" t="n"/>
      <c r="I1301" s="119">
        <f>CONCATENATE(M1301," - ",J1301," - Lotto N° ",K1301,"")</f>
        <v/>
      </c>
      <c r="J1301" s="118" t="n"/>
      <c r="K1301" s="118">
        <f>VLOOKUP(#REF!,Produzione,7,FALSE)</f>
        <v/>
      </c>
      <c r="L1301" s="120" t="n"/>
      <c r="M1301" s="120" t="n"/>
      <c r="N1301" s="118" t="n"/>
      <c r="O1301" s="121" t="n"/>
      <c r="P1301" s="121" t="n"/>
      <c r="Q1301" s="166">
        <f>TODAY()</f>
        <v/>
      </c>
      <c r="R1301" s="165">
        <f>ElencoProdotti[[#This Row],[PRODUZIONE]]+20</f>
        <v/>
      </c>
      <c r="S1301" s="165">
        <f>TODAY()</f>
        <v/>
      </c>
      <c r="T1301" s="133">
        <f>CONCATENATE(A1301," - contiene allergni - prodotto il giorno ",TEXT(Q1301,"gg/mm/aaaa"),"")</f>
        <v/>
      </c>
    </row>
    <row r="1302" ht="15" customHeight="1" s="155">
      <c r="A1302" s="134">
        <f>ric!B1302</f>
        <v/>
      </c>
      <c r="B1302" s="118">
        <f>ric!C1302</f>
        <v/>
      </c>
      <c r="C1302" s="125">
        <f>ric!D1302</f>
        <v/>
      </c>
      <c r="D1302" s="125" t="n"/>
      <c r="E1302" s="125" t="n"/>
      <c r="F1302" s="125" t="n"/>
      <c r="G1302" s="118">
        <f>CONCATENATE(A1302, " ",#REF!, " / ",H1302)</f>
        <v/>
      </c>
      <c r="H1302" s="118" t="n"/>
      <c r="I1302" s="119">
        <f>CONCATENATE(M1302," - ",J1302," - Lotto N° ",K1302,"")</f>
        <v/>
      </c>
      <c r="J1302" s="118" t="n"/>
      <c r="K1302" s="118">
        <f>VLOOKUP(#REF!,Produzione,7,FALSE)</f>
        <v/>
      </c>
      <c r="L1302" s="120" t="n"/>
      <c r="M1302" s="120" t="n"/>
      <c r="N1302" s="118" t="n"/>
      <c r="O1302" s="121" t="n"/>
      <c r="P1302" s="121" t="n"/>
      <c r="Q1302" s="166">
        <f>TODAY()</f>
        <v/>
      </c>
      <c r="R1302" s="165">
        <f>ElencoProdotti[[#This Row],[PRODUZIONE]]+20</f>
        <v/>
      </c>
      <c r="S1302" s="165">
        <f>TODAY()</f>
        <v/>
      </c>
      <c r="T1302" s="133">
        <f>CONCATENATE(A1302," - contiene allergni - prodotto il giorno ",TEXT(Q1302,"gg/mm/aaaa"),"")</f>
        <v/>
      </c>
    </row>
    <row r="1303" ht="15" customHeight="1" s="155">
      <c r="A1303" s="134">
        <f>ric!B1303</f>
        <v/>
      </c>
      <c r="B1303" s="118">
        <f>ric!C1303</f>
        <v/>
      </c>
      <c r="C1303" s="125">
        <f>ric!D1303</f>
        <v/>
      </c>
      <c r="D1303" s="125" t="n"/>
      <c r="E1303" s="125" t="n"/>
      <c r="F1303" s="125" t="n"/>
      <c r="G1303" s="118">
        <f>CONCATENATE(A1303, " ",#REF!, " / ",H1303)</f>
        <v/>
      </c>
      <c r="H1303" s="118" t="n"/>
      <c r="I1303" s="119">
        <f>CONCATENATE(M1303," - ",J1303," - Lotto N° ",K1303,"")</f>
        <v/>
      </c>
      <c r="J1303" s="118" t="n"/>
      <c r="K1303" s="118">
        <f>VLOOKUP(#REF!,Produzione,7,FALSE)</f>
        <v/>
      </c>
      <c r="L1303" s="120" t="n"/>
      <c r="M1303" s="120" t="n"/>
      <c r="N1303" s="118" t="n"/>
      <c r="O1303" s="121" t="n"/>
      <c r="P1303" s="121" t="n"/>
      <c r="Q1303" s="166">
        <f>TODAY()</f>
        <v/>
      </c>
      <c r="R1303" s="165">
        <f>ElencoProdotti[[#This Row],[PRODUZIONE]]+20</f>
        <v/>
      </c>
      <c r="S1303" s="165">
        <f>TODAY()</f>
        <v/>
      </c>
      <c r="T1303" s="133">
        <f>CONCATENATE(A1303," - contiene allergni - prodotto il giorno ",TEXT(Q1303,"gg/mm/aaaa"),"")</f>
        <v/>
      </c>
    </row>
    <row r="1304" ht="15" customHeight="1" s="155">
      <c r="A1304" s="134">
        <f>ric!B1304</f>
        <v/>
      </c>
      <c r="B1304" s="118">
        <f>ric!C1304</f>
        <v/>
      </c>
      <c r="C1304" s="125">
        <f>ric!D1304</f>
        <v/>
      </c>
      <c r="D1304" s="125" t="n"/>
      <c r="E1304" s="125" t="n"/>
      <c r="F1304" s="125" t="n"/>
      <c r="G1304" s="118">
        <f>CONCATENATE(A1304, " ",#REF!, " / ",H1304)</f>
        <v/>
      </c>
      <c r="H1304" s="118" t="n"/>
      <c r="I1304" s="119">
        <f>CONCATENATE(M1304," - ",J1304," - Lotto N° ",K1304,"")</f>
        <v/>
      </c>
      <c r="J1304" s="118" t="n"/>
      <c r="K1304" s="118">
        <f>VLOOKUP(#REF!,Produzione,7,FALSE)</f>
        <v/>
      </c>
      <c r="L1304" s="120" t="n"/>
      <c r="M1304" s="120" t="n"/>
      <c r="N1304" s="118" t="n"/>
      <c r="O1304" s="121" t="n"/>
      <c r="P1304" s="121" t="n"/>
      <c r="Q1304" s="166">
        <f>TODAY()</f>
        <v/>
      </c>
      <c r="R1304" s="165">
        <f>ElencoProdotti[[#This Row],[PRODUZIONE]]+20</f>
        <v/>
      </c>
      <c r="S1304" s="165">
        <f>TODAY()</f>
        <v/>
      </c>
      <c r="T1304" s="133">
        <f>CONCATENATE(A1304," - contiene allergni - prodotto il giorno ",TEXT(Q1304,"gg/mm/aaaa"),"")</f>
        <v/>
      </c>
    </row>
    <row r="1305" ht="15" customHeight="1" s="155">
      <c r="A1305" s="134">
        <f>ric!B1305</f>
        <v/>
      </c>
      <c r="B1305" s="118">
        <f>ric!C1305</f>
        <v/>
      </c>
      <c r="C1305" s="125">
        <f>ric!D1305</f>
        <v/>
      </c>
      <c r="D1305" s="125" t="n"/>
      <c r="E1305" s="125" t="n"/>
      <c r="F1305" s="125" t="n"/>
      <c r="G1305" s="118">
        <f>CONCATENATE(A1305, " ",#REF!, " / ",H1305)</f>
        <v/>
      </c>
      <c r="H1305" s="118" t="n"/>
      <c r="I1305" s="119">
        <f>CONCATENATE(M1305," - ",J1305," - Lotto N° ",K1305,"")</f>
        <v/>
      </c>
      <c r="J1305" s="118" t="n"/>
      <c r="K1305" s="118">
        <f>VLOOKUP(#REF!,Produzione,7,FALSE)</f>
        <v/>
      </c>
      <c r="L1305" s="120" t="n"/>
      <c r="M1305" s="120" t="n"/>
      <c r="N1305" s="118" t="n"/>
      <c r="O1305" s="121" t="n"/>
      <c r="P1305" s="121" t="n"/>
      <c r="Q1305" s="166">
        <f>TODAY()</f>
        <v/>
      </c>
      <c r="R1305" s="165">
        <f>ElencoProdotti[[#This Row],[PRODUZIONE]]+20</f>
        <v/>
      </c>
      <c r="S1305" s="165">
        <f>TODAY()</f>
        <v/>
      </c>
      <c r="T1305" s="133">
        <f>CONCATENATE(A1305," - contiene allergni - prodotto il giorno ",TEXT(Q1305,"gg/mm/aaaa"),"")</f>
        <v/>
      </c>
    </row>
    <row r="1306" ht="15" customHeight="1" s="155">
      <c r="A1306" s="134">
        <f>ric!B1306</f>
        <v/>
      </c>
      <c r="B1306" s="118">
        <f>ric!C1306</f>
        <v/>
      </c>
      <c r="C1306" s="125">
        <f>ric!D1306</f>
        <v/>
      </c>
      <c r="D1306" s="125" t="n"/>
      <c r="E1306" s="125" t="n"/>
      <c r="F1306" s="125" t="n"/>
      <c r="G1306" s="118">
        <f>CONCATENATE(A1306, " ",#REF!, " / ",H1306)</f>
        <v/>
      </c>
      <c r="H1306" s="118" t="n"/>
      <c r="I1306" s="119">
        <f>CONCATENATE(M1306," - ",J1306," - Lotto N° ",K1306,"")</f>
        <v/>
      </c>
      <c r="J1306" s="118" t="n"/>
      <c r="K1306" s="118">
        <f>VLOOKUP(#REF!,Produzione,7,FALSE)</f>
        <v/>
      </c>
      <c r="L1306" s="120" t="n"/>
      <c r="M1306" s="120" t="n"/>
      <c r="N1306" s="118" t="n"/>
      <c r="O1306" s="121" t="n"/>
      <c r="P1306" s="121" t="n"/>
      <c r="Q1306" s="166">
        <f>TODAY()</f>
        <v/>
      </c>
      <c r="R1306" s="165">
        <f>ElencoProdotti[[#This Row],[PRODUZIONE]]+20</f>
        <v/>
      </c>
      <c r="S1306" s="165">
        <f>TODAY()</f>
        <v/>
      </c>
      <c r="T1306" s="133">
        <f>CONCATENATE(A1306," - contiene allergni - prodotto il giorno ",TEXT(Q1306,"gg/mm/aaaa"),"")</f>
        <v/>
      </c>
    </row>
    <row r="1307" ht="15" customHeight="1" s="155">
      <c r="A1307" s="134">
        <f>ric!B1307</f>
        <v/>
      </c>
      <c r="B1307" s="118">
        <f>ric!C1307</f>
        <v/>
      </c>
      <c r="C1307" s="125">
        <f>ric!D1307</f>
        <v/>
      </c>
      <c r="D1307" s="125" t="n"/>
      <c r="E1307" s="125" t="n"/>
      <c r="F1307" s="125" t="n"/>
      <c r="G1307" s="118">
        <f>CONCATENATE(A1307, " ",#REF!, " / ",H1307)</f>
        <v/>
      </c>
      <c r="H1307" s="118" t="n"/>
      <c r="I1307" s="119">
        <f>CONCATENATE(M1307," - ",J1307," - Lotto N° ",K1307,"")</f>
        <v/>
      </c>
      <c r="J1307" s="118" t="n"/>
      <c r="K1307" s="118">
        <f>VLOOKUP(#REF!,Produzione,7,FALSE)</f>
        <v/>
      </c>
      <c r="L1307" s="120" t="n"/>
      <c r="M1307" s="120" t="n"/>
      <c r="N1307" s="118" t="n"/>
      <c r="O1307" s="121" t="n"/>
      <c r="P1307" s="121" t="n"/>
      <c r="Q1307" s="166">
        <f>TODAY()</f>
        <v/>
      </c>
      <c r="R1307" s="165">
        <f>ElencoProdotti[[#This Row],[PRODUZIONE]]+20</f>
        <v/>
      </c>
      <c r="S1307" s="165">
        <f>TODAY()</f>
        <v/>
      </c>
      <c r="T1307" s="133">
        <f>CONCATENATE(A1307," - contiene allergni - prodotto il giorno ",TEXT(Q1307,"gg/mm/aaaa"),"")</f>
        <v/>
      </c>
    </row>
    <row r="1308" ht="15" customHeight="1" s="155">
      <c r="A1308" s="134">
        <f>ric!B1308</f>
        <v/>
      </c>
      <c r="B1308" s="118">
        <f>ric!C1308</f>
        <v/>
      </c>
      <c r="C1308" s="125">
        <f>ric!D1308</f>
        <v/>
      </c>
      <c r="D1308" s="125" t="n"/>
      <c r="E1308" s="125" t="n"/>
      <c r="F1308" s="125" t="n"/>
      <c r="G1308" s="118">
        <f>CONCATENATE(A1308, " ",#REF!, " / ",H1308)</f>
        <v/>
      </c>
      <c r="H1308" s="118" t="n"/>
      <c r="I1308" s="119">
        <f>CONCATENATE(M1308," - ",J1308," - Lotto N° ",K1308,"")</f>
        <v/>
      </c>
      <c r="J1308" s="118" t="n"/>
      <c r="K1308" s="118">
        <f>VLOOKUP(#REF!,Produzione,7,FALSE)</f>
        <v/>
      </c>
      <c r="L1308" s="120" t="n"/>
      <c r="M1308" s="120" t="n"/>
      <c r="N1308" s="118" t="n"/>
      <c r="O1308" s="121" t="n"/>
      <c r="P1308" s="121" t="n"/>
      <c r="Q1308" s="166">
        <f>TODAY()</f>
        <v/>
      </c>
      <c r="R1308" s="165">
        <f>ElencoProdotti[[#This Row],[PRODUZIONE]]+20</f>
        <v/>
      </c>
      <c r="S1308" s="165">
        <f>TODAY()</f>
        <v/>
      </c>
      <c r="T1308" s="133">
        <f>CONCATENATE(A1308," - contiene allergni - prodotto il giorno ",TEXT(Q1308,"gg/mm/aaaa"),"")</f>
        <v/>
      </c>
    </row>
    <row r="1309" ht="15" customHeight="1" s="155">
      <c r="A1309" s="134">
        <f>ric!B1309</f>
        <v/>
      </c>
      <c r="B1309" s="118">
        <f>ric!C1309</f>
        <v/>
      </c>
      <c r="C1309" s="125">
        <f>ric!D1309</f>
        <v/>
      </c>
      <c r="D1309" s="125" t="n"/>
      <c r="E1309" s="125" t="n"/>
      <c r="F1309" s="125" t="n"/>
      <c r="G1309" s="118">
        <f>CONCATENATE(A1309, " ",#REF!, " / ",H1309)</f>
        <v/>
      </c>
      <c r="H1309" s="118" t="n"/>
      <c r="I1309" s="119">
        <f>CONCATENATE(M1309," - ",J1309," - Lotto N° ",K1309,"")</f>
        <v/>
      </c>
      <c r="J1309" s="118" t="n"/>
      <c r="K1309" s="118">
        <f>VLOOKUP(#REF!,Produzione,7,FALSE)</f>
        <v/>
      </c>
      <c r="L1309" s="120" t="n"/>
      <c r="M1309" s="120" t="n"/>
      <c r="N1309" s="118" t="n"/>
      <c r="O1309" s="121" t="n"/>
      <c r="P1309" s="121" t="n"/>
      <c r="Q1309" s="166">
        <f>TODAY()</f>
        <v/>
      </c>
      <c r="R1309" s="165">
        <f>ElencoProdotti[[#This Row],[PRODUZIONE]]+20</f>
        <v/>
      </c>
      <c r="S1309" s="165">
        <f>TODAY()</f>
        <v/>
      </c>
      <c r="T1309" s="133">
        <f>CONCATENATE(A1309," - contiene allergni - prodotto il giorno ",TEXT(Q1309,"gg/mm/aaaa"),"")</f>
        <v/>
      </c>
    </row>
    <row r="1310" ht="15" customHeight="1" s="155">
      <c r="A1310" s="134">
        <f>ric!B1310</f>
        <v/>
      </c>
      <c r="B1310" s="118">
        <f>ric!C1310</f>
        <v/>
      </c>
      <c r="C1310" s="125">
        <f>ric!D1310</f>
        <v/>
      </c>
      <c r="D1310" s="125" t="n"/>
      <c r="E1310" s="125" t="n"/>
      <c r="F1310" s="125" t="n"/>
      <c r="G1310" s="118">
        <f>CONCATENATE(A1310, " ",#REF!, " / ",H1310)</f>
        <v/>
      </c>
      <c r="H1310" s="118" t="n"/>
      <c r="I1310" s="119">
        <f>CONCATENATE(M1310," - ",J1310," - Lotto N° ",K1310,"")</f>
        <v/>
      </c>
      <c r="J1310" s="118" t="n"/>
      <c r="K1310" s="118">
        <f>VLOOKUP(#REF!,Produzione,7,FALSE)</f>
        <v/>
      </c>
      <c r="L1310" s="120" t="n"/>
      <c r="M1310" s="120" t="n"/>
      <c r="N1310" s="118" t="n"/>
      <c r="O1310" s="121" t="n"/>
      <c r="P1310" s="121" t="n"/>
      <c r="Q1310" s="166">
        <f>TODAY()</f>
        <v/>
      </c>
      <c r="R1310" s="165">
        <f>ElencoProdotti[[#This Row],[PRODUZIONE]]+20</f>
        <v/>
      </c>
      <c r="S1310" s="165">
        <f>TODAY()</f>
        <v/>
      </c>
      <c r="T1310" s="133">
        <f>CONCATENATE(A1310," - contiene allergni - prodotto il giorno ",TEXT(Q1310,"gg/mm/aaaa"),"")</f>
        <v/>
      </c>
    </row>
    <row r="1311" ht="15" customHeight="1" s="155">
      <c r="A1311" s="134">
        <f>ric!B1311</f>
        <v/>
      </c>
      <c r="B1311" s="118">
        <f>ric!C1311</f>
        <v/>
      </c>
      <c r="C1311" s="125">
        <f>ric!D1311</f>
        <v/>
      </c>
      <c r="D1311" s="125" t="n"/>
      <c r="E1311" s="125" t="n"/>
      <c r="F1311" s="125" t="n"/>
      <c r="G1311" s="118">
        <f>CONCATENATE(A1311, " ",#REF!, " / ",H1311)</f>
        <v/>
      </c>
      <c r="H1311" s="118" t="n"/>
      <c r="I1311" s="119">
        <f>CONCATENATE(M1311," - ",J1311," - Lotto N° ",K1311,"")</f>
        <v/>
      </c>
      <c r="J1311" s="118" t="n"/>
      <c r="K1311" s="118">
        <f>VLOOKUP(#REF!,Produzione,7,FALSE)</f>
        <v/>
      </c>
      <c r="L1311" s="120" t="n"/>
      <c r="M1311" s="120" t="n"/>
      <c r="N1311" s="118" t="n"/>
      <c r="O1311" s="121" t="n"/>
      <c r="P1311" s="121" t="n"/>
      <c r="Q1311" s="166">
        <f>TODAY()</f>
        <v/>
      </c>
      <c r="R1311" s="165">
        <f>ElencoProdotti[[#This Row],[PRODUZIONE]]+20</f>
        <v/>
      </c>
      <c r="S1311" s="165">
        <f>TODAY()</f>
        <v/>
      </c>
      <c r="T1311" s="133">
        <f>CONCATENATE(A1311," - contiene allergni - prodotto il giorno ",TEXT(Q1311,"gg/mm/aaaa"),"")</f>
        <v/>
      </c>
    </row>
    <row r="1312" ht="15" customHeight="1" s="155">
      <c r="A1312" s="134">
        <f>ric!B1312</f>
        <v/>
      </c>
      <c r="B1312" s="118">
        <f>ric!C1312</f>
        <v/>
      </c>
      <c r="C1312" s="125">
        <f>ric!D1312</f>
        <v/>
      </c>
      <c r="D1312" s="125" t="n"/>
      <c r="E1312" s="125" t="n"/>
      <c r="F1312" s="125" t="n"/>
      <c r="G1312" s="118">
        <f>CONCATENATE(A1312, " ",#REF!, " / ",H1312)</f>
        <v/>
      </c>
      <c r="H1312" s="118" t="n"/>
      <c r="I1312" s="119">
        <f>CONCATENATE(M1312," - ",J1312," - Lotto N° ",K1312,"")</f>
        <v/>
      </c>
      <c r="J1312" s="118" t="n"/>
      <c r="K1312" s="118">
        <f>VLOOKUP(#REF!,Produzione,7,FALSE)</f>
        <v/>
      </c>
      <c r="L1312" s="120" t="n"/>
      <c r="M1312" s="120" t="n"/>
      <c r="N1312" s="118" t="n"/>
      <c r="O1312" s="121" t="n"/>
      <c r="P1312" s="121" t="n"/>
      <c r="Q1312" s="166">
        <f>TODAY()</f>
        <v/>
      </c>
      <c r="R1312" s="165">
        <f>ElencoProdotti[[#This Row],[PRODUZIONE]]+20</f>
        <v/>
      </c>
      <c r="S1312" s="165">
        <f>TODAY()</f>
        <v/>
      </c>
      <c r="T1312" s="133">
        <f>CONCATENATE(A1312," - contiene allergni - prodotto il giorno ",TEXT(Q1312,"gg/mm/aaaa"),"")</f>
        <v/>
      </c>
    </row>
    <row r="1313" ht="15" customHeight="1" s="155">
      <c r="A1313" s="134">
        <f>ric!B1313</f>
        <v/>
      </c>
      <c r="B1313" s="118">
        <f>ric!C1313</f>
        <v/>
      </c>
      <c r="C1313" s="125">
        <f>ric!D1313</f>
        <v/>
      </c>
      <c r="D1313" s="125" t="n"/>
      <c r="E1313" s="125" t="n"/>
      <c r="F1313" s="125" t="n"/>
      <c r="G1313" s="118">
        <f>CONCATENATE(A1313, " ",#REF!, " / ",H1313)</f>
        <v/>
      </c>
      <c r="H1313" s="118" t="n"/>
      <c r="I1313" s="119">
        <f>CONCATENATE(M1313," - ",J1313," - Lotto N° ",K1313,"")</f>
        <v/>
      </c>
      <c r="J1313" s="118" t="n"/>
      <c r="K1313" s="118">
        <f>VLOOKUP(#REF!,Produzione,7,FALSE)</f>
        <v/>
      </c>
      <c r="L1313" s="120" t="n"/>
      <c r="M1313" s="120" t="n"/>
      <c r="N1313" s="118" t="n"/>
      <c r="O1313" s="121" t="n"/>
      <c r="P1313" s="121" t="n"/>
      <c r="Q1313" s="166">
        <f>TODAY()</f>
        <v/>
      </c>
      <c r="R1313" s="165">
        <f>ElencoProdotti[[#This Row],[PRODUZIONE]]+20</f>
        <v/>
      </c>
      <c r="S1313" s="165">
        <f>TODAY()</f>
        <v/>
      </c>
      <c r="T1313" s="133">
        <f>CONCATENATE(A1313," - contiene allergni - prodotto il giorno ",TEXT(Q1313,"gg/mm/aaaa"),"")</f>
        <v/>
      </c>
    </row>
    <row r="1314" ht="15" customHeight="1" s="155">
      <c r="A1314" s="134">
        <f>ric!B1314</f>
        <v/>
      </c>
      <c r="B1314" s="118">
        <f>ric!C1314</f>
        <v/>
      </c>
      <c r="C1314" s="125">
        <f>ric!D1314</f>
        <v/>
      </c>
      <c r="D1314" s="125" t="n"/>
      <c r="E1314" s="125" t="n"/>
      <c r="F1314" s="125" t="n"/>
      <c r="G1314" s="118">
        <f>CONCATENATE(A1314, " ",#REF!, " / ",H1314)</f>
        <v/>
      </c>
      <c r="H1314" s="118" t="n"/>
      <c r="I1314" s="119">
        <f>CONCATENATE(M1314," - ",J1314," - Lotto N° ",K1314,"")</f>
        <v/>
      </c>
      <c r="J1314" s="118" t="n"/>
      <c r="K1314" s="118">
        <f>VLOOKUP(#REF!,Produzione,7,FALSE)</f>
        <v/>
      </c>
      <c r="L1314" s="120" t="n"/>
      <c r="M1314" s="120" t="n"/>
      <c r="N1314" s="118" t="n"/>
      <c r="O1314" s="121" t="n"/>
      <c r="P1314" s="121" t="n"/>
      <c r="Q1314" s="166">
        <f>TODAY()</f>
        <v/>
      </c>
      <c r="R1314" s="165">
        <f>ElencoProdotti[[#This Row],[PRODUZIONE]]+20</f>
        <v/>
      </c>
      <c r="S1314" s="165">
        <f>TODAY()</f>
        <v/>
      </c>
      <c r="T1314" s="133">
        <f>CONCATENATE(A1314," - contiene allergni - prodotto il giorno ",TEXT(Q1314,"gg/mm/aaaa"),"")</f>
        <v/>
      </c>
    </row>
    <row r="1315" ht="15" customHeight="1" s="155">
      <c r="A1315" s="134">
        <f>ric!B1315</f>
        <v/>
      </c>
      <c r="B1315" s="118">
        <f>ric!C1315</f>
        <v/>
      </c>
      <c r="C1315" s="125">
        <f>ric!D1315</f>
        <v/>
      </c>
      <c r="D1315" s="125" t="n"/>
      <c r="E1315" s="125" t="n"/>
      <c r="F1315" s="125" t="n"/>
      <c r="G1315" s="118">
        <f>CONCATENATE(A1315, " ",#REF!, " / ",H1315)</f>
        <v/>
      </c>
      <c r="H1315" s="118" t="n"/>
      <c r="I1315" s="119">
        <f>CONCATENATE(M1315," - ",J1315," - Lotto N° ",K1315,"")</f>
        <v/>
      </c>
      <c r="J1315" s="118" t="n"/>
      <c r="K1315" s="118">
        <f>VLOOKUP(#REF!,Produzione,7,FALSE)</f>
        <v/>
      </c>
      <c r="L1315" s="120" t="n"/>
      <c r="M1315" s="120" t="n"/>
      <c r="N1315" s="118" t="n"/>
      <c r="O1315" s="121" t="n"/>
      <c r="P1315" s="121" t="n"/>
      <c r="Q1315" s="166">
        <f>TODAY()</f>
        <v/>
      </c>
      <c r="R1315" s="165">
        <f>ElencoProdotti[[#This Row],[PRODUZIONE]]+20</f>
        <v/>
      </c>
      <c r="S1315" s="165">
        <f>TODAY()</f>
        <v/>
      </c>
      <c r="T1315" s="133">
        <f>CONCATENATE(A1315," - contiene allergni - prodotto il giorno ",TEXT(Q1315,"gg/mm/aaaa"),"")</f>
        <v/>
      </c>
    </row>
    <row r="1316" ht="15" customHeight="1" s="155">
      <c r="A1316" s="134">
        <f>ric!B1316</f>
        <v/>
      </c>
      <c r="B1316" s="118">
        <f>ric!C1316</f>
        <v/>
      </c>
      <c r="C1316" s="125">
        <f>ric!D1316</f>
        <v/>
      </c>
      <c r="D1316" s="125" t="n"/>
      <c r="E1316" s="125" t="n"/>
      <c r="F1316" s="125" t="n"/>
      <c r="G1316" s="118">
        <f>CONCATENATE(A1316, " ",#REF!, " / ",H1316)</f>
        <v/>
      </c>
      <c r="H1316" s="118" t="n"/>
      <c r="I1316" s="119">
        <f>CONCATENATE(M1316," - ",J1316," - Lotto N° ",K1316,"")</f>
        <v/>
      </c>
      <c r="J1316" s="118" t="n"/>
      <c r="K1316" s="118">
        <f>VLOOKUP(#REF!,Produzione,7,FALSE)</f>
        <v/>
      </c>
      <c r="L1316" s="120" t="n"/>
      <c r="M1316" s="120" t="n"/>
      <c r="N1316" s="118" t="n"/>
      <c r="O1316" s="121" t="n"/>
      <c r="P1316" s="121" t="n"/>
      <c r="Q1316" s="166">
        <f>TODAY()</f>
        <v/>
      </c>
      <c r="R1316" s="165">
        <f>ElencoProdotti[[#This Row],[PRODUZIONE]]+20</f>
        <v/>
      </c>
      <c r="S1316" s="165">
        <f>TODAY()</f>
        <v/>
      </c>
      <c r="T1316" s="133">
        <f>CONCATENATE(A1316," - contiene allergni - prodotto il giorno ",TEXT(Q1316,"gg/mm/aaaa"),"")</f>
        <v/>
      </c>
    </row>
    <row r="1317" ht="15" customHeight="1" s="155">
      <c r="A1317" s="134">
        <f>ric!B1317</f>
        <v/>
      </c>
      <c r="B1317" s="118">
        <f>ric!C1317</f>
        <v/>
      </c>
      <c r="C1317" s="125">
        <f>ric!D1317</f>
        <v/>
      </c>
      <c r="D1317" s="125" t="n"/>
      <c r="E1317" s="125" t="n"/>
      <c r="F1317" s="125" t="n"/>
      <c r="G1317" s="118">
        <f>CONCATENATE(A1317, " ",#REF!, " / ",H1317)</f>
        <v/>
      </c>
      <c r="H1317" s="118" t="n"/>
      <c r="I1317" s="119">
        <f>CONCATENATE(M1317," - ",J1317," - Lotto N° ",K1317,"")</f>
        <v/>
      </c>
      <c r="J1317" s="118" t="n"/>
      <c r="K1317" s="118">
        <f>VLOOKUP(#REF!,Produzione,7,FALSE)</f>
        <v/>
      </c>
      <c r="L1317" s="120" t="n"/>
      <c r="M1317" s="120" t="n"/>
      <c r="N1317" s="118" t="n"/>
      <c r="O1317" s="121" t="n"/>
      <c r="P1317" s="121" t="n"/>
      <c r="Q1317" s="166">
        <f>TODAY()</f>
        <v/>
      </c>
      <c r="R1317" s="165">
        <f>ElencoProdotti[[#This Row],[PRODUZIONE]]+20</f>
        <v/>
      </c>
      <c r="S1317" s="165">
        <f>TODAY()</f>
        <v/>
      </c>
      <c r="T1317" s="133">
        <f>CONCATENATE(A1317," - contiene allergni - prodotto il giorno ",TEXT(Q1317,"gg/mm/aaaa"),"")</f>
        <v/>
      </c>
    </row>
    <row r="1318" ht="15" customHeight="1" s="155">
      <c r="A1318" s="134">
        <f>ric!B1318</f>
        <v/>
      </c>
      <c r="B1318" s="118">
        <f>ric!C1318</f>
        <v/>
      </c>
      <c r="C1318" s="125">
        <f>ric!D1318</f>
        <v/>
      </c>
      <c r="D1318" s="125" t="n"/>
      <c r="E1318" s="125" t="n"/>
      <c r="F1318" s="125" t="n"/>
      <c r="G1318" s="118">
        <f>CONCATENATE(A1318, " ",#REF!, " / ",H1318)</f>
        <v/>
      </c>
      <c r="H1318" s="118" t="n"/>
      <c r="I1318" s="119">
        <f>CONCATENATE(M1318," - ",J1318," - Lotto N° ",K1318,"")</f>
        <v/>
      </c>
      <c r="J1318" s="118" t="n"/>
      <c r="K1318" s="118">
        <f>VLOOKUP(#REF!,Produzione,7,FALSE)</f>
        <v/>
      </c>
      <c r="L1318" s="120" t="n"/>
      <c r="M1318" s="120" t="n"/>
      <c r="N1318" s="118" t="n"/>
      <c r="O1318" s="121" t="n"/>
      <c r="P1318" s="121" t="n"/>
      <c r="Q1318" s="166">
        <f>TODAY()</f>
        <v/>
      </c>
      <c r="R1318" s="165">
        <f>ElencoProdotti[[#This Row],[PRODUZIONE]]+20</f>
        <v/>
      </c>
      <c r="S1318" s="165">
        <f>TODAY()</f>
        <v/>
      </c>
      <c r="T1318" s="133">
        <f>CONCATENATE(A1318," - contiene allergni - prodotto il giorno ",TEXT(Q1318,"gg/mm/aaaa"),"")</f>
        <v/>
      </c>
    </row>
    <row r="1319" ht="15" customHeight="1" s="155">
      <c r="A1319" s="134">
        <f>ric!B1319</f>
        <v/>
      </c>
      <c r="B1319" s="118">
        <f>ric!C1319</f>
        <v/>
      </c>
      <c r="C1319" s="125">
        <f>ric!D1319</f>
        <v/>
      </c>
      <c r="D1319" s="125" t="n"/>
      <c r="E1319" s="125" t="n"/>
      <c r="F1319" s="125" t="n"/>
      <c r="G1319" s="118">
        <f>CONCATENATE(A1319, " ",#REF!, " / ",H1319)</f>
        <v/>
      </c>
      <c r="H1319" s="118" t="n"/>
      <c r="I1319" s="119">
        <f>CONCATENATE(M1319," - ",J1319," - Lotto N° ",K1319,"")</f>
        <v/>
      </c>
      <c r="J1319" s="118" t="n"/>
      <c r="K1319" s="118">
        <f>VLOOKUP(#REF!,Produzione,7,FALSE)</f>
        <v/>
      </c>
      <c r="L1319" s="120" t="n"/>
      <c r="M1319" s="120" t="n"/>
      <c r="N1319" s="118" t="n"/>
      <c r="O1319" s="121" t="n"/>
      <c r="P1319" s="121" t="n"/>
      <c r="Q1319" s="166">
        <f>TODAY()</f>
        <v/>
      </c>
      <c r="R1319" s="165">
        <f>ElencoProdotti[[#This Row],[PRODUZIONE]]+20</f>
        <v/>
      </c>
      <c r="S1319" s="165">
        <f>TODAY()</f>
        <v/>
      </c>
      <c r="T1319" s="133">
        <f>CONCATENATE(A1319," - contiene allergni - prodotto il giorno ",TEXT(Q1319,"gg/mm/aaaa"),"")</f>
        <v/>
      </c>
    </row>
    <row r="1320" ht="15" customHeight="1" s="155">
      <c r="A1320" s="134">
        <f>ric!B1320</f>
        <v/>
      </c>
      <c r="B1320" s="118">
        <f>ric!C1320</f>
        <v/>
      </c>
      <c r="C1320" s="125">
        <f>ric!D1320</f>
        <v/>
      </c>
      <c r="D1320" s="125" t="n"/>
      <c r="E1320" s="125" t="n"/>
      <c r="F1320" s="125" t="n"/>
      <c r="G1320" s="118">
        <f>CONCATENATE(A1320, " ",#REF!, " / ",H1320)</f>
        <v/>
      </c>
      <c r="H1320" s="118" t="n"/>
      <c r="I1320" s="119">
        <f>CONCATENATE(M1320," - ",J1320," - Lotto N° ",K1320,"")</f>
        <v/>
      </c>
      <c r="J1320" s="118" t="n"/>
      <c r="K1320" s="118">
        <f>VLOOKUP(#REF!,Produzione,7,FALSE)</f>
        <v/>
      </c>
      <c r="L1320" s="120" t="n"/>
      <c r="M1320" s="120" t="n"/>
      <c r="N1320" s="118" t="n"/>
      <c r="O1320" s="121" t="n"/>
      <c r="P1320" s="121" t="n"/>
      <c r="Q1320" s="166">
        <f>TODAY()</f>
        <v/>
      </c>
      <c r="R1320" s="165">
        <f>ElencoProdotti[[#This Row],[PRODUZIONE]]+20</f>
        <v/>
      </c>
      <c r="S1320" s="165">
        <f>TODAY()</f>
        <v/>
      </c>
      <c r="T1320" s="133">
        <f>CONCATENATE(A1320," - contiene allergni - prodotto il giorno ",TEXT(Q1320,"gg/mm/aaaa"),"")</f>
        <v/>
      </c>
    </row>
    <row r="1321" ht="15" customHeight="1" s="155">
      <c r="A1321" s="134">
        <f>ric!B1321</f>
        <v/>
      </c>
      <c r="B1321" s="118">
        <f>ric!C1321</f>
        <v/>
      </c>
      <c r="C1321" s="125">
        <f>ric!D1321</f>
        <v/>
      </c>
      <c r="D1321" s="125" t="n"/>
      <c r="E1321" s="125" t="n"/>
      <c r="F1321" s="125" t="n"/>
      <c r="G1321" s="118">
        <f>CONCATENATE(A1321, " ",#REF!, " / ",H1321)</f>
        <v/>
      </c>
      <c r="H1321" s="118" t="n"/>
      <c r="I1321" s="119">
        <f>CONCATENATE(M1321," - ",J1321," - Lotto N° ",K1321,"")</f>
        <v/>
      </c>
      <c r="J1321" s="118" t="n"/>
      <c r="K1321" s="118">
        <f>VLOOKUP(#REF!,Produzione,7,FALSE)</f>
        <v/>
      </c>
      <c r="L1321" s="120" t="n"/>
      <c r="M1321" s="120" t="n"/>
      <c r="N1321" s="118" t="n"/>
      <c r="O1321" s="121" t="n"/>
      <c r="P1321" s="121" t="n"/>
      <c r="Q1321" s="166">
        <f>TODAY()</f>
        <v/>
      </c>
      <c r="R1321" s="165">
        <f>ElencoProdotti[[#This Row],[PRODUZIONE]]+20</f>
        <v/>
      </c>
      <c r="S1321" s="165">
        <f>TODAY()</f>
        <v/>
      </c>
      <c r="T1321" s="133">
        <f>CONCATENATE(A1321," - contiene allergni - prodotto il giorno ",TEXT(Q1321,"gg/mm/aaaa"),"")</f>
        <v/>
      </c>
    </row>
    <row r="1322" ht="15" customHeight="1" s="155">
      <c r="A1322" s="134">
        <f>ric!B1322</f>
        <v/>
      </c>
      <c r="B1322" s="118">
        <f>ric!C1322</f>
        <v/>
      </c>
      <c r="C1322" s="125">
        <f>ric!D1322</f>
        <v/>
      </c>
      <c r="D1322" s="125" t="n"/>
      <c r="E1322" s="125" t="n"/>
      <c r="F1322" s="125" t="n"/>
      <c r="G1322" s="118">
        <f>CONCATENATE(A1322, " ",#REF!, " / ",H1322)</f>
        <v/>
      </c>
      <c r="H1322" s="118" t="n"/>
      <c r="I1322" s="119">
        <f>CONCATENATE(M1322," - ",J1322," - Lotto N° ",K1322,"")</f>
        <v/>
      </c>
      <c r="J1322" s="118" t="n"/>
      <c r="K1322" s="118">
        <f>VLOOKUP(#REF!,Produzione,7,FALSE)</f>
        <v/>
      </c>
      <c r="L1322" s="120" t="n"/>
      <c r="M1322" s="120" t="n"/>
      <c r="N1322" s="118" t="n"/>
      <c r="O1322" s="121" t="n"/>
      <c r="P1322" s="121" t="n"/>
      <c r="Q1322" s="166">
        <f>TODAY()</f>
        <v/>
      </c>
      <c r="R1322" s="165">
        <f>ElencoProdotti[[#This Row],[PRODUZIONE]]+20</f>
        <v/>
      </c>
      <c r="S1322" s="165">
        <f>TODAY()</f>
        <v/>
      </c>
      <c r="T1322" s="133">
        <f>CONCATENATE(A1322," - contiene allergni - prodotto il giorno ",TEXT(Q1322,"gg/mm/aaaa"),"")</f>
        <v/>
      </c>
    </row>
    <row r="1323" ht="15" customHeight="1" s="155">
      <c r="A1323" s="134">
        <f>ric!B1323</f>
        <v/>
      </c>
      <c r="B1323" s="118">
        <f>ric!C1323</f>
        <v/>
      </c>
      <c r="C1323" s="125">
        <f>ric!D1323</f>
        <v/>
      </c>
      <c r="D1323" s="125" t="n"/>
      <c r="E1323" s="125" t="n"/>
      <c r="F1323" s="125" t="n"/>
      <c r="G1323" s="118">
        <f>CONCATENATE(A1323, " ",#REF!, " / ",H1323)</f>
        <v/>
      </c>
      <c r="H1323" s="118" t="n"/>
      <c r="I1323" s="119">
        <f>CONCATENATE(M1323," - ",J1323," - Lotto N° ",K1323,"")</f>
        <v/>
      </c>
      <c r="J1323" s="118" t="n"/>
      <c r="K1323" s="118">
        <f>VLOOKUP(#REF!,Produzione,7,FALSE)</f>
        <v/>
      </c>
      <c r="L1323" s="120" t="n"/>
      <c r="M1323" s="120" t="n"/>
      <c r="N1323" s="118" t="n"/>
      <c r="O1323" s="121" t="n"/>
      <c r="P1323" s="121" t="n"/>
      <c r="Q1323" s="166">
        <f>TODAY()</f>
        <v/>
      </c>
      <c r="R1323" s="165">
        <f>ElencoProdotti[[#This Row],[PRODUZIONE]]+20</f>
        <v/>
      </c>
      <c r="S1323" s="165">
        <f>TODAY()</f>
        <v/>
      </c>
      <c r="T1323" s="133">
        <f>CONCATENATE(A1323," - contiene allergni - prodotto il giorno ",TEXT(Q1323,"gg/mm/aaaa"),"")</f>
        <v/>
      </c>
    </row>
    <row r="1324" ht="15" customHeight="1" s="155">
      <c r="A1324" s="134">
        <f>ric!B1324</f>
        <v/>
      </c>
      <c r="B1324" s="118">
        <f>ric!C1324</f>
        <v/>
      </c>
      <c r="C1324" s="125">
        <f>ric!D1324</f>
        <v/>
      </c>
      <c r="D1324" s="125" t="n"/>
      <c r="E1324" s="125" t="n"/>
      <c r="F1324" s="125" t="n"/>
      <c r="G1324" s="118">
        <f>CONCATENATE(A1324, " ",#REF!, " / ",H1324)</f>
        <v/>
      </c>
      <c r="H1324" s="118" t="n"/>
      <c r="I1324" s="119">
        <f>CONCATENATE(M1324," - ",J1324," - Lotto N° ",K1324,"")</f>
        <v/>
      </c>
      <c r="J1324" s="118" t="n"/>
      <c r="K1324" s="118">
        <f>VLOOKUP(#REF!,Produzione,7,FALSE)</f>
        <v/>
      </c>
      <c r="L1324" s="120" t="n"/>
      <c r="M1324" s="120" t="n"/>
      <c r="N1324" s="118" t="n"/>
      <c r="O1324" s="121" t="n"/>
      <c r="P1324" s="121" t="n"/>
      <c r="Q1324" s="166">
        <f>TODAY()</f>
        <v/>
      </c>
      <c r="R1324" s="165">
        <f>ElencoProdotti[[#This Row],[PRODUZIONE]]+20</f>
        <v/>
      </c>
      <c r="S1324" s="165">
        <f>TODAY()</f>
        <v/>
      </c>
      <c r="T1324" s="133">
        <f>CONCATENATE(A1324," - contiene allergni - prodotto il giorno ",TEXT(Q1324,"gg/mm/aaaa"),"")</f>
        <v/>
      </c>
    </row>
    <row r="1325" ht="15" customHeight="1" s="155">
      <c r="A1325" s="134">
        <f>ric!B1325</f>
        <v/>
      </c>
      <c r="B1325" s="118">
        <f>ric!C1325</f>
        <v/>
      </c>
      <c r="C1325" s="125">
        <f>ric!D1325</f>
        <v/>
      </c>
      <c r="D1325" s="125" t="n"/>
      <c r="E1325" s="125" t="n"/>
      <c r="F1325" s="125" t="n"/>
      <c r="G1325" s="118">
        <f>CONCATENATE(A1325, " ",#REF!, " / ",H1325)</f>
        <v/>
      </c>
      <c r="H1325" s="118" t="n"/>
      <c r="I1325" s="119">
        <f>CONCATENATE(M1325," - ",J1325," - Lotto N° ",K1325,"")</f>
        <v/>
      </c>
      <c r="J1325" s="118" t="n"/>
      <c r="K1325" s="118">
        <f>VLOOKUP(#REF!,Produzione,7,FALSE)</f>
        <v/>
      </c>
      <c r="L1325" s="120" t="n"/>
      <c r="M1325" s="120" t="n"/>
      <c r="N1325" s="118" t="n"/>
      <c r="O1325" s="121" t="n"/>
      <c r="P1325" s="121" t="n"/>
      <c r="Q1325" s="166">
        <f>TODAY()</f>
        <v/>
      </c>
      <c r="R1325" s="165">
        <f>ElencoProdotti[[#This Row],[PRODUZIONE]]+20</f>
        <v/>
      </c>
      <c r="S1325" s="165">
        <f>TODAY()</f>
        <v/>
      </c>
      <c r="T1325" s="133">
        <f>CONCATENATE(A1325," - contiene allergni - prodotto il giorno ",TEXT(Q1325,"gg/mm/aaaa"),"")</f>
        <v/>
      </c>
    </row>
    <row r="1326" ht="15" customHeight="1" s="155">
      <c r="A1326" s="134">
        <f>ric!B1326</f>
        <v/>
      </c>
      <c r="B1326" s="118">
        <f>ric!C1326</f>
        <v/>
      </c>
      <c r="C1326" s="125">
        <f>ric!D1326</f>
        <v/>
      </c>
      <c r="D1326" s="125" t="n"/>
      <c r="E1326" s="125" t="n"/>
      <c r="F1326" s="125" t="n"/>
      <c r="G1326" s="118">
        <f>CONCATENATE(A1326, " ",#REF!, " / ",H1326)</f>
        <v/>
      </c>
      <c r="H1326" s="118" t="n"/>
      <c r="I1326" s="119">
        <f>CONCATENATE(M1326," - ",J1326," - Lotto N° ",K1326,"")</f>
        <v/>
      </c>
      <c r="J1326" s="118" t="n"/>
      <c r="K1326" s="118">
        <f>VLOOKUP(#REF!,Produzione,7,FALSE)</f>
        <v/>
      </c>
      <c r="L1326" s="120" t="n"/>
      <c r="M1326" s="120" t="n"/>
      <c r="N1326" s="118" t="n"/>
      <c r="O1326" s="121" t="n"/>
      <c r="P1326" s="121" t="n"/>
      <c r="Q1326" s="166">
        <f>TODAY()</f>
        <v/>
      </c>
      <c r="R1326" s="165">
        <f>ElencoProdotti[[#This Row],[PRODUZIONE]]+20</f>
        <v/>
      </c>
      <c r="S1326" s="165">
        <f>TODAY()</f>
        <v/>
      </c>
      <c r="T1326" s="133">
        <f>CONCATENATE(A1326," - contiene allergni - prodotto il giorno ",TEXT(Q1326,"gg/mm/aaaa"),"")</f>
        <v/>
      </c>
    </row>
    <row r="1327" ht="15" customHeight="1" s="155">
      <c r="A1327" s="134">
        <f>ric!B1327</f>
        <v/>
      </c>
      <c r="B1327" s="118">
        <f>ric!C1327</f>
        <v/>
      </c>
      <c r="C1327" s="125">
        <f>ric!D1327</f>
        <v/>
      </c>
      <c r="D1327" s="125" t="n"/>
      <c r="E1327" s="125" t="n"/>
      <c r="F1327" s="125" t="n"/>
      <c r="G1327" s="118">
        <f>CONCATENATE(A1327, " ",#REF!, " / ",H1327)</f>
        <v/>
      </c>
      <c r="H1327" s="118" t="n"/>
      <c r="I1327" s="119">
        <f>CONCATENATE(M1327," - ",J1327," - Lotto N° ",K1327,"")</f>
        <v/>
      </c>
      <c r="J1327" s="118" t="n"/>
      <c r="K1327" s="118">
        <f>VLOOKUP(#REF!,Produzione,7,FALSE)</f>
        <v/>
      </c>
      <c r="L1327" s="120" t="n"/>
      <c r="M1327" s="120" t="n"/>
      <c r="N1327" s="118" t="n"/>
      <c r="O1327" s="121" t="n"/>
      <c r="P1327" s="121" t="n"/>
      <c r="Q1327" s="166">
        <f>TODAY()</f>
        <v/>
      </c>
      <c r="R1327" s="165">
        <f>ElencoProdotti[[#This Row],[PRODUZIONE]]+20</f>
        <v/>
      </c>
      <c r="S1327" s="165">
        <f>TODAY()</f>
        <v/>
      </c>
      <c r="T1327" s="133">
        <f>CONCATENATE(A1327," - contiene allergni - prodotto il giorno ",TEXT(Q1327,"gg/mm/aaaa"),"")</f>
        <v/>
      </c>
    </row>
    <row r="1328" ht="15" customHeight="1" s="155">
      <c r="A1328" s="134">
        <f>ric!B1328</f>
        <v/>
      </c>
      <c r="B1328" s="118">
        <f>ric!C1328</f>
        <v/>
      </c>
      <c r="C1328" s="125">
        <f>ric!D1328</f>
        <v/>
      </c>
      <c r="D1328" s="125" t="n"/>
      <c r="E1328" s="125" t="n"/>
      <c r="F1328" s="125" t="n"/>
      <c r="G1328" s="118">
        <f>CONCATENATE(A1328, " ",#REF!, " / ",H1328)</f>
        <v/>
      </c>
      <c r="H1328" s="118" t="n"/>
      <c r="I1328" s="119">
        <f>CONCATENATE(M1328," - ",J1328," - Lotto N° ",K1328,"")</f>
        <v/>
      </c>
      <c r="J1328" s="118" t="n"/>
      <c r="K1328" s="118">
        <f>VLOOKUP(#REF!,Produzione,7,FALSE)</f>
        <v/>
      </c>
      <c r="L1328" s="120" t="n"/>
      <c r="M1328" s="120" t="n"/>
      <c r="N1328" s="118" t="n"/>
      <c r="O1328" s="121" t="n"/>
      <c r="P1328" s="121" t="n"/>
      <c r="Q1328" s="166">
        <f>TODAY()</f>
        <v/>
      </c>
      <c r="R1328" s="165">
        <f>ElencoProdotti[[#This Row],[PRODUZIONE]]+20</f>
        <v/>
      </c>
      <c r="S1328" s="165">
        <f>TODAY()</f>
        <v/>
      </c>
      <c r="T1328" s="133">
        <f>CONCATENATE(A1328," - contiene allergni - prodotto il giorno ",TEXT(Q1328,"gg/mm/aaaa"),"")</f>
        <v/>
      </c>
    </row>
    <row r="1329" ht="15" customHeight="1" s="155">
      <c r="A1329" s="134">
        <f>ric!B1329</f>
        <v/>
      </c>
      <c r="B1329" s="118">
        <f>ric!C1329</f>
        <v/>
      </c>
      <c r="C1329" s="125">
        <f>ric!D1329</f>
        <v/>
      </c>
      <c r="D1329" s="125" t="n"/>
      <c r="E1329" s="125" t="n"/>
      <c r="F1329" s="125" t="n"/>
      <c r="G1329" s="118">
        <f>CONCATENATE(A1329, " ",#REF!, " / ",H1329)</f>
        <v/>
      </c>
      <c r="H1329" s="118" t="n"/>
      <c r="I1329" s="119">
        <f>CONCATENATE(M1329," - ",J1329," - Lotto N° ",K1329,"")</f>
        <v/>
      </c>
      <c r="J1329" s="118" t="n"/>
      <c r="K1329" s="118">
        <f>VLOOKUP(#REF!,Produzione,7,FALSE)</f>
        <v/>
      </c>
      <c r="L1329" s="120" t="n"/>
      <c r="M1329" s="120" t="n"/>
      <c r="N1329" s="118" t="n"/>
      <c r="O1329" s="121" t="n"/>
      <c r="P1329" s="121" t="n"/>
      <c r="Q1329" s="166">
        <f>TODAY()</f>
        <v/>
      </c>
      <c r="R1329" s="165">
        <f>ElencoProdotti[[#This Row],[PRODUZIONE]]+20</f>
        <v/>
      </c>
      <c r="S1329" s="165">
        <f>TODAY()</f>
        <v/>
      </c>
      <c r="T1329" s="133">
        <f>CONCATENATE(A1329," - contiene allergni - prodotto il giorno ",TEXT(Q1329,"gg/mm/aaaa"),"")</f>
        <v/>
      </c>
    </row>
    <row r="1330" ht="15" customHeight="1" s="155">
      <c r="A1330" s="134">
        <f>ric!B1330</f>
        <v/>
      </c>
      <c r="B1330" s="118">
        <f>ric!C1330</f>
        <v/>
      </c>
      <c r="C1330" s="125">
        <f>ric!D1330</f>
        <v/>
      </c>
      <c r="D1330" s="125" t="n"/>
      <c r="E1330" s="125" t="n"/>
      <c r="F1330" s="125" t="n"/>
      <c r="G1330" s="118">
        <f>CONCATENATE(A1330, " ",#REF!, " / ",H1330)</f>
        <v/>
      </c>
      <c r="H1330" s="118" t="n"/>
      <c r="I1330" s="119">
        <f>CONCATENATE(M1330," - ",J1330," - Lotto N° ",K1330,"")</f>
        <v/>
      </c>
      <c r="J1330" s="118" t="n"/>
      <c r="K1330" s="118">
        <f>VLOOKUP(#REF!,Produzione,7,FALSE)</f>
        <v/>
      </c>
      <c r="L1330" s="120" t="n"/>
      <c r="M1330" s="120" t="n"/>
      <c r="N1330" s="118" t="n"/>
      <c r="O1330" s="121" t="n"/>
      <c r="P1330" s="121" t="n"/>
      <c r="Q1330" s="166">
        <f>TODAY()</f>
        <v/>
      </c>
      <c r="R1330" s="165">
        <f>ElencoProdotti[[#This Row],[PRODUZIONE]]+20</f>
        <v/>
      </c>
      <c r="S1330" s="165">
        <f>TODAY()</f>
        <v/>
      </c>
      <c r="T1330" s="133">
        <f>CONCATENATE(A1330," - contiene allergni - prodotto il giorno ",TEXT(Q1330,"gg/mm/aaaa"),"")</f>
        <v/>
      </c>
    </row>
    <row r="1331" ht="15" customHeight="1" s="155">
      <c r="A1331" s="134">
        <f>ric!B1331</f>
        <v/>
      </c>
      <c r="B1331" s="118">
        <f>ric!C1331</f>
        <v/>
      </c>
      <c r="C1331" s="125">
        <f>ric!D1331</f>
        <v/>
      </c>
      <c r="D1331" s="125" t="n"/>
      <c r="E1331" s="125" t="n"/>
      <c r="F1331" s="125" t="n"/>
      <c r="G1331" s="118">
        <f>CONCATENATE(A1331, " ",#REF!, " / ",H1331)</f>
        <v/>
      </c>
      <c r="H1331" s="118" t="n"/>
      <c r="I1331" s="119">
        <f>CONCATENATE(M1331," - ",J1331," - Lotto N° ",K1331,"")</f>
        <v/>
      </c>
      <c r="J1331" s="118" t="n"/>
      <c r="K1331" s="118">
        <f>VLOOKUP(#REF!,Produzione,7,FALSE)</f>
        <v/>
      </c>
      <c r="L1331" s="120" t="n"/>
      <c r="M1331" s="120" t="n"/>
      <c r="N1331" s="118" t="n"/>
      <c r="O1331" s="121" t="n"/>
      <c r="P1331" s="121" t="n"/>
      <c r="Q1331" s="166">
        <f>TODAY()</f>
        <v/>
      </c>
      <c r="R1331" s="165">
        <f>ElencoProdotti[[#This Row],[PRODUZIONE]]+20</f>
        <v/>
      </c>
      <c r="S1331" s="165">
        <f>TODAY()</f>
        <v/>
      </c>
      <c r="T1331" s="133">
        <f>CONCATENATE(A1331," - contiene allergni - prodotto il giorno ",TEXT(Q1331,"gg/mm/aaaa"),"")</f>
        <v/>
      </c>
    </row>
    <row r="1332" ht="15" customHeight="1" s="155">
      <c r="A1332" s="134">
        <f>ric!B1332</f>
        <v/>
      </c>
      <c r="B1332" s="118">
        <f>ric!C1332</f>
        <v/>
      </c>
      <c r="C1332" s="125">
        <f>ric!D1332</f>
        <v/>
      </c>
      <c r="D1332" s="125" t="n"/>
      <c r="E1332" s="125" t="n"/>
      <c r="F1332" s="125" t="n"/>
      <c r="G1332" s="118">
        <f>CONCATENATE(A1332, " ",#REF!, " / ",H1332)</f>
        <v/>
      </c>
      <c r="H1332" s="118" t="n"/>
      <c r="I1332" s="119">
        <f>CONCATENATE(M1332," - ",J1332," - Lotto N° ",K1332,"")</f>
        <v/>
      </c>
      <c r="J1332" s="118" t="n"/>
      <c r="K1332" s="118">
        <f>VLOOKUP(#REF!,Produzione,7,FALSE)</f>
        <v/>
      </c>
      <c r="L1332" s="120" t="n"/>
      <c r="M1332" s="120" t="n"/>
      <c r="N1332" s="118" t="n"/>
      <c r="O1332" s="121" t="n"/>
      <c r="P1332" s="121" t="n"/>
      <c r="Q1332" s="166">
        <f>TODAY()</f>
        <v/>
      </c>
      <c r="R1332" s="165">
        <f>ElencoProdotti[[#This Row],[PRODUZIONE]]+20</f>
        <v/>
      </c>
      <c r="S1332" s="165">
        <f>TODAY()</f>
        <v/>
      </c>
      <c r="T1332" s="133">
        <f>CONCATENATE(A1332," - contiene allergni - prodotto il giorno ",TEXT(Q1332,"gg/mm/aaaa"),"")</f>
        <v/>
      </c>
    </row>
    <row r="1333" ht="15" customHeight="1" s="155">
      <c r="A1333" s="134">
        <f>ric!B1333</f>
        <v/>
      </c>
      <c r="B1333" s="118">
        <f>ric!C1333</f>
        <v/>
      </c>
      <c r="C1333" s="125">
        <f>ric!D1333</f>
        <v/>
      </c>
      <c r="D1333" s="125" t="n"/>
      <c r="E1333" s="125" t="n"/>
      <c r="F1333" s="125" t="n"/>
      <c r="G1333" s="118">
        <f>CONCATENATE(A1333, " ",#REF!, " / ",H1333)</f>
        <v/>
      </c>
      <c r="H1333" s="118" t="n"/>
      <c r="I1333" s="119">
        <f>CONCATENATE(M1333," - ",J1333," - Lotto N° ",K1333,"")</f>
        <v/>
      </c>
      <c r="J1333" s="118" t="n"/>
      <c r="K1333" s="118">
        <f>VLOOKUP(#REF!,Produzione,7,FALSE)</f>
        <v/>
      </c>
      <c r="L1333" s="120" t="n"/>
      <c r="M1333" s="120" t="n"/>
      <c r="N1333" s="118" t="n"/>
      <c r="O1333" s="121" t="n"/>
      <c r="P1333" s="121" t="n"/>
      <c r="Q1333" s="166">
        <f>TODAY()</f>
        <v/>
      </c>
      <c r="R1333" s="165">
        <f>ElencoProdotti[[#This Row],[PRODUZIONE]]+20</f>
        <v/>
      </c>
      <c r="S1333" s="165">
        <f>TODAY()</f>
        <v/>
      </c>
      <c r="T1333" s="133">
        <f>CONCATENATE(A1333," - contiene allergni - prodotto il giorno ",TEXT(Q1333,"gg/mm/aaaa"),"")</f>
        <v/>
      </c>
    </row>
    <row r="1334" ht="15" customHeight="1" s="155">
      <c r="A1334" s="134">
        <f>ric!B1334</f>
        <v/>
      </c>
      <c r="B1334" s="118">
        <f>ric!C1334</f>
        <v/>
      </c>
      <c r="C1334" s="125">
        <f>ric!D1334</f>
        <v/>
      </c>
      <c r="D1334" s="125" t="n"/>
      <c r="E1334" s="125" t="n"/>
      <c r="F1334" s="125" t="n"/>
      <c r="G1334" s="118">
        <f>CONCATENATE(A1334, " ",#REF!, " / ",H1334)</f>
        <v/>
      </c>
      <c r="H1334" s="118" t="n"/>
      <c r="I1334" s="119">
        <f>CONCATENATE(M1334," - ",J1334," - Lotto N° ",K1334,"")</f>
        <v/>
      </c>
      <c r="J1334" s="118" t="n"/>
      <c r="K1334" s="118">
        <f>VLOOKUP(#REF!,Produzione,7,FALSE)</f>
        <v/>
      </c>
      <c r="L1334" s="120" t="n"/>
      <c r="M1334" s="120" t="n"/>
      <c r="N1334" s="118" t="n"/>
      <c r="O1334" s="121" t="n"/>
      <c r="P1334" s="121" t="n"/>
      <c r="Q1334" s="166">
        <f>TODAY()</f>
        <v/>
      </c>
      <c r="R1334" s="165">
        <f>ElencoProdotti[[#This Row],[PRODUZIONE]]+20</f>
        <v/>
      </c>
      <c r="S1334" s="165">
        <f>TODAY()</f>
        <v/>
      </c>
      <c r="T1334" s="133">
        <f>CONCATENATE(A1334," - contiene allergni - prodotto il giorno ",TEXT(Q1334,"gg/mm/aaaa"),"")</f>
        <v/>
      </c>
    </row>
    <row r="1335" ht="15" customHeight="1" s="155">
      <c r="A1335" s="134">
        <f>ric!B1335</f>
        <v/>
      </c>
      <c r="B1335" s="118">
        <f>ric!C1335</f>
        <v/>
      </c>
      <c r="C1335" s="125">
        <f>ric!D1335</f>
        <v/>
      </c>
      <c r="D1335" s="125" t="n"/>
      <c r="E1335" s="125" t="n"/>
      <c r="F1335" s="125" t="n"/>
      <c r="G1335" s="118">
        <f>CONCATENATE(A1335, " ",#REF!, " / ",H1335)</f>
        <v/>
      </c>
      <c r="H1335" s="118" t="n"/>
      <c r="I1335" s="119">
        <f>CONCATENATE(M1335," - ",J1335," - Lotto N° ",K1335,"")</f>
        <v/>
      </c>
      <c r="J1335" s="118" t="n"/>
      <c r="K1335" s="118">
        <f>VLOOKUP(#REF!,Produzione,7,FALSE)</f>
        <v/>
      </c>
      <c r="L1335" s="120" t="n"/>
      <c r="M1335" s="120" t="n"/>
      <c r="N1335" s="118" t="n"/>
      <c r="O1335" s="121" t="n"/>
      <c r="P1335" s="121" t="n"/>
      <c r="Q1335" s="166">
        <f>TODAY()</f>
        <v/>
      </c>
      <c r="R1335" s="165">
        <f>ElencoProdotti[[#This Row],[PRODUZIONE]]+20</f>
        <v/>
      </c>
      <c r="S1335" s="165">
        <f>TODAY()</f>
        <v/>
      </c>
      <c r="T1335" s="133">
        <f>CONCATENATE(A1335," - contiene allergni - prodotto il giorno ",TEXT(Q1335,"gg/mm/aaaa"),"")</f>
        <v/>
      </c>
    </row>
    <row r="1336" ht="15" customHeight="1" s="155">
      <c r="A1336" s="134">
        <f>ric!B1336</f>
        <v/>
      </c>
      <c r="B1336" s="118">
        <f>ric!C1336</f>
        <v/>
      </c>
      <c r="C1336" s="125">
        <f>ric!D1336</f>
        <v/>
      </c>
      <c r="D1336" s="125" t="n"/>
      <c r="E1336" s="125" t="n"/>
      <c r="F1336" s="125" t="n"/>
      <c r="G1336" s="118">
        <f>CONCATENATE(A1336, " ",#REF!, " / ",H1336)</f>
        <v/>
      </c>
      <c r="H1336" s="118" t="n"/>
      <c r="I1336" s="119">
        <f>CONCATENATE(M1336," - ",J1336," - Lotto N° ",K1336,"")</f>
        <v/>
      </c>
      <c r="J1336" s="118" t="n"/>
      <c r="K1336" s="118">
        <f>VLOOKUP(#REF!,Produzione,7,FALSE)</f>
        <v/>
      </c>
      <c r="L1336" s="120" t="n"/>
      <c r="M1336" s="120" t="n"/>
      <c r="N1336" s="118" t="n"/>
      <c r="O1336" s="121" t="n"/>
      <c r="P1336" s="121" t="n"/>
      <c r="Q1336" s="166">
        <f>TODAY()</f>
        <v/>
      </c>
      <c r="R1336" s="165">
        <f>ElencoProdotti[[#This Row],[PRODUZIONE]]+20</f>
        <v/>
      </c>
      <c r="S1336" s="165">
        <f>TODAY()</f>
        <v/>
      </c>
      <c r="T1336" s="133">
        <f>CONCATENATE(A1336," - contiene allergni - prodotto il giorno ",TEXT(Q1336,"gg/mm/aaaa"),"")</f>
        <v/>
      </c>
    </row>
    <row r="1337" ht="15" customHeight="1" s="155">
      <c r="A1337" s="134">
        <f>ric!B1337</f>
        <v/>
      </c>
      <c r="B1337" s="118">
        <f>ric!C1337</f>
        <v/>
      </c>
      <c r="C1337" s="125">
        <f>ric!D1337</f>
        <v/>
      </c>
      <c r="D1337" s="125" t="n"/>
      <c r="E1337" s="125" t="n"/>
      <c r="F1337" s="125" t="n"/>
      <c r="G1337" s="118">
        <f>CONCATENATE(A1337, " ",#REF!, " / ",H1337)</f>
        <v/>
      </c>
      <c r="H1337" s="118" t="n"/>
      <c r="I1337" s="119">
        <f>CONCATENATE(M1337," - ",J1337," - Lotto N° ",K1337,"")</f>
        <v/>
      </c>
      <c r="J1337" s="118" t="n"/>
      <c r="K1337" s="118">
        <f>VLOOKUP(#REF!,Produzione,7,FALSE)</f>
        <v/>
      </c>
      <c r="L1337" s="120" t="n"/>
      <c r="M1337" s="120" t="n"/>
      <c r="N1337" s="118" t="n"/>
      <c r="O1337" s="121" t="n"/>
      <c r="P1337" s="121" t="n"/>
      <c r="Q1337" s="166">
        <f>TODAY()</f>
        <v/>
      </c>
      <c r="R1337" s="165">
        <f>ElencoProdotti[[#This Row],[PRODUZIONE]]+20</f>
        <v/>
      </c>
      <c r="S1337" s="165">
        <f>TODAY()</f>
        <v/>
      </c>
      <c r="T1337" s="133">
        <f>CONCATENATE(A1337," - contiene allergni - prodotto il giorno ",TEXT(Q1337,"gg/mm/aaaa"),"")</f>
        <v/>
      </c>
    </row>
    <row r="1338" ht="15" customHeight="1" s="155">
      <c r="A1338" s="134">
        <f>ric!B1338</f>
        <v/>
      </c>
      <c r="B1338" s="118">
        <f>ric!C1338</f>
        <v/>
      </c>
      <c r="C1338" s="125">
        <f>ric!D1338</f>
        <v/>
      </c>
      <c r="D1338" s="125" t="n"/>
      <c r="E1338" s="125" t="n"/>
      <c r="F1338" s="125" t="n"/>
      <c r="G1338" s="118">
        <f>CONCATENATE(A1338, " ",#REF!, " / ",H1338)</f>
        <v/>
      </c>
      <c r="H1338" s="118" t="n"/>
      <c r="I1338" s="119">
        <f>CONCATENATE(M1338," - ",J1338," - Lotto N° ",K1338,"")</f>
        <v/>
      </c>
      <c r="J1338" s="118" t="n"/>
      <c r="K1338" s="118">
        <f>VLOOKUP(#REF!,Produzione,7,FALSE)</f>
        <v/>
      </c>
      <c r="L1338" s="120" t="n"/>
      <c r="M1338" s="120" t="n"/>
      <c r="N1338" s="118" t="n"/>
      <c r="O1338" s="121" t="n"/>
      <c r="P1338" s="121" t="n"/>
      <c r="Q1338" s="166">
        <f>TODAY()</f>
        <v/>
      </c>
      <c r="R1338" s="165">
        <f>ElencoProdotti[[#This Row],[PRODUZIONE]]+20</f>
        <v/>
      </c>
      <c r="S1338" s="165">
        <f>TODAY()</f>
        <v/>
      </c>
      <c r="T1338" s="133">
        <f>CONCATENATE(A1338," - contiene allergni - prodotto il giorno ",TEXT(Q1338,"gg/mm/aaaa"),"")</f>
        <v/>
      </c>
    </row>
    <row r="1339" ht="15" customHeight="1" s="155">
      <c r="A1339" s="134">
        <f>ric!B1339</f>
        <v/>
      </c>
      <c r="B1339" s="118">
        <f>ric!C1339</f>
        <v/>
      </c>
      <c r="C1339" s="125">
        <f>ric!D1339</f>
        <v/>
      </c>
      <c r="D1339" s="125" t="n"/>
      <c r="E1339" s="125" t="n"/>
      <c r="F1339" s="125" t="n"/>
      <c r="G1339" s="118">
        <f>CONCATENATE(A1339, " ",#REF!, " / ",H1339)</f>
        <v/>
      </c>
      <c r="H1339" s="118" t="n"/>
      <c r="I1339" s="119">
        <f>CONCATENATE(M1339," - ",J1339," - Lotto N° ",K1339,"")</f>
        <v/>
      </c>
      <c r="J1339" s="118" t="n"/>
      <c r="K1339" s="118">
        <f>VLOOKUP(#REF!,Produzione,7,FALSE)</f>
        <v/>
      </c>
      <c r="L1339" s="120" t="n"/>
      <c r="M1339" s="120" t="n"/>
      <c r="N1339" s="118" t="n"/>
      <c r="O1339" s="121" t="n"/>
      <c r="P1339" s="121" t="n"/>
      <c r="Q1339" s="166">
        <f>TODAY()</f>
        <v/>
      </c>
      <c r="R1339" s="165">
        <f>ElencoProdotti[[#This Row],[PRODUZIONE]]+20</f>
        <v/>
      </c>
      <c r="S1339" s="165">
        <f>TODAY()</f>
        <v/>
      </c>
      <c r="T1339" s="133">
        <f>CONCATENATE(A1339," - contiene allergni - prodotto il giorno ",TEXT(Q1339,"gg/mm/aaaa"),"")</f>
        <v/>
      </c>
    </row>
    <row r="1340" ht="15" customHeight="1" s="155">
      <c r="A1340" s="134">
        <f>ric!B1340</f>
        <v/>
      </c>
      <c r="B1340" s="118">
        <f>ric!C1340</f>
        <v/>
      </c>
      <c r="C1340" s="125">
        <f>ric!D1340</f>
        <v/>
      </c>
      <c r="D1340" s="125" t="n"/>
      <c r="E1340" s="125" t="n"/>
      <c r="F1340" s="125" t="n"/>
      <c r="G1340" s="118">
        <f>CONCATENATE(A1340, " ",#REF!, " / ",H1340)</f>
        <v/>
      </c>
      <c r="H1340" s="118" t="n"/>
      <c r="I1340" s="119">
        <f>CONCATENATE(M1340," - ",J1340," - Lotto N° ",K1340,"")</f>
        <v/>
      </c>
      <c r="J1340" s="118" t="n"/>
      <c r="K1340" s="118">
        <f>VLOOKUP(#REF!,Produzione,7,FALSE)</f>
        <v/>
      </c>
      <c r="L1340" s="120" t="n"/>
      <c r="M1340" s="120" t="n"/>
      <c r="N1340" s="118" t="n"/>
      <c r="O1340" s="121" t="n"/>
      <c r="P1340" s="121" t="n"/>
      <c r="Q1340" s="166">
        <f>TODAY()</f>
        <v/>
      </c>
      <c r="R1340" s="165">
        <f>ElencoProdotti[[#This Row],[PRODUZIONE]]+20</f>
        <v/>
      </c>
      <c r="S1340" s="165">
        <f>TODAY()</f>
        <v/>
      </c>
      <c r="T1340" s="133">
        <f>CONCATENATE(A1340," - contiene allergni - prodotto il giorno ",TEXT(Q1340,"gg/mm/aaaa"),"")</f>
        <v/>
      </c>
    </row>
    <row r="1341" ht="15" customHeight="1" s="155">
      <c r="A1341" s="134">
        <f>ric!B1341</f>
        <v/>
      </c>
      <c r="B1341" s="118">
        <f>ric!C1341</f>
        <v/>
      </c>
      <c r="C1341" s="125">
        <f>ric!D1341</f>
        <v/>
      </c>
      <c r="D1341" s="125" t="n"/>
      <c r="E1341" s="125" t="n"/>
      <c r="F1341" s="125" t="n"/>
      <c r="G1341" s="118">
        <f>CONCATENATE(A1341, " ",#REF!, " / ",H1341)</f>
        <v/>
      </c>
      <c r="H1341" s="118" t="n"/>
      <c r="I1341" s="119">
        <f>CONCATENATE(M1341," - ",J1341," - Lotto N° ",K1341,"")</f>
        <v/>
      </c>
      <c r="J1341" s="118" t="n"/>
      <c r="K1341" s="118">
        <f>VLOOKUP(#REF!,Produzione,7,FALSE)</f>
        <v/>
      </c>
      <c r="L1341" s="120" t="n"/>
      <c r="M1341" s="120" t="n"/>
      <c r="N1341" s="118" t="n"/>
      <c r="O1341" s="121" t="n"/>
      <c r="P1341" s="121" t="n"/>
      <c r="Q1341" s="166">
        <f>TODAY()</f>
        <v/>
      </c>
      <c r="R1341" s="165">
        <f>ElencoProdotti[[#This Row],[PRODUZIONE]]+20</f>
        <v/>
      </c>
      <c r="S1341" s="165">
        <f>TODAY()</f>
        <v/>
      </c>
      <c r="T1341" s="133">
        <f>CONCATENATE(A1341," - contiene allergni - prodotto il giorno ",TEXT(Q1341,"gg/mm/aaaa"),"")</f>
        <v/>
      </c>
    </row>
    <row r="1342" ht="15" customHeight="1" s="155">
      <c r="A1342" s="134">
        <f>ric!B1342</f>
        <v/>
      </c>
      <c r="B1342" s="118">
        <f>ric!C1342</f>
        <v/>
      </c>
      <c r="C1342" s="125">
        <f>ric!D1342</f>
        <v/>
      </c>
      <c r="D1342" s="125" t="n"/>
      <c r="E1342" s="125" t="n"/>
      <c r="F1342" s="125" t="n"/>
      <c r="G1342" s="118">
        <f>CONCATENATE(A1342, " ",#REF!, " / ",H1342)</f>
        <v/>
      </c>
      <c r="H1342" s="118" t="n"/>
      <c r="I1342" s="119">
        <f>CONCATENATE(M1342," - ",J1342," - Lotto N° ",K1342,"")</f>
        <v/>
      </c>
      <c r="J1342" s="118" t="n"/>
      <c r="K1342" s="118">
        <f>VLOOKUP(#REF!,Produzione,7,FALSE)</f>
        <v/>
      </c>
      <c r="L1342" s="120" t="n"/>
      <c r="M1342" s="120" t="n"/>
      <c r="N1342" s="118" t="n"/>
      <c r="O1342" s="121" t="n"/>
      <c r="P1342" s="121" t="n"/>
      <c r="Q1342" s="166">
        <f>TODAY()</f>
        <v/>
      </c>
      <c r="R1342" s="165">
        <f>ElencoProdotti[[#This Row],[PRODUZIONE]]+20</f>
        <v/>
      </c>
      <c r="S1342" s="165">
        <f>TODAY()</f>
        <v/>
      </c>
      <c r="T1342" s="133">
        <f>CONCATENATE(A1342," - contiene allergni - prodotto il giorno ",TEXT(Q1342,"gg/mm/aaaa"),"")</f>
        <v/>
      </c>
    </row>
    <row r="1343" ht="15" customHeight="1" s="155">
      <c r="A1343" s="134">
        <f>ric!B1343</f>
        <v/>
      </c>
      <c r="B1343" s="118">
        <f>ric!C1343</f>
        <v/>
      </c>
      <c r="C1343" s="125">
        <f>ric!D1343</f>
        <v/>
      </c>
      <c r="D1343" s="125" t="n"/>
      <c r="E1343" s="125" t="n"/>
      <c r="F1343" s="125" t="n"/>
      <c r="G1343" s="118">
        <f>CONCATENATE(A1343, " ",#REF!, " / ",H1343)</f>
        <v/>
      </c>
      <c r="H1343" s="118" t="n"/>
      <c r="I1343" s="119">
        <f>CONCATENATE(M1343," - ",J1343," - Lotto N° ",K1343,"")</f>
        <v/>
      </c>
      <c r="J1343" s="118" t="n"/>
      <c r="K1343" s="118">
        <f>VLOOKUP(#REF!,Produzione,7,FALSE)</f>
        <v/>
      </c>
      <c r="L1343" s="120" t="n"/>
      <c r="M1343" s="120" t="n"/>
      <c r="N1343" s="118" t="n"/>
      <c r="O1343" s="121" t="n"/>
      <c r="P1343" s="121" t="n"/>
      <c r="Q1343" s="166">
        <f>TODAY()</f>
        <v/>
      </c>
      <c r="R1343" s="165">
        <f>ElencoProdotti[[#This Row],[PRODUZIONE]]+20</f>
        <v/>
      </c>
      <c r="S1343" s="165">
        <f>TODAY()</f>
        <v/>
      </c>
      <c r="T1343" s="133">
        <f>CONCATENATE(A1343," - contiene allergni - prodotto il giorno ",TEXT(Q1343,"gg/mm/aaaa"),"")</f>
        <v/>
      </c>
    </row>
    <row r="1344" ht="15" customHeight="1" s="155">
      <c r="A1344" s="134">
        <f>ric!B1344</f>
        <v/>
      </c>
      <c r="B1344" s="118">
        <f>ric!C1344</f>
        <v/>
      </c>
      <c r="C1344" s="125">
        <f>ric!D1344</f>
        <v/>
      </c>
      <c r="D1344" s="125" t="n"/>
      <c r="E1344" s="125" t="n"/>
      <c r="F1344" s="125" t="n"/>
      <c r="G1344" s="118">
        <f>CONCATENATE(A1344, " ",#REF!, " / ",H1344)</f>
        <v/>
      </c>
      <c r="H1344" s="118" t="n"/>
      <c r="I1344" s="119">
        <f>CONCATENATE(M1344," - ",J1344," - Lotto N° ",K1344,"")</f>
        <v/>
      </c>
      <c r="J1344" s="118" t="n"/>
      <c r="K1344" s="118">
        <f>VLOOKUP(#REF!,Produzione,7,FALSE)</f>
        <v/>
      </c>
      <c r="L1344" s="120" t="n"/>
      <c r="M1344" s="120" t="n"/>
      <c r="N1344" s="118" t="n"/>
      <c r="O1344" s="121" t="n"/>
      <c r="P1344" s="121" t="n"/>
      <c r="Q1344" s="166">
        <f>TODAY()</f>
        <v/>
      </c>
      <c r="R1344" s="165">
        <f>ElencoProdotti[[#This Row],[PRODUZIONE]]+20</f>
        <v/>
      </c>
      <c r="S1344" s="165">
        <f>TODAY()</f>
        <v/>
      </c>
      <c r="T1344" s="133">
        <f>CONCATENATE(A1344," - contiene allergni - prodotto il giorno ",TEXT(Q1344,"gg/mm/aaaa"),"")</f>
        <v/>
      </c>
    </row>
    <row r="1345" ht="15" customHeight="1" s="155">
      <c r="A1345" s="134">
        <f>ric!B1345</f>
        <v/>
      </c>
      <c r="B1345" s="118">
        <f>ric!C1345</f>
        <v/>
      </c>
      <c r="C1345" s="125">
        <f>ric!D1345</f>
        <v/>
      </c>
      <c r="D1345" s="125" t="n"/>
      <c r="E1345" s="125" t="n"/>
      <c r="F1345" s="125" t="n"/>
      <c r="G1345" s="118">
        <f>CONCATENATE(A1345, " ",#REF!, " / ",H1345)</f>
        <v/>
      </c>
      <c r="H1345" s="118" t="n"/>
      <c r="I1345" s="119">
        <f>CONCATENATE(M1345," - ",J1345," - Lotto N° ",K1345,"")</f>
        <v/>
      </c>
      <c r="J1345" s="118" t="n"/>
      <c r="K1345" s="118">
        <f>VLOOKUP(#REF!,Produzione,7,FALSE)</f>
        <v/>
      </c>
      <c r="L1345" s="120" t="n"/>
      <c r="M1345" s="120" t="n"/>
      <c r="N1345" s="118" t="n"/>
      <c r="O1345" s="121" t="n"/>
      <c r="P1345" s="121" t="n"/>
      <c r="Q1345" s="166">
        <f>TODAY()</f>
        <v/>
      </c>
      <c r="R1345" s="165">
        <f>ElencoProdotti[[#This Row],[PRODUZIONE]]+20</f>
        <v/>
      </c>
      <c r="S1345" s="165">
        <f>TODAY()</f>
        <v/>
      </c>
      <c r="T1345" s="133">
        <f>CONCATENATE(A1345," - contiene allergni - prodotto il giorno ",TEXT(Q1345,"gg/mm/aaaa"),"")</f>
        <v/>
      </c>
    </row>
    <row r="1346" ht="15" customHeight="1" s="155">
      <c r="A1346" s="134">
        <f>ric!B1346</f>
        <v/>
      </c>
      <c r="B1346" s="118">
        <f>ric!C1346</f>
        <v/>
      </c>
      <c r="C1346" s="125">
        <f>ric!D1346</f>
        <v/>
      </c>
      <c r="D1346" s="125" t="n"/>
      <c r="E1346" s="125" t="n"/>
      <c r="F1346" s="125" t="n"/>
      <c r="G1346" s="118">
        <f>CONCATENATE(A1346, " ",#REF!, " / ",H1346)</f>
        <v/>
      </c>
      <c r="H1346" s="118" t="n"/>
      <c r="I1346" s="119">
        <f>CONCATENATE(M1346," - ",J1346," - Lotto N° ",K1346,"")</f>
        <v/>
      </c>
      <c r="J1346" s="118" t="n"/>
      <c r="K1346" s="118">
        <f>VLOOKUP(#REF!,Produzione,7,FALSE)</f>
        <v/>
      </c>
      <c r="L1346" s="120" t="n"/>
      <c r="M1346" s="120" t="n"/>
      <c r="N1346" s="118" t="n"/>
      <c r="O1346" s="121" t="n"/>
      <c r="P1346" s="121" t="n"/>
      <c r="Q1346" s="166">
        <f>TODAY()</f>
        <v/>
      </c>
      <c r="R1346" s="165">
        <f>ElencoProdotti[[#This Row],[PRODUZIONE]]+20</f>
        <v/>
      </c>
      <c r="S1346" s="165">
        <f>TODAY()</f>
        <v/>
      </c>
      <c r="T1346" s="133">
        <f>CONCATENATE(A1346," - contiene allergni - prodotto il giorno ",TEXT(Q1346,"gg/mm/aaaa"),"")</f>
        <v/>
      </c>
    </row>
    <row r="1347" ht="15" customHeight="1" s="155">
      <c r="A1347" s="134">
        <f>ric!B1347</f>
        <v/>
      </c>
      <c r="B1347" s="118">
        <f>ric!C1347</f>
        <v/>
      </c>
      <c r="C1347" s="125">
        <f>ric!D1347</f>
        <v/>
      </c>
      <c r="D1347" s="125" t="n"/>
      <c r="E1347" s="125" t="n"/>
      <c r="F1347" s="125" t="n"/>
      <c r="G1347" s="118">
        <f>CONCATENATE(A1347, " ",#REF!, " / ",H1347)</f>
        <v/>
      </c>
      <c r="H1347" s="118" t="n"/>
      <c r="I1347" s="119">
        <f>CONCATENATE(M1347," - ",J1347," - Lotto N° ",K1347,"")</f>
        <v/>
      </c>
      <c r="J1347" s="118" t="n"/>
      <c r="K1347" s="118">
        <f>VLOOKUP(#REF!,Produzione,7,FALSE)</f>
        <v/>
      </c>
      <c r="L1347" s="120" t="n"/>
      <c r="M1347" s="120" t="n"/>
      <c r="N1347" s="118" t="n"/>
      <c r="O1347" s="121" t="n"/>
      <c r="P1347" s="121" t="n"/>
      <c r="Q1347" s="166">
        <f>TODAY()</f>
        <v/>
      </c>
      <c r="R1347" s="165">
        <f>ElencoProdotti[[#This Row],[PRODUZIONE]]+20</f>
        <v/>
      </c>
      <c r="S1347" s="165">
        <f>TODAY()</f>
        <v/>
      </c>
      <c r="T1347" s="133">
        <f>CONCATENATE(A1347," - contiene allergni - prodotto il giorno ",TEXT(Q1347,"gg/mm/aaaa"),"")</f>
        <v/>
      </c>
    </row>
    <row r="1348" ht="15" customHeight="1" s="155">
      <c r="A1348" s="134">
        <f>ric!B1348</f>
        <v/>
      </c>
      <c r="B1348" s="118">
        <f>ric!C1348</f>
        <v/>
      </c>
      <c r="C1348" s="125">
        <f>ric!D1348</f>
        <v/>
      </c>
      <c r="D1348" s="125" t="n"/>
      <c r="E1348" s="125" t="n"/>
      <c r="F1348" s="125" t="n"/>
      <c r="G1348" s="118">
        <f>CONCATENATE(A1348, " ",#REF!, " / ",H1348)</f>
        <v/>
      </c>
      <c r="H1348" s="118" t="n"/>
      <c r="I1348" s="119">
        <f>CONCATENATE(M1348," - ",J1348," - Lotto N° ",K1348,"")</f>
        <v/>
      </c>
      <c r="J1348" s="118" t="n"/>
      <c r="K1348" s="118">
        <f>VLOOKUP(#REF!,Produzione,7,FALSE)</f>
        <v/>
      </c>
      <c r="L1348" s="120" t="n"/>
      <c r="M1348" s="120" t="n"/>
      <c r="N1348" s="118" t="n"/>
      <c r="O1348" s="121" t="n"/>
      <c r="P1348" s="121" t="n"/>
      <c r="Q1348" s="166">
        <f>TODAY()</f>
        <v/>
      </c>
      <c r="R1348" s="165">
        <f>ElencoProdotti[[#This Row],[PRODUZIONE]]+20</f>
        <v/>
      </c>
      <c r="S1348" s="165">
        <f>TODAY()</f>
        <v/>
      </c>
      <c r="T1348" s="133">
        <f>CONCATENATE(A1348," - contiene allergni - prodotto il giorno ",TEXT(Q1348,"gg/mm/aaaa"),"")</f>
        <v/>
      </c>
    </row>
    <row r="1349" ht="15" customHeight="1" s="155">
      <c r="A1349" s="134">
        <f>ric!B1349</f>
        <v/>
      </c>
      <c r="B1349" s="118">
        <f>ric!C1349</f>
        <v/>
      </c>
      <c r="C1349" s="125">
        <f>ric!D1349</f>
        <v/>
      </c>
      <c r="D1349" s="125" t="n"/>
      <c r="E1349" s="125" t="n"/>
      <c r="F1349" s="125" t="n"/>
      <c r="G1349" s="118">
        <f>CONCATENATE(A1349, " ",#REF!, " / ",H1349)</f>
        <v/>
      </c>
      <c r="H1349" s="118" t="n"/>
      <c r="I1349" s="119">
        <f>CONCATENATE(M1349," - ",J1349," - Lotto N° ",K1349,"")</f>
        <v/>
      </c>
      <c r="J1349" s="118" t="n"/>
      <c r="K1349" s="118">
        <f>VLOOKUP(#REF!,Produzione,7,FALSE)</f>
        <v/>
      </c>
      <c r="L1349" s="120" t="n"/>
      <c r="M1349" s="120" t="n"/>
      <c r="N1349" s="118" t="n"/>
      <c r="O1349" s="121" t="n"/>
      <c r="P1349" s="121" t="n"/>
      <c r="Q1349" s="166">
        <f>TODAY()</f>
        <v/>
      </c>
      <c r="R1349" s="165">
        <f>ElencoProdotti[[#This Row],[PRODUZIONE]]+20</f>
        <v/>
      </c>
      <c r="S1349" s="165">
        <f>TODAY()</f>
        <v/>
      </c>
      <c r="T1349" s="133">
        <f>CONCATENATE(A1349," - contiene allergni - prodotto il giorno ",TEXT(Q1349,"gg/mm/aaaa"),"")</f>
        <v/>
      </c>
    </row>
    <row r="1350" ht="15" customHeight="1" s="155">
      <c r="A1350" s="134">
        <f>ric!B1350</f>
        <v/>
      </c>
      <c r="B1350" s="118">
        <f>ric!C1350</f>
        <v/>
      </c>
      <c r="C1350" s="125">
        <f>ric!D1350</f>
        <v/>
      </c>
      <c r="D1350" s="125" t="n"/>
      <c r="E1350" s="125" t="n"/>
      <c r="F1350" s="125" t="n"/>
      <c r="G1350" s="118">
        <f>CONCATENATE(A1350, " ",#REF!, " / ",H1350)</f>
        <v/>
      </c>
      <c r="H1350" s="118" t="n"/>
      <c r="I1350" s="119">
        <f>CONCATENATE(M1350," - ",J1350," - Lotto N° ",K1350,"")</f>
        <v/>
      </c>
      <c r="J1350" s="118" t="n"/>
      <c r="K1350" s="118">
        <f>VLOOKUP(#REF!,Produzione,7,FALSE)</f>
        <v/>
      </c>
      <c r="L1350" s="120" t="n"/>
      <c r="M1350" s="120" t="n"/>
      <c r="N1350" s="118" t="n"/>
      <c r="O1350" s="121" t="n"/>
      <c r="P1350" s="121" t="n"/>
      <c r="Q1350" s="166">
        <f>TODAY()</f>
        <v/>
      </c>
      <c r="R1350" s="165">
        <f>ElencoProdotti[[#This Row],[PRODUZIONE]]+20</f>
        <v/>
      </c>
      <c r="S1350" s="165">
        <f>TODAY()</f>
        <v/>
      </c>
      <c r="T1350" s="133">
        <f>CONCATENATE(A1350," - contiene allergni - prodotto il giorno ",TEXT(Q1350,"gg/mm/aaaa"),"")</f>
        <v/>
      </c>
    </row>
    <row r="1351" ht="15" customHeight="1" s="155">
      <c r="A1351" s="134">
        <f>ric!B1351</f>
        <v/>
      </c>
      <c r="B1351" s="118">
        <f>ric!C1351</f>
        <v/>
      </c>
      <c r="C1351" s="125">
        <f>ric!D1351</f>
        <v/>
      </c>
      <c r="D1351" s="125" t="n"/>
      <c r="E1351" s="125" t="n"/>
      <c r="F1351" s="125" t="n"/>
      <c r="G1351" s="118">
        <f>CONCATENATE(A1351, " ",#REF!, " / ",H1351)</f>
        <v/>
      </c>
      <c r="H1351" s="118" t="n"/>
      <c r="I1351" s="119">
        <f>CONCATENATE(M1351," - ",J1351," - Lotto N° ",K1351,"")</f>
        <v/>
      </c>
      <c r="J1351" s="118" t="n"/>
      <c r="K1351" s="118">
        <f>VLOOKUP(#REF!,Produzione,7,FALSE)</f>
        <v/>
      </c>
      <c r="L1351" s="120" t="n"/>
      <c r="M1351" s="120" t="n"/>
      <c r="N1351" s="118" t="n"/>
      <c r="O1351" s="121" t="n"/>
      <c r="P1351" s="121" t="n"/>
      <c r="Q1351" s="166">
        <f>TODAY()</f>
        <v/>
      </c>
      <c r="R1351" s="165">
        <f>ElencoProdotti[[#This Row],[PRODUZIONE]]+20</f>
        <v/>
      </c>
      <c r="S1351" s="165">
        <f>TODAY()</f>
        <v/>
      </c>
      <c r="T1351" s="133">
        <f>CONCATENATE(A1351," - contiene allergni - prodotto il giorno ",TEXT(Q1351,"gg/mm/aaaa"),"")</f>
        <v/>
      </c>
    </row>
    <row r="1352" ht="15" customHeight="1" s="155">
      <c r="A1352" s="134">
        <f>ric!B1352</f>
        <v/>
      </c>
      <c r="B1352" s="118">
        <f>ric!C1352</f>
        <v/>
      </c>
      <c r="C1352" s="125">
        <f>ric!D1352</f>
        <v/>
      </c>
      <c r="D1352" s="125" t="n"/>
      <c r="E1352" s="125" t="n"/>
      <c r="F1352" s="125" t="n"/>
      <c r="G1352" s="118">
        <f>CONCATENATE(A1352, " ",#REF!, " / ",H1352)</f>
        <v/>
      </c>
      <c r="H1352" s="118" t="n"/>
      <c r="I1352" s="119">
        <f>CONCATENATE(M1352," - ",J1352," - Lotto N° ",K1352,"")</f>
        <v/>
      </c>
      <c r="J1352" s="118" t="n"/>
      <c r="K1352" s="118">
        <f>VLOOKUP(#REF!,Produzione,7,FALSE)</f>
        <v/>
      </c>
      <c r="L1352" s="120" t="n"/>
      <c r="M1352" s="120" t="n"/>
      <c r="N1352" s="118" t="n"/>
      <c r="O1352" s="121" t="n"/>
      <c r="P1352" s="121" t="n"/>
      <c r="Q1352" s="166">
        <f>TODAY()</f>
        <v/>
      </c>
      <c r="R1352" s="165">
        <f>ElencoProdotti[[#This Row],[PRODUZIONE]]+20</f>
        <v/>
      </c>
      <c r="S1352" s="165">
        <f>TODAY()</f>
        <v/>
      </c>
      <c r="T1352" s="133">
        <f>CONCATENATE(A1352," - contiene allergni - prodotto il giorno ",TEXT(Q1352,"gg/mm/aaaa"),"")</f>
        <v/>
      </c>
    </row>
    <row r="1353" ht="15" customHeight="1" s="155">
      <c r="A1353" s="134">
        <f>ric!B1353</f>
        <v/>
      </c>
      <c r="B1353" s="118">
        <f>ric!C1353</f>
        <v/>
      </c>
      <c r="C1353" s="125">
        <f>ric!D1353</f>
        <v/>
      </c>
      <c r="D1353" s="125" t="n"/>
      <c r="E1353" s="125" t="n"/>
      <c r="F1353" s="125" t="n"/>
      <c r="G1353" s="118">
        <f>CONCATENATE(A1353, " ",#REF!, " / ",H1353)</f>
        <v/>
      </c>
      <c r="H1353" s="118" t="n"/>
      <c r="I1353" s="119">
        <f>CONCATENATE(M1353," - ",J1353," - Lotto N° ",K1353,"")</f>
        <v/>
      </c>
      <c r="J1353" s="118" t="n"/>
      <c r="K1353" s="118">
        <f>VLOOKUP(#REF!,Produzione,7,FALSE)</f>
        <v/>
      </c>
      <c r="L1353" s="120" t="n"/>
      <c r="M1353" s="120" t="n"/>
      <c r="N1353" s="118" t="n"/>
      <c r="O1353" s="121" t="n"/>
      <c r="P1353" s="121" t="n"/>
      <c r="Q1353" s="166">
        <f>TODAY()</f>
        <v/>
      </c>
      <c r="R1353" s="165">
        <f>ElencoProdotti[[#This Row],[PRODUZIONE]]+20</f>
        <v/>
      </c>
      <c r="S1353" s="165">
        <f>TODAY()</f>
        <v/>
      </c>
      <c r="T1353" s="133">
        <f>CONCATENATE(A1353," - contiene allergni - prodotto il giorno ",TEXT(Q1353,"gg/mm/aaaa"),"")</f>
        <v/>
      </c>
    </row>
    <row r="1354" ht="15" customHeight="1" s="155">
      <c r="A1354" s="134">
        <f>ric!B1354</f>
        <v/>
      </c>
      <c r="B1354" s="118">
        <f>ric!C1354</f>
        <v/>
      </c>
      <c r="C1354" s="125">
        <f>ric!D1354</f>
        <v/>
      </c>
      <c r="D1354" s="125" t="n"/>
      <c r="E1354" s="125" t="n"/>
      <c r="F1354" s="125" t="n"/>
      <c r="G1354" s="118">
        <f>CONCATENATE(A1354, " ",#REF!, " / ",H1354)</f>
        <v/>
      </c>
      <c r="H1354" s="118" t="n"/>
      <c r="I1354" s="119">
        <f>CONCATENATE(M1354," - ",J1354," - Lotto N° ",K1354,"")</f>
        <v/>
      </c>
      <c r="J1354" s="118" t="n"/>
      <c r="K1354" s="118">
        <f>VLOOKUP(#REF!,Produzione,7,FALSE)</f>
        <v/>
      </c>
      <c r="L1354" s="120" t="n"/>
      <c r="M1354" s="120" t="n"/>
      <c r="N1354" s="118" t="n"/>
      <c r="O1354" s="121" t="n"/>
      <c r="P1354" s="121" t="n"/>
      <c r="Q1354" s="166">
        <f>TODAY()</f>
        <v/>
      </c>
      <c r="R1354" s="165">
        <f>ElencoProdotti[[#This Row],[PRODUZIONE]]+20</f>
        <v/>
      </c>
      <c r="S1354" s="165">
        <f>TODAY()</f>
        <v/>
      </c>
      <c r="T1354" s="133">
        <f>CONCATENATE(A1354," - contiene allergni - prodotto il giorno ",TEXT(Q1354,"gg/mm/aaaa"),"")</f>
        <v/>
      </c>
    </row>
    <row r="1355" ht="15" customHeight="1" s="155">
      <c r="A1355" s="134">
        <f>ric!B1355</f>
        <v/>
      </c>
      <c r="B1355" s="118">
        <f>ric!C1355</f>
        <v/>
      </c>
      <c r="C1355" s="125">
        <f>ric!D1355</f>
        <v/>
      </c>
      <c r="D1355" s="125" t="n"/>
      <c r="E1355" s="125" t="n"/>
      <c r="F1355" s="125" t="n"/>
      <c r="G1355" s="118">
        <f>CONCATENATE(A1355, " ",#REF!, " / ",H1355)</f>
        <v/>
      </c>
      <c r="H1355" s="118" t="n"/>
      <c r="I1355" s="119">
        <f>CONCATENATE(M1355," - ",J1355," - Lotto N° ",K1355,"")</f>
        <v/>
      </c>
      <c r="J1355" s="118" t="n"/>
      <c r="K1355" s="118">
        <f>VLOOKUP(#REF!,Produzione,7,FALSE)</f>
        <v/>
      </c>
      <c r="L1355" s="120" t="n"/>
      <c r="M1355" s="120" t="n"/>
      <c r="N1355" s="118" t="n"/>
      <c r="O1355" s="121" t="n"/>
      <c r="P1355" s="121" t="n"/>
      <c r="Q1355" s="166">
        <f>TODAY()</f>
        <v/>
      </c>
      <c r="R1355" s="165">
        <f>ElencoProdotti[[#This Row],[PRODUZIONE]]+20</f>
        <v/>
      </c>
      <c r="S1355" s="165">
        <f>TODAY()</f>
        <v/>
      </c>
      <c r="T1355" s="133">
        <f>CONCATENATE(A1355," - contiene allergni - prodotto il giorno ",TEXT(Q1355,"gg/mm/aaaa"),"")</f>
        <v/>
      </c>
    </row>
    <row r="1356" ht="15" customHeight="1" s="155">
      <c r="A1356" s="134">
        <f>ric!B1356</f>
        <v/>
      </c>
      <c r="B1356" s="118">
        <f>ric!C1356</f>
        <v/>
      </c>
      <c r="C1356" s="125">
        <f>ric!D1356</f>
        <v/>
      </c>
      <c r="D1356" s="125" t="n"/>
      <c r="E1356" s="125" t="n"/>
      <c r="F1356" s="125" t="n"/>
      <c r="G1356" s="118">
        <f>CONCATENATE(A1356, " ",#REF!, " / ",H1356)</f>
        <v/>
      </c>
      <c r="H1356" s="118" t="n"/>
      <c r="I1356" s="119">
        <f>CONCATENATE(M1356," - ",J1356," - Lotto N° ",K1356,"")</f>
        <v/>
      </c>
      <c r="J1356" s="118" t="n"/>
      <c r="K1356" s="118">
        <f>VLOOKUP(#REF!,Produzione,7,FALSE)</f>
        <v/>
      </c>
      <c r="L1356" s="120" t="n"/>
      <c r="M1356" s="120" t="n"/>
      <c r="N1356" s="118" t="n"/>
      <c r="O1356" s="121" t="n"/>
      <c r="P1356" s="121" t="n"/>
      <c r="Q1356" s="166">
        <f>TODAY()</f>
        <v/>
      </c>
      <c r="R1356" s="165">
        <f>ElencoProdotti[[#This Row],[PRODUZIONE]]+20</f>
        <v/>
      </c>
      <c r="S1356" s="165">
        <f>TODAY()</f>
        <v/>
      </c>
      <c r="T1356" s="133">
        <f>CONCATENATE(A1356," - contiene allergni - prodotto il giorno ",TEXT(Q1356,"gg/mm/aaaa"),"")</f>
        <v/>
      </c>
    </row>
    <row r="1357" ht="15" customHeight="1" s="155">
      <c r="A1357" s="134">
        <f>ric!B1357</f>
        <v/>
      </c>
      <c r="B1357" s="118">
        <f>ric!C1357</f>
        <v/>
      </c>
      <c r="C1357" s="125">
        <f>ric!D1357</f>
        <v/>
      </c>
      <c r="D1357" s="125" t="n"/>
      <c r="E1357" s="125" t="n"/>
      <c r="F1357" s="125" t="n"/>
      <c r="G1357" s="118">
        <f>CONCATENATE(A1357, " ",#REF!, " / ",H1357)</f>
        <v/>
      </c>
      <c r="H1357" s="118" t="n"/>
      <c r="I1357" s="119">
        <f>CONCATENATE(M1357," - ",J1357," - Lotto N° ",K1357,"")</f>
        <v/>
      </c>
      <c r="J1357" s="118" t="n"/>
      <c r="K1357" s="118">
        <f>VLOOKUP(#REF!,Produzione,7,FALSE)</f>
        <v/>
      </c>
      <c r="L1357" s="120" t="n"/>
      <c r="M1357" s="120" t="n"/>
      <c r="N1357" s="118" t="n"/>
      <c r="O1357" s="121" t="n"/>
      <c r="P1357" s="121" t="n"/>
      <c r="Q1357" s="166">
        <f>TODAY()</f>
        <v/>
      </c>
      <c r="R1357" s="165">
        <f>ElencoProdotti[[#This Row],[PRODUZIONE]]+20</f>
        <v/>
      </c>
      <c r="S1357" s="165">
        <f>TODAY()</f>
        <v/>
      </c>
      <c r="T1357" s="133">
        <f>CONCATENATE(A1357," - contiene allergni - prodotto il giorno ",TEXT(Q1357,"gg/mm/aaaa"),"")</f>
        <v/>
      </c>
    </row>
    <row r="1358" ht="15" customHeight="1" s="155">
      <c r="A1358" s="134">
        <f>ric!B1358</f>
        <v/>
      </c>
      <c r="B1358" s="118">
        <f>ric!C1358</f>
        <v/>
      </c>
      <c r="C1358" s="125">
        <f>ric!D1358</f>
        <v/>
      </c>
      <c r="D1358" s="125" t="n"/>
      <c r="E1358" s="125" t="n"/>
      <c r="F1358" s="125" t="n"/>
      <c r="G1358" s="118">
        <f>CONCATENATE(A1358, " ",#REF!, " / ",H1358)</f>
        <v/>
      </c>
      <c r="H1358" s="118" t="n"/>
      <c r="I1358" s="119">
        <f>CONCATENATE(M1358," - ",J1358," - Lotto N° ",K1358,"")</f>
        <v/>
      </c>
      <c r="J1358" s="118" t="n"/>
      <c r="K1358" s="118">
        <f>VLOOKUP(#REF!,Produzione,7,FALSE)</f>
        <v/>
      </c>
      <c r="L1358" s="120" t="n"/>
      <c r="M1358" s="120" t="n"/>
      <c r="N1358" s="118" t="n"/>
      <c r="O1358" s="121" t="n"/>
      <c r="P1358" s="121" t="n"/>
      <c r="Q1358" s="166">
        <f>TODAY()</f>
        <v/>
      </c>
      <c r="R1358" s="165">
        <f>ElencoProdotti[[#This Row],[PRODUZIONE]]+20</f>
        <v/>
      </c>
      <c r="S1358" s="165">
        <f>TODAY()</f>
        <v/>
      </c>
      <c r="T1358" s="133">
        <f>CONCATENATE(A1358," - contiene allergni - prodotto il giorno ",TEXT(Q1358,"gg/mm/aaaa"),"")</f>
        <v/>
      </c>
    </row>
    <row r="1359" ht="15" customHeight="1" s="155">
      <c r="A1359" s="134">
        <f>ric!B1359</f>
        <v/>
      </c>
      <c r="B1359" s="118">
        <f>ric!C1359</f>
        <v/>
      </c>
      <c r="C1359" s="125">
        <f>ric!D1359</f>
        <v/>
      </c>
      <c r="D1359" s="125" t="n"/>
      <c r="E1359" s="125" t="n"/>
      <c r="F1359" s="125" t="n"/>
      <c r="G1359" s="118">
        <f>CONCATENATE(A1359, " ",#REF!, " / ",H1359)</f>
        <v/>
      </c>
      <c r="H1359" s="118" t="n"/>
      <c r="I1359" s="119">
        <f>CONCATENATE(M1359," - ",J1359," - Lotto N° ",K1359,"")</f>
        <v/>
      </c>
      <c r="J1359" s="118" t="n"/>
      <c r="K1359" s="118">
        <f>VLOOKUP(#REF!,Produzione,7,FALSE)</f>
        <v/>
      </c>
      <c r="L1359" s="120" t="n"/>
      <c r="M1359" s="120" t="n"/>
      <c r="N1359" s="118" t="n"/>
      <c r="O1359" s="121" t="n"/>
      <c r="P1359" s="121" t="n"/>
      <c r="Q1359" s="166">
        <f>TODAY()</f>
        <v/>
      </c>
      <c r="R1359" s="165">
        <f>ElencoProdotti[[#This Row],[PRODUZIONE]]+20</f>
        <v/>
      </c>
      <c r="S1359" s="165">
        <f>TODAY()</f>
        <v/>
      </c>
      <c r="T1359" s="133">
        <f>CONCATENATE(A1359," - contiene allergni - prodotto il giorno ",TEXT(Q1359,"gg/mm/aaaa"),"")</f>
        <v/>
      </c>
    </row>
    <row r="1360" ht="15" customHeight="1" s="155">
      <c r="A1360" s="134">
        <f>ric!B1360</f>
        <v/>
      </c>
      <c r="B1360" s="118">
        <f>ric!C1360</f>
        <v/>
      </c>
      <c r="C1360" s="125">
        <f>ric!D1360</f>
        <v/>
      </c>
      <c r="D1360" s="125" t="n"/>
      <c r="E1360" s="125" t="n"/>
      <c r="F1360" s="125" t="n"/>
      <c r="G1360" s="118">
        <f>CONCATENATE(A1360, " ",#REF!, " / ",H1360)</f>
        <v/>
      </c>
      <c r="H1360" s="118" t="n"/>
      <c r="I1360" s="119">
        <f>CONCATENATE(M1360," - ",J1360," - Lotto N° ",K1360,"")</f>
        <v/>
      </c>
      <c r="J1360" s="118" t="n"/>
      <c r="K1360" s="118">
        <f>VLOOKUP(#REF!,Produzione,7,FALSE)</f>
        <v/>
      </c>
      <c r="L1360" s="120" t="n"/>
      <c r="M1360" s="120" t="n"/>
      <c r="N1360" s="118" t="n"/>
      <c r="O1360" s="121" t="n"/>
      <c r="P1360" s="121" t="n"/>
      <c r="Q1360" s="166">
        <f>TODAY()</f>
        <v/>
      </c>
      <c r="R1360" s="165">
        <f>ElencoProdotti[[#This Row],[PRODUZIONE]]+20</f>
        <v/>
      </c>
      <c r="S1360" s="165">
        <f>TODAY()</f>
        <v/>
      </c>
      <c r="T1360" s="133">
        <f>CONCATENATE(A1360," - contiene allergni - prodotto il giorno ",TEXT(Q1360,"gg/mm/aaaa"),"")</f>
        <v/>
      </c>
    </row>
    <row r="1361" ht="15" customHeight="1" s="155">
      <c r="A1361" s="134">
        <f>ric!B1361</f>
        <v/>
      </c>
      <c r="B1361" s="118">
        <f>ric!C1361</f>
        <v/>
      </c>
      <c r="C1361" s="125">
        <f>ric!D1361</f>
        <v/>
      </c>
      <c r="D1361" s="125" t="n"/>
      <c r="E1361" s="125" t="n"/>
      <c r="F1361" s="125" t="n"/>
      <c r="G1361" s="118">
        <f>CONCATENATE(A1361, " ",#REF!, " / ",H1361)</f>
        <v/>
      </c>
      <c r="H1361" s="118" t="n"/>
      <c r="I1361" s="119">
        <f>CONCATENATE(M1361," - ",J1361," - Lotto N° ",K1361,"")</f>
        <v/>
      </c>
      <c r="J1361" s="118" t="n"/>
      <c r="K1361" s="118">
        <f>VLOOKUP(#REF!,Produzione,7,FALSE)</f>
        <v/>
      </c>
      <c r="L1361" s="120" t="n"/>
      <c r="M1361" s="120" t="n"/>
      <c r="N1361" s="118" t="n"/>
      <c r="O1361" s="121" t="n"/>
      <c r="P1361" s="121" t="n"/>
      <c r="Q1361" s="166">
        <f>TODAY()</f>
        <v/>
      </c>
      <c r="R1361" s="165">
        <f>ElencoProdotti[[#This Row],[PRODUZIONE]]+20</f>
        <v/>
      </c>
      <c r="S1361" s="165">
        <f>TODAY()</f>
        <v/>
      </c>
      <c r="T1361" s="133">
        <f>CONCATENATE(A1361," - contiene allergni - prodotto il giorno ",TEXT(Q1361,"gg/mm/aaaa"),"")</f>
        <v/>
      </c>
    </row>
    <row r="1362" ht="15" customHeight="1" s="155">
      <c r="A1362" s="134">
        <f>ric!B1362</f>
        <v/>
      </c>
      <c r="B1362" s="118">
        <f>ric!C1362</f>
        <v/>
      </c>
      <c r="C1362" s="125">
        <f>ric!D1362</f>
        <v/>
      </c>
      <c r="D1362" s="125" t="n"/>
      <c r="E1362" s="125" t="n"/>
      <c r="F1362" s="125" t="n"/>
      <c r="G1362" s="118">
        <f>CONCATENATE(A1362, " ",#REF!, " / ",H1362)</f>
        <v/>
      </c>
      <c r="H1362" s="118" t="n"/>
      <c r="I1362" s="119">
        <f>CONCATENATE(M1362," - ",J1362," - Lotto N° ",K1362,"")</f>
        <v/>
      </c>
      <c r="J1362" s="118" t="n"/>
      <c r="K1362" s="118">
        <f>VLOOKUP(#REF!,Produzione,7,FALSE)</f>
        <v/>
      </c>
      <c r="L1362" s="120" t="n"/>
      <c r="M1362" s="120" t="n"/>
      <c r="N1362" s="118" t="n"/>
      <c r="O1362" s="121" t="n"/>
      <c r="P1362" s="121" t="n"/>
      <c r="Q1362" s="166">
        <f>TODAY()</f>
        <v/>
      </c>
      <c r="R1362" s="165">
        <f>ElencoProdotti[[#This Row],[PRODUZIONE]]+20</f>
        <v/>
      </c>
      <c r="S1362" s="165">
        <f>TODAY()</f>
        <v/>
      </c>
      <c r="T1362" s="133">
        <f>CONCATENATE(A1362," - contiene allergni - prodotto il giorno ",TEXT(Q1362,"gg/mm/aaaa"),"")</f>
        <v/>
      </c>
    </row>
    <row r="1363" ht="15" customHeight="1" s="155">
      <c r="A1363" s="134">
        <f>ric!B1363</f>
        <v/>
      </c>
      <c r="B1363" s="118">
        <f>ric!C1363</f>
        <v/>
      </c>
      <c r="C1363" s="125">
        <f>ric!D1363</f>
        <v/>
      </c>
      <c r="D1363" s="125" t="n"/>
      <c r="E1363" s="125" t="n"/>
      <c r="F1363" s="125" t="n"/>
      <c r="G1363" s="118">
        <f>CONCATENATE(A1363, " ",#REF!, " / ",H1363)</f>
        <v/>
      </c>
      <c r="H1363" s="118" t="n"/>
      <c r="I1363" s="119">
        <f>CONCATENATE(M1363," - ",J1363," - Lotto N° ",K1363,"")</f>
        <v/>
      </c>
      <c r="J1363" s="118" t="n"/>
      <c r="K1363" s="118">
        <f>VLOOKUP(#REF!,Produzione,7,FALSE)</f>
        <v/>
      </c>
      <c r="L1363" s="120" t="n"/>
      <c r="M1363" s="120" t="n"/>
      <c r="N1363" s="118" t="n"/>
      <c r="O1363" s="121" t="n"/>
      <c r="P1363" s="121" t="n"/>
      <c r="Q1363" s="166">
        <f>TODAY()</f>
        <v/>
      </c>
      <c r="R1363" s="165">
        <f>ElencoProdotti[[#This Row],[PRODUZIONE]]+20</f>
        <v/>
      </c>
      <c r="S1363" s="165">
        <f>TODAY()</f>
        <v/>
      </c>
      <c r="T1363" s="133">
        <f>CONCATENATE(A1363," - contiene allergni - prodotto il giorno ",TEXT(Q1363,"gg/mm/aaaa"),"")</f>
        <v/>
      </c>
    </row>
    <row r="1364" ht="15" customHeight="1" s="155">
      <c r="A1364" s="134">
        <f>ric!B1364</f>
        <v/>
      </c>
      <c r="B1364" s="118">
        <f>ric!C1364</f>
        <v/>
      </c>
      <c r="C1364" s="125">
        <f>ric!D1364</f>
        <v/>
      </c>
      <c r="D1364" s="125" t="n"/>
      <c r="E1364" s="125" t="n"/>
      <c r="F1364" s="125" t="n"/>
      <c r="G1364" s="118">
        <f>CONCATENATE(A1364, " ",#REF!, " / ",H1364)</f>
        <v/>
      </c>
      <c r="H1364" s="118" t="n"/>
      <c r="I1364" s="119">
        <f>CONCATENATE(M1364," - ",J1364," - Lotto N° ",K1364,"")</f>
        <v/>
      </c>
      <c r="J1364" s="118" t="n"/>
      <c r="K1364" s="118">
        <f>VLOOKUP(#REF!,Produzione,7,FALSE)</f>
        <v/>
      </c>
      <c r="L1364" s="120" t="n"/>
      <c r="M1364" s="120" t="n"/>
      <c r="N1364" s="118" t="n"/>
      <c r="O1364" s="121" t="n"/>
      <c r="P1364" s="121" t="n"/>
      <c r="Q1364" s="166">
        <f>TODAY()</f>
        <v/>
      </c>
      <c r="R1364" s="165">
        <f>ElencoProdotti[[#This Row],[PRODUZIONE]]+20</f>
        <v/>
      </c>
      <c r="S1364" s="165">
        <f>TODAY()</f>
        <v/>
      </c>
      <c r="T1364" s="133">
        <f>CONCATENATE(A1364," - contiene allergni - prodotto il giorno ",TEXT(Q1364,"gg/mm/aaaa"),"")</f>
        <v/>
      </c>
    </row>
    <row r="1365" ht="15" customHeight="1" s="155">
      <c r="A1365" s="134">
        <f>ric!B1365</f>
        <v/>
      </c>
      <c r="B1365" s="118">
        <f>ric!C1365</f>
        <v/>
      </c>
      <c r="C1365" s="125">
        <f>ric!D1365</f>
        <v/>
      </c>
      <c r="D1365" s="125" t="n"/>
      <c r="E1365" s="125" t="n"/>
      <c r="F1365" s="125" t="n"/>
      <c r="G1365" s="118">
        <f>CONCATENATE(A1365, " ",#REF!, " / ",H1365)</f>
        <v/>
      </c>
      <c r="H1365" s="118" t="n"/>
      <c r="I1365" s="119">
        <f>CONCATENATE(M1365," - ",J1365," - Lotto N° ",K1365,"")</f>
        <v/>
      </c>
      <c r="J1365" s="118" t="n"/>
      <c r="K1365" s="118">
        <f>VLOOKUP(#REF!,Produzione,7,FALSE)</f>
        <v/>
      </c>
      <c r="L1365" s="120" t="n"/>
      <c r="M1365" s="120" t="n"/>
      <c r="N1365" s="118" t="n"/>
      <c r="O1365" s="121" t="n"/>
      <c r="P1365" s="121" t="n"/>
      <c r="Q1365" s="166">
        <f>TODAY()</f>
        <v/>
      </c>
      <c r="R1365" s="165">
        <f>ElencoProdotti[[#This Row],[PRODUZIONE]]+20</f>
        <v/>
      </c>
      <c r="S1365" s="165">
        <f>TODAY()</f>
        <v/>
      </c>
      <c r="T1365" s="133">
        <f>CONCATENATE(A1365," - contiene allergni - prodotto il giorno ",TEXT(Q1365,"gg/mm/aaaa"),"")</f>
        <v/>
      </c>
    </row>
    <row r="1366" ht="15" customHeight="1" s="155">
      <c r="A1366" s="134">
        <f>ric!B1366</f>
        <v/>
      </c>
      <c r="B1366" s="118">
        <f>ric!C1366</f>
        <v/>
      </c>
      <c r="C1366" s="125">
        <f>ric!D1366</f>
        <v/>
      </c>
      <c r="D1366" s="125" t="n"/>
      <c r="E1366" s="125" t="n"/>
      <c r="F1366" s="125" t="n"/>
      <c r="G1366" s="118">
        <f>CONCATENATE(A1366, " ",#REF!, " / ",H1366)</f>
        <v/>
      </c>
      <c r="H1366" s="118" t="n"/>
      <c r="I1366" s="119">
        <f>CONCATENATE(M1366," - ",J1366," - Lotto N° ",K1366,"")</f>
        <v/>
      </c>
      <c r="J1366" s="118" t="n"/>
      <c r="K1366" s="118">
        <f>VLOOKUP(#REF!,Produzione,7,FALSE)</f>
        <v/>
      </c>
      <c r="L1366" s="120" t="n"/>
      <c r="M1366" s="120" t="n"/>
      <c r="N1366" s="118" t="n"/>
      <c r="O1366" s="121" t="n"/>
      <c r="P1366" s="121" t="n"/>
      <c r="Q1366" s="166">
        <f>TODAY()</f>
        <v/>
      </c>
      <c r="R1366" s="165">
        <f>ElencoProdotti[[#This Row],[PRODUZIONE]]+20</f>
        <v/>
      </c>
      <c r="S1366" s="165">
        <f>TODAY()</f>
        <v/>
      </c>
      <c r="T1366" s="133">
        <f>CONCATENATE(A1366," - contiene allergni - prodotto il giorno ",TEXT(Q1366,"gg/mm/aaaa"),"")</f>
        <v/>
      </c>
    </row>
    <row r="1367" ht="15" customHeight="1" s="155">
      <c r="A1367" s="134">
        <f>ric!B1367</f>
        <v/>
      </c>
      <c r="B1367" s="118">
        <f>ric!C1367</f>
        <v/>
      </c>
      <c r="C1367" s="125">
        <f>ric!D1367</f>
        <v/>
      </c>
      <c r="D1367" s="125" t="n"/>
      <c r="E1367" s="125" t="n"/>
      <c r="F1367" s="125" t="n"/>
      <c r="G1367" s="118">
        <f>CONCATENATE(A1367, " ",#REF!, " / ",H1367)</f>
        <v/>
      </c>
      <c r="H1367" s="118" t="n"/>
      <c r="I1367" s="119">
        <f>CONCATENATE(M1367," - ",J1367," - Lotto N° ",K1367,"")</f>
        <v/>
      </c>
      <c r="J1367" s="118" t="n"/>
      <c r="K1367" s="118">
        <f>VLOOKUP(#REF!,Produzione,7,FALSE)</f>
        <v/>
      </c>
      <c r="L1367" s="120" t="n"/>
      <c r="M1367" s="120" t="n"/>
      <c r="N1367" s="118" t="n"/>
      <c r="O1367" s="121" t="n"/>
      <c r="P1367" s="121" t="n"/>
      <c r="Q1367" s="166">
        <f>TODAY()</f>
        <v/>
      </c>
      <c r="R1367" s="165">
        <f>ElencoProdotti[[#This Row],[PRODUZIONE]]+20</f>
        <v/>
      </c>
      <c r="S1367" s="165">
        <f>TODAY()</f>
        <v/>
      </c>
      <c r="T1367" s="133">
        <f>CONCATENATE(A1367," - contiene allergni - prodotto il giorno ",TEXT(Q1367,"gg/mm/aaaa"),"")</f>
        <v/>
      </c>
    </row>
    <row r="1368" ht="15" customHeight="1" s="155">
      <c r="A1368" s="134">
        <f>ric!B1368</f>
        <v/>
      </c>
      <c r="B1368" s="118">
        <f>ric!C1368</f>
        <v/>
      </c>
      <c r="C1368" s="125">
        <f>ric!D1368</f>
        <v/>
      </c>
      <c r="D1368" s="125" t="n"/>
      <c r="E1368" s="125" t="n"/>
      <c r="F1368" s="125" t="n"/>
      <c r="G1368" s="118">
        <f>CONCATENATE(A1368, " ",#REF!, " / ",H1368)</f>
        <v/>
      </c>
      <c r="H1368" s="118" t="n"/>
      <c r="I1368" s="119">
        <f>CONCATENATE(M1368," - ",J1368," - Lotto N° ",K1368,"")</f>
        <v/>
      </c>
      <c r="J1368" s="118" t="n"/>
      <c r="K1368" s="118">
        <f>VLOOKUP(#REF!,Produzione,7,FALSE)</f>
        <v/>
      </c>
      <c r="L1368" s="120" t="n"/>
      <c r="M1368" s="120" t="n"/>
      <c r="N1368" s="118" t="n"/>
      <c r="O1368" s="121" t="n"/>
      <c r="P1368" s="121" t="n"/>
      <c r="Q1368" s="166">
        <f>TODAY()</f>
        <v/>
      </c>
      <c r="R1368" s="165">
        <f>ElencoProdotti[[#This Row],[PRODUZIONE]]+20</f>
        <v/>
      </c>
      <c r="S1368" s="165">
        <f>TODAY()</f>
        <v/>
      </c>
      <c r="T1368" s="133">
        <f>CONCATENATE(A1368," - contiene allergni - prodotto il giorno ",TEXT(Q1368,"gg/mm/aaaa"),"")</f>
        <v/>
      </c>
    </row>
    <row r="1369" ht="15" customHeight="1" s="155">
      <c r="A1369" s="134">
        <f>ric!B1369</f>
        <v/>
      </c>
      <c r="B1369" s="118">
        <f>ric!C1369</f>
        <v/>
      </c>
      <c r="C1369" s="125">
        <f>ric!D1369</f>
        <v/>
      </c>
      <c r="D1369" s="125" t="n"/>
      <c r="E1369" s="125" t="n"/>
      <c r="F1369" s="125" t="n"/>
      <c r="G1369" s="118">
        <f>CONCATENATE(A1369, " ",#REF!, " / ",H1369)</f>
        <v/>
      </c>
      <c r="H1369" s="118" t="n"/>
      <c r="I1369" s="119">
        <f>CONCATENATE(M1369," - ",J1369," - Lotto N° ",K1369,"")</f>
        <v/>
      </c>
      <c r="J1369" s="118" t="n"/>
      <c r="K1369" s="118">
        <f>VLOOKUP(#REF!,Produzione,7,FALSE)</f>
        <v/>
      </c>
      <c r="L1369" s="120" t="n"/>
      <c r="M1369" s="120" t="n"/>
      <c r="N1369" s="118" t="n"/>
      <c r="O1369" s="121" t="n"/>
      <c r="P1369" s="121" t="n"/>
      <c r="Q1369" s="166">
        <f>TODAY()</f>
        <v/>
      </c>
      <c r="R1369" s="165">
        <f>ElencoProdotti[[#This Row],[PRODUZIONE]]+20</f>
        <v/>
      </c>
      <c r="S1369" s="165">
        <f>TODAY()</f>
        <v/>
      </c>
      <c r="T1369" s="133">
        <f>CONCATENATE(A1369," - contiene allergni - prodotto il giorno ",TEXT(Q1369,"gg/mm/aaaa"),"")</f>
        <v/>
      </c>
    </row>
    <row r="1370" ht="15" customHeight="1" s="155">
      <c r="A1370" s="134">
        <f>ric!B1370</f>
        <v/>
      </c>
      <c r="B1370" s="118">
        <f>ric!C1370</f>
        <v/>
      </c>
      <c r="C1370" s="125">
        <f>ric!D1370</f>
        <v/>
      </c>
      <c r="D1370" s="125" t="n"/>
      <c r="E1370" s="125" t="n"/>
      <c r="F1370" s="125" t="n"/>
      <c r="G1370" s="118">
        <f>CONCATENATE(A1370, " ",#REF!, " / ",H1370)</f>
        <v/>
      </c>
      <c r="H1370" s="118" t="n"/>
      <c r="I1370" s="119">
        <f>CONCATENATE(M1370," - ",J1370," - Lotto N° ",K1370,"")</f>
        <v/>
      </c>
      <c r="J1370" s="118" t="n"/>
      <c r="K1370" s="118">
        <f>VLOOKUP(#REF!,Produzione,7,FALSE)</f>
        <v/>
      </c>
      <c r="L1370" s="120" t="n"/>
      <c r="M1370" s="120" t="n"/>
      <c r="N1370" s="118" t="n"/>
      <c r="O1370" s="121" t="n"/>
      <c r="P1370" s="121" t="n"/>
      <c r="Q1370" s="166">
        <f>TODAY()</f>
        <v/>
      </c>
      <c r="R1370" s="165">
        <f>ElencoProdotti[[#This Row],[PRODUZIONE]]+20</f>
        <v/>
      </c>
      <c r="S1370" s="165">
        <f>TODAY()</f>
        <v/>
      </c>
      <c r="T1370" s="133">
        <f>CONCATENATE(A1370," - contiene allergni - prodotto il giorno ",TEXT(Q1370,"gg/mm/aaaa"),"")</f>
        <v/>
      </c>
    </row>
    <row r="1371" ht="15" customHeight="1" s="155">
      <c r="A1371" s="134">
        <f>ric!B1371</f>
        <v/>
      </c>
      <c r="B1371" s="118">
        <f>ric!C1371</f>
        <v/>
      </c>
      <c r="C1371" s="125">
        <f>ric!D1371</f>
        <v/>
      </c>
      <c r="D1371" s="125" t="n"/>
      <c r="E1371" s="125" t="n"/>
      <c r="F1371" s="125" t="n"/>
      <c r="G1371" s="118">
        <f>CONCATENATE(A1371, " ",#REF!, " / ",H1371)</f>
        <v/>
      </c>
      <c r="H1371" s="118" t="n"/>
      <c r="I1371" s="119">
        <f>CONCATENATE(M1371," - ",J1371," - Lotto N° ",K1371,"")</f>
        <v/>
      </c>
      <c r="J1371" s="118" t="n"/>
      <c r="K1371" s="118">
        <f>VLOOKUP(#REF!,Produzione,7,FALSE)</f>
        <v/>
      </c>
      <c r="L1371" s="120" t="n"/>
      <c r="M1371" s="120" t="n"/>
      <c r="N1371" s="118" t="n"/>
      <c r="O1371" s="121" t="n"/>
      <c r="P1371" s="121" t="n"/>
      <c r="Q1371" s="166">
        <f>TODAY()</f>
        <v/>
      </c>
      <c r="R1371" s="165">
        <f>ElencoProdotti[[#This Row],[PRODUZIONE]]+20</f>
        <v/>
      </c>
      <c r="S1371" s="165">
        <f>TODAY()</f>
        <v/>
      </c>
      <c r="T1371" s="133">
        <f>CONCATENATE(A1371," - contiene allergni - prodotto il giorno ",TEXT(Q1371,"gg/mm/aaaa"),"")</f>
        <v/>
      </c>
    </row>
    <row r="1372" ht="15" customHeight="1" s="155">
      <c r="A1372" s="134">
        <f>ric!B1372</f>
        <v/>
      </c>
      <c r="B1372" s="118">
        <f>ric!C1372</f>
        <v/>
      </c>
      <c r="C1372" s="125">
        <f>ric!D1372</f>
        <v/>
      </c>
      <c r="D1372" s="125" t="n"/>
      <c r="E1372" s="125" t="n"/>
      <c r="F1372" s="125" t="n"/>
      <c r="G1372" s="118">
        <f>CONCATENATE(A1372, " ",#REF!, " / ",H1372)</f>
        <v/>
      </c>
      <c r="H1372" s="118" t="n"/>
      <c r="I1372" s="119">
        <f>CONCATENATE(M1372," - ",J1372," - Lotto N° ",K1372,"")</f>
        <v/>
      </c>
      <c r="J1372" s="118" t="n"/>
      <c r="K1372" s="118">
        <f>VLOOKUP(#REF!,Produzione,7,FALSE)</f>
        <v/>
      </c>
      <c r="L1372" s="120" t="n"/>
      <c r="M1372" s="120" t="n"/>
      <c r="N1372" s="118" t="n"/>
      <c r="O1372" s="121" t="n"/>
      <c r="P1372" s="121" t="n"/>
      <c r="Q1372" s="166">
        <f>TODAY()</f>
        <v/>
      </c>
      <c r="R1372" s="165">
        <f>ElencoProdotti[[#This Row],[PRODUZIONE]]+20</f>
        <v/>
      </c>
      <c r="S1372" s="165">
        <f>TODAY()</f>
        <v/>
      </c>
      <c r="T1372" s="133">
        <f>CONCATENATE(A1372," - contiene allergni - prodotto il giorno ",TEXT(Q1372,"gg/mm/aaaa"),"")</f>
        <v/>
      </c>
    </row>
    <row r="1373" ht="15" customHeight="1" s="155">
      <c r="A1373" s="134">
        <f>ric!B1373</f>
        <v/>
      </c>
      <c r="B1373" s="118">
        <f>ric!C1373</f>
        <v/>
      </c>
      <c r="C1373" s="125">
        <f>ric!D1373</f>
        <v/>
      </c>
      <c r="D1373" s="125" t="n"/>
      <c r="E1373" s="125" t="n"/>
      <c r="F1373" s="125" t="n"/>
      <c r="G1373" s="118">
        <f>CONCATENATE(A1373, " ",#REF!, " / ",H1373)</f>
        <v/>
      </c>
      <c r="H1373" s="118" t="n"/>
      <c r="I1373" s="119">
        <f>CONCATENATE(M1373," - ",J1373," - Lotto N° ",K1373,"")</f>
        <v/>
      </c>
      <c r="J1373" s="118" t="n"/>
      <c r="K1373" s="118">
        <f>VLOOKUP(#REF!,Produzione,7,FALSE)</f>
        <v/>
      </c>
      <c r="L1373" s="120" t="n"/>
      <c r="M1373" s="120" t="n"/>
      <c r="N1373" s="118" t="n"/>
      <c r="O1373" s="121" t="n"/>
      <c r="P1373" s="121" t="n"/>
      <c r="Q1373" s="166">
        <f>TODAY()</f>
        <v/>
      </c>
      <c r="R1373" s="165">
        <f>ElencoProdotti[[#This Row],[PRODUZIONE]]+20</f>
        <v/>
      </c>
      <c r="S1373" s="165">
        <f>TODAY()</f>
        <v/>
      </c>
      <c r="T1373" s="133">
        <f>CONCATENATE(A1373," - contiene allergni - prodotto il giorno ",TEXT(Q1373,"gg/mm/aaaa"),"")</f>
        <v/>
      </c>
    </row>
    <row r="1374" ht="15" customHeight="1" s="155">
      <c r="A1374" s="134">
        <f>ric!B1374</f>
        <v/>
      </c>
      <c r="B1374" s="118">
        <f>ric!C1374</f>
        <v/>
      </c>
      <c r="C1374" s="125">
        <f>ric!D1374</f>
        <v/>
      </c>
      <c r="D1374" s="125" t="n"/>
      <c r="E1374" s="125" t="n"/>
      <c r="F1374" s="125" t="n"/>
      <c r="G1374" s="118">
        <f>CONCATENATE(A1374, " ",#REF!, " / ",H1374)</f>
        <v/>
      </c>
      <c r="H1374" s="118" t="n"/>
      <c r="I1374" s="119">
        <f>CONCATENATE(M1374," - ",J1374," - Lotto N° ",K1374,"")</f>
        <v/>
      </c>
      <c r="J1374" s="118" t="n"/>
      <c r="K1374" s="118">
        <f>VLOOKUP(#REF!,Produzione,7,FALSE)</f>
        <v/>
      </c>
      <c r="L1374" s="120" t="n"/>
      <c r="M1374" s="120" t="n"/>
      <c r="N1374" s="118" t="n"/>
      <c r="O1374" s="121" t="n"/>
      <c r="P1374" s="121" t="n"/>
      <c r="Q1374" s="166">
        <f>TODAY()</f>
        <v/>
      </c>
      <c r="R1374" s="165">
        <f>ElencoProdotti[[#This Row],[PRODUZIONE]]+20</f>
        <v/>
      </c>
      <c r="S1374" s="165">
        <f>TODAY()</f>
        <v/>
      </c>
      <c r="T1374" s="133">
        <f>CONCATENATE(A1374," - contiene allergni - prodotto il giorno ",TEXT(Q1374,"gg/mm/aaaa"),"")</f>
        <v/>
      </c>
    </row>
    <row r="1375" ht="15" customHeight="1" s="155">
      <c r="A1375" s="134">
        <f>ric!B1375</f>
        <v/>
      </c>
      <c r="B1375" s="118">
        <f>ric!C1375</f>
        <v/>
      </c>
      <c r="C1375" s="125">
        <f>ric!D1375</f>
        <v/>
      </c>
      <c r="D1375" s="125" t="n"/>
      <c r="E1375" s="125" t="n"/>
      <c r="F1375" s="125" t="n"/>
      <c r="G1375" s="118">
        <f>CONCATENATE(A1375, " ",#REF!, " / ",H1375)</f>
        <v/>
      </c>
      <c r="H1375" s="118" t="n"/>
      <c r="I1375" s="119">
        <f>CONCATENATE(M1375," - ",J1375," - Lotto N° ",K1375,"")</f>
        <v/>
      </c>
      <c r="J1375" s="118" t="n"/>
      <c r="K1375" s="118">
        <f>VLOOKUP(#REF!,Produzione,7,FALSE)</f>
        <v/>
      </c>
      <c r="L1375" s="120" t="n"/>
      <c r="M1375" s="120" t="n"/>
      <c r="N1375" s="118" t="n"/>
      <c r="O1375" s="121" t="n"/>
      <c r="P1375" s="121" t="n"/>
      <c r="Q1375" s="166">
        <f>TODAY()</f>
        <v/>
      </c>
      <c r="R1375" s="165">
        <f>ElencoProdotti[[#This Row],[PRODUZIONE]]+20</f>
        <v/>
      </c>
      <c r="S1375" s="165">
        <f>TODAY()</f>
        <v/>
      </c>
      <c r="T1375" s="133">
        <f>CONCATENATE(A1375," - contiene allergni - prodotto il giorno ",TEXT(Q1375,"gg/mm/aaaa"),"")</f>
        <v/>
      </c>
    </row>
    <row r="1376" ht="15" customHeight="1" s="155">
      <c r="A1376" s="134">
        <f>ric!B1376</f>
        <v/>
      </c>
      <c r="B1376" s="118">
        <f>ric!C1376</f>
        <v/>
      </c>
      <c r="C1376" s="125">
        <f>ric!D1376</f>
        <v/>
      </c>
      <c r="D1376" s="125" t="n"/>
      <c r="E1376" s="125" t="n"/>
      <c r="F1376" s="125" t="n"/>
      <c r="G1376" s="118">
        <f>CONCATENATE(A1376, " ",#REF!, " / ",H1376)</f>
        <v/>
      </c>
      <c r="H1376" s="118" t="n"/>
      <c r="I1376" s="119">
        <f>CONCATENATE(M1376," - ",J1376," - Lotto N° ",K1376,"")</f>
        <v/>
      </c>
      <c r="J1376" s="118" t="n"/>
      <c r="K1376" s="118">
        <f>VLOOKUP(#REF!,Produzione,7,FALSE)</f>
        <v/>
      </c>
      <c r="L1376" s="120" t="n"/>
      <c r="M1376" s="120" t="n"/>
      <c r="N1376" s="118" t="n"/>
      <c r="O1376" s="121" t="n"/>
      <c r="P1376" s="121" t="n"/>
      <c r="Q1376" s="166">
        <f>TODAY()</f>
        <v/>
      </c>
      <c r="R1376" s="165">
        <f>ElencoProdotti[[#This Row],[PRODUZIONE]]+20</f>
        <v/>
      </c>
      <c r="S1376" s="165">
        <f>TODAY()</f>
        <v/>
      </c>
      <c r="T1376" s="133">
        <f>CONCATENATE(A1376," - contiene allergni - prodotto il giorno ",TEXT(Q1376,"gg/mm/aaaa"),"")</f>
        <v/>
      </c>
    </row>
    <row r="1377" ht="15" customHeight="1" s="155">
      <c r="A1377" s="134">
        <f>ric!B1377</f>
        <v/>
      </c>
      <c r="B1377" s="118">
        <f>ric!C1377</f>
        <v/>
      </c>
      <c r="C1377" s="125">
        <f>ric!D1377</f>
        <v/>
      </c>
      <c r="D1377" s="125" t="n"/>
      <c r="E1377" s="125" t="n"/>
      <c r="F1377" s="125" t="n"/>
      <c r="G1377" s="118">
        <f>CONCATENATE(A1377, " ",#REF!, " / ",H1377)</f>
        <v/>
      </c>
      <c r="H1377" s="118" t="n"/>
      <c r="I1377" s="119">
        <f>CONCATENATE(M1377," - ",J1377," - Lotto N° ",K1377,"")</f>
        <v/>
      </c>
      <c r="J1377" s="118" t="n"/>
      <c r="K1377" s="118">
        <f>VLOOKUP(#REF!,Produzione,7,FALSE)</f>
        <v/>
      </c>
      <c r="L1377" s="120" t="n"/>
      <c r="M1377" s="120" t="n"/>
      <c r="N1377" s="118" t="n"/>
      <c r="O1377" s="121" t="n"/>
      <c r="P1377" s="121" t="n"/>
      <c r="Q1377" s="166">
        <f>TODAY()</f>
        <v/>
      </c>
      <c r="R1377" s="165">
        <f>ElencoProdotti[[#This Row],[PRODUZIONE]]+20</f>
        <v/>
      </c>
      <c r="S1377" s="165">
        <f>TODAY()</f>
        <v/>
      </c>
      <c r="T1377" s="133">
        <f>CONCATENATE(A1377," - contiene allergni - prodotto il giorno ",TEXT(Q1377,"gg/mm/aaaa"),"")</f>
        <v/>
      </c>
    </row>
    <row r="1378" ht="15" customHeight="1" s="155">
      <c r="A1378" s="134">
        <f>ric!B1378</f>
        <v/>
      </c>
      <c r="B1378" s="118">
        <f>ric!C1378</f>
        <v/>
      </c>
      <c r="C1378" s="125">
        <f>ric!D1378</f>
        <v/>
      </c>
      <c r="D1378" s="125" t="n"/>
      <c r="E1378" s="125" t="n"/>
      <c r="F1378" s="125" t="n"/>
      <c r="G1378" s="118">
        <f>CONCATENATE(A1378, " ",#REF!, " / ",H1378)</f>
        <v/>
      </c>
      <c r="H1378" s="118" t="n"/>
      <c r="I1378" s="119">
        <f>CONCATENATE(M1378," - ",J1378," - Lotto N° ",K1378,"")</f>
        <v/>
      </c>
      <c r="J1378" s="118" t="n"/>
      <c r="K1378" s="118">
        <f>VLOOKUP(#REF!,Produzione,7,FALSE)</f>
        <v/>
      </c>
      <c r="L1378" s="120" t="n"/>
      <c r="M1378" s="120" t="n"/>
      <c r="N1378" s="118" t="n"/>
      <c r="O1378" s="121" t="n"/>
      <c r="P1378" s="121" t="n"/>
      <c r="Q1378" s="166">
        <f>TODAY()</f>
        <v/>
      </c>
      <c r="R1378" s="165">
        <f>ElencoProdotti[[#This Row],[PRODUZIONE]]+20</f>
        <v/>
      </c>
      <c r="S1378" s="165">
        <f>TODAY()</f>
        <v/>
      </c>
      <c r="T1378" s="133">
        <f>CONCATENATE(A1378," - contiene allergni - prodotto il giorno ",TEXT(Q1378,"gg/mm/aaaa"),"")</f>
        <v/>
      </c>
    </row>
    <row r="1379" ht="15" customHeight="1" s="155">
      <c r="A1379" s="134">
        <f>ric!B1379</f>
        <v/>
      </c>
      <c r="B1379" s="118">
        <f>ric!C1379</f>
        <v/>
      </c>
      <c r="C1379" s="125">
        <f>ric!D1379</f>
        <v/>
      </c>
      <c r="D1379" s="125" t="n"/>
      <c r="E1379" s="125" t="n"/>
      <c r="F1379" s="125" t="n"/>
      <c r="G1379" s="118">
        <f>CONCATENATE(A1379, " ",#REF!, " / ",H1379)</f>
        <v/>
      </c>
      <c r="H1379" s="118" t="n"/>
      <c r="I1379" s="119">
        <f>CONCATENATE(M1379," - ",J1379," - Lotto N° ",K1379,"")</f>
        <v/>
      </c>
      <c r="J1379" s="118" t="n"/>
      <c r="K1379" s="118">
        <f>VLOOKUP(#REF!,Produzione,7,FALSE)</f>
        <v/>
      </c>
      <c r="L1379" s="120" t="n"/>
      <c r="M1379" s="120" t="n"/>
      <c r="N1379" s="118" t="n"/>
      <c r="O1379" s="121" t="n"/>
      <c r="P1379" s="121" t="n"/>
      <c r="Q1379" s="166">
        <f>TODAY()</f>
        <v/>
      </c>
      <c r="R1379" s="165">
        <f>ElencoProdotti[[#This Row],[PRODUZIONE]]+20</f>
        <v/>
      </c>
      <c r="S1379" s="165">
        <f>TODAY()</f>
        <v/>
      </c>
      <c r="T1379" s="133">
        <f>CONCATENATE(A1379," - contiene allergni - prodotto il giorno ",TEXT(Q1379,"gg/mm/aaaa"),"")</f>
        <v/>
      </c>
    </row>
    <row r="1380" ht="15" customHeight="1" s="155">
      <c r="A1380" s="134">
        <f>ric!B1380</f>
        <v/>
      </c>
      <c r="B1380" s="118">
        <f>ric!C1380</f>
        <v/>
      </c>
      <c r="C1380" s="125">
        <f>ric!D1380</f>
        <v/>
      </c>
      <c r="D1380" s="125" t="n"/>
      <c r="E1380" s="125" t="n"/>
      <c r="F1380" s="125" t="n"/>
      <c r="G1380" s="118">
        <f>CONCATENATE(A1380, " ",#REF!, " / ",H1380)</f>
        <v/>
      </c>
      <c r="H1380" s="118" t="n"/>
      <c r="I1380" s="119">
        <f>CONCATENATE(M1380," - ",J1380," - Lotto N° ",K1380,"")</f>
        <v/>
      </c>
      <c r="J1380" s="118" t="n"/>
      <c r="K1380" s="118">
        <f>VLOOKUP(#REF!,Produzione,7,FALSE)</f>
        <v/>
      </c>
      <c r="L1380" s="120" t="n"/>
      <c r="M1380" s="120" t="n"/>
      <c r="N1380" s="118" t="n"/>
      <c r="O1380" s="121" t="n"/>
      <c r="P1380" s="121" t="n"/>
      <c r="Q1380" s="166">
        <f>TODAY()</f>
        <v/>
      </c>
      <c r="R1380" s="165">
        <f>ElencoProdotti[[#This Row],[PRODUZIONE]]+20</f>
        <v/>
      </c>
      <c r="S1380" s="165">
        <f>TODAY()</f>
        <v/>
      </c>
      <c r="T1380" s="133">
        <f>CONCATENATE(A1380," - contiene allergni - prodotto il giorno ",TEXT(Q1380,"gg/mm/aaaa"),"")</f>
        <v/>
      </c>
    </row>
    <row r="1381" ht="15" customHeight="1" s="155">
      <c r="A1381" s="134">
        <f>ric!B1381</f>
        <v/>
      </c>
      <c r="B1381" s="118">
        <f>ric!C1381</f>
        <v/>
      </c>
      <c r="C1381" s="125">
        <f>ric!D1381</f>
        <v/>
      </c>
      <c r="D1381" s="125" t="n"/>
      <c r="E1381" s="125" t="n"/>
      <c r="F1381" s="125" t="n"/>
      <c r="G1381" s="118">
        <f>CONCATENATE(A1381, " ",#REF!, " / ",H1381)</f>
        <v/>
      </c>
      <c r="H1381" s="118" t="n"/>
      <c r="I1381" s="119">
        <f>CONCATENATE(M1381," - ",J1381," - Lotto N° ",K1381,"")</f>
        <v/>
      </c>
      <c r="J1381" s="118" t="n"/>
      <c r="K1381" s="118">
        <f>VLOOKUP(#REF!,Produzione,7,FALSE)</f>
        <v/>
      </c>
      <c r="L1381" s="120" t="n"/>
      <c r="M1381" s="120" t="n"/>
      <c r="N1381" s="118" t="n"/>
      <c r="O1381" s="121" t="n"/>
      <c r="P1381" s="121" t="n"/>
      <c r="Q1381" s="166">
        <f>TODAY()</f>
        <v/>
      </c>
      <c r="R1381" s="165">
        <f>ElencoProdotti[[#This Row],[PRODUZIONE]]+20</f>
        <v/>
      </c>
      <c r="S1381" s="165">
        <f>TODAY()</f>
        <v/>
      </c>
      <c r="T1381" s="133">
        <f>CONCATENATE(A1381," - contiene allergni - prodotto il giorno ",TEXT(Q1381,"gg/mm/aaaa"),"")</f>
        <v/>
      </c>
    </row>
    <row r="1382" ht="15" customHeight="1" s="155">
      <c r="A1382" s="134">
        <f>ric!B1382</f>
        <v/>
      </c>
      <c r="B1382" s="118">
        <f>ric!C1382</f>
        <v/>
      </c>
      <c r="C1382" s="125">
        <f>ric!D1382</f>
        <v/>
      </c>
      <c r="D1382" s="125" t="n"/>
      <c r="E1382" s="125" t="n"/>
      <c r="F1382" s="125" t="n"/>
      <c r="G1382" s="118">
        <f>CONCATENATE(A1382, " ",#REF!, " / ",H1382)</f>
        <v/>
      </c>
      <c r="H1382" s="118" t="n"/>
      <c r="I1382" s="119">
        <f>CONCATENATE(M1382," - ",J1382," - Lotto N° ",K1382,"")</f>
        <v/>
      </c>
      <c r="J1382" s="118" t="n"/>
      <c r="K1382" s="118">
        <f>VLOOKUP(#REF!,Produzione,7,FALSE)</f>
        <v/>
      </c>
      <c r="L1382" s="120" t="n"/>
      <c r="M1382" s="120" t="n"/>
      <c r="N1382" s="118" t="n"/>
      <c r="O1382" s="121" t="n"/>
      <c r="P1382" s="121" t="n"/>
      <c r="Q1382" s="166">
        <f>TODAY()</f>
        <v/>
      </c>
      <c r="R1382" s="165">
        <f>ElencoProdotti[[#This Row],[PRODUZIONE]]+20</f>
        <v/>
      </c>
      <c r="S1382" s="165">
        <f>TODAY()</f>
        <v/>
      </c>
      <c r="T1382" s="133">
        <f>CONCATENATE(A1382," - contiene allergni - prodotto il giorno ",TEXT(Q1382,"gg/mm/aaaa"),"")</f>
        <v/>
      </c>
    </row>
    <row r="1383" ht="15" customHeight="1" s="155">
      <c r="A1383" s="134">
        <f>ric!B1383</f>
        <v/>
      </c>
      <c r="B1383" s="118">
        <f>ric!C1383</f>
        <v/>
      </c>
      <c r="C1383" s="125">
        <f>ric!D1383</f>
        <v/>
      </c>
      <c r="D1383" s="125" t="n"/>
      <c r="E1383" s="125" t="n"/>
      <c r="F1383" s="125" t="n"/>
      <c r="G1383" s="118">
        <f>CONCATENATE(A1383, " ",#REF!, " / ",H1383)</f>
        <v/>
      </c>
      <c r="H1383" s="118" t="n"/>
      <c r="I1383" s="119">
        <f>CONCATENATE(M1383," - ",J1383," - Lotto N° ",K1383,"")</f>
        <v/>
      </c>
      <c r="J1383" s="118" t="n"/>
      <c r="K1383" s="118">
        <f>VLOOKUP(#REF!,Produzione,7,FALSE)</f>
        <v/>
      </c>
      <c r="L1383" s="120" t="n"/>
      <c r="M1383" s="120" t="n"/>
      <c r="N1383" s="118" t="n"/>
      <c r="O1383" s="121" t="n"/>
      <c r="P1383" s="121" t="n"/>
      <c r="Q1383" s="166">
        <f>TODAY()</f>
        <v/>
      </c>
      <c r="R1383" s="165">
        <f>ElencoProdotti[[#This Row],[PRODUZIONE]]+20</f>
        <v/>
      </c>
      <c r="S1383" s="165">
        <f>TODAY()</f>
        <v/>
      </c>
      <c r="T1383" s="133">
        <f>CONCATENATE(A1383," - contiene allergni - prodotto il giorno ",TEXT(Q1383,"gg/mm/aaaa"),"")</f>
        <v/>
      </c>
    </row>
    <row r="1384" ht="15" customHeight="1" s="155">
      <c r="A1384" s="134">
        <f>ric!B1384</f>
        <v/>
      </c>
      <c r="B1384" s="118">
        <f>ric!C1384</f>
        <v/>
      </c>
      <c r="C1384" s="125">
        <f>ric!D1384</f>
        <v/>
      </c>
      <c r="D1384" s="125" t="n"/>
      <c r="E1384" s="125" t="n"/>
      <c r="F1384" s="125" t="n"/>
      <c r="G1384" s="118">
        <f>CONCATENATE(A1384, " ",#REF!, " / ",H1384)</f>
        <v/>
      </c>
      <c r="H1384" s="118" t="n"/>
      <c r="I1384" s="119">
        <f>CONCATENATE(M1384," - ",J1384," - Lotto N° ",K1384,"")</f>
        <v/>
      </c>
      <c r="J1384" s="118" t="n"/>
      <c r="K1384" s="118">
        <f>VLOOKUP(#REF!,Produzione,7,FALSE)</f>
        <v/>
      </c>
      <c r="L1384" s="120" t="n"/>
      <c r="M1384" s="120" t="n"/>
      <c r="N1384" s="118" t="n"/>
      <c r="O1384" s="121" t="n"/>
      <c r="P1384" s="121" t="n"/>
      <c r="Q1384" s="166">
        <f>TODAY()</f>
        <v/>
      </c>
      <c r="R1384" s="165">
        <f>ElencoProdotti[[#This Row],[PRODUZIONE]]+20</f>
        <v/>
      </c>
      <c r="S1384" s="165">
        <f>TODAY()</f>
        <v/>
      </c>
      <c r="T1384" s="133">
        <f>CONCATENATE(A1384," - contiene allergni - prodotto il giorno ",TEXT(Q1384,"gg/mm/aaaa"),"")</f>
        <v/>
      </c>
    </row>
    <row r="1385" ht="15" customHeight="1" s="155">
      <c r="A1385" s="134">
        <f>ric!B1385</f>
        <v/>
      </c>
      <c r="B1385" s="118">
        <f>ric!C1385</f>
        <v/>
      </c>
      <c r="C1385" s="125">
        <f>ric!D1385</f>
        <v/>
      </c>
      <c r="D1385" s="125" t="n"/>
      <c r="E1385" s="125" t="n"/>
      <c r="F1385" s="125" t="n"/>
      <c r="G1385" s="118">
        <f>CONCATENATE(A1385, " ",#REF!, " / ",H1385)</f>
        <v/>
      </c>
      <c r="H1385" s="118" t="n"/>
      <c r="I1385" s="119">
        <f>CONCATENATE(M1385," - ",J1385," - Lotto N° ",K1385,"")</f>
        <v/>
      </c>
      <c r="J1385" s="118" t="n"/>
      <c r="K1385" s="118">
        <f>VLOOKUP(#REF!,Produzione,7,FALSE)</f>
        <v/>
      </c>
      <c r="L1385" s="120" t="n"/>
      <c r="M1385" s="120" t="n"/>
      <c r="N1385" s="118" t="n"/>
      <c r="O1385" s="121" t="n"/>
      <c r="P1385" s="121" t="n"/>
      <c r="Q1385" s="166">
        <f>TODAY()</f>
        <v/>
      </c>
      <c r="R1385" s="165">
        <f>ElencoProdotti[[#This Row],[PRODUZIONE]]+20</f>
        <v/>
      </c>
      <c r="S1385" s="165">
        <f>TODAY()</f>
        <v/>
      </c>
      <c r="T1385" s="133">
        <f>CONCATENATE(A1385," - contiene allergni - prodotto il giorno ",TEXT(Q1385,"gg/mm/aaaa"),"")</f>
        <v/>
      </c>
    </row>
    <row r="1386" ht="15" customHeight="1" s="155">
      <c r="A1386" s="134">
        <f>ric!B1386</f>
        <v/>
      </c>
      <c r="B1386" s="118">
        <f>ric!C1386</f>
        <v/>
      </c>
      <c r="C1386" s="125">
        <f>ric!D1386</f>
        <v/>
      </c>
      <c r="D1386" s="125" t="n"/>
      <c r="E1386" s="125" t="n"/>
      <c r="F1386" s="125" t="n"/>
      <c r="G1386" s="118">
        <f>CONCATENATE(A1386, " ",#REF!, " / ",H1386)</f>
        <v/>
      </c>
      <c r="H1386" s="118" t="n"/>
      <c r="I1386" s="119">
        <f>CONCATENATE(M1386," - ",J1386," - Lotto N° ",K1386,"")</f>
        <v/>
      </c>
      <c r="J1386" s="118" t="n"/>
      <c r="K1386" s="118">
        <f>VLOOKUP(#REF!,Produzione,7,FALSE)</f>
        <v/>
      </c>
      <c r="L1386" s="120" t="n"/>
      <c r="M1386" s="120" t="n"/>
      <c r="N1386" s="118" t="n"/>
      <c r="O1386" s="121" t="n"/>
      <c r="P1386" s="121" t="n"/>
      <c r="Q1386" s="166">
        <f>TODAY()</f>
        <v/>
      </c>
      <c r="R1386" s="165">
        <f>ElencoProdotti[[#This Row],[PRODUZIONE]]+20</f>
        <v/>
      </c>
      <c r="S1386" s="165">
        <f>TODAY()</f>
        <v/>
      </c>
      <c r="T1386" s="133">
        <f>CONCATENATE(A1386," - contiene allergni - prodotto il giorno ",TEXT(Q1386,"gg/mm/aaaa"),"")</f>
        <v/>
      </c>
    </row>
    <row r="1387" ht="15" customHeight="1" s="155">
      <c r="A1387" s="134">
        <f>ric!B1387</f>
        <v/>
      </c>
      <c r="B1387" s="118">
        <f>ric!C1387</f>
        <v/>
      </c>
      <c r="C1387" s="125">
        <f>ric!D1387</f>
        <v/>
      </c>
      <c r="D1387" s="125" t="n"/>
      <c r="E1387" s="125" t="n"/>
      <c r="F1387" s="125" t="n"/>
      <c r="G1387" s="118">
        <f>CONCATENATE(A1387, " ",#REF!, " / ",H1387)</f>
        <v/>
      </c>
      <c r="H1387" s="118" t="n"/>
      <c r="I1387" s="119">
        <f>CONCATENATE(M1387," - ",J1387," - Lotto N° ",K1387,"")</f>
        <v/>
      </c>
      <c r="J1387" s="118" t="n"/>
      <c r="K1387" s="118">
        <f>VLOOKUP(#REF!,Produzione,7,FALSE)</f>
        <v/>
      </c>
      <c r="L1387" s="120" t="n"/>
      <c r="M1387" s="120" t="n"/>
      <c r="N1387" s="118" t="n"/>
      <c r="O1387" s="121" t="n"/>
      <c r="P1387" s="121" t="n"/>
      <c r="Q1387" s="166">
        <f>TODAY()</f>
        <v/>
      </c>
      <c r="R1387" s="165">
        <f>ElencoProdotti[[#This Row],[PRODUZIONE]]+20</f>
        <v/>
      </c>
      <c r="S1387" s="165">
        <f>TODAY()</f>
        <v/>
      </c>
      <c r="T1387" s="133">
        <f>CONCATENATE(A1387," - contiene allergni - prodotto il giorno ",TEXT(Q1387,"gg/mm/aaaa"),"")</f>
        <v/>
      </c>
    </row>
    <row r="1388" ht="15" customHeight="1" s="155">
      <c r="A1388" s="134">
        <f>ric!B1388</f>
        <v/>
      </c>
      <c r="B1388" s="118">
        <f>ric!C1388</f>
        <v/>
      </c>
      <c r="C1388" s="125">
        <f>ric!D1388</f>
        <v/>
      </c>
      <c r="D1388" s="125" t="n"/>
      <c r="E1388" s="125" t="n"/>
      <c r="F1388" s="125" t="n"/>
      <c r="G1388" s="118">
        <f>CONCATENATE(A1388, " ",#REF!, " / ",H1388)</f>
        <v/>
      </c>
      <c r="H1388" s="118" t="n"/>
      <c r="I1388" s="119">
        <f>CONCATENATE(M1388," - ",J1388," - Lotto N° ",K1388,"")</f>
        <v/>
      </c>
      <c r="J1388" s="118" t="n"/>
      <c r="K1388" s="118">
        <f>VLOOKUP(#REF!,Produzione,7,FALSE)</f>
        <v/>
      </c>
      <c r="L1388" s="120" t="n"/>
      <c r="M1388" s="120" t="n"/>
      <c r="N1388" s="118" t="n"/>
      <c r="O1388" s="121" t="n"/>
      <c r="P1388" s="121" t="n"/>
      <c r="Q1388" s="166">
        <f>TODAY()</f>
        <v/>
      </c>
      <c r="R1388" s="165">
        <f>ElencoProdotti[[#This Row],[PRODUZIONE]]+20</f>
        <v/>
      </c>
      <c r="S1388" s="165">
        <f>TODAY()</f>
        <v/>
      </c>
      <c r="T1388" s="133">
        <f>CONCATENATE(A1388," - contiene allergni - prodotto il giorno ",TEXT(Q1388,"gg/mm/aaaa"),"")</f>
        <v/>
      </c>
    </row>
    <row r="1389" ht="15" customHeight="1" s="155">
      <c r="A1389" s="134">
        <f>ric!B1389</f>
        <v/>
      </c>
      <c r="B1389" s="118">
        <f>ric!C1389</f>
        <v/>
      </c>
      <c r="C1389" s="125">
        <f>ric!D1389</f>
        <v/>
      </c>
      <c r="D1389" s="125" t="n"/>
      <c r="E1389" s="125" t="n"/>
      <c r="F1389" s="125" t="n"/>
      <c r="G1389" s="118">
        <f>CONCATENATE(A1389, " ",#REF!, " / ",H1389)</f>
        <v/>
      </c>
      <c r="H1389" s="118" t="n"/>
      <c r="I1389" s="119">
        <f>CONCATENATE(M1389," - ",J1389," - Lotto N° ",K1389,"")</f>
        <v/>
      </c>
      <c r="J1389" s="118" t="n"/>
      <c r="K1389" s="118">
        <f>VLOOKUP(#REF!,Produzione,7,FALSE)</f>
        <v/>
      </c>
      <c r="L1389" s="120" t="n"/>
      <c r="M1389" s="120" t="n"/>
      <c r="N1389" s="118" t="n"/>
      <c r="O1389" s="121" t="n"/>
      <c r="P1389" s="121" t="n"/>
      <c r="Q1389" s="166">
        <f>TODAY()</f>
        <v/>
      </c>
      <c r="R1389" s="165">
        <f>ElencoProdotti[[#This Row],[PRODUZIONE]]+20</f>
        <v/>
      </c>
      <c r="S1389" s="165">
        <f>TODAY()</f>
        <v/>
      </c>
      <c r="T1389" s="133">
        <f>CONCATENATE(A1389," - contiene allergni - prodotto il giorno ",TEXT(Q1389,"gg/mm/aaaa"),"")</f>
        <v/>
      </c>
    </row>
    <row r="1390" ht="15" customHeight="1" s="155">
      <c r="A1390" s="134">
        <f>ric!B1390</f>
        <v/>
      </c>
      <c r="B1390" s="118">
        <f>ric!C1390</f>
        <v/>
      </c>
      <c r="C1390" s="125">
        <f>ric!D1390</f>
        <v/>
      </c>
      <c r="D1390" s="125" t="n"/>
      <c r="E1390" s="125" t="n"/>
      <c r="F1390" s="125" t="n"/>
      <c r="G1390" s="118">
        <f>CONCATENATE(A1390, " ",#REF!, " / ",H1390)</f>
        <v/>
      </c>
      <c r="H1390" s="118" t="n"/>
      <c r="I1390" s="119">
        <f>CONCATENATE(M1390," - ",J1390," - Lotto N° ",K1390,"")</f>
        <v/>
      </c>
      <c r="J1390" s="118" t="n"/>
      <c r="K1390" s="118">
        <f>VLOOKUP(#REF!,Produzione,7,FALSE)</f>
        <v/>
      </c>
      <c r="L1390" s="120" t="n"/>
      <c r="M1390" s="120" t="n"/>
      <c r="N1390" s="118" t="n"/>
      <c r="O1390" s="121" t="n"/>
      <c r="P1390" s="121" t="n"/>
      <c r="Q1390" s="166">
        <f>TODAY()</f>
        <v/>
      </c>
      <c r="R1390" s="165">
        <f>ElencoProdotti[[#This Row],[PRODUZIONE]]+20</f>
        <v/>
      </c>
      <c r="S1390" s="165">
        <f>TODAY()</f>
        <v/>
      </c>
      <c r="T1390" s="133">
        <f>CONCATENATE(A1390," - contiene allergni - prodotto il giorno ",TEXT(Q1390,"gg/mm/aaaa"),"")</f>
        <v/>
      </c>
    </row>
    <row r="1391" ht="15" customHeight="1" s="155">
      <c r="A1391" s="134">
        <f>ric!B1391</f>
        <v/>
      </c>
      <c r="B1391" s="118">
        <f>ric!C1391</f>
        <v/>
      </c>
      <c r="C1391" s="125">
        <f>ric!D1391</f>
        <v/>
      </c>
      <c r="D1391" s="125" t="n"/>
      <c r="E1391" s="125" t="n"/>
      <c r="F1391" s="125" t="n"/>
      <c r="G1391" s="118">
        <f>CONCATENATE(A1391, " ",#REF!, " / ",H1391)</f>
        <v/>
      </c>
      <c r="H1391" s="118" t="n"/>
      <c r="I1391" s="119">
        <f>CONCATENATE(M1391," - ",J1391," - Lotto N° ",K1391,"")</f>
        <v/>
      </c>
      <c r="J1391" s="118" t="n"/>
      <c r="K1391" s="118">
        <f>VLOOKUP(#REF!,Produzione,7,FALSE)</f>
        <v/>
      </c>
      <c r="L1391" s="120" t="n"/>
      <c r="M1391" s="120" t="n"/>
      <c r="N1391" s="118" t="n"/>
      <c r="O1391" s="121" t="n"/>
      <c r="P1391" s="121" t="n"/>
      <c r="Q1391" s="166">
        <f>TODAY()</f>
        <v/>
      </c>
      <c r="R1391" s="165">
        <f>ElencoProdotti[[#This Row],[PRODUZIONE]]+20</f>
        <v/>
      </c>
      <c r="S1391" s="165">
        <f>TODAY()</f>
        <v/>
      </c>
      <c r="T1391" s="133">
        <f>CONCATENATE(A1391," - contiene allergni - prodotto il giorno ",TEXT(Q1391,"gg/mm/aaaa"),"")</f>
        <v/>
      </c>
    </row>
    <row r="1392" ht="15" customHeight="1" s="155">
      <c r="A1392" s="134">
        <f>ric!B1392</f>
        <v/>
      </c>
      <c r="B1392" s="118">
        <f>ric!C1392</f>
        <v/>
      </c>
      <c r="C1392" s="125">
        <f>ric!D1392</f>
        <v/>
      </c>
      <c r="D1392" s="125" t="n"/>
      <c r="E1392" s="125" t="n"/>
      <c r="F1392" s="125" t="n"/>
      <c r="G1392" s="118">
        <f>CONCATENATE(A1392, " ",#REF!, " / ",H1392)</f>
        <v/>
      </c>
      <c r="H1392" s="118" t="n"/>
      <c r="I1392" s="119">
        <f>CONCATENATE(M1392," - ",J1392," - Lotto N° ",K1392,"")</f>
        <v/>
      </c>
      <c r="J1392" s="118" t="n"/>
      <c r="K1392" s="118">
        <f>VLOOKUP(#REF!,Produzione,7,FALSE)</f>
        <v/>
      </c>
      <c r="L1392" s="120" t="n"/>
      <c r="M1392" s="120" t="n"/>
      <c r="N1392" s="118" t="n"/>
      <c r="O1392" s="121" t="n"/>
      <c r="P1392" s="121" t="n"/>
      <c r="Q1392" s="166">
        <f>TODAY()</f>
        <v/>
      </c>
      <c r="R1392" s="165">
        <f>ElencoProdotti[[#This Row],[PRODUZIONE]]+20</f>
        <v/>
      </c>
      <c r="S1392" s="165">
        <f>TODAY()</f>
        <v/>
      </c>
      <c r="T1392" s="133">
        <f>CONCATENATE(A1392," - contiene allergni - prodotto il giorno ",TEXT(Q1392,"gg/mm/aaaa"),"")</f>
        <v/>
      </c>
    </row>
    <row r="1393" ht="15" customHeight="1" s="155">
      <c r="A1393" s="134">
        <f>ric!B1393</f>
        <v/>
      </c>
      <c r="B1393" s="118">
        <f>ric!C1393</f>
        <v/>
      </c>
      <c r="C1393" s="125">
        <f>ric!D1393</f>
        <v/>
      </c>
      <c r="D1393" s="125" t="n"/>
      <c r="E1393" s="125" t="n"/>
      <c r="F1393" s="125" t="n"/>
      <c r="G1393" s="118">
        <f>CONCATENATE(A1393, " ",#REF!, " / ",H1393)</f>
        <v/>
      </c>
      <c r="H1393" s="118" t="n"/>
      <c r="I1393" s="119">
        <f>CONCATENATE(M1393," - ",J1393," - Lotto N° ",K1393,"")</f>
        <v/>
      </c>
      <c r="J1393" s="118" t="n"/>
      <c r="K1393" s="118">
        <f>VLOOKUP(#REF!,Produzione,7,FALSE)</f>
        <v/>
      </c>
      <c r="L1393" s="120" t="n"/>
      <c r="M1393" s="120" t="n"/>
      <c r="N1393" s="118" t="n"/>
      <c r="O1393" s="121" t="n"/>
      <c r="P1393" s="121" t="n"/>
      <c r="Q1393" s="166">
        <f>TODAY()</f>
        <v/>
      </c>
      <c r="R1393" s="165">
        <f>ElencoProdotti[[#This Row],[PRODUZIONE]]+20</f>
        <v/>
      </c>
      <c r="S1393" s="165">
        <f>TODAY()</f>
        <v/>
      </c>
      <c r="T1393" s="133">
        <f>CONCATENATE(A1393," - contiene allergni - prodotto il giorno ",TEXT(Q1393,"gg/mm/aaaa"),"")</f>
        <v/>
      </c>
    </row>
    <row r="1394" ht="15" customHeight="1" s="155">
      <c r="A1394" s="134">
        <f>ric!B1394</f>
        <v/>
      </c>
      <c r="B1394" s="118">
        <f>ric!C1394</f>
        <v/>
      </c>
      <c r="C1394" s="125">
        <f>ric!D1394</f>
        <v/>
      </c>
      <c r="D1394" s="125" t="n"/>
      <c r="E1394" s="125" t="n"/>
      <c r="F1394" s="125" t="n"/>
      <c r="G1394" s="118">
        <f>CONCATENATE(A1394, " ",#REF!, " / ",H1394)</f>
        <v/>
      </c>
      <c r="H1394" s="118" t="n"/>
      <c r="I1394" s="119">
        <f>CONCATENATE(M1394," - ",J1394," - Lotto N° ",K1394,"")</f>
        <v/>
      </c>
      <c r="J1394" s="118" t="n"/>
      <c r="K1394" s="118">
        <f>VLOOKUP(#REF!,Produzione,7,FALSE)</f>
        <v/>
      </c>
      <c r="L1394" s="120" t="n"/>
      <c r="M1394" s="120" t="n"/>
      <c r="N1394" s="118" t="n"/>
      <c r="O1394" s="121" t="n"/>
      <c r="P1394" s="121" t="n"/>
      <c r="Q1394" s="166">
        <f>TODAY()</f>
        <v/>
      </c>
      <c r="R1394" s="165">
        <f>ElencoProdotti[[#This Row],[PRODUZIONE]]+20</f>
        <v/>
      </c>
      <c r="S1394" s="165">
        <f>TODAY()</f>
        <v/>
      </c>
      <c r="T1394" s="133">
        <f>CONCATENATE(A1394," - contiene allergni - prodotto il giorno ",TEXT(Q1394,"gg/mm/aaaa"),"")</f>
        <v/>
      </c>
    </row>
    <row r="1395" ht="15" customHeight="1" s="155">
      <c r="A1395" s="134">
        <f>ric!B1395</f>
        <v/>
      </c>
      <c r="B1395" s="118">
        <f>ric!C1395</f>
        <v/>
      </c>
      <c r="C1395" s="125">
        <f>ric!D1395</f>
        <v/>
      </c>
      <c r="D1395" s="125" t="n"/>
      <c r="E1395" s="125" t="n"/>
      <c r="F1395" s="125" t="n"/>
      <c r="G1395" s="118">
        <f>CONCATENATE(A1395, " ",#REF!, " / ",H1395)</f>
        <v/>
      </c>
      <c r="H1395" s="118" t="n"/>
      <c r="I1395" s="119">
        <f>CONCATENATE(M1395," - ",J1395," - Lotto N° ",K1395,"")</f>
        <v/>
      </c>
      <c r="J1395" s="118" t="n"/>
      <c r="K1395" s="118">
        <f>VLOOKUP(#REF!,Produzione,7,FALSE)</f>
        <v/>
      </c>
      <c r="L1395" s="120" t="n"/>
      <c r="M1395" s="120" t="n"/>
      <c r="N1395" s="118" t="n"/>
      <c r="O1395" s="121" t="n"/>
      <c r="P1395" s="121" t="n"/>
      <c r="Q1395" s="166">
        <f>TODAY()</f>
        <v/>
      </c>
      <c r="R1395" s="165">
        <f>ElencoProdotti[[#This Row],[PRODUZIONE]]+20</f>
        <v/>
      </c>
      <c r="S1395" s="165">
        <f>TODAY()</f>
        <v/>
      </c>
      <c r="T1395" s="133">
        <f>CONCATENATE(A1395," - contiene allergni - prodotto il giorno ",TEXT(Q1395,"gg/mm/aaaa"),"")</f>
        <v/>
      </c>
    </row>
    <row r="1396" ht="15" customHeight="1" s="155">
      <c r="A1396" s="134">
        <f>ric!B1396</f>
        <v/>
      </c>
      <c r="B1396" s="118">
        <f>ric!C1396</f>
        <v/>
      </c>
      <c r="C1396" s="125">
        <f>ric!D1396</f>
        <v/>
      </c>
      <c r="D1396" s="125" t="n"/>
      <c r="E1396" s="125" t="n"/>
      <c r="F1396" s="125" t="n"/>
      <c r="G1396" s="118">
        <f>CONCATENATE(A1396, " ",#REF!, " / ",H1396)</f>
        <v/>
      </c>
      <c r="H1396" s="118" t="n"/>
      <c r="I1396" s="119">
        <f>CONCATENATE(M1396," - ",J1396," - Lotto N° ",K1396,"")</f>
        <v/>
      </c>
      <c r="J1396" s="118" t="n"/>
      <c r="K1396" s="118">
        <f>VLOOKUP(#REF!,Produzione,7,FALSE)</f>
        <v/>
      </c>
      <c r="L1396" s="120" t="n"/>
      <c r="M1396" s="120" t="n"/>
      <c r="N1396" s="118" t="n"/>
      <c r="O1396" s="121" t="n"/>
      <c r="P1396" s="121" t="n"/>
      <c r="Q1396" s="166">
        <f>TODAY()</f>
        <v/>
      </c>
      <c r="R1396" s="165">
        <f>ElencoProdotti[[#This Row],[PRODUZIONE]]+20</f>
        <v/>
      </c>
      <c r="S1396" s="165">
        <f>TODAY()</f>
        <v/>
      </c>
      <c r="T1396" s="133">
        <f>CONCATENATE(A1396," - contiene allergni - prodotto il giorno ",TEXT(Q1396,"gg/mm/aaaa"),"")</f>
        <v/>
      </c>
    </row>
    <row r="1397" ht="15" customHeight="1" s="155">
      <c r="A1397" s="134">
        <f>ric!B1397</f>
        <v/>
      </c>
      <c r="B1397" s="118">
        <f>ric!C1397</f>
        <v/>
      </c>
      <c r="C1397" s="125">
        <f>ric!D1397</f>
        <v/>
      </c>
      <c r="D1397" s="125" t="n"/>
      <c r="E1397" s="125" t="n"/>
      <c r="F1397" s="125" t="n"/>
      <c r="G1397" s="118">
        <f>CONCATENATE(A1397, " ",#REF!, " / ",H1397)</f>
        <v/>
      </c>
      <c r="H1397" s="118" t="n"/>
      <c r="I1397" s="119">
        <f>CONCATENATE(M1397," - ",J1397," - Lotto N° ",K1397,"")</f>
        <v/>
      </c>
      <c r="J1397" s="118" t="n"/>
      <c r="K1397" s="118">
        <f>VLOOKUP(#REF!,Produzione,7,FALSE)</f>
        <v/>
      </c>
      <c r="L1397" s="120" t="n"/>
      <c r="M1397" s="120" t="n"/>
      <c r="N1397" s="118" t="n"/>
      <c r="O1397" s="121" t="n"/>
      <c r="P1397" s="121" t="n"/>
      <c r="Q1397" s="166">
        <f>TODAY()</f>
        <v/>
      </c>
      <c r="R1397" s="165">
        <f>ElencoProdotti[[#This Row],[PRODUZIONE]]+20</f>
        <v/>
      </c>
      <c r="S1397" s="165">
        <f>TODAY()</f>
        <v/>
      </c>
      <c r="T1397" s="133">
        <f>CONCATENATE(A1397," - contiene allergni - prodotto il giorno ",TEXT(Q1397,"gg/mm/aaaa"),"")</f>
        <v/>
      </c>
    </row>
    <row r="1398" ht="15" customHeight="1" s="155">
      <c r="A1398" s="134">
        <f>ric!B1398</f>
        <v/>
      </c>
      <c r="B1398" s="118">
        <f>ric!C1398</f>
        <v/>
      </c>
      <c r="C1398" s="125">
        <f>ric!D1398</f>
        <v/>
      </c>
      <c r="D1398" s="125" t="n"/>
      <c r="E1398" s="125" t="n"/>
      <c r="F1398" s="125" t="n"/>
      <c r="G1398" s="118">
        <f>CONCATENATE(A1398, " ",#REF!, " / ",H1398)</f>
        <v/>
      </c>
      <c r="H1398" s="118" t="n"/>
      <c r="I1398" s="119">
        <f>CONCATENATE(M1398," - ",J1398," - Lotto N° ",K1398,"")</f>
        <v/>
      </c>
      <c r="J1398" s="118" t="n"/>
      <c r="K1398" s="118">
        <f>VLOOKUP(#REF!,Produzione,7,FALSE)</f>
        <v/>
      </c>
      <c r="L1398" s="120" t="n"/>
      <c r="M1398" s="120" t="n"/>
      <c r="N1398" s="118" t="n"/>
      <c r="O1398" s="121" t="n"/>
      <c r="P1398" s="121" t="n"/>
      <c r="Q1398" s="166">
        <f>TODAY()</f>
        <v/>
      </c>
      <c r="R1398" s="165">
        <f>ElencoProdotti[[#This Row],[PRODUZIONE]]+20</f>
        <v/>
      </c>
      <c r="S1398" s="165">
        <f>TODAY()</f>
        <v/>
      </c>
      <c r="T1398" s="133">
        <f>CONCATENATE(A1398," - contiene allergni - prodotto il giorno ",TEXT(Q1398,"gg/mm/aaaa"),"")</f>
        <v/>
      </c>
    </row>
    <row r="1399" ht="15" customHeight="1" s="155">
      <c r="A1399" s="134">
        <f>ric!B1399</f>
        <v/>
      </c>
      <c r="B1399" s="118">
        <f>ric!C1399</f>
        <v/>
      </c>
      <c r="C1399" s="125">
        <f>ric!D1399</f>
        <v/>
      </c>
      <c r="D1399" s="125" t="n"/>
      <c r="E1399" s="125" t="n"/>
      <c r="F1399" s="125" t="n"/>
      <c r="G1399" s="118">
        <f>CONCATENATE(A1399, " ",#REF!, " / ",H1399)</f>
        <v/>
      </c>
      <c r="H1399" s="118" t="n"/>
      <c r="I1399" s="119">
        <f>CONCATENATE(M1399," - ",J1399," - Lotto N° ",K1399,"")</f>
        <v/>
      </c>
      <c r="J1399" s="118" t="n"/>
      <c r="K1399" s="118">
        <f>VLOOKUP(#REF!,Produzione,7,FALSE)</f>
        <v/>
      </c>
      <c r="L1399" s="120" t="n"/>
      <c r="M1399" s="120" t="n"/>
      <c r="N1399" s="118" t="n"/>
      <c r="O1399" s="121" t="n"/>
      <c r="P1399" s="121" t="n"/>
      <c r="Q1399" s="166">
        <f>TODAY()</f>
        <v/>
      </c>
      <c r="R1399" s="165">
        <f>ElencoProdotti[[#This Row],[PRODUZIONE]]+20</f>
        <v/>
      </c>
      <c r="S1399" s="165">
        <f>TODAY()</f>
        <v/>
      </c>
      <c r="T1399" s="133">
        <f>CONCATENATE(A1399," - contiene allergni - prodotto il giorno ",TEXT(Q1399,"gg/mm/aaaa"),"")</f>
        <v/>
      </c>
    </row>
    <row r="1400" ht="15" customHeight="1" s="155">
      <c r="A1400" s="134">
        <f>ric!B1400</f>
        <v/>
      </c>
      <c r="B1400" s="118">
        <f>ric!C1400</f>
        <v/>
      </c>
      <c r="C1400" s="125">
        <f>ric!D1400</f>
        <v/>
      </c>
      <c r="D1400" s="125" t="n"/>
      <c r="E1400" s="125" t="n"/>
      <c r="F1400" s="125" t="n"/>
      <c r="G1400" s="118">
        <f>CONCATENATE(A1400, " ",#REF!, " / ",H1400)</f>
        <v/>
      </c>
      <c r="H1400" s="118" t="n"/>
      <c r="I1400" s="119">
        <f>CONCATENATE(M1400," - ",J1400," - Lotto N° ",K1400,"")</f>
        <v/>
      </c>
      <c r="J1400" s="118" t="n"/>
      <c r="K1400" s="118">
        <f>VLOOKUP(#REF!,Produzione,7,FALSE)</f>
        <v/>
      </c>
      <c r="L1400" s="120" t="n"/>
      <c r="M1400" s="120" t="n"/>
      <c r="N1400" s="118" t="n"/>
      <c r="O1400" s="121" t="n"/>
      <c r="P1400" s="121" t="n"/>
      <c r="Q1400" s="166">
        <f>TODAY()</f>
        <v/>
      </c>
      <c r="R1400" s="165">
        <f>ElencoProdotti[[#This Row],[PRODUZIONE]]+20</f>
        <v/>
      </c>
      <c r="S1400" s="165">
        <f>TODAY()</f>
        <v/>
      </c>
      <c r="T1400" s="133">
        <f>CONCATENATE(A1400," - contiene allergni - prodotto il giorno ",TEXT(Q1400,"gg/mm/aaaa"),"")</f>
        <v/>
      </c>
    </row>
    <row r="1401" ht="15" customHeight="1" s="155">
      <c r="A1401" s="134">
        <f>ric!B1401</f>
        <v/>
      </c>
      <c r="B1401" s="118">
        <f>ric!C1401</f>
        <v/>
      </c>
      <c r="C1401" s="125">
        <f>ric!D1401</f>
        <v/>
      </c>
      <c r="D1401" s="125" t="n"/>
      <c r="E1401" s="125" t="n"/>
      <c r="F1401" s="125" t="n"/>
      <c r="G1401" s="118">
        <f>CONCATENATE(A1401, " ",#REF!, " / ",H1401)</f>
        <v/>
      </c>
      <c r="H1401" s="118" t="n"/>
      <c r="I1401" s="119">
        <f>CONCATENATE(M1401," - ",J1401," - Lotto N° ",K1401,"")</f>
        <v/>
      </c>
      <c r="J1401" s="118" t="n"/>
      <c r="K1401" s="118">
        <f>VLOOKUP(#REF!,Produzione,7,FALSE)</f>
        <v/>
      </c>
      <c r="L1401" s="120" t="n"/>
      <c r="M1401" s="120" t="n"/>
      <c r="N1401" s="118" t="n"/>
      <c r="O1401" s="121" t="n"/>
      <c r="P1401" s="121" t="n"/>
      <c r="Q1401" s="166">
        <f>TODAY()</f>
        <v/>
      </c>
      <c r="R1401" s="165">
        <f>ElencoProdotti[[#This Row],[PRODUZIONE]]+20</f>
        <v/>
      </c>
      <c r="S1401" s="165">
        <f>TODAY()</f>
        <v/>
      </c>
      <c r="T1401" s="133">
        <f>CONCATENATE(A1401," - contiene allergni - prodotto il giorno ",TEXT(Q1401,"gg/mm/aaaa"),"")</f>
        <v/>
      </c>
    </row>
    <row r="1402" ht="15" customHeight="1" s="155">
      <c r="A1402" s="134">
        <f>ric!B1402</f>
        <v/>
      </c>
      <c r="B1402" s="118">
        <f>ric!C1402</f>
        <v/>
      </c>
      <c r="C1402" s="125">
        <f>ric!D1402</f>
        <v/>
      </c>
      <c r="D1402" s="125" t="n"/>
      <c r="E1402" s="125" t="n"/>
      <c r="F1402" s="125" t="n"/>
      <c r="G1402" s="118">
        <f>CONCATENATE(A1402, " ",#REF!, " / ",H1402)</f>
        <v/>
      </c>
      <c r="H1402" s="118" t="n"/>
      <c r="I1402" s="119">
        <f>CONCATENATE(M1402," - ",J1402," - Lotto N° ",K1402,"")</f>
        <v/>
      </c>
      <c r="J1402" s="118" t="n"/>
      <c r="K1402" s="118">
        <f>VLOOKUP(#REF!,Produzione,7,FALSE)</f>
        <v/>
      </c>
      <c r="L1402" s="120" t="n"/>
      <c r="M1402" s="120" t="n"/>
      <c r="N1402" s="118" t="n"/>
      <c r="O1402" s="121" t="n"/>
      <c r="P1402" s="121" t="n"/>
      <c r="Q1402" s="166">
        <f>TODAY()</f>
        <v/>
      </c>
      <c r="R1402" s="165">
        <f>ElencoProdotti[[#This Row],[PRODUZIONE]]+20</f>
        <v/>
      </c>
      <c r="S1402" s="165">
        <f>TODAY()</f>
        <v/>
      </c>
      <c r="T1402" s="133">
        <f>CONCATENATE(A1402," - contiene allergni - prodotto il giorno ",TEXT(Q1402,"gg/mm/aaaa"),"")</f>
        <v/>
      </c>
    </row>
    <row r="1403" ht="15" customHeight="1" s="155">
      <c r="A1403" s="134">
        <f>ric!B1403</f>
        <v/>
      </c>
      <c r="B1403" s="118">
        <f>ric!C1403</f>
        <v/>
      </c>
      <c r="C1403" s="125">
        <f>ric!D1403</f>
        <v/>
      </c>
      <c r="D1403" s="125" t="n"/>
      <c r="E1403" s="125" t="n"/>
      <c r="F1403" s="125" t="n"/>
      <c r="G1403" s="118">
        <f>CONCATENATE(A1403, " ",#REF!, " / ",H1403)</f>
        <v/>
      </c>
      <c r="H1403" s="118" t="n"/>
      <c r="I1403" s="119">
        <f>CONCATENATE(M1403," - ",J1403," - Lotto N° ",K1403,"")</f>
        <v/>
      </c>
      <c r="J1403" s="118" t="n"/>
      <c r="K1403" s="118">
        <f>VLOOKUP(#REF!,Produzione,7,FALSE)</f>
        <v/>
      </c>
      <c r="L1403" s="120" t="n"/>
      <c r="M1403" s="120" t="n"/>
      <c r="N1403" s="118" t="n"/>
      <c r="O1403" s="121" t="n"/>
      <c r="P1403" s="121" t="n"/>
      <c r="Q1403" s="166">
        <f>TODAY()</f>
        <v/>
      </c>
      <c r="R1403" s="165">
        <f>ElencoProdotti[[#This Row],[PRODUZIONE]]+20</f>
        <v/>
      </c>
      <c r="S1403" s="165">
        <f>TODAY()</f>
        <v/>
      </c>
      <c r="T1403" s="133">
        <f>CONCATENATE(A1403," - contiene allergni - prodotto il giorno ",TEXT(Q1403,"gg/mm/aaaa"),"")</f>
        <v/>
      </c>
    </row>
    <row r="1404" ht="15" customHeight="1" s="155">
      <c r="A1404" s="134">
        <f>ric!B1404</f>
        <v/>
      </c>
      <c r="B1404" s="118">
        <f>ric!C1404</f>
        <v/>
      </c>
      <c r="C1404" s="125">
        <f>ric!D1404</f>
        <v/>
      </c>
      <c r="D1404" s="125" t="n"/>
      <c r="E1404" s="125" t="n"/>
      <c r="F1404" s="125" t="n"/>
      <c r="G1404" s="118">
        <f>CONCATENATE(A1404, " ",#REF!, " / ",H1404)</f>
        <v/>
      </c>
      <c r="H1404" s="118" t="n"/>
      <c r="I1404" s="119">
        <f>CONCATENATE(M1404," - ",J1404," - Lotto N° ",K1404,"")</f>
        <v/>
      </c>
      <c r="J1404" s="118" t="n"/>
      <c r="K1404" s="118">
        <f>VLOOKUP(#REF!,Produzione,7,FALSE)</f>
        <v/>
      </c>
      <c r="L1404" s="120" t="n"/>
      <c r="M1404" s="120" t="n"/>
      <c r="N1404" s="118" t="n"/>
      <c r="O1404" s="121" t="n"/>
      <c r="P1404" s="121" t="n"/>
      <c r="Q1404" s="166">
        <f>TODAY()</f>
        <v/>
      </c>
      <c r="R1404" s="165">
        <f>ElencoProdotti[[#This Row],[PRODUZIONE]]+20</f>
        <v/>
      </c>
      <c r="S1404" s="165">
        <f>TODAY()</f>
        <v/>
      </c>
      <c r="T1404" s="133">
        <f>CONCATENATE(A1404," - contiene allergni - prodotto il giorno ",TEXT(Q1404,"gg/mm/aaaa"),"")</f>
        <v/>
      </c>
    </row>
    <row r="1405" ht="15" customHeight="1" s="155">
      <c r="A1405" s="134">
        <f>ric!B1405</f>
        <v/>
      </c>
      <c r="B1405" s="118">
        <f>ric!C1405</f>
        <v/>
      </c>
      <c r="C1405" s="125">
        <f>ric!D1405</f>
        <v/>
      </c>
      <c r="D1405" s="125" t="n"/>
      <c r="E1405" s="125" t="n"/>
      <c r="F1405" s="125" t="n"/>
      <c r="G1405" s="118">
        <f>CONCATENATE(A1405, " ",#REF!, " / ",H1405)</f>
        <v/>
      </c>
      <c r="H1405" s="118" t="n"/>
      <c r="I1405" s="119">
        <f>CONCATENATE(M1405," - ",J1405," - Lotto N° ",K1405,"")</f>
        <v/>
      </c>
      <c r="J1405" s="118" t="n"/>
      <c r="K1405" s="118">
        <f>VLOOKUP(#REF!,Produzione,7,FALSE)</f>
        <v/>
      </c>
      <c r="L1405" s="120" t="n"/>
      <c r="M1405" s="120" t="n"/>
      <c r="N1405" s="118" t="n"/>
      <c r="O1405" s="121" t="n"/>
      <c r="P1405" s="121" t="n"/>
      <c r="Q1405" s="166">
        <f>TODAY()</f>
        <v/>
      </c>
      <c r="R1405" s="165">
        <f>ElencoProdotti[[#This Row],[PRODUZIONE]]+20</f>
        <v/>
      </c>
      <c r="S1405" s="165">
        <f>TODAY()</f>
        <v/>
      </c>
      <c r="T1405" s="133">
        <f>CONCATENATE(A1405," - contiene allergni - prodotto il giorno ",TEXT(Q1405,"gg/mm/aaaa"),"")</f>
        <v/>
      </c>
    </row>
    <row r="1406" ht="15" customHeight="1" s="155">
      <c r="A1406" s="134">
        <f>ric!B1406</f>
        <v/>
      </c>
      <c r="B1406" s="118">
        <f>ric!C1406</f>
        <v/>
      </c>
      <c r="C1406" s="125">
        <f>ric!D1406</f>
        <v/>
      </c>
      <c r="D1406" s="125" t="n"/>
      <c r="E1406" s="125" t="n"/>
      <c r="F1406" s="125" t="n"/>
      <c r="G1406" s="118">
        <f>CONCATENATE(A1406, " ",#REF!, " / ",H1406)</f>
        <v/>
      </c>
      <c r="H1406" s="118" t="n"/>
      <c r="I1406" s="119">
        <f>CONCATENATE(M1406," - ",J1406," - Lotto N° ",K1406,"")</f>
        <v/>
      </c>
      <c r="J1406" s="118" t="n"/>
      <c r="K1406" s="118">
        <f>VLOOKUP(#REF!,Produzione,7,FALSE)</f>
        <v/>
      </c>
      <c r="L1406" s="120" t="n"/>
      <c r="M1406" s="120" t="n"/>
      <c r="N1406" s="118" t="n"/>
      <c r="O1406" s="121" t="n"/>
      <c r="P1406" s="121" t="n"/>
      <c r="Q1406" s="166">
        <f>TODAY()</f>
        <v/>
      </c>
      <c r="R1406" s="165">
        <f>ElencoProdotti[[#This Row],[PRODUZIONE]]+20</f>
        <v/>
      </c>
      <c r="S1406" s="165">
        <f>TODAY()</f>
        <v/>
      </c>
      <c r="T1406" s="133">
        <f>CONCATENATE(A1406," - contiene allergni - prodotto il giorno ",TEXT(Q1406,"gg/mm/aaaa"),"")</f>
        <v/>
      </c>
    </row>
    <row r="1407" ht="15" customHeight="1" s="155">
      <c r="A1407" s="134">
        <f>ric!B1407</f>
        <v/>
      </c>
      <c r="B1407" s="118">
        <f>ric!C1407</f>
        <v/>
      </c>
      <c r="C1407" s="125">
        <f>ric!D1407</f>
        <v/>
      </c>
      <c r="D1407" s="125" t="n"/>
      <c r="E1407" s="125" t="n"/>
      <c r="F1407" s="125" t="n"/>
      <c r="G1407" s="118">
        <f>CONCATENATE(A1407, " ",#REF!, " / ",H1407)</f>
        <v/>
      </c>
      <c r="H1407" s="118" t="n"/>
      <c r="I1407" s="119">
        <f>CONCATENATE(M1407," - ",J1407," - Lotto N° ",K1407,"")</f>
        <v/>
      </c>
      <c r="J1407" s="118" t="n"/>
      <c r="K1407" s="118">
        <f>VLOOKUP(#REF!,Produzione,7,FALSE)</f>
        <v/>
      </c>
      <c r="L1407" s="120" t="n"/>
      <c r="M1407" s="120" t="n"/>
      <c r="N1407" s="118" t="n"/>
      <c r="O1407" s="121" t="n"/>
      <c r="P1407" s="121" t="n"/>
      <c r="Q1407" s="166">
        <f>TODAY()</f>
        <v/>
      </c>
      <c r="R1407" s="165">
        <f>ElencoProdotti[[#This Row],[PRODUZIONE]]+20</f>
        <v/>
      </c>
      <c r="S1407" s="165">
        <f>TODAY()</f>
        <v/>
      </c>
      <c r="T1407" s="133">
        <f>CONCATENATE(A1407," - contiene allergni - prodotto il giorno ",TEXT(Q1407,"gg/mm/aaaa"),"")</f>
        <v/>
      </c>
    </row>
    <row r="1408" ht="15" customHeight="1" s="155">
      <c r="A1408" s="134">
        <f>ric!B1408</f>
        <v/>
      </c>
      <c r="B1408" s="118">
        <f>ric!C1408</f>
        <v/>
      </c>
      <c r="C1408" s="125">
        <f>ric!D1408</f>
        <v/>
      </c>
      <c r="D1408" s="125" t="n"/>
      <c r="E1408" s="125" t="n"/>
      <c r="F1408" s="125" t="n"/>
      <c r="G1408" s="118">
        <f>CONCATENATE(A1408, " ",#REF!, " / ",H1408)</f>
        <v/>
      </c>
      <c r="H1408" s="118" t="n"/>
      <c r="I1408" s="119">
        <f>CONCATENATE(M1408," - ",J1408," - Lotto N° ",K1408,"")</f>
        <v/>
      </c>
      <c r="J1408" s="118" t="n"/>
      <c r="K1408" s="118">
        <f>VLOOKUP(#REF!,Produzione,7,FALSE)</f>
        <v/>
      </c>
      <c r="L1408" s="120" t="n"/>
      <c r="M1408" s="120" t="n"/>
      <c r="N1408" s="118" t="n"/>
      <c r="O1408" s="121" t="n"/>
      <c r="P1408" s="121" t="n"/>
      <c r="Q1408" s="166">
        <f>TODAY()</f>
        <v/>
      </c>
      <c r="R1408" s="165">
        <f>ElencoProdotti[[#This Row],[PRODUZIONE]]+20</f>
        <v/>
      </c>
      <c r="S1408" s="165">
        <f>TODAY()</f>
        <v/>
      </c>
      <c r="T1408" s="133">
        <f>CONCATENATE(A1408," - contiene allergni - prodotto il giorno ",TEXT(Q1408,"gg/mm/aaaa"),"")</f>
        <v/>
      </c>
    </row>
    <row r="1409" ht="15" customHeight="1" s="155">
      <c r="A1409" s="134">
        <f>ric!B1409</f>
        <v/>
      </c>
      <c r="B1409" s="118">
        <f>ric!C1409</f>
        <v/>
      </c>
      <c r="C1409" s="125">
        <f>ric!D1409</f>
        <v/>
      </c>
      <c r="D1409" s="125" t="n"/>
      <c r="E1409" s="125" t="n"/>
      <c r="F1409" s="125" t="n"/>
      <c r="G1409" s="118">
        <f>CONCATENATE(A1409, " ",#REF!, " / ",H1409)</f>
        <v/>
      </c>
      <c r="H1409" s="118" t="n"/>
      <c r="I1409" s="119">
        <f>CONCATENATE(M1409," - ",J1409," - Lotto N° ",K1409,"")</f>
        <v/>
      </c>
      <c r="J1409" s="118" t="n"/>
      <c r="K1409" s="118">
        <f>VLOOKUP(#REF!,Produzione,7,FALSE)</f>
        <v/>
      </c>
      <c r="L1409" s="120" t="n"/>
      <c r="M1409" s="120" t="n"/>
      <c r="N1409" s="118" t="n"/>
      <c r="O1409" s="121" t="n"/>
      <c r="P1409" s="121" t="n"/>
      <c r="Q1409" s="166">
        <f>TODAY()</f>
        <v/>
      </c>
      <c r="R1409" s="165">
        <f>ElencoProdotti[[#This Row],[PRODUZIONE]]+20</f>
        <v/>
      </c>
      <c r="S1409" s="165">
        <f>TODAY()</f>
        <v/>
      </c>
      <c r="T1409" s="133">
        <f>CONCATENATE(A1409," - contiene allergni - prodotto il giorno ",TEXT(Q1409,"gg/mm/aaaa"),"")</f>
        <v/>
      </c>
    </row>
    <row r="1410" ht="15" customHeight="1" s="155">
      <c r="A1410" s="134">
        <f>ric!B1410</f>
        <v/>
      </c>
      <c r="B1410" s="118">
        <f>ric!C1410</f>
        <v/>
      </c>
      <c r="C1410" s="125">
        <f>ric!D1410</f>
        <v/>
      </c>
      <c r="D1410" s="125" t="n"/>
      <c r="E1410" s="125" t="n"/>
      <c r="F1410" s="125" t="n"/>
      <c r="G1410" s="118">
        <f>CONCATENATE(A1410, " ",#REF!, " / ",H1410)</f>
        <v/>
      </c>
      <c r="H1410" s="118" t="n"/>
      <c r="I1410" s="119">
        <f>CONCATENATE(M1410," - ",J1410," - Lotto N° ",K1410,"")</f>
        <v/>
      </c>
      <c r="J1410" s="118" t="n"/>
      <c r="K1410" s="118">
        <f>VLOOKUP(#REF!,Produzione,7,FALSE)</f>
        <v/>
      </c>
      <c r="L1410" s="120" t="n"/>
      <c r="M1410" s="120" t="n"/>
      <c r="N1410" s="118" t="n"/>
      <c r="O1410" s="121" t="n"/>
      <c r="P1410" s="121" t="n"/>
      <c r="Q1410" s="166">
        <f>TODAY()</f>
        <v/>
      </c>
      <c r="R1410" s="165">
        <f>ElencoProdotti[[#This Row],[PRODUZIONE]]+20</f>
        <v/>
      </c>
      <c r="S1410" s="165">
        <f>TODAY()</f>
        <v/>
      </c>
      <c r="T1410" s="133">
        <f>CONCATENATE(A1410," - contiene allergni - prodotto il giorno ",TEXT(Q1410,"gg/mm/aaaa"),"")</f>
        <v/>
      </c>
    </row>
    <row r="1411" ht="15" customHeight="1" s="155">
      <c r="A1411" s="134">
        <f>ric!B1411</f>
        <v/>
      </c>
      <c r="B1411" s="118">
        <f>ric!C1411</f>
        <v/>
      </c>
      <c r="C1411" s="125">
        <f>ric!D1411</f>
        <v/>
      </c>
      <c r="D1411" s="125" t="n"/>
      <c r="E1411" s="125" t="n"/>
      <c r="F1411" s="125" t="n"/>
      <c r="G1411" s="118">
        <f>CONCATENATE(A1411, " ",#REF!, " / ",H1411)</f>
        <v/>
      </c>
      <c r="H1411" s="118" t="n"/>
      <c r="I1411" s="119">
        <f>CONCATENATE(M1411," - ",J1411," - Lotto N° ",K1411,"")</f>
        <v/>
      </c>
      <c r="J1411" s="118" t="n"/>
      <c r="K1411" s="118">
        <f>VLOOKUP(#REF!,Produzione,7,FALSE)</f>
        <v/>
      </c>
      <c r="L1411" s="120" t="n"/>
      <c r="M1411" s="120" t="n"/>
      <c r="N1411" s="118" t="n"/>
      <c r="O1411" s="121" t="n"/>
      <c r="P1411" s="121" t="n"/>
      <c r="Q1411" s="166">
        <f>TODAY()</f>
        <v/>
      </c>
      <c r="R1411" s="165">
        <f>ElencoProdotti[[#This Row],[PRODUZIONE]]+20</f>
        <v/>
      </c>
      <c r="S1411" s="165">
        <f>TODAY()</f>
        <v/>
      </c>
      <c r="T1411" s="133">
        <f>CONCATENATE(A1411," - contiene allergni - prodotto il giorno ",TEXT(Q1411,"gg/mm/aaaa"),"")</f>
        <v/>
      </c>
    </row>
    <row r="1412" ht="15" customHeight="1" s="155">
      <c r="A1412" s="134">
        <f>ric!B1412</f>
        <v/>
      </c>
      <c r="B1412" s="118">
        <f>ric!C1412</f>
        <v/>
      </c>
      <c r="C1412" s="125">
        <f>ric!D1412</f>
        <v/>
      </c>
      <c r="D1412" s="125" t="n"/>
      <c r="E1412" s="125" t="n"/>
      <c r="F1412" s="125" t="n"/>
      <c r="G1412" s="118">
        <f>CONCATENATE(A1412, " ",#REF!, " / ",H1412)</f>
        <v/>
      </c>
      <c r="H1412" s="118" t="n"/>
      <c r="I1412" s="119">
        <f>CONCATENATE(M1412," - ",J1412," - Lotto N° ",K1412,"")</f>
        <v/>
      </c>
      <c r="J1412" s="118" t="n"/>
      <c r="K1412" s="118">
        <f>VLOOKUP(#REF!,Produzione,7,FALSE)</f>
        <v/>
      </c>
      <c r="L1412" s="120" t="n"/>
      <c r="M1412" s="120" t="n"/>
      <c r="N1412" s="118" t="n"/>
      <c r="O1412" s="121" t="n"/>
      <c r="P1412" s="121" t="n"/>
      <c r="Q1412" s="166">
        <f>TODAY()</f>
        <v/>
      </c>
      <c r="R1412" s="165">
        <f>ElencoProdotti[[#This Row],[PRODUZIONE]]+20</f>
        <v/>
      </c>
      <c r="S1412" s="165">
        <f>TODAY()</f>
        <v/>
      </c>
      <c r="T1412" s="133">
        <f>CONCATENATE(A1412," - contiene allergni - prodotto il giorno ",TEXT(Q1412,"gg/mm/aaaa"),"")</f>
        <v/>
      </c>
    </row>
    <row r="1413" ht="15" customHeight="1" s="155">
      <c r="A1413" s="134">
        <f>ric!B1413</f>
        <v/>
      </c>
      <c r="B1413" s="118">
        <f>ric!C1413</f>
        <v/>
      </c>
      <c r="C1413" s="125">
        <f>ric!D1413</f>
        <v/>
      </c>
      <c r="D1413" s="125" t="n"/>
      <c r="E1413" s="125" t="n"/>
      <c r="F1413" s="125" t="n"/>
      <c r="G1413" s="118">
        <f>CONCATENATE(A1413, " ",#REF!, " / ",H1413)</f>
        <v/>
      </c>
      <c r="H1413" s="118" t="n"/>
      <c r="I1413" s="119">
        <f>CONCATENATE(M1413," - ",J1413," - Lotto N° ",K1413,"")</f>
        <v/>
      </c>
      <c r="J1413" s="118" t="n"/>
      <c r="K1413" s="118">
        <f>VLOOKUP(#REF!,Produzione,7,FALSE)</f>
        <v/>
      </c>
      <c r="L1413" s="120" t="n"/>
      <c r="M1413" s="120" t="n"/>
      <c r="N1413" s="118" t="n"/>
      <c r="O1413" s="121" t="n"/>
      <c r="P1413" s="121" t="n"/>
      <c r="Q1413" s="166">
        <f>TODAY()</f>
        <v/>
      </c>
      <c r="R1413" s="165">
        <f>ElencoProdotti[[#This Row],[PRODUZIONE]]+20</f>
        <v/>
      </c>
      <c r="S1413" s="165">
        <f>TODAY()</f>
        <v/>
      </c>
      <c r="T1413" s="133">
        <f>CONCATENATE(A1413," - contiene allergni - prodotto il giorno ",TEXT(Q1413,"gg/mm/aaaa"),"")</f>
        <v/>
      </c>
    </row>
    <row r="1414" ht="15" customHeight="1" s="155">
      <c r="A1414" s="134">
        <f>ric!B1414</f>
        <v/>
      </c>
      <c r="B1414" s="118">
        <f>ric!C1414</f>
        <v/>
      </c>
      <c r="C1414" s="125">
        <f>ric!D1414</f>
        <v/>
      </c>
      <c r="D1414" s="125" t="n"/>
      <c r="E1414" s="125" t="n"/>
      <c r="F1414" s="125" t="n"/>
      <c r="G1414" s="118">
        <f>CONCATENATE(A1414, " ",#REF!, " / ",H1414)</f>
        <v/>
      </c>
      <c r="H1414" s="118" t="n"/>
      <c r="I1414" s="119">
        <f>CONCATENATE(M1414," - ",J1414," - Lotto N° ",K1414,"")</f>
        <v/>
      </c>
      <c r="J1414" s="118" t="n"/>
      <c r="K1414" s="118">
        <f>VLOOKUP(#REF!,Produzione,7,FALSE)</f>
        <v/>
      </c>
      <c r="L1414" s="120" t="n"/>
      <c r="M1414" s="120" t="n"/>
      <c r="N1414" s="118" t="n"/>
      <c r="O1414" s="121" t="n"/>
      <c r="P1414" s="121" t="n"/>
      <c r="Q1414" s="166">
        <f>TODAY()</f>
        <v/>
      </c>
      <c r="R1414" s="165">
        <f>ElencoProdotti[[#This Row],[PRODUZIONE]]+20</f>
        <v/>
      </c>
      <c r="S1414" s="165">
        <f>TODAY()</f>
        <v/>
      </c>
      <c r="T1414" s="133">
        <f>CONCATENATE(A1414," - contiene allergni - prodotto il giorno ",TEXT(Q1414,"gg/mm/aaaa"),"")</f>
        <v/>
      </c>
    </row>
    <row r="1415" ht="15" customHeight="1" s="155">
      <c r="A1415" s="134">
        <f>ric!B1415</f>
        <v/>
      </c>
      <c r="B1415" s="118">
        <f>ric!C1415</f>
        <v/>
      </c>
      <c r="C1415" s="125">
        <f>ric!D1415</f>
        <v/>
      </c>
      <c r="D1415" s="125" t="n"/>
      <c r="E1415" s="125" t="n"/>
      <c r="F1415" s="125" t="n"/>
      <c r="G1415" s="118">
        <f>CONCATENATE(A1415, " ",#REF!, " / ",H1415)</f>
        <v/>
      </c>
      <c r="H1415" s="118" t="n"/>
      <c r="I1415" s="119">
        <f>CONCATENATE(M1415," - ",J1415," - Lotto N° ",K1415,"")</f>
        <v/>
      </c>
      <c r="J1415" s="118" t="n"/>
      <c r="K1415" s="118">
        <f>VLOOKUP(#REF!,Produzione,7,FALSE)</f>
        <v/>
      </c>
      <c r="L1415" s="120" t="n"/>
      <c r="M1415" s="120" t="n"/>
      <c r="N1415" s="118" t="n"/>
      <c r="O1415" s="121" t="n"/>
      <c r="P1415" s="121" t="n"/>
      <c r="Q1415" s="166">
        <f>TODAY()</f>
        <v/>
      </c>
      <c r="R1415" s="165">
        <f>ElencoProdotti[[#This Row],[PRODUZIONE]]+20</f>
        <v/>
      </c>
      <c r="S1415" s="165">
        <f>TODAY()</f>
        <v/>
      </c>
      <c r="T1415" s="133">
        <f>CONCATENATE(A1415," - contiene allergni - prodotto il giorno ",TEXT(Q1415,"gg/mm/aaaa"),"")</f>
        <v/>
      </c>
    </row>
    <row r="1416" ht="15" customHeight="1" s="155">
      <c r="A1416" s="134">
        <f>ric!B1416</f>
        <v/>
      </c>
      <c r="B1416" s="118">
        <f>ric!C1416</f>
        <v/>
      </c>
      <c r="C1416" s="125">
        <f>ric!D1416</f>
        <v/>
      </c>
      <c r="D1416" s="125" t="n"/>
      <c r="E1416" s="125" t="n"/>
      <c r="F1416" s="125" t="n"/>
      <c r="G1416" s="118">
        <f>CONCATENATE(A1416, " ",#REF!, " / ",H1416)</f>
        <v/>
      </c>
      <c r="H1416" s="118" t="n"/>
      <c r="I1416" s="119">
        <f>CONCATENATE(M1416," - ",J1416," - Lotto N° ",K1416,"")</f>
        <v/>
      </c>
      <c r="J1416" s="118" t="n"/>
      <c r="K1416" s="118">
        <f>VLOOKUP(#REF!,Produzione,7,FALSE)</f>
        <v/>
      </c>
      <c r="L1416" s="120" t="n"/>
      <c r="M1416" s="120" t="n"/>
      <c r="N1416" s="118" t="n"/>
      <c r="O1416" s="121" t="n"/>
      <c r="P1416" s="121" t="n"/>
      <c r="Q1416" s="166">
        <f>TODAY()</f>
        <v/>
      </c>
      <c r="R1416" s="165">
        <f>ElencoProdotti[[#This Row],[PRODUZIONE]]+20</f>
        <v/>
      </c>
      <c r="S1416" s="165">
        <f>TODAY()</f>
        <v/>
      </c>
      <c r="T1416" s="133">
        <f>CONCATENATE(A1416," - contiene allergni - prodotto il giorno ",TEXT(Q1416,"gg/mm/aaaa"),"")</f>
        <v/>
      </c>
    </row>
    <row r="1417" ht="15" customHeight="1" s="155">
      <c r="A1417" s="134">
        <f>ric!B1417</f>
        <v/>
      </c>
      <c r="B1417" s="118">
        <f>ric!C1417</f>
        <v/>
      </c>
      <c r="C1417" s="125">
        <f>ric!D1417</f>
        <v/>
      </c>
      <c r="D1417" s="125" t="n"/>
      <c r="E1417" s="125" t="n"/>
      <c r="F1417" s="125" t="n"/>
      <c r="G1417" s="118">
        <f>CONCATENATE(A1417, " ",#REF!, " / ",H1417)</f>
        <v/>
      </c>
      <c r="H1417" s="118" t="n"/>
      <c r="I1417" s="119">
        <f>CONCATENATE(M1417," - ",J1417," - Lotto N° ",K1417,"")</f>
        <v/>
      </c>
      <c r="J1417" s="118" t="n"/>
      <c r="K1417" s="118">
        <f>VLOOKUP(#REF!,Produzione,7,FALSE)</f>
        <v/>
      </c>
      <c r="L1417" s="120" t="n"/>
      <c r="M1417" s="120" t="n"/>
      <c r="N1417" s="118" t="n"/>
      <c r="O1417" s="121" t="n"/>
      <c r="P1417" s="121" t="n"/>
      <c r="Q1417" s="166">
        <f>TODAY()</f>
        <v/>
      </c>
      <c r="R1417" s="165">
        <f>ElencoProdotti[[#This Row],[PRODUZIONE]]+20</f>
        <v/>
      </c>
      <c r="S1417" s="165">
        <f>TODAY()</f>
        <v/>
      </c>
      <c r="T1417" s="133">
        <f>CONCATENATE(A1417," - contiene allergni - prodotto il giorno ",TEXT(Q1417,"gg/mm/aaaa"),"")</f>
        <v/>
      </c>
    </row>
    <row r="1418" ht="15" customHeight="1" s="155">
      <c r="A1418" s="134">
        <f>ric!B1418</f>
        <v/>
      </c>
      <c r="B1418" s="118">
        <f>ric!C1418</f>
        <v/>
      </c>
      <c r="C1418" s="125">
        <f>ric!D1418</f>
        <v/>
      </c>
      <c r="D1418" s="125" t="n"/>
      <c r="E1418" s="125" t="n"/>
      <c r="F1418" s="125" t="n"/>
      <c r="G1418" s="118">
        <f>CONCATENATE(A1418, " ",#REF!, " / ",H1418)</f>
        <v/>
      </c>
      <c r="H1418" s="118" t="n"/>
      <c r="I1418" s="119">
        <f>CONCATENATE(M1418," - ",J1418," - Lotto N° ",K1418,"")</f>
        <v/>
      </c>
      <c r="J1418" s="118" t="n"/>
      <c r="K1418" s="118">
        <f>VLOOKUP(#REF!,Produzione,7,FALSE)</f>
        <v/>
      </c>
      <c r="L1418" s="120" t="n"/>
      <c r="M1418" s="120" t="n"/>
      <c r="N1418" s="118" t="n"/>
      <c r="O1418" s="121" t="n"/>
      <c r="P1418" s="121" t="n"/>
      <c r="Q1418" s="166">
        <f>TODAY()</f>
        <v/>
      </c>
      <c r="R1418" s="165">
        <f>ElencoProdotti[[#This Row],[PRODUZIONE]]+20</f>
        <v/>
      </c>
      <c r="S1418" s="165">
        <f>TODAY()</f>
        <v/>
      </c>
      <c r="T1418" s="133">
        <f>CONCATENATE(A1418," - contiene allergni - prodotto il giorno ",TEXT(Q1418,"gg/mm/aaaa"),"")</f>
        <v/>
      </c>
    </row>
    <row r="1419" ht="15" customHeight="1" s="155">
      <c r="A1419" s="134">
        <f>ric!B1419</f>
        <v/>
      </c>
      <c r="B1419" s="118">
        <f>ric!C1419</f>
        <v/>
      </c>
      <c r="C1419" s="125">
        <f>ric!D1419</f>
        <v/>
      </c>
      <c r="D1419" s="125" t="n"/>
      <c r="E1419" s="125" t="n"/>
      <c r="F1419" s="125" t="n"/>
      <c r="G1419" s="118">
        <f>CONCATENATE(A1419, " ",#REF!, " / ",H1419)</f>
        <v/>
      </c>
      <c r="H1419" s="118" t="n"/>
      <c r="I1419" s="119">
        <f>CONCATENATE(M1419," - ",J1419," - Lotto N° ",K1419,"")</f>
        <v/>
      </c>
      <c r="J1419" s="118" t="n"/>
      <c r="K1419" s="118">
        <f>VLOOKUP(#REF!,Produzione,7,FALSE)</f>
        <v/>
      </c>
      <c r="L1419" s="120" t="n"/>
      <c r="M1419" s="120" t="n"/>
      <c r="N1419" s="118" t="n"/>
      <c r="O1419" s="121" t="n"/>
      <c r="P1419" s="121" t="n"/>
      <c r="Q1419" s="166">
        <f>TODAY()</f>
        <v/>
      </c>
      <c r="R1419" s="165">
        <f>ElencoProdotti[[#This Row],[PRODUZIONE]]+20</f>
        <v/>
      </c>
      <c r="S1419" s="165">
        <f>TODAY()</f>
        <v/>
      </c>
      <c r="T1419" s="133">
        <f>CONCATENATE(A1419," - contiene allergni - prodotto il giorno ",TEXT(Q1419,"gg/mm/aaaa"),"")</f>
        <v/>
      </c>
    </row>
    <row r="1420" ht="15" customHeight="1" s="155">
      <c r="A1420" s="134">
        <f>ric!B1420</f>
        <v/>
      </c>
      <c r="B1420" s="118">
        <f>ric!C1420</f>
        <v/>
      </c>
      <c r="C1420" s="125">
        <f>ric!D1420</f>
        <v/>
      </c>
      <c r="D1420" s="125" t="n"/>
      <c r="E1420" s="125" t="n"/>
      <c r="F1420" s="125" t="n"/>
      <c r="G1420" s="118">
        <f>CONCATENATE(A1420, " ",#REF!, " / ",H1420)</f>
        <v/>
      </c>
      <c r="H1420" s="118" t="n"/>
      <c r="I1420" s="119">
        <f>CONCATENATE(M1420," - ",J1420," - Lotto N° ",K1420,"")</f>
        <v/>
      </c>
      <c r="J1420" s="118" t="n"/>
      <c r="K1420" s="118">
        <f>VLOOKUP(#REF!,Produzione,7,FALSE)</f>
        <v/>
      </c>
      <c r="L1420" s="120" t="n"/>
      <c r="M1420" s="120" t="n"/>
      <c r="N1420" s="118" t="n"/>
      <c r="O1420" s="121" t="n"/>
      <c r="P1420" s="121" t="n"/>
      <c r="Q1420" s="166">
        <f>TODAY()</f>
        <v/>
      </c>
      <c r="R1420" s="165">
        <f>ElencoProdotti[[#This Row],[PRODUZIONE]]+20</f>
        <v/>
      </c>
      <c r="S1420" s="165">
        <f>TODAY()</f>
        <v/>
      </c>
      <c r="T1420" s="133">
        <f>CONCATENATE(A1420," - contiene allergni - prodotto il giorno ",TEXT(Q1420,"gg/mm/aaaa"),"")</f>
        <v/>
      </c>
    </row>
    <row r="1421" ht="15" customHeight="1" s="155">
      <c r="A1421" s="134">
        <f>ric!B1421</f>
        <v/>
      </c>
      <c r="B1421" s="118">
        <f>ric!C1421</f>
        <v/>
      </c>
      <c r="C1421" s="125">
        <f>ric!D1421</f>
        <v/>
      </c>
      <c r="D1421" s="125" t="n"/>
      <c r="E1421" s="125" t="n"/>
      <c r="F1421" s="125" t="n"/>
      <c r="G1421" s="118">
        <f>CONCATENATE(A1421, " ",#REF!, " / ",H1421)</f>
        <v/>
      </c>
      <c r="H1421" s="118" t="n"/>
      <c r="I1421" s="119">
        <f>CONCATENATE(M1421," - ",J1421," - Lotto N° ",K1421,"")</f>
        <v/>
      </c>
      <c r="J1421" s="118" t="n"/>
      <c r="K1421" s="118">
        <f>VLOOKUP(#REF!,Produzione,7,FALSE)</f>
        <v/>
      </c>
      <c r="L1421" s="120" t="n"/>
      <c r="M1421" s="120" t="n"/>
      <c r="N1421" s="118" t="n"/>
      <c r="O1421" s="121" t="n"/>
      <c r="P1421" s="121" t="n"/>
      <c r="Q1421" s="166">
        <f>TODAY()</f>
        <v/>
      </c>
      <c r="R1421" s="165">
        <f>ElencoProdotti[[#This Row],[PRODUZIONE]]+20</f>
        <v/>
      </c>
      <c r="S1421" s="165">
        <f>TODAY()</f>
        <v/>
      </c>
      <c r="T1421" s="133">
        <f>CONCATENATE(A1421," - contiene allergni - prodotto il giorno ",TEXT(Q1421,"gg/mm/aaaa"),"")</f>
        <v/>
      </c>
    </row>
    <row r="1422" ht="15" customHeight="1" s="155">
      <c r="A1422" s="134">
        <f>ric!B1422</f>
        <v/>
      </c>
      <c r="B1422" s="118">
        <f>ric!C1422</f>
        <v/>
      </c>
      <c r="C1422" s="125">
        <f>ric!D1422</f>
        <v/>
      </c>
      <c r="D1422" s="125" t="n"/>
      <c r="E1422" s="125" t="n"/>
      <c r="F1422" s="125" t="n"/>
      <c r="G1422" s="118">
        <f>CONCATENATE(A1422, " ",#REF!, " / ",H1422)</f>
        <v/>
      </c>
      <c r="H1422" s="118" t="n"/>
      <c r="I1422" s="119">
        <f>CONCATENATE(M1422," - ",J1422," - Lotto N° ",K1422,"")</f>
        <v/>
      </c>
      <c r="J1422" s="118" t="n"/>
      <c r="K1422" s="118">
        <f>VLOOKUP(#REF!,Produzione,7,FALSE)</f>
        <v/>
      </c>
      <c r="L1422" s="120" t="n"/>
      <c r="M1422" s="120" t="n"/>
      <c r="N1422" s="118" t="n"/>
      <c r="O1422" s="121" t="n"/>
      <c r="P1422" s="121" t="n"/>
      <c r="Q1422" s="166">
        <f>TODAY()</f>
        <v/>
      </c>
      <c r="R1422" s="165">
        <f>ElencoProdotti[[#This Row],[PRODUZIONE]]+20</f>
        <v/>
      </c>
      <c r="S1422" s="165">
        <f>TODAY()</f>
        <v/>
      </c>
      <c r="T1422" s="133">
        <f>CONCATENATE(A1422," - contiene allergni - prodotto il giorno ",TEXT(Q1422,"gg/mm/aaaa"),"")</f>
        <v/>
      </c>
    </row>
    <row r="1423" ht="15" customHeight="1" s="155">
      <c r="A1423" s="134">
        <f>ric!B1423</f>
        <v/>
      </c>
      <c r="B1423" s="118">
        <f>ric!C1423</f>
        <v/>
      </c>
      <c r="C1423" s="125">
        <f>ric!D1423</f>
        <v/>
      </c>
      <c r="D1423" s="125" t="n"/>
      <c r="E1423" s="125" t="n"/>
      <c r="F1423" s="125" t="n"/>
      <c r="G1423" s="118">
        <f>CONCATENATE(A1423, " ",#REF!, " / ",H1423)</f>
        <v/>
      </c>
      <c r="H1423" s="118" t="n"/>
      <c r="I1423" s="119">
        <f>CONCATENATE(M1423," - ",J1423," - Lotto N° ",K1423,"")</f>
        <v/>
      </c>
      <c r="J1423" s="118" t="n"/>
      <c r="K1423" s="118">
        <f>VLOOKUP(#REF!,Produzione,7,FALSE)</f>
        <v/>
      </c>
      <c r="L1423" s="120" t="n"/>
      <c r="M1423" s="120" t="n"/>
      <c r="N1423" s="118" t="n"/>
      <c r="O1423" s="121" t="n"/>
      <c r="P1423" s="121" t="n"/>
      <c r="Q1423" s="166">
        <f>TODAY()</f>
        <v/>
      </c>
      <c r="R1423" s="165">
        <f>ElencoProdotti[[#This Row],[PRODUZIONE]]+20</f>
        <v/>
      </c>
      <c r="S1423" s="165">
        <f>TODAY()</f>
        <v/>
      </c>
      <c r="T1423" s="133">
        <f>CONCATENATE(A1423," - contiene allergni - prodotto il giorno ",TEXT(Q1423,"gg/mm/aaaa"),"")</f>
        <v/>
      </c>
    </row>
    <row r="1424" ht="15" customHeight="1" s="155">
      <c r="A1424" s="134">
        <f>ric!B1424</f>
        <v/>
      </c>
      <c r="B1424" s="118">
        <f>ric!C1424</f>
        <v/>
      </c>
      <c r="C1424" s="125">
        <f>ric!D1424</f>
        <v/>
      </c>
      <c r="D1424" s="125" t="n"/>
      <c r="E1424" s="125" t="n"/>
      <c r="F1424" s="125" t="n"/>
      <c r="G1424" s="118">
        <f>CONCATENATE(A1424, " ",#REF!, " / ",H1424)</f>
        <v/>
      </c>
      <c r="H1424" s="118" t="n"/>
      <c r="I1424" s="119">
        <f>CONCATENATE(M1424," - ",J1424," - Lotto N° ",K1424,"")</f>
        <v/>
      </c>
      <c r="J1424" s="118" t="n"/>
      <c r="K1424" s="118">
        <f>VLOOKUP(#REF!,Produzione,7,FALSE)</f>
        <v/>
      </c>
      <c r="L1424" s="120" t="n"/>
      <c r="M1424" s="120" t="n"/>
      <c r="N1424" s="118" t="n"/>
      <c r="O1424" s="121" t="n"/>
      <c r="P1424" s="121" t="n"/>
      <c r="Q1424" s="166">
        <f>TODAY()</f>
        <v/>
      </c>
      <c r="R1424" s="165">
        <f>ElencoProdotti[[#This Row],[PRODUZIONE]]+20</f>
        <v/>
      </c>
      <c r="S1424" s="165">
        <f>TODAY()</f>
        <v/>
      </c>
      <c r="T1424" s="133">
        <f>CONCATENATE(A1424," - contiene allergni - prodotto il giorno ",TEXT(Q1424,"gg/mm/aaaa"),"")</f>
        <v/>
      </c>
    </row>
    <row r="1425" ht="15" customHeight="1" s="155">
      <c r="A1425" s="134">
        <f>ric!B1425</f>
        <v/>
      </c>
      <c r="B1425" s="118">
        <f>ric!C1425</f>
        <v/>
      </c>
      <c r="C1425" s="125">
        <f>ric!D1425</f>
        <v/>
      </c>
      <c r="D1425" s="125" t="n"/>
      <c r="E1425" s="125" t="n"/>
      <c r="F1425" s="125" t="n"/>
      <c r="G1425" s="118">
        <f>CONCATENATE(A1425, " ",#REF!, " / ",H1425)</f>
        <v/>
      </c>
      <c r="H1425" s="118" t="n"/>
      <c r="I1425" s="119">
        <f>CONCATENATE(M1425," - ",J1425," - Lotto N° ",K1425,"")</f>
        <v/>
      </c>
      <c r="J1425" s="118" t="n"/>
      <c r="K1425" s="118">
        <f>VLOOKUP(#REF!,Produzione,7,FALSE)</f>
        <v/>
      </c>
      <c r="L1425" s="120" t="n"/>
      <c r="M1425" s="120" t="n"/>
      <c r="N1425" s="118" t="n"/>
      <c r="O1425" s="121" t="n"/>
      <c r="P1425" s="121" t="n"/>
      <c r="Q1425" s="166">
        <f>TODAY()</f>
        <v/>
      </c>
      <c r="R1425" s="165">
        <f>ElencoProdotti[[#This Row],[PRODUZIONE]]+20</f>
        <v/>
      </c>
      <c r="S1425" s="165">
        <f>TODAY()</f>
        <v/>
      </c>
      <c r="T1425" s="133">
        <f>CONCATENATE(A1425," - contiene allergni - prodotto il giorno ",TEXT(Q1425,"gg/mm/aaaa"),"")</f>
        <v/>
      </c>
    </row>
    <row r="1426" ht="15" customHeight="1" s="155">
      <c r="A1426" s="134">
        <f>ric!B1426</f>
        <v/>
      </c>
      <c r="B1426" s="118">
        <f>ric!C1426</f>
        <v/>
      </c>
      <c r="C1426" s="125">
        <f>ric!D1426</f>
        <v/>
      </c>
      <c r="D1426" s="125" t="n"/>
      <c r="E1426" s="125" t="n"/>
      <c r="F1426" s="125" t="n"/>
      <c r="G1426" s="118">
        <f>CONCATENATE(A1426, " ",#REF!, " / ",H1426)</f>
        <v/>
      </c>
      <c r="H1426" s="118" t="n"/>
      <c r="I1426" s="119">
        <f>CONCATENATE(M1426," - ",J1426," - Lotto N° ",K1426,"")</f>
        <v/>
      </c>
      <c r="J1426" s="118" t="n"/>
      <c r="K1426" s="118">
        <f>VLOOKUP(#REF!,Produzione,7,FALSE)</f>
        <v/>
      </c>
      <c r="L1426" s="120" t="n"/>
      <c r="M1426" s="120" t="n"/>
      <c r="N1426" s="118" t="n"/>
      <c r="O1426" s="121" t="n"/>
      <c r="P1426" s="121" t="n"/>
      <c r="Q1426" s="166">
        <f>TODAY()</f>
        <v/>
      </c>
      <c r="R1426" s="165">
        <f>ElencoProdotti[[#This Row],[PRODUZIONE]]+20</f>
        <v/>
      </c>
      <c r="S1426" s="165">
        <f>TODAY()</f>
        <v/>
      </c>
      <c r="T1426" s="133">
        <f>CONCATENATE(A1426," - contiene allergni - prodotto il giorno ",TEXT(Q1426,"gg/mm/aaaa"),"")</f>
        <v/>
      </c>
    </row>
    <row r="1427" ht="15" customHeight="1" s="155">
      <c r="A1427" s="134">
        <f>ric!B1427</f>
        <v/>
      </c>
      <c r="B1427" s="118">
        <f>ric!C1427</f>
        <v/>
      </c>
      <c r="C1427" s="125">
        <f>ric!D1427</f>
        <v/>
      </c>
      <c r="D1427" s="125" t="n"/>
      <c r="E1427" s="125" t="n"/>
      <c r="F1427" s="125" t="n"/>
      <c r="G1427" s="118">
        <f>CONCATENATE(A1427, " ",#REF!, " / ",H1427)</f>
        <v/>
      </c>
      <c r="H1427" s="118" t="n"/>
      <c r="I1427" s="119">
        <f>CONCATENATE(M1427," - ",J1427," - Lotto N° ",K1427,"")</f>
        <v/>
      </c>
      <c r="J1427" s="118" t="n"/>
      <c r="K1427" s="118">
        <f>VLOOKUP(#REF!,Produzione,7,FALSE)</f>
        <v/>
      </c>
      <c r="L1427" s="120" t="n"/>
      <c r="M1427" s="120" t="n"/>
      <c r="N1427" s="118" t="n"/>
      <c r="O1427" s="121" t="n"/>
      <c r="P1427" s="121" t="n"/>
      <c r="Q1427" s="166">
        <f>TODAY()</f>
        <v/>
      </c>
      <c r="R1427" s="165">
        <f>ElencoProdotti[[#This Row],[PRODUZIONE]]+20</f>
        <v/>
      </c>
      <c r="S1427" s="165">
        <f>TODAY()</f>
        <v/>
      </c>
      <c r="T1427" s="133">
        <f>CONCATENATE(A1427," - contiene allergni - prodotto il giorno ",TEXT(Q1427,"gg/mm/aaaa"),"")</f>
        <v/>
      </c>
    </row>
    <row r="1428" ht="15" customHeight="1" s="155">
      <c r="A1428" s="134">
        <f>ric!B1428</f>
        <v/>
      </c>
      <c r="B1428" s="118">
        <f>ric!C1428</f>
        <v/>
      </c>
      <c r="C1428" s="125">
        <f>ric!D1428</f>
        <v/>
      </c>
      <c r="D1428" s="125" t="n"/>
      <c r="E1428" s="125" t="n"/>
      <c r="F1428" s="125" t="n"/>
      <c r="G1428" s="118">
        <f>CONCATENATE(A1428, " ",#REF!, " / ",H1428)</f>
        <v/>
      </c>
      <c r="H1428" s="118" t="n"/>
      <c r="I1428" s="119">
        <f>CONCATENATE(M1428," - ",J1428," - Lotto N° ",K1428,"")</f>
        <v/>
      </c>
      <c r="J1428" s="118" t="n"/>
      <c r="K1428" s="118">
        <f>VLOOKUP(#REF!,Produzione,7,FALSE)</f>
        <v/>
      </c>
      <c r="L1428" s="120" t="n"/>
      <c r="M1428" s="120" t="n"/>
      <c r="N1428" s="118" t="n"/>
      <c r="O1428" s="121" t="n"/>
      <c r="P1428" s="121" t="n"/>
      <c r="Q1428" s="166">
        <f>TODAY()</f>
        <v/>
      </c>
      <c r="R1428" s="165">
        <f>ElencoProdotti[[#This Row],[PRODUZIONE]]+20</f>
        <v/>
      </c>
      <c r="S1428" s="165">
        <f>TODAY()</f>
        <v/>
      </c>
      <c r="T1428" s="133">
        <f>CONCATENATE(A1428," - contiene allergni - prodotto il giorno ",TEXT(Q1428,"gg/mm/aaaa"),"")</f>
        <v/>
      </c>
    </row>
    <row r="1429" ht="15" customHeight="1" s="155">
      <c r="A1429" s="134">
        <f>ric!B1429</f>
        <v/>
      </c>
      <c r="B1429" s="118">
        <f>ric!C1429</f>
        <v/>
      </c>
      <c r="C1429" s="125">
        <f>ric!D1429</f>
        <v/>
      </c>
      <c r="D1429" s="125" t="n"/>
      <c r="E1429" s="125" t="n"/>
      <c r="F1429" s="125" t="n"/>
      <c r="G1429" s="118">
        <f>CONCATENATE(A1429, " ",#REF!, " / ",H1429)</f>
        <v/>
      </c>
      <c r="H1429" s="118" t="n"/>
      <c r="I1429" s="119">
        <f>CONCATENATE(M1429," - ",J1429," - Lotto N° ",K1429,"")</f>
        <v/>
      </c>
      <c r="J1429" s="118" t="n"/>
      <c r="K1429" s="118">
        <f>VLOOKUP(#REF!,Produzione,7,FALSE)</f>
        <v/>
      </c>
      <c r="L1429" s="120" t="n"/>
      <c r="M1429" s="120" t="n"/>
      <c r="N1429" s="118" t="n"/>
      <c r="O1429" s="121" t="n"/>
      <c r="P1429" s="121" t="n"/>
      <c r="Q1429" s="166">
        <f>TODAY()</f>
        <v/>
      </c>
      <c r="R1429" s="165">
        <f>ElencoProdotti[[#This Row],[PRODUZIONE]]+20</f>
        <v/>
      </c>
      <c r="S1429" s="165">
        <f>TODAY()</f>
        <v/>
      </c>
      <c r="T1429" s="133">
        <f>CONCATENATE(A1429," - contiene allergni - prodotto il giorno ",TEXT(Q1429,"gg/mm/aaaa"),"")</f>
        <v/>
      </c>
    </row>
    <row r="1430" ht="15" customHeight="1" s="155">
      <c r="A1430" s="134">
        <f>ric!B1430</f>
        <v/>
      </c>
      <c r="B1430" s="118">
        <f>ric!C1430</f>
        <v/>
      </c>
      <c r="C1430" s="125">
        <f>ric!D1430</f>
        <v/>
      </c>
      <c r="D1430" s="125" t="n"/>
      <c r="E1430" s="125" t="n"/>
      <c r="F1430" s="125" t="n"/>
      <c r="G1430" s="118">
        <f>CONCATENATE(A1430, " ",#REF!, " / ",H1430)</f>
        <v/>
      </c>
      <c r="H1430" s="118" t="n"/>
      <c r="I1430" s="119">
        <f>CONCATENATE(M1430," - ",J1430," - Lotto N° ",K1430,"")</f>
        <v/>
      </c>
      <c r="J1430" s="118" t="n"/>
      <c r="K1430" s="118">
        <f>VLOOKUP(#REF!,Produzione,7,FALSE)</f>
        <v/>
      </c>
      <c r="L1430" s="120" t="n"/>
      <c r="M1430" s="120" t="n"/>
      <c r="N1430" s="118" t="n"/>
      <c r="O1430" s="121" t="n"/>
      <c r="P1430" s="121" t="n"/>
      <c r="Q1430" s="166">
        <f>TODAY()</f>
        <v/>
      </c>
      <c r="R1430" s="165">
        <f>ElencoProdotti[[#This Row],[PRODUZIONE]]+20</f>
        <v/>
      </c>
      <c r="S1430" s="165">
        <f>TODAY()</f>
        <v/>
      </c>
      <c r="T1430" s="133">
        <f>CONCATENATE(A1430," - contiene allergni - prodotto il giorno ",TEXT(Q1430,"gg/mm/aaaa"),"")</f>
        <v/>
      </c>
    </row>
    <row r="1431" ht="15" customHeight="1" s="155">
      <c r="A1431" s="134">
        <f>ric!B1431</f>
        <v/>
      </c>
      <c r="B1431" s="118">
        <f>ric!C1431</f>
        <v/>
      </c>
      <c r="C1431" s="125">
        <f>ric!D1431</f>
        <v/>
      </c>
      <c r="D1431" s="125" t="n"/>
      <c r="E1431" s="125" t="n"/>
      <c r="F1431" s="125" t="n"/>
      <c r="G1431" s="118">
        <f>CONCATENATE(A1431, " ",#REF!, " / ",H1431)</f>
        <v/>
      </c>
      <c r="H1431" s="118" t="n"/>
      <c r="I1431" s="119">
        <f>CONCATENATE(M1431," - ",J1431," - Lotto N° ",K1431,"")</f>
        <v/>
      </c>
      <c r="J1431" s="118" t="n"/>
      <c r="K1431" s="118">
        <f>VLOOKUP(#REF!,Produzione,7,FALSE)</f>
        <v/>
      </c>
      <c r="L1431" s="120" t="n"/>
      <c r="M1431" s="120" t="n"/>
      <c r="N1431" s="118" t="n"/>
      <c r="O1431" s="121" t="n"/>
      <c r="P1431" s="121" t="n"/>
      <c r="Q1431" s="166">
        <f>TODAY()</f>
        <v/>
      </c>
      <c r="R1431" s="165">
        <f>ElencoProdotti[[#This Row],[PRODUZIONE]]+20</f>
        <v/>
      </c>
      <c r="S1431" s="165">
        <f>TODAY()</f>
        <v/>
      </c>
      <c r="T1431" s="133">
        <f>CONCATENATE(A1431," - contiene allergni - prodotto il giorno ",TEXT(Q1431,"gg/mm/aaaa"),"")</f>
        <v/>
      </c>
    </row>
    <row r="1432" ht="15" customHeight="1" s="155">
      <c r="A1432" s="134">
        <f>ric!B1432</f>
        <v/>
      </c>
      <c r="B1432" s="118">
        <f>ric!C1432</f>
        <v/>
      </c>
      <c r="C1432" s="125">
        <f>ric!D1432</f>
        <v/>
      </c>
      <c r="D1432" s="125" t="n"/>
      <c r="E1432" s="125" t="n"/>
      <c r="F1432" s="125" t="n"/>
      <c r="G1432" s="118">
        <f>CONCATENATE(A1432, " ",#REF!, " / ",H1432)</f>
        <v/>
      </c>
      <c r="H1432" s="118" t="n"/>
      <c r="I1432" s="119">
        <f>CONCATENATE(M1432," - ",J1432," - Lotto N° ",K1432,"")</f>
        <v/>
      </c>
      <c r="J1432" s="118" t="n"/>
      <c r="K1432" s="118">
        <f>VLOOKUP(#REF!,Produzione,7,FALSE)</f>
        <v/>
      </c>
      <c r="L1432" s="120" t="n"/>
      <c r="M1432" s="120" t="n"/>
      <c r="N1432" s="118" t="n"/>
      <c r="O1432" s="121" t="n"/>
      <c r="P1432" s="121" t="n"/>
      <c r="Q1432" s="166">
        <f>TODAY()</f>
        <v/>
      </c>
      <c r="R1432" s="165">
        <f>ElencoProdotti[[#This Row],[PRODUZIONE]]+20</f>
        <v/>
      </c>
      <c r="S1432" s="165">
        <f>TODAY()</f>
        <v/>
      </c>
      <c r="T1432" s="133">
        <f>CONCATENATE(A1432," - contiene allergni - prodotto il giorno ",TEXT(Q1432,"gg/mm/aaaa"),"")</f>
        <v/>
      </c>
    </row>
    <row r="1433" ht="15" customHeight="1" s="155">
      <c r="A1433" s="134">
        <f>ric!B1433</f>
        <v/>
      </c>
      <c r="B1433" s="118">
        <f>ric!C1433</f>
        <v/>
      </c>
      <c r="C1433" s="125">
        <f>ric!D1433</f>
        <v/>
      </c>
      <c r="D1433" s="125" t="n"/>
      <c r="E1433" s="125" t="n"/>
      <c r="F1433" s="125" t="n"/>
      <c r="G1433" s="118">
        <f>CONCATENATE(A1433, " ",#REF!, " / ",H1433)</f>
        <v/>
      </c>
      <c r="H1433" s="118" t="n"/>
      <c r="I1433" s="119">
        <f>CONCATENATE(M1433," - ",J1433," - Lotto N° ",K1433,"")</f>
        <v/>
      </c>
      <c r="J1433" s="118" t="n"/>
      <c r="K1433" s="118">
        <f>VLOOKUP(#REF!,Produzione,7,FALSE)</f>
        <v/>
      </c>
      <c r="L1433" s="120" t="n"/>
      <c r="M1433" s="120" t="n"/>
      <c r="N1433" s="118" t="n"/>
      <c r="O1433" s="121" t="n"/>
      <c r="P1433" s="121" t="n"/>
      <c r="Q1433" s="166">
        <f>TODAY()</f>
        <v/>
      </c>
      <c r="R1433" s="165">
        <f>ElencoProdotti[[#This Row],[PRODUZIONE]]+20</f>
        <v/>
      </c>
      <c r="S1433" s="165">
        <f>TODAY()</f>
        <v/>
      </c>
      <c r="T1433" s="133">
        <f>CONCATENATE(A1433," - contiene allergni - prodotto il giorno ",TEXT(Q1433,"gg/mm/aaaa"),"")</f>
        <v/>
      </c>
    </row>
    <row r="1434" ht="15" customHeight="1" s="155">
      <c r="A1434" s="134">
        <f>ric!B1434</f>
        <v/>
      </c>
      <c r="B1434" s="118">
        <f>ric!C1434</f>
        <v/>
      </c>
      <c r="C1434" s="125">
        <f>ric!D1434</f>
        <v/>
      </c>
      <c r="D1434" s="125" t="n"/>
      <c r="E1434" s="125" t="n"/>
      <c r="F1434" s="125" t="n"/>
      <c r="G1434" s="118">
        <f>CONCATENATE(A1434, " ",#REF!, " / ",H1434)</f>
        <v/>
      </c>
      <c r="H1434" s="118" t="n"/>
      <c r="I1434" s="119">
        <f>CONCATENATE(M1434," - ",J1434," - Lotto N° ",K1434,"")</f>
        <v/>
      </c>
      <c r="J1434" s="118" t="n"/>
      <c r="K1434" s="118">
        <f>VLOOKUP(#REF!,Produzione,7,FALSE)</f>
        <v/>
      </c>
      <c r="L1434" s="120" t="n"/>
      <c r="M1434" s="120" t="n"/>
      <c r="N1434" s="118" t="n"/>
      <c r="O1434" s="121" t="n"/>
      <c r="P1434" s="121" t="n"/>
      <c r="Q1434" s="166">
        <f>TODAY()</f>
        <v/>
      </c>
      <c r="R1434" s="165">
        <f>ElencoProdotti[[#This Row],[PRODUZIONE]]+20</f>
        <v/>
      </c>
      <c r="S1434" s="165">
        <f>TODAY()</f>
        <v/>
      </c>
      <c r="T1434" s="133">
        <f>CONCATENATE(A1434," - contiene allergni - prodotto il giorno ",TEXT(Q1434,"gg/mm/aaaa"),"")</f>
        <v/>
      </c>
    </row>
    <row r="1435" ht="15" customHeight="1" s="155">
      <c r="A1435" s="134">
        <f>ric!B1435</f>
        <v/>
      </c>
      <c r="B1435" s="118">
        <f>ric!C1435</f>
        <v/>
      </c>
      <c r="C1435" s="125">
        <f>ric!D1435</f>
        <v/>
      </c>
      <c r="D1435" s="125" t="n"/>
      <c r="E1435" s="125" t="n"/>
      <c r="F1435" s="125" t="n"/>
      <c r="G1435" s="118">
        <f>CONCATENATE(A1435, " ",#REF!, " / ",H1435)</f>
        <v/>
      </c>
      <c r="H1435" s="118" t="n"/>
      <c r="I1435" s="119">
        <f>CONCATENATE(M1435," - ",J1435," - Lotto N° ",K1435,"")</f>
        <v/>
      </c>
      <c r="J1435" s="118" t="n"/>
      <c r="K1435" s="118">
        <f>VLOOKUP(#REF!,Produzione,7,FALSE)</f>
        <v/>
      </c>
      <c r="L1435" s="120" t="n"/>
      <c r="M1435" s="120" t="n"/>
      <c r="N1435" s="118" t="n"/>
      <c r="O1435" s="121" t="n"/>
      <c r="P1435" s="121" t="n"/>
      <c r="Q1435" s="166">
        <f>TODAY()</f>
        <v/>
      </c>
      <c r="R1435" s="165">
        <f>ElencoProdotti[[#This Row],[PRODUZIONE]]+20</f>
        <v/>
      </c>
      <c r="S1435" s="165">
        <f>TODAY()</f>
        <v/>
      </c>
      <c r="T1435" s="133">
        <f>CONCATENATE(A1435," - contiene allergni - prodotto il giorno ",TEXT(Q1435,"gg/mm/aaaa"),"")</f>
        <v/>
      </c>
    </row>
    <row r="1436" ht="15" customHeight="1" s="155">
      <c r="A1436" s="134">
        <f>ric!B1436</f>
        <v/>
      </c>
      <c r="B1436" s="118">
        <f>ric!C1436</f>
        <v/>
      </c>
      <c r="C1436" s="125">
        <f>ric!D1436</f>
        <v/>
      </c>
      <c r="D1436" s="125" t="n"/>
      <c r="E1436" s="125" t="n"/>
      <c r="F1436" s="125" t="n"/>
      <c r="G1436" s="118">
        <f>CONCATENATE(A1436, " ",#REF!, " / ",H1436)</f>
        <v/>
      </c>
      <c r="H1436" s="118" t="n"/>
      <c r="I1436" s="119">
        <f>CONCATENATE(M1436," - ",J1436," - Lotto N° ",K1436,"")</f>
        <v/>
      </c>
      <c r="J1436" s="118" t="n"/>
      <c r="K1436" s="118">
        <f>VLOOKUP(#REF!,Produzione,7,FALSE)</f>
        <v/>
      </c>
      <c r="L1436" s="120" t="n"/>
      <c r="M1436" s="120" t="n"/>
      <c r="N1436" s="118" t="n"/>
      <c r="O1436" s="121" t="n"/>
      <c r="P1436" s="121" t="n"/>
      <c r="Q1436" s="166">
        <f>TODAY()</f>
        <v/>
      </c>
      <c r="R1436" s="165">
        <f>ElencoProdotti[[#This Row],[PRODUZIONE]]+20</f>
        <v/>
      </c>
      <c r="S1436" s="165">
        <f>TODAY()</f>
        <v/>
      </c>
      <c r="T1436" s="133">
        <f>CONCATENATE(A1436," - contiene allergni - prodotto il giorno ",TEXT(Q1436,"gg/mm/aaaa"),"")</f>
        <v/>
      </c>
    </row>
    <row r="1437" ht="15" customHeight="1" s="155">
      <c r="A1437" s="134">
        <f>ric!B1437</f>
        <v/>
      </c>
      <c r="B1437" s="118">
        <f>ric!C1437</f>
        <v/>
      </c>
      <c r="C1437" s="125">
        <f>ric!D1437</f>
        <v/>
      </c>
      <c r="D1437" s="125" t="n"/>
      <c r="E1437" s="125" t="n"/>
      <c r="F1437" s="125" t="n"/>
      <c r="G1437" s="118">
        <f>CONCATENATE(A1437, " ",#REF!, " / ",H1437)</f>
        <v/>
      </c>
      <c r="H1437" s="118" t="n"/>
      <c r="I1437" s="119">
        <f>CONCATENATE(M1437," - ",J1437," - Lotto N° ",K1437,"")</f>
        <v/>
      </c>
      <c r="J1437" s="118" t="n"/>
      <c r="K1437" s="118">
        <f>VLOOKUP(#REF!,Produzione,7,FALSE)</f>
        <v/>
      </c>
      <c r="L1437" s="120" t="n"/>
      <c r="M1437" s="120" t="n"/>
      <c r="N1437" s="118" t="n"/>
      <c r="O1437" s="121" t="n"/>
      <c r="P1437" s="121" t="n"/>
      <c r="Q1437" s="166">
        <f>TODAY()</f>
        <v/>
      </c>
      <c r="R1437" s="165">
        <f>ElencoProdotti[[#This Row],[PRODUZIONE]]+20</f>
        <v/>
      </c>
      <c r="S1437" s="165">
        <f>TODAY()</f>
        <v/>
      </c>
      <c r="T1437" s="133">
        <f>CONCATENATE(A1437," - contiene allergni - prodotto il giorno ",TEXT(Q1437,"gg/mm/aaaa"),"")</f>
        <v/>
      </c>
    </row>
    <row r="1438" ht="15" customHeight="1" s="155">
      <c r="A1438" s="134">
        <f>ric!B1438</f>
        <v/>
      </c>
      <c r="B1438" s="118">
        <f>ric!C1438</f>
        <v/>
      </c>
      <c r="C1438" s="125">
        <f>ric!D1438</f>
        <v/>
      </c>
      <c r="D1438" s="125" t="n"/>
      <c r="E1438" s="125" t="n"/>
      <c r="F1438" s="125" t="n"/>
      <c r="G1438" s="118">
        <f>CONCATENATE(A1438, " ",#REF!, " / ",H1438)</f>
        <v/>
      </c>
      <c r="H1438" s="118" t="n"/>
      <c r="I1438" s="119">
        <f>CONCATENATE(M1438," - ",J1438," - Lotto N° ",K1438,"")</f>
        <v/>
      </c>
      <c r="J1438" s="118" t="n"/>
      <c r="K1438" s="118">
        <f>VLOOKUP(#REF!,Produzione,7,FALSE)</f>
        <v/>
      </c>
      <c r="L1438" s="120" t="n"/>
      <c r="M1438" s="120" t="n"/>
      <c r="N1438" s="118" t="n"/>
      <c r="O1438" s="121" t="n"/>
      <c r="P1438" s="121" t="n"/>
      <c r="Q1438" s="166">
        <f>TODAY()</f>
        <v/>
      </c>
      <c r="R1438" s="165">
        <f>ElencoProdotti[[#This Row],[PRODUZIONE]]+20</f>
        <v/>
      </c>
      <c r="S1438" s="165">
        <f>TODAY()</f>
        <v/>
      </c>
      <c r="T1438" s="133">
        <f>CONCATENATE(A1438," - contiene allergni - prodotto il giorno ",TEXT(Q1438,"gg/mm/aaaa"),"")</f>
        <v/>
      </c>
    </row>
    <row r="1439" ht="15" customHeight="1" s="155">
      <c r="A1439" s="134">
        <f>ric!B1439</f>
        <v/>
      </c>
      <c r="B1439" s="118">
        <f>ric!C1439</f>
        <v/>
      </c>
      <c r="C1439" s="125">
        <f>ric!D1439</f>
        <v/>
      </c>
      <c r="D1439" s="125" t="n"/>
      <c r="E1439" s="125" t="n"/>
      <c r="F1439" s="125" t="n"/>
      <c r="G1439" s="118">
        <f>CONCATENATE(A1439, " ",#REF!, " / ",H1439)</f>
        <v/>
      </c>
      <c r="H1439" s="118" t="n"/>
      <c r="I1439" s="119">
        <f>CONCATENATE(M1439," - ",J1439," - Lotto N° ",K1439,"")</f>
        <v/>
      </c>
      <c r="J1439" s="118" t="n"/>
      <c r="K1439" s="118">
        <f>VLOOKUP(#REF!,Produzione,7,FALSE)</f>
        <v/>
      </c>
      <c r="L1439" s="120" t="n"/>
      <c r="M1439" s="120" t="n"/>
      <c r="N1439" s="118" t="n"/>
      <c r="O1439" s="121" t="n"/>
      <c r="P1439" s="121" t="n"/>
      <c r="Q1439" s="166">
        <f>TODAY()</f>
        <v/>
      </c>
      <c r="R1439" s="165">
        <f>ElencoProdotti[[#This Row],[PRODUZIONE]]+20</f>
        <v/>
      </c>
      <c r="S1439" s="165">
        <f>TODAY()</f>
        <v/>
      </c>
      <c r="T1439" s="133">
        <f>CONCATENATE(A1439," - contiene allergni - prodotto il giorno ",TEXT(Q1439,"gg/mm/aaaa"),"")</f>
        <v/>
      </c>
    </row>
    <row r="1440" ht="15" customHeight="1" s="155">
      <c r="A1440" s="134">
        <f>ric!B1440</f>
        <v/>
      </c>
      <c r="B1440" s="118">
        <f>ric!C1440</f>
        <v/>
      </c>
      <c r="C1440" s="125">
        <f>ric!D1440</f>
        <v/>
      </c>
      <c r="D1440" s="125" t="n"/>
      <c r="E1440" s="125" t="n"/>
      <c r="F1440" s="125" t="n"/>
      <c r="G1440" s="118">
        <f>CONCATENATE(A1440, " ",#REF!, " / ",H1440)</f>
        <v/>
      </c>
      <c r="H1440" s="118" t="n"/>
      <c r="I1440" s="119">
        <f>CONCATENATE(M1440," - ",J1440," - Lotto N° ",K1440,"")</f>
        <v/>
      </c>
      <c r="J1440" s="118" t="n"/>
      <c r="K1440" s="118">
        <f>VLOOKUP(#REF!,Produzione,7,FALSE)</f>
        <v/>
      </c>
      <c r="L1440" s="120" t="n"/>
      <c r="M1440" s="120" t="n"/>
      <c r="N1440" s="118" t="n"/>
      <c r="O1440" s="121" t="n"/>
      <c r="P1440" s="121" t="n"/>
      <c r="Q1440" s="166">
        <f>TODAY()</f>
        <v/>
      </c>
      <c r="R1440" s="165">
        <f>ElencoProdotti[[#This Row],[PRODUZIONE]]+20</f>
        <v/>
      </c>
      <c r="S1440" s="165">
        <f>TODAY()</f>
        <v/>
      </c>
      <c r="T1440" s="133">
        <f>CONCATENATE(A1440," - contiene allergni - prodotto il giorno ",TEXT(Q1440,"gg/mm/aaaa"),"")</f>
        <v/>
      </c>
    </row>
    <row r="1441" ht="15" customHeight="1" s="155">
      <c r="A1441" s="134">
        <f>ric!B1441</f>
        <v/>
      </c>
      <c r="B1441" s="118">
        <f>ric!C1441</f>
        <v/>
      </c>
      <c r="C1441" s="125">
        <f>ric!D1441</f>
        <v/>
      </c>
      <c r="D1441" s="125" t="n"/>
      <c r="E1441" s="125" t="n"/>
      <c r="F1441" s="125" t="n"/>
      <c r="G1441" s="118">
        <f>CONCATENATE(A1441, " ",#REF!, " / ",H1441)</f>
        <v/>
      </c>
      <c r="H1441" s="118" t="n"/>
      <c r="I1441" s="119">
        <f>CONCATENATE(M1441," - ",J1441," - Lotto N° ",K1441,"")</f>
        <v/>
      </c>
      <c r="J1441" s="118" t="n"/>
      <c r="K1441" s="118">
        <f>VLOOKUP(#REF!,Produzione,7,FALSE)</f>
        <v/>
      </c>
      <c r="L1441" s="120" t="n"/>
      <c r="M1441" s="120" t="n"/>
      <c r="N1441" s="118" t="n"/>
      <c r="O1441" s="121" t="n"/>
      <c r="P1441" s="121" t="n"/>
      <c r="Q1441" s="166">
        <f>TODAY()</f>
        <v/>
      </c>
      <c r="R1441" s="165">
        <f>ElencoProdotti[[#This Row],[PRODUZIONE]]+20</f>
        <v/>
      </c>
      <c r="S1441" s="165">
        <f>TODAY()</f>
        <v/>
      </c>
      <c r="T1441" s="133">
        <f>CONCATENATE(A1441," - contiene allergni - prodotto il giorno ",TEXT(Q1441,"gg/mm/aaaa"),"")</f>
        <v/>
      </c>
    </row>
    <row r="1442" ht="15" customHeight="1" s="155">
      <c r="A1442" s="134">
        <f>ric!B1442</f>
        <v/>
      </c>
      <c r="B1442" s="118">
        <f>ric!C1442</f>
        <v/>
      </c>
      <c r="C1442" s="125">
        <f>ric!D1442</f>
        <v/>
      </c>
      <c r="D1442" s="125" t="n"/>
      <c r="E1442" s="125" t="n"/>
      <c r="F1442" s="125" t="n"/>
      <c r="G1442" s="118">
        <f>CONCATENATE(A1442, " ",#REF!, " / ",H1442)</f>
        <v/>
      </c>
      <c r="H1442" s="118" t="n"/>
      <c r="I1442" s="119">
        <f>CONCATENATE(M1442," - ",J1442," - Lotto N° ",K1442,"")</f>
        <v/>
      </c>
      <c r="J1442" s="118" t="n"/>
      <c r="K1442" s="118">
        <f>VLOOKUP(#REF!,Produzione,7,FALSE)</f>
        <v/>
      </c>
      <c r="L1442" s="120" t="n"/>
      <c r="M1442" s="120" t="n"/>
      <c r="N1442" s="118" t="n"/>
      <c r="O1442" s="121" t="n"/>
      <c r="P1442" s="121" t="n"/>
      <c r="Q1442" s="166">
        <f>TODAY()</f>
        <v/>
      </c>
      <c r="R1442" s="165">
        <f>ElencoProdotti[[#This Row],[PRODUZIONE]]+20</f>
        <v/>
      </c>
      <c r="S1442" s="165">
        <f>TODAY()</f>
        <v/>
      </c>
      <c r="T1442" s="133">
        <f>CONCATENATE(A1442," - contiene allergni - prodotto il giorno ",TEXT(Q1442,"gg/mm/aaaa"),"")</f>
        <v/>
      </c>
    </row>
    <row r="1443" ht="15" customHeight="1" s="155">
      <c r="A1443" s="134">
        <f>ric!B1443</f>
        <v/>
      </c>
      <c r="B1443" s="118">
        <f>ric!C1443</f>
        <v/>
      </c>
      <c r="C1443" s="125">
        <f>ric!D1443</f>
        <v/>
      </c>
      <c r="D1443" s="125" t="n"/>
      <c r="E1443" s="125" t="n"/>
      <c r="F1443" s="125" t="n"/>
      <c r="G1443" s="118">
        <f>CONCATENATE(A1443, " ",#REF!, " / ",H1443)</f>
        <v/>
      </c>
      <c r="H1443" s="118" t="n"/>
      <c r="I1443" s="119">
        <f>CONCATENATE(M1443," - ",J1443," - Lotto N° ",K1443,"")</f>
        <v/>
      </c>
      <c r="J1443" s="118" t="n"/>
      <c r="K1443" s="118">
        <f>VLOOKUP(#REF!,Produzione,7,FALSE)</f>
        <v/>
      </c>
      <c r="L1443" s="120" t="n"/>
      <c r="M1443" s="120" t="n"/>
      <c r="N1443" s="118" t="n"/>
      <c r="O1443" s="121" t="n"/>
      <c r="P1443" s="121" t="n"/>
      <c r="Q1443" s="166">
        <f>TODAY()</f>
        <v/>
      </c>
      <c r="R1443" s="165">
        <f>ElencoProdotti[[#This Row],[PRODUZIONE]]+20</f>
        <v/>
      </c>
      <c r="S1443" s="165">
        <f>TODAY()</f>
        <v/>
      </c>
      <c r="T1443" s="133">
        <f>CONCATENATE(A1443," - contiene allergni - prodotto il giorno ",TEXT(Q1443,"gg/mm/aaaa"),"")</f>
        <v/>
      </c>
    </row>
    <row r="1444" ht="15" customHeight="1" s="155">
      <c r="A1444" s="134">
        <f>ric!B1444</f>
        <v/>
      </c>
      <c r="B1444" s="118">
        <f>ric!C1444</f>
        <v/>
      </c>
      <c r="C1444" s="125">
        <f>ric!D1444</f>
        <v/>
      </c>
      <c r="D1444" s="125" t="n"/>
      <c r="E1444" s="125" t="n"/>
      <c r="F1444" s="125" t="n"/>
      <c r="G1444" s="118">
        <f>CONCATENATE(A1444, " ",#REF!, " / ",H1444)</f>
        <v/>
      </c>
      <c r="H1444" s="118" t="n"/>
      <c r="I1444" s="119">
        <f>CONCATENATE(M1444," - ",J1444," - Lotto N° ",K1444,"")</f>
        <v/>
      </c>
      <c r="J1444" s="118" t="n"/>
      <c r="K1444" s="118">
        <f>VLOOKUP(#REF!,Produzione,7,FALSE)</f>
        <v/>
      </c>
      <c r="L1444" s="120" t="n"/>
      <c r="M1444" s="120" t="n"/>
      <c r="N1444" s="118" t="n"/>
      <c r="O1444" s="121" t="n"/>
      <c r="P1444" s="121" t="n"/>
      <c r="Q1444" s="166">
        <f>TODAY()</f>
        <v/>
      </c>
      <c r="R1444" s="165">
        <f>ElencoProdotti[[#This Row],[PRODUZIONE]]+20</f>
        <v/>
      </c>
      <c r="S1444" s="165">
        <f>TODAY()</f>
        <v/>
      </c>
      <c r="T1444" s="133">
        <f>CONCATENATE(A1444," - contiene allergni - prodotto il giorno ",TEXT(Q1444,"gg/mm/aaaa"),"")</f>
        <v/>
      </c>
    </row>
    <row r="1445" ht="15" customHeight="1" s="155">
      <c r="A1445" s="134">
        <f>ric!B1445</f>
        <v/>
      </c>
      <c r="B1445" s="118">
        <f>ric!C1445</f>
        <v/>
      </c>
      <c r="C1445" s="125">
        <f>ric!D1445</f>
        <v/>
      </c>
      <c r="D1445" s="125" t="n"/>
      <c r="E1445" s="125" t="n"/>
      <c r="F1445" s="125" t="n"/>
      <c r="G1445" s="118">
        <f>CONCATENATE(A1445, " ",#REF!, " / ",H1445)</f>
        <v/>
      </c>
      <c r="H1445" s="118" t="n"/>
      <c r="I1445" s="119">
        <f>CONCATENATE(M1445," - ",J1445," - Lotto N° ",K1445,"")</f>
        <v/>
      </c>
      <c r="J1445" s="118" t="n"/>
      <c r="K1445" s="118">
        <f>VLOOKUP(#REF!,Produzione,7,FALSE)</f>
        <v/>
      </c>
      <c r="L1445" s="120" t="n"/>
      <c r="M1445" s="120" t="n"/>
      <c r="N1445" s="118" t="n"/>
      <c r="O1445" s="121" t="n"/>
      <c r="P1445" s="121" t="n"/>
      <c r="Q1445" s="166">
        <f>TODAY()</f>
        <v/>
      </c>
      <c r="R1445" s="165">
        <f>ElencoProdotti[[#This Row],[PRODUZIONE]]+20</f>
        <v/>
      </c>
      <c r="S1445" s="165">
        <f>TODAY()</f>
        <v/>
      </c>
      <c r="T1445" s="133">
        <f>CONCATENATE(A1445," - contiene allergni - prodotto il giorno ",TEXT(Q1445,"gg/mm/aaaa"),"")</f>
        <v/>
      </c>
    </row>
    <row r="1446" ht="15" customHeight="1" s="155">
      <c r="A1446" s="134">
        <f>ric!B1446</f>
        <v/>
      </c>
      <c r="B1446" s="118">
        <f>ric!C1446</f>
        <v/>
      </c>
      <c r="C1446" s="125">
        <f>ric!D1446</f>
        <v/>
      </c>
      <c r="D1446" s="125" t="n"/>
      <c r="E1446" s="125" t="n"/>
      <c r="F1446" s="125" t="n"/>
      <c r="G1446" s="118">
        <f>CONCATENATE(A1446, " ",#REF!, " / ",H1446)</f>
        <v/>
      </c>
      <c r="H1446" s="118" t="n"/>
      <c r="I1446" s="119">
        <f>CONCATENATE(M1446," - ",J1446," - Lotto N° ",K1446,"")</f>
        <v/>
      </c>
      <c r="J1446" s="118" t="n"/>
      <c r="K1446" s="118">
        <f>VLOOKUP(#REF!,Produzione,7,FALSE)</f>
        <v/>
      </c>
      <c r="L1446" s="120" t="n"/>
      <c r="M1446" s="120" t="n"/>
      <c r="N1446" s="118" t="n"/>
      <c r="O1446" s="121" t="n"/>
      <c r="P1446" s="121" t="n"/>
      <c r="Q1446" s="166">
        <f>TODAY()</f>
        <v/>
      </c>
      <c r="R1446" s="165">
        <f>ElencoProdotti[[#This Row],[PRODUZIONE]]+20</f>
        <v/>
      </c>
      <c r="S1446" s="165">
        <f>TODAY()</f>
        <v/>
      </c>
      <c r="T1446" s="133">
        <f>CONCATENATE(A1446," - contiene allergni - prodotto il giorno ",TEXT(Q1446,"gg/mm/aaaa"),"")</f>
        <v/>
      </c>
    </row>
    <row r="1447" ht="15" customHeight="1" s="155">
      <c r="A1447" s="134">
        <f>ric!B1447</f>
        <v/>
      </c>
      <c r="B1447" s="118">
        <f>ric!C1447</f>
        <v/>
      </c>
      <c r="C1447" s="125">
        <f>ric!D1447</f>
        <v/>
      </c>
      <c r="D1447" s="125" t="n"/>
      <c r="E1447" s="125" t="n"/>
      <c r="F1447" s="125" t="n"/>
      <c r="G1447" s="118">
        <f>CONCATENATE(A1447, " ",#REF!, " / ",H1447)</f>
        <v/>
      </c>
      <c r="H1447" s="118" t="n"/>
      <c r="I1447" s="119">
        <f>CONCATENATE(M1447," - ",J1447," - Lotto N° ",K1447,"")</f>
        <v/>
      </c>
      <c r="J1447" s="118" t="n"/>
      <c r="K1447" s="118">
        <f>VLOOKUP(#REF!,Produzione,7,FALSE)</f>
        <v/>
      </c>
      <c r="L1447" s="120" t="n"/>
      <c r="M1447" s="120" t="n"/>
      <c r="N1447" s="118" t="n"/>
      <c r="O1447" s="121" t="n"/>
      <c r="P1447" s="121" t="n"/>
      <c r="Q1447" s="166">
        <f>TODAY()</f>
        <v/>
      </c>
      <c r="R1447" s="165">
        <f>ElencoProdotti[[#This Row],[PRODUZIONE]]+20</f>
        <v/>
      </c>
      <c r="S1447" s="165">
        <f>TODAY()</f>
        <v/>
      </c>
      <c r="T1447" s="133">
        <f>CONCATENATE(A1447," - contiene allergni - prodotto il giorno ",TEXT(Q1447,"gg/mm/aaaa"),"")</f>
        <v/>
      </c>
    </row>
    <row r="1448" ht="15" customHeight="1" s="155">
      <c r="A1448" s="134">
        <f>ric!B1448</f>
        <v/>
      </c>
      <c r="B1448" s="118">
        <f>ric!C1448</f>
        <v/>
      </c>
      <c r="C1448" s="125">
        <f>ric!D1448</f>
        <v/>
      </c>
      <c r="D1448" s="125" t="n"/>
      <c r="E1448" s="125" t="n"/>
      <c r="F1448" s="125" t="n"/>
      <c r="G1448" s="118">
        <f>CONCATENATE(A1448, " ",#REF!, " / ",H1448)</f>
        <v/>
      </c>
      <c r="H1448" s="118" t="n"/>
      <c r="I1448" s="119">
        <f>CONCATENATE(M1448," - ",J1448," - Lotto N° ",K1448,"")</f>
        <v/>
      </c>
      <c r="J1448" s="118" t="n"/>
      <c r="K1448" s="118">
        <f>VLOOKUP(#REF!,Produzione,7,FALSE)</f>
        <v/>
      </c>
      <c r="L1448" s="120" t="n"/>
      <c r="M1448" s="120" t="n"/>
      <c r="N1448" s="118" t="n"/>
      <c r="O1448" s="121" t="n"/>
      <c r="P1448" s="121" t="n"/>
      <c r="Q1448" s="166">
        <f>TODAY()</f>
        <v/>
      </c>
      <c r="R1448" s="165">
        <f>ElencoProdotti[[#This Row],[PRODUZIONE]]+20</f>
        <v/>
      </c>
      <c r="S1448" s="165">
        <f>TODAY()</f>
        <v/>
      </c>
      <c r="T1448" s="133">
        <f>CONCATENATE(A1448," - contiene allergni - prodotto il giorno ",TEXT(Q1448,"gg/mm/aaaa"),"")</f>
        <v/>
      </c>
    </row>
    <row r="1449" ht="15" customHeight="1" s="155">
      <c r="A1449" s="134">
        <f>ric!B1449</f>
        <v/>
      </c>
      <c r="B1449" s="118">
        <f>ric!C1449</f>
        <v/>
      </c>
      <c r="C1449" s="125">
        <f>ric!D1449</f>
        <v/>
      </c>
      <c r="D1449" s="125" t="n"/>
      <c r="E1449" s="125" t="n"/>
      <c r="F1449" s="125" t="n"/>
      <c r="G1449" s="118">
        <f>CONCATENATE(A1449, " ",#REF!, " / ",H1449)</f>
        <v/>
      </c>
      <c r="H1449" s="118" t="n"/>
      <c r="I1449" s="119">
        <f>CONCATENATE(M1449," - ",J1449," - Lotto N° ",K1449,"")</f>
        <v/>
      </c>
      <c r="J1449" s="118" t="n"/>
      <c r="K1449" s="118">
        <f>VLOOKUP(#REF!,Produzione,7,FALSE)</f>
        <v/>
      </c>
      <c r="L1449" s="120" t="n"/>
      <c r="M1449" s="120" t="n"/>
      <c r="N1449" s="118" t="n"/>
      <c r="O1449" s="121" t="n"/>
      <c r="P1449" s="121" t="n"/>
      <c r="Q1449" s="166">
        <f>TODAY()</f>
        <v/>
      </c>
      <c r="R1449" s="165">
        <f>ElencoProdotti[[#This Row],[PRODUZIONE]]+20</f>
        <v/>
      </c>
      <c r="S1449" s="165">
        <f>TODAY()</f>
        <v/>
      </c>
      <c r="T1449" s="133">
        <f>CONCATENATE(A1449," - contiene allergni - prodotto il giorno ",TEXT(Q1449,"gg/mm/aaaa"),"")</f>
        <v/>
      </c>
    </row>
    <row r="1450" ht="15" customHeight="1" s="155">
      <c r="A1450" s="134">
        <f>ric!B1450</f>
        <v/>
      </c>
      <c r="B1450" s="118">
        <f>ric!C1450</f>
        <v/>
      </c>
      <c r="C1450" s="125">
        <f>ric!D1450</f>
        <v/>
      </c>
      <c r="D1450" s="125" t="n"/>
      <c r="E1450" s="125" t="n"/>
      <c r="F1450" s="125" t="n"/>
      <c r="G1450" s="118">
        <f>CONCATENATE(A1450, " ",#REF!, " / ",H1450)</f>
        <v/>
      </c>
      <c r="H1450" s="118" t="n"/>
      <c r="I1450" s="119">
        <f>CONCATENATE(M1450," - ",J1450," - Lotto N° ",K1450,"")</f>
        <v/>
      </c>
      <c r="J1450" s="118" t="n"/>
      <c r="K1450" s="118">
        <f>VLOOKUP(#REF!,Produzione,7,FALSE)</f>
        <v/>
      </c>
      <c r="L1450" s="120" t="n"/>
      <c r="M1450" s="120" t="n"/>
      <c r="N1450" s="118" t="n"/>
      <c r="O1450" s="121" t="n"/>
      <c r="P1450" s="121" t="n"/>
      <c r="Q1450" s="166">
        <f>TODAY()</f>
        <v/>
      </c>
      <c r="R1450" s="165">
        <f>ElencoProdotti[[#This Row],[PRODUZIONE]]+20</f>
        <v/>
      </c>
      <c r="S1450" s="165">
        <f>TODAY()</f>
        <v/>
      </c>
      <c r="T1450" s="133">
        <f>CONCATENATE(A1450," - contiene allergni - prodotto il giorno ",TEXT(Q1450,"gg/mm/aaaa"),"")</f>
        <v/>
      </c>
    </row>
    <row r="1451" ht="15" customHeight="1" s="155">
      <c r="A1451" s="134">
        <f>ric!B1451</f>
        <v/>
      </c>
      <c r="B1451" s="118">
        <f>ric!C1451</f>
        <v/>
      </c>
      <c r="C1451" s="125">
        <f>ric!D1451</f>
        <v/>
      </c>
      <c r="D1451" s="125" t="n"/>
      <c r="E1451" s="125" t="n"/>
      <c r="F1451" s="125" t="n"/>
      <c r="G1451" s="118">
        <f>CONCATENATE(A1451, " ",#REF!, " / ",H1451)</f>
        <v/>
      </c>
      <c r="H1451" s="118" t="n"/>
      <c r="I1451" s="119">
        <f>CONCATENATE(M1451," - ",J1451," - Lotto N° ",K1451,"")</f>
        <v/>
      </c>
      <c r="J1451" s="118" t="n"/>
      <c r="K1451" s="118">
        <f>VLOOKUP(#REF!,Produzione,7,FALSE)</f>
        <v/>
      </c>
      <c r="L1451" s="120" t="n"/>
      <c r="M1451" s="120" t="n"/>
      <c r="N1451" s="118" t="n"/>
      <c r="O1451" s="121" t="n"/>
      <c r="P1451" s="121" t="n"/>
      <c r="Q1451" s="166">
        <f>TODAY()</f>
        <v/>
      </c>
      <c r="R1451" s="165">
        <f>ElencoProdotti[[#This Row],[PRODUZIONE]]+20</f>
        <v/>
      </c>
      <c r="S1451" s="165">
        <f>TODAY()</f>
        <v/>
      </c>
      <c r="T1451" s="133">
        <f>CONCATENATE(A1451," - contiene allergni - prodotto il giorno ",TEXT(Q1451,"gg/mm/aaaa"),"")</f>
        <v/>
      </c>
    </row>
    <row r="1452" ht="15" customHeight="1" s="155">
      <c r="A1452" s="134">
        <f>ric!B1452</f>
        <v/>
      </c>
      <c r="B1452" s="118">
        <f>ric!C1452</f>
        <v/>
      </c>
      <c r="C1452" s="125">
        <f>ric!D1452</f>
        <v/>
      </c>
      <c r="D1452" s="125" t="n"/>
      <c r="E1452" s="125" t="n"/>
      <c r="F1452" s="125" t="n"/>
      <c r="G1452" s="118">
        <f>CONCATENATE(A1452, " ",#REF!, " / ",H1452)</f>
        <v/>
      </c>
      <c r="H1452" s="118" t="n"/>
      <c r="I1452" s="119">
        <f>CONCATENATE(M1452," - ",J1452," - Lotto N° ",K1452,"")</f>
        <v/>
      </c>
      <c r="J1452" s="118" t="n"/>
      <c r="K1452" s="118">
        <f>VLOOKUP(#REF!,Produzione,7,FALSE)</f>
        <v/>
      </c>
      <c r="L1452" s="120" t="n"/>
      <c r="M1452" s="120" t="n"/>
      <c r="N1452" s="118" t="n"/>
      <c r="O1452" s="121" t="n"/>
      <c r="P1452" s="121" t="n"/>
      <c r="Q1452" s="166">
        <f>TODAY()</f>
        <v/>
      </c>
      <c r="R1452" s="165">
        <f>ElencoProdotti[[#This Row],[PRODUZIONE]]+20</f>
        <v/>
      </c>
      <c r="S1452" s="165">
        <f>TODAY()</f>
        <v/>
      </c>
      <c r="T1452" s="133">
        <f>CONCATENATE(A1452," - contiene allergni - prodotto il giorno ",TEXT(Q1452,"gg/mm/aaaa"),"")</f>
        <v/>
      </c>
    </row>
    <row r="1453" ht="15" customHeight="1" s="155">
      <c r="A1453" s="134">
        <f>ric!B1453</f>
        <v/>
      </c>
      <c r="B1453" s="118">
        <f>ric!C1453</f>
        <v/>
      </c>
      <c r="C1453" s="125">
        <f>ric!D1453</f>
        <v/>
      </c>
      <c r="D1453" s="125" t="n"/>
      <c r="E1453" s="125" t="n"/>
      <c r="F1453" s="125" t="n"/>
      <c r="G1453" s="118">
        <f>CONCATENATE(A1453, " ",#REF!, " / ",H1453)</f>
        <v/>
      </c>
      <c r="H1453" s="118" t="n"/>
      <c r="I1453" s="119">
        <f>CONCATENATE(M1453," - ",J1453," - Lotto N° ",K1453,"")</f>
        <v/>
      </c>
      <c r="J1453" s="118" t="n"/>
      <c r="K1453" s="118">
        <f>VLOOKUP(#REF!,Produzione,7,FALSE)</f>
        <v/>
      </c>
      <c r="L1453" s="120" t="n"/>
      <c r="M1453" s="120" t="n"/>
      <c r="N1453" s="118" t="n"/>
      <c r="O1453" s="121" t="n"/>
      <c r="P1453" s="121" t="n"/>
      <c r="Q1453" s="166">
        <f>TODAY()</f>
        <v/>
      </c>
      <c r="R1453" s="165">
        <f>ElencoProdotti[[#This Row],[PRODUZIONE]]+20</f>
        <v/>
      </c>
      <c r="S1453" s="165">
        <f>TODAY()</f>
        <v/>
      </c>
      <c r="T1453" s="133">
        <f>CONCATENATE(A1453," - contiene allergni - prodotto il giorno ",TEXT(Q1453,"gg/mm/aaaa"),"")</f>
        <v/>
      </c>
    </row>
    <row r="1454" ht="15" customHeight="1" s="155">
      <c r="A1454" s="134">
        <f>ric!B1454</f>
        <v/>
      </c>
      <c r="B1454" s="118">
        <f>ric!C1454</f>
        <v/>
      </c>
      <c r="C1454" s="125">
        <f>ric!D1454</f>
        <v/>
      </c>
      <c r="D1454" s="125" t="n"/>
      <c r="E1454" s="125" t="n"/>
      <c r="F1454" s="125" t="n"/>
      <c r="G1454" s="118">
        <f>CONCATENATE(A1454, " ",#REF!, " / ",H1454)</f>
        <v/>
      </c>
      <c r="H1454" s="118" t="n"/>
      <c r="I1454" s="119">
        <f>CONCATENATE(M1454," - ",J1454," - Lotto N° ",K1454,"")</f>
        <v/>
      </c>
      <c r="J1454" s="118" t="n"/>
      <c r="K1454" s="118">
        <f>VLOOKUP(#REF!,Produzione,7,FALSE)</f>
        <v/>
      </c>
      <c r="L1454" s="120" t="n"/>
      <c r="M1454" s="120" t="n"/>
      <c r="N1454" s="118" t="n"/>
      <c r="O1454" s="121" t="n"/>
      <c r="P1454" s="121" t="n"/>
      <c r="Q1454" s="166">
        <f>TODAY()</f>
        <v/>
      </c>
      <c r="R1454" s="165">
        <f>ElencoProdotti[[#This Row],[PRODUZIONE]]+20</f>
        <v/>
      </c>
      <c r="S1454" s="165">
        <f>TODAY()</f>
        <v/>
      </c>
      <c r="T1454" s="133">
        <f>CONCATENATE(A1454," - contiene allergni - prodotto il giorno ",TEXT(Q1454,"gg/mm/aaaa"),"")</f>
        <v/>
      </c>
    </row>
    <row r="1455" ht="15" customHeight="1" s="155">
      <c r="A1455" s="134">
        <f>ric!B1455</f>
        <v/>
      </c>
      <c r="B1455" s="118">
        <f>ric!C1455</f>
        <v/>
      </c>
      <c r="C1455" s="125">
        <f>ric!D1455</f>
        <v/>
      </c>
      <c r="D1455" s="125" t="n"/>
      <c r="E1455" s="125" t="n"/>
      <c r="F1455" s="125" t="n"/>
      <c r="G1455" s="118">
        <f>CONCATENATE(A1455, " ",#REF!, " / ",H1455)</f>
        <v/>
      </c>
      <c r="H1455" s="118" t="n"/>
      <c r="I1455" s="119">
        <f>CONCATENATE(M1455," - ",J1455," - Lotto N° ",K1455,"")</f>
        <v/>
      </c>
      <c r="J1455" s="118" t="n"/>
      <c r="K1455" s="118">
        <f>VLOOKUP(#REF!,Produzione,7,FALSE)</f>
        <v/>
      </c>
      <c r="L1455" s="120" t="n"/>
      <c r="M1455" s="120" t="n"/>
      <c r="N1455" s="118" t="n"/>
      <c r="O1455" s="121" t="n"/>
      <c r="P1455" s="121" t="n"/>
      <c r="Q1455" s="166">
        <f>TODAY()</f>
        <v/>
      </c>
      <c r="R1455" s="165">
        <f>ElencoProdotti[[#This Row],[PRODUZIONE]]+20</f>
        <v/>
      </c>
      <c r="S1455" s="165">
        <f>TODAY()</f>
        <v/>
      </c>
      <c r="T1455" s="133">
        <f>CONCATENATE(A1455," - contiene allergni - prodotto il giorno ",TEXT(Q1455,"gg/mm/aaaa"),"")</f>
        <v/>
      </c>
    </row>
    <row r="1456" ht="15" customHeight="1" s="155">
      <c r="A1456" s="134">
        <f>ric!B1456</f>
        <v/>
      </c>
      <c r="B1456" s="118">
        <f>ric!C1456</f>
        <v/>
      </c>
      <c r="C1456" s="125">
        <f>ric!D1456</f>
        <v/>
      </c>
      <c r="D1456" s="125" t="n"/>
      <c r="E1456" s="125" t="n"/>
      <c r="F1456" s="125" t="n"/>
      <c r="G1456" s="118">
        <f>CONCATENATE(A1456, " ",#REF!, " / ",H1456)</f>
        <v/>
      </c>
      <c r="H1456" s="118" t="n"/>
      <c r="I1456" s="119">
        <f>CONCATENATE(M1456," - ",J1456," - Lotto N° ",K1456,"")</f>
        <v/>
      </c>
      <c r="J1456" s="118" t="n"/>
      <c r="K1456" s="118">
        <f>VLOOKUP(#REF!,Produzione,7,FALSE)</f>
        <v/>
      </c>
      <c r="L1456" s="120" t="n"/>
      <c r="M1456" s="120" t="n"/>
      <c r="N1456" s="118" t="n"/>
      <c r="O1456" s="121" t="n"/>
      <c r="P1456" s="121" t="n"/>
      <c r="Q1456" s="166">
        <f>TODAY()</f>
        <v/>
      </c>
      <c r="R1456" s="165">
        <f>ElencoProdotti[[#This Row],[PRODUZIONE]]+20</f>
        <v/>
      </c>
      <c r="S1456" s="165">
        <f>TODAY()</f>
        <v/>
      </c>
      <c r="T1456" s="133">
        <f>CONCATENATE(A1456," - contiene allergni - prodotto il giorno ",TEXT(Q1456,"gg/mm/aaaa"),"")</f>
        <v/>
      </c>
    </row>
    <row r="1457" ht="15" customHeight="1" s="155">
      <c r="A1457" s="134">
        <f>ric!B1457</f>
        <v/>
      </c>
      <c r="B1457" s="118">
        <f>ric!C1457</f>
        <v/>
      </c>
      <c r="C1457" s="125">
        <f>ric!D1457</f>
        <v/>
      </c>
      <c r="D1457" s="125" t="n"/>
      <c r="E1457" s="125" t="n"/>
      <c r="F1457" s="125" t="n"/>
      <c r="G1457" s="118">
        <f>CONCATENATE(A1457, " ",#REF!, " / ",H1457)</f>
        <v/>
      </c>
      <c r="H1457" s="118" t="n"/>
      <c r="I1457" s="119">
        <f>CONCATENATE(M1457," - ",J1457," - Lotto N° ",K1457,"")</f>
        <v/>
      </c>
      <c r="J1457" s="118" t="n"/>
      <c r="K1457" s="118">
        <f>VLOOKUP(#REF!,Produzione,7,FALSE)</f>
        <v/>
      </c>
      <c r="L1457" s="120" t="n"/>
      <c r="M1457" s="120" t="n"/>
      <c r="N1457" s="118" t="n"/>
      <c r="O1457" s="121" t="n"/>
      <c r="P1457" s="121" t="n"/>
      <c r="Q1457" s="166">
        <f>TODAY()</f>
        <v/>
      </c>
      <c r="R1457" s="165">
        <f>ElencoProdotti[[#This Row],[PRODUZIONE]]+20</f>
        <v/>
      </c>
      <c r="S1457" s="165">
        <f>TODAY()</f>
        <v/>
      </c>
      <c r="T1457" s="133">
        <f>CONCATENATE(A1457," - contiene allergni - prodotto il giorno ",TEXT(Q1457,"gg/mm/aaaa"),"")</f>
        <v/>
      </c>
    </row>
    <row r="1458" ht="15" customHeight="1" s="155">
      <c r="A1458" s="134">
        <f>ric!B1458</f>
        <v/>
      </c>
      <c r="B1458" s="118">
        <f>ric!C1458</f>
        <v/>
      </c>
      <c r="C1458" s="125">
        <f>ric!D1458</f>
        <v/>
      </c>
      <c r="D1458" s="125" t="n"/>
      <c r="E1458" s="125" t="n"/>
      <c r="F1458" s="125" t="n"/>
      <c r="G1458" s="118">
        <f>CONCATENATE(A1458, " ",#REF!, " / ",H1458)</f>
        <v/>
      </c>
      <c r="H1458" s="118" t="n"/>
      <c r="I1458" s="119">
        <f>CONCATENATE(M1458," - ",J1458," - Lotto N° ",K1458,"")</f>
        <v/>
      </c>
      <c r="J1458" s="118" t="n"/>
      <c r="K1458" s="118">
        <f>VLOOKUP(#REF!,Produzione,7,FALSE)</f>
        <v/>
      </c>
      <c r="L1458" s="120" t="n"/>
      <c r="M1458" s="120" t="n"/>
      <c r="N1458" s="118" t="n"/>
      <c r="O1458" s="121" t="n"/>
      <c r="P1458" s="121" t="n"/>
      <c r="Q1458" s="166">
        <f>TODAY()</f>
        <v/>
      </c>
      <c r="R1458" s="165">
        <f>ElencoProdotti[[#This Row],[PRODUZIONE]]+20</f>
        <v/>
      </c>
      <c r="S1458" s="165">
        <f>TODAY()</f>
        <v/>
      </c>
      <c r="T1458" s="133">
        <f>CONCATENATE(A1458," - contiene allergni - prodotto il giorno ",TEXT(Q1458,"gg/mm/aaaa"),"")</f>
        <v/>
      </c>
    </row>
    <row r="1459" ht="15" customHeight="1" s="155">
      <c r="A1459" s="134">
        <f>ric!B1459</f>
        <v/>
      </c>
      <c r="B1459" s="118">
        <f>ric!C1459</f>
        <v/>
      </c>
      <c r="C1459" s="125">
        <f>ric!D1459</f>
        <v/>
      </c>
      <c r="D1459" s="125" t="n"/>
      <c r="E1459" s="125" t="n"/>
      <c r="F1459" s="125" t="n"/>
      <c r="G1459" s="118">
        <f>CONCATENATE(A1459, " ",#REF!, " / ",H1459)</f>
        <v/>
      </c>
      <c r="H1459" s="118" t="n"/>
      <c r="I1459" s="119">
        <f>CONCATENATE(M1459," - ",J1459," - Lotto N° ",K1459,"")</f>
        <v/>
      </c>
      <c r="J1459" s="118" t="n"/>
      <c r="K1459" s="118">
        <f>VLOOKUP(#REF!,Produzione,7,FALSE)</f>
        <v/>
      </c>
      <c r="L1459" s="120" t="n"/>
      <c r="M1459" s="120" t="n"/>
      <c r="N1459" s="118" t="n"/>
      <c r="O1459" s="121" t="n"/>
      <c r="P1459" s="121" t="n"/>
      <c r="Q1459" s="166">
        <f>TODAY()</f>
        <v/>
      </c>
      <c r="R1459" s="165">
        <f>ElencoProdotti[[#This Row],[PRODUZIONE]]+20</f>
        <v/>
      </c>
      <c r="S1459" s="165">
        <f>TODAY()</f>
        <v/>
      </c>
      <c r="T1459" s="133">
        <f>CONCATENATE(A1459," - contiene allergni - prodotto il giorno ",TEXT(Q1459,"gg/mm/aaaa"),"")</f>
        <v/>
      </c>
    </row>
    <row r="1460" ht="15" customHeight="1" s="155">
      <c r="A1460" s="134">
        <f>ric!B1460</f>
        <v/>
      </c>
      <c r="B1460" s="118">
        <f>ric!C1460</f>
        <v/>
      </c>
      <c r="C1460" s="125">
        <f>ric!D1460</f>
        <v/>
      </c>
      <c r="D1460" s="125" t="n"/>
      <c r="E1460" s="125" t="n"/>
      <c r="F1460" s="125" t="n"/>
      <c r="G1460" s="118">
        <f>CONCATENATE(A1460, " ",#REF!, " / ",H1460)</f>
        <v/>
      </c>
      <c r="H1460" s="118" t="n"/>
      <c r="I1460" s="119">
        <f>CONCATENATE(M1460," - ",J1460," - Lotto N° ",K1460,"")</f>
        <v/>
      </c>
      <c r="J1460" s="118" t="n"/>
      <c r="K1460" s="118">
        <f>VLOOKUP(#REF!,Produzione,7,FALSE)</f>
        <v/>
      </c>
      <c r="L1460" s="120" t="n"/>
      <c r="M1460" s="120" t="n"/>
      <c r="N1460" s="118" t="n"/>
      <c r="O1460" s="121" t="n"/>
      <c r="P1460" s="121" t="n"/>
      <c r="Q1460" s="166">
        <f>TODAY()</f>
        <v/>
      </c>
      <c r="R1460" s="165">
        <f>ElencoProdotti[[#This Row],[PRODUZIONE]]+20</f>
        <v/>
      </c>
      <c r="S1460" s="165">
        <f>TODAY()</f>
        <v/>
      </c>
      <c r="T1460" s="133">
        <f>CONCATENATE(A1460," - contiene allergni - prodotto il giorno ",TEXT(Q1460,"gg/mm/aaaa"),"")</f>
        <v/>
      </c>
    </row>
    <row r="1461" ht="15" customHeight="1" s="155">
      <c r="A1461" s="134">
        <f>ric!B1461</f>
        <v/>
      </c>
      <c r="B1461" s="118">
        <f>ric!C1461</f>
        <v/>
      </c>
      <c r="C1461" s="125">
        <f>ric!D1461</f>
        <v/>
      </c>
      <c r="D1461" s="125" t="n"/>
      <c r="E1461" s="125" t="n"/>
      <c r="F1461" s="125" t="n"/>
      <c r="G1461" s="118">
        <f>CONCATENATE(A1461, " ",#REF!, " / ",H1461)</f>
        <v/>
      </c>
      <c r="H1461" s="118" t="n"/>
      <c r="I1461" s="119">
        <f>CONCATENATE(M1461," - ",J1461," - Lotto N° ",K1461,"")</f>
        <v/>
      </c>
      <c r="J1461" s="118" t="n"/>
      <c r="K1461" s="118">
        <f>VLOOKUP(#REF!,Produzione,7,FALSE)</f>
        <v/>
      </c>
      <c r="L1461" s="120" t="n"/>
      <c r="M1461" s="120" t="n"/>
      <c r="N1461" s="118" t="n"/>
      <c r="O1461" s="121" t="n"/>
      <c r="P1461" s="121" t="n"/>
      <c r="Q1461" s="166">
        <f>TODAY()</f>
        <v/>
      </c>
      <c r="R1461" s="165">
        <f>ElencoProdotti[[#This Row],[PRODUZIONE]]+20</f>
        <v/>
      </c>
      <c r="S1461" s="165">
        <f>TODAY()</f>
        <v/>
      </c>
      <c r="T1461" s="133">
        <f>CONCATENATE(A1461," - contiene allergni - prodotto il giorno ",TEXT(Q1461,"gg/mm/aaaa"),"")</f>
        <v/>
      </c>
    </row>
    <row r="1462" ht="15" customHeight="1" s="155">
      <c r="A1462" s="134">
        <f>ric!B1462</f>
        <v/>
      </c>
      <c r="B1462" s="118">
        <f>ric!C1462</f>
        <v/>
      </c>
      <c r="C1462" s="125">
        <f>ric!D1462</f>
        <v/>
      </c>
      <c r="D1462" s="125" t="n"/>
      <c r="E1462" s="125" t="n"/>
      <c r="F1462" s="125" t="n"/>
      <c r="G1462" s="118">
        <f>CONCATENATE(A1462, " ",#REF!, " / ",H1462)</f>
        <v/>
      </c>
      <c r="H1462" s="118" t="n"/>
      <c r="I1462" s="119">
        <f>CONCATENATE(M1462," - ",J1462," - Lotto N° ",K1462,"")</f>
        <v/>
      </c>
      <c r="J1462" s="118" t="n"/>
      <c r="K1462" s="118">
        <f>VLOOKUP(#REF!,Produzione,7,FALSE)</f>
        <v/>
      </c>
      <c r="L1462" s="120" t="n"/>
      <c r="M1462" s="120" t="n"/>
      <c r="N1462" s="118" t="n"/>
      <c r="O1462" s="121" t="n"/>
      <c r="P1462" s="121" t="n"/>
      <c r="Q1462" s="166">
        <f>TODAY()</f>
        <v/>
      </c>
      <c r="R1462" s="165">
        <f>ElencoProdotti[[#This Row],[PRODUZIONE]]+20</f>
        <v/>
      </c>
      <c r="S1462" s="165">
        <f>TODAY()</f>
        <v/>
      </c>
      <c r="T1462" s="133">
        <f>CONCATENATE(A1462," - contiene allergni - prodotto il giorno ",TEXT(Q1462,"gg/mm/aaaa"),"")</f>
        <v/>
      </c>
    </row>
    <row r="1463" ht="15" customHeight="1" s="155">
      <c r="A1463" s="134">
        <f>ric!B1463</f>
        <v/>
      </c>
      <c r="B1463" s="118">
        <f>ric!C1463</f>
        <v/>
      </c>
      <c r="C1463" s="125">
        <f>ric!D1463</f>
        <v/>
      </c>
      <c r="D1463" s="125" t="n"/>
      <c r="E1463" s="125" t="n"/>
      <c r="F1463" s="125" t="n"/>
      <c r="G1463" s="118">
        <f>CONCATENATE(A1463, " ",#REF!, " / ",H1463)</f>
        <v/>
      </c>
      <c r="H1463" s="118" t="n"/>
      <c r="I1463" s="119">
        <f>CONCATENATE(M1463," - ",J1463," - Lotto N° ",K1463,"")</f>
        <v/>
      </c>
      <c r="J1463" s="118" t="n"/>
      <c r="K1463" s="118">
        <f>VLOOKUP(#REF!,Produzione,7,FALSE)</f>
        <v/>
      </c>
      <c r="L1463" s="120" t="n"/>
      <c r="M1463" s="120" t="n"/>
      <c r="N1463" s="118" t="n"/>
      <c r="O1463" s="121" t="n"/>
      <c r="P1463" s="121" t="n"/>
      <c r="Q1463" s="166">
        <f>TODAY()</f>
        <v/>
      </c>
      <c r="R1463" s="165">
        <f>ElencoProdotti[[#This Row],[PRODUZIONE]]+20</f>
        <v/>
      </c>
      <c r="S1463" s="165">
        <f>TODAY()</f>
        <v/>
      </c>
      <c r="T1463" s="133">
        <f>CONCATENATE(A1463," - contiene allergni - prodotto il giorno ",TEXT(Q1463,"gg/mm/aaaa"),"")</f>
        <v/>
      </c>
    </row>
    <row r="1464" ht="15" customHeight="1" s="155">
      <c r="A1464" s="134">
        <f>ric!B1464</f>
        <v/>
      </c>
      <c r="B1464" s="118">
        <f>ric!C1464</f>
        <v/>
      </c>
      <c r="C1464" s="125">
        <f>ric!D1464</f>
        <v/>
      </c>
      <c r="D1464" s="125" t="n"/>
      <c r="E1464" s="125" t="n"/>
      <c r="F1464" s="125" t="n"/>
      <c r="G1464" s="118">
        <f>CONCATENATE(A1464, " ",#REF!, " / ",H1464)</f>
        <v/>
      </c>
      <c r="H1464" s="118" t="n"/>
      <c r="I1464" s="119">
        <f>CONCATENATE(M1464," - ",J1464," - Lotto N° ",K1464,"")</f>
        <v/>
      </c>
      <c r="J1464" s="118" t="n"/>
      <c r="K1464" s="118">
        <f>VLOOKUP(#REF!,Produzione,7,FALSE)</f>
        <v/>
      </c>
      <c r="L1464" s="120" t="n"/>
      <c r="M1464" s="120" t="n"/>
      <c r="N1464" s="118" t="n"/>
      <c r="O1464" s="121" t="n"/>
      <c r="P1464" s="121" t="n"/>
      <c r="Q1464" s="166">
        <f>TODAY()</f>
        <v/>
      </c>
      <c r="R1464" s="165">
        <f>ElencoProdotti[[#This Row],[PRODUZIONE]]+20</f>
        <v/>
      </c>
      <c r="S1464" s="165">
        <f>TODAY()</f>
        <v/>
      </c>
      <c r="T1464" s="133">
        <f>CONCATENATE(A1464," - contiene allergni - prodotto il giorno ",TEXT(Q1464,"gg/mm/aaaa"),"")</f>
        <v/>
      </c>
    </row>
    <row r="1465" ht="15" customHeight="1" s="155">
      <c r="A1465" s="134">
        <f>ric!B1465</f>
        <v/>
      </c>
      <c r="B1465" s="118">
        <f>ric!C1465</f>
        <v/>
      </c>
      <c r="C1465" s="125">
        <f>ric!D1465</f>
        <v/>
      </c>
      <c r="D1465" s="125" t="n"/>
      <c r="E1465" s="125" t="n"/>
      <c r="F1465" s="125" t="n"/>
      <c r="G1465" s="118">
        <f>CONCATENATE(A1465, " ",#REF!, " / ",H1465)</f>
        <v/>
      </c>
      <c r="H1465" s="118" t="n"/>
      <c r="I1465" s="119">
        <f>CONCATENATE(M1465," - ",J1465," - Lotto N° ",K1465,"")</f>
        <v/>
      </c>
      <c r="J1465" s="118" t="n"/>
      <c r="K1465" s="118">
        <f>VLOOKUP(#REF!,Produzione,7,FALSE)</f>
        <v/>
      </c>
      <c r="L1465" s="120" t="n"/>
      <c r="M1465" s="120" t="n"/>
      <c r="N1465" s="118" t="n"/>
      <c r="O1465" s="121" t="n"/>
      <c r="P1465" s="121" t="n"/>
      <c r="Q1465" s="166">
        <f>TODAY()</f>
        <v/>
      </c>
      <c r="R1465" s="165">
        <f>ElencoProdotti[[#This Row],[PRODUZIONE]]+20</f>
        <v/>
      </c>
      <c r="S1465" s="165">
        <f>TODAY()</f>
        <v/>
      </c>
      <c r="T1465" s="133">
        <f>CONCATENATE(A1465," - contiene allergni - prodotto il giorno ",TEXT(Q1465,"gg/mm/aaaa"),"")</f>
        <v/>
      </c>
    </row>
    <row r="1466" ht="15" customHeight="1" s="155">
      <c r="A1466" s="134">
        <f>ric!B1466</f>
        <v/>
      </c>
      <c r="B1466" s="118">
        <f>ric!C1466</f>
        <v/>
      </c>
      <c r="C1466" s="125">
        <f>ric!D1466</f>
        <v/>
      </c>
      <c r="D1466" s="125" t="n"/>
      <c r="E1466" s="125" t="n"/>
      <c r="F1466" s="125" t="n"/>
      <c r="G1466" s="118">
        <f>CONCATENATE(A1466, " ",#REF!, " / ",H1466)</f>
        <v/>
      </c>
      <c r="H1466" s="118" t="n"/>
      <c r="I1466" s="119">
        <f>CONCATENATE(M1466," - ",J1466," - Lotto N° ",K1466,"")</f>
        <v/>
      </c>
      <c r="J1466" s="118" t="n"/>
      <c r="K1466" s="118">
        <f>VLOOKUP(#REF!,Produzione,7,FALSE)</f>
        <v/>
      </c>
      <c r="L1466" s="120" t="n"/>
      <c r="M1466" s="120" t="n"/>
      <c r="N1466" s="118" t="n"/>
      <c r="O1466" s="121" t="n"/>
      <c r="P1466" s="121" t="n"/>
      <c r="Q1466" s="166">
        <f>TODAY()</f>
        <v/>
      </c>
      <c r="R1466" s="165">
        <f>ElencoProdotti[[#This Row],[PRODUZIONE]]+20</f>
        <v/>
      </c>
      <c r="S1466" s="165">
        <f>TODAY()</f>
        <v/>
      </c>
      <c r="T1466" s="133">
        <f>CONCATENATE(A1466," - contiene allergni - prodotto il giorno ",TEXT(Q1466,"gg/mm/aaaa"),"")</f>
        <v/>
      </c>
    </row>
    <row r="1467" ht="15" customHeight="1" s="155">
      <c r="A1467" s="134">
        <f>ric!B1467</f>
        <v/>
      </c>
      <c r="B1467" s="118">
        <f>ric!C1467</f>
        <v/>
      </c>
      <c r="C1467" s="125">
        <f>ric!D1467</f>
        <v/>
      </c>
      <c r="D1467" s="125" t="n"/>
      <c r="E1467" s="125" t="n"/>
      <c r="F1467" s="125" t="n"/>
      <c r="G1467" s="118">
        <f>CONCATENATE(A1467, " ",#REF!, " / ",H1467)</f>
        <v/>
      </c>
      <c r="H1467" s="118" t="n"/>
      <c r="I1467" s="119">
        <f>CONCATENATE(M1467," - ",J1467," - Lotto N° ",K1467,"")</f>
        <v/>
      </c>
      <c r="J1467" s="118" t="n"/>
      <c r="K1467" s="118">
        <f>VLOOKUP(#REF!,Produzione,7,FALSE)</f>
        <v/>
      </c>
      <c r="L1467" s="120" t="n"/>
      <c r="M1467" s="120" t="n"/>
      <c r="N1467" s="118" t="n"/>
      <c r="O1467" s="121" t="n"/>
      <c r="P1467" s="121" t="n"/>
      <c r="Q1467" s="166">
        <f>TODAY()</f>
        <v/>
      </c>
      <c r="R1467" s="165">
        <f>ElencoProdotti[[#This Row],[PRODUZIONE]]+20</f>
        <v/>
      </c>
      <c r="S1467" s="165">
        <f>TODAY()</f>
        <v/>
      </c>
      <c r="T1467" s="133">
        <f>CONCATENATE(A1467," - contiene allergni - prodotto il giorno ",TEXT(Q1467,"gg/mm/aaaa"),"")</f>
        <v/>
      </c>
    </row>
    <row r="1468" ht="15" customHeight="1" s="155">
      <c r="A1468" s="134">
        <f>ric!B1468</f>
        <v/>
      </c>
      <c r="B1468" s="118">
        <f>ric!C1468</f>
        <v/>
      </c>
      <c r="C1468" s="125">
        <f>ric!D1468</f>
        <v/>
      </c>
      <c r="D1468" s="125" t="n"/>
      <c r="E1468" s="125" t="n"/>
      <c r="F1468" s="125" t="n"/>
      <c r="G1468" s="118">
        <f>CONCATENATE(A1468, " ",#REF!, " / ",H1468)</f>
        <v/>
      </c>
      <c r="H1468" s="118" t="n"/>
      <c r="I1468" s="119">
        <f>CONCATENATE(M1468," - ",J1468," - Lotto N° ",K1468,"")</f>
        <v/>
      </c>
      <c r="J1468" s="118" t="n"/>
      <c r="K1468" s="118">
        <f>VLOOKUP(#REF!,Produzione,7,FALSE)</f>
        <v/>
      </c>
      <c r="L1468" s="120" t="n"/>
      <c r="M1468" s="120" t="n"/>
      <c r="N1468" s="118" t="n"/>
      <c r="O1468" s="121" t="n"/>
      <c r="P1468" s="121" t="n"/>
      <c r="Q1468" s="166">
        <f>TODAY()</f>
        <v/>
      </c>
      <c r="R1468" s="165">
        <f>ElencoProdotti[[#This Row],[PRODUZIONE]]+20</f>
        <v/>
      </c>
      <c r="S1468" s="165">
        <f>TODAY()</f>
        <v/>
      </c>
      <c r="T1468" s="133">
        <f>CONCATENATE(A1468," - contiene allergni - prodotto il giorno ",TEXT(Q1468,"gg/mm/aaaa"),"")</f>
        <v/>
      </c>
    </row>
    <row r="1469" ht="15" customHeight="1" s="155">
      <c r="A1469" s="134">
        <f>ric!B1469</f>
        <v/>
      </c>
      <c r="B1469" s="118">
        <f>ric!C1469</f>
        <v/>
      </c>
      <c r="C1469" s="125">
        <f>ric!D1469</f>
        <v/>
      </c>
      <c r="D1469" s="125" t="n"/>
      <c r="E1469" s="125" t="n"/>
      <c r="F1469" s="125" t="n"/>
      <c r="G1469" s="118">
        <f>CONCATENATE(A1469, " ",#REF!, " / ",H1469)</f>
        <v/>
      </c>
      <c r="H1469" s="118" t="n"/>
      <c r="I1469" s="119">
        <f>CONCATENATE(M1469," - ",J1469," - Lotto N° ",K1469,"")</f>
        <v/>
      </c>
      <c r="J1469" s="118" t="n"/>
      <c r="K1469" s="118">
        <f>VLOOKUP(#REF!,Produzione,7,FALSE)</f>
        <v/>
      </c>
      <c r="L1469" s="120" t="n"/>
      <c r="M1469" s="120" t="n"/>
      <c r="N1469" s="118" t="n"/>
      <c r="O1469" s="121" t="n"/>
      <c r="P1469" s="121" t="n"/>
      <c r="Q1469" s="166">
        <f>TODAY()</f>
        <v/>
      </c>
      <c r="R1469" s="165">
        <f>ElencoProdotti[[#This Row],[PRODUZIONE]]+20</f>
        <v/>
      </c>
      <c r="S1469" s="165">
        <f>TODAY()</f>
        <v/>
      </c>
      <c r="T1469" s="133">
        <f>CONCATENATE(A1469," - contiene allergni - prodotto il giorno ",TEXT(Q1469,"gg/mm/aaaa"),"")</f>
        <v/>
      </c>
    </row>
    <row r="1470" ht="15" customHeight="1" s="155">
      <c r="A1470" s="134">
        <f>ric!B1470</f>
        <v/>
      </c>
      <c r="B1470" s="118">
        <f>ric!C1470</f>
        <v/>
      </c>
      <c r="C1470" s="125">
        <f>ric!D1470</f>
        <v/>
      </c>
      <c r="D1470" s="125" t="n"/>
      <c r="E1470" s="125" t="n"/>
      <c r="F1470" s="125" t="n"/>
      <c r="G1470" s="118">
        <f>CONCATENATE(A1470, " ",#REF!, " / ",H1470)</f>
        <v/>
      </c>
      <c r="H1470" s="118" t="n"/>
      <c r="I1470" s="119">
        <f>CONCATENATE(M1470," - ",J1470," - Lotto N° ",K1470,"")</f>
        <v/>
      </c>
      <c r="J1470" s="118" t="n"/>
      <c r="K1470" s="118">
        <f>VLOOKUP(#REF!,Produzione,7,FALSE)</f>
        <v/>
      </c>
      <c r="L1470" s="120" t="n"/>
      <c r="M1470" s="120" t="n"/>
      <c r="N1470" s="118" t="n"/>
      <c r="O1470" s="121" t="n"/>
      <c r="P1470" s="121" t="n"/>
      <c r="Q1470" s="166">
        <f>TODAY()</f>
        <v/>
      </c>
      <c r="R1470" s="165">
        <f>ElencoProdotti[[#This Row],[PRODUZIONE]]+20</f>
        <v/>
      </c>
      <c r="S1470" s="165">
        <f>TODAY()</f>
        <v/>
      </c>
      <c r="T1470" s="133">
        <f>CONCATENATE(A1470," - contiene allergni - prodotto il giorno ",TEXT(Q1470,"gg/mm/aaaa"),"")</f>
        <v/>
      </c>
    </row>
    <row r="1471" ht="15" customHeight="1" s="155">
      <c r="A1471" s="134">
        <f>ric!B1471</f>
        <v/>
      </c>
      <c r="B1471" s="118">
        <f>ric!C1471</f>
        <v/>
      </c>
      <c r="C1471" s="125">
        <f>ric!D1471</f>
        <v/>
      </c>
      <c r="D1471" s="125" t="n"/>
      <c r="E1471" s="125" t="n"/>
      <c r="F1471" s="125" t="n"/>
      <c r="G1471" s="118">
        <f>CONCATENATE(A1471, " ",#REF!, " / ",H1471)</f>
        <v/>
      </c>
      <c r="H1471" s="118" t="n"/>
      <c r="I1471" s="119">
        <f>CONCATENATE(M1471," - ",J1471," - Lotto N° ",K1471,"")</f>
        <v/>
      </c>
      <c r="J1471" s="118" t="n"/>
      <c r="K1471" s="118">
        <f>VLOOKUP(#REF!,Produzione,7,FALSE)</f>
        <v/>
      </c>
      <c r="L1471" s="120" t="n"/>
      <c r="M1471" s="120" t="n"/>
      <c r="N1471" s="118" t="n"/>
      <c r="O1471" s="121" t="n"/>
      <c r="P1471" s="121" t="n"/>
      <c r="Q1471" s="166">
        <f>TODAY()</f>
        <v/>
      </c>
      <c r="R1471" s="165">
        <f>ElencoProdotti[[#This Row],[PRODUZIONE]]+20</f>
        <v/>
      </c>
      <c r="S1471" s="165">
        <f>TODAY()</f>
        <v/>
      </c>
      <c r="T1471" s="133">
        <f>CONCATENATE(A1471," - contiene allergni - prodotto il giorno ",TEXT(Q1471,"gg/mm/aaaa"),"")</f>
        <v/>
      </c>
    </row>
    <row r="1472" ht="15" customHeight="1" s="155">
      <c r="A1472" s="134">
        <f>ric!B1472</f>
        <v/>
      </c>
      <c r="B1472" s="118">
        <f>ric!C1472</f>
        <v/>
      </c>
      <c r="C1472" s="125">
        <f>ric!D1472</f>
        <v/>
      </c>
      <c r="D1472" s="125" t="n"/>
      <c r="E1472" s="125" t="n"/>
      <c r="F1472" s="125" t="n"/>
      <c r="G1472" s="118">
        <f>CONCATENATE(A1472, " ",#REF!, " / ",H1472)</f>
        <v/>
      </c>
      <c r="H1472" s="118" t="n"/>
      <c r="I1472" s="119">
        <f>CONCATENATE(M1472," - ",J1472," - Lotto N° ",K1472,"")</f>
        <v/>
      </c>
      <c r="J1472" s="118" t="n"/>
      <c r="K1472" s="118">
        <f>VLOOKUP(#REF!,Produzione,7,FALSE)</f>
        <v/>
      </c>
      <c r="L1472" s="120" t="n"/>
      <c r="M1472" s="120" t="n"/>
      <c r="N1472" s="118" t="n"/>
      <c r="O1472" s="121" t="n"/>
      <c r="P1472" s="121" t="n"/>
      <c r="Q1472" s="166">
        <f>TODAY()</f>
        <v/>
      </c>
      <c r="R1472" s="165">
        <f>ElencoProdotti[[#This Row],[PRODUZIONE]]+20</f>
        <v/>
      </c>
      <c r="S1472" s="165">
        <f>TODAY()</f>
        <v/>
      </c>
      <c r="T1472" s="133">
        <f>CONCATENATE(A1472," - contiene allergni - prodotto il giorno ",TEXT(Q1472,"gg/mm/aaaa"),"")</f>
        <v/>
      </c>
    </row>
    <row r="1473" ht="15" customHeight="1" s="155">
      <c r="A1473" s="134">
        <f>ric!B1473</f>
        <v/>
      </c>
      <c r="B1473" s="118">
        <f>ric!C1473</f>
        <v/>
      </c>
      <c r="C1473" s="125">
        <f>ric!D1473</f>
        <v/>
      </c>
      <c r="D1473" s="125" t="n"/>
      <c r="E1473" s="125" t="n"/>
      <c r="F1473" s="125" t="n"/>
      <c r="G1473" s="118">
        <f>CONCATENATE(A1473, " ",#REF!, " / ",H1473)</f>
        <v/>
      </c>
      <c r="H1473" s="118" t="n"/>
      <c r="I1473" s="119">
        <f>CONCATENATE(M1473," - ",J1473," - Lotto N° ",K1473,"")</f>
        <v/>
      </c>
      <c r="J1473" s="118" t="n"/>
      <c r="K1473" s="118">
        <f>VLOOKUP(#REF!,Produzione,7,FALSE)</f>
        <v/>
      </c>
      <c r="L1473" s="120" t="n"/>
      <c r="M1473" s="120" t="n"/>
      <c r="N1473" s="118" t="n"/>
      <c r="O1473" s="121" t="n"/>
      <c r="P1473" s="121" t="n"/>
      <c r="Q1473" s="166">
        <f>TODAY()</f>
        <v/>
      </c>
      <c r="R1473" s="165">
        <f>ElencoProdotti[[#This Row],[PRODUZIONE]]+20</f>
        <v/>
      </c>
      <c r="S1473" s="165">
        <f>TODAY()</f>
        <v/>
      </c>
      <c r="T1473" s="133">
        <f>CONCATENATE(A1473," - contiene allergni - prodotto il giorno ",TEXT(Q1473,"gg/mm/aaaa"),"")</f>
        <v/>
      </c>
    </row>
    <row r="1474" ht="15" customHeight="1" s="155">
      <c r="A1474" s="134">
        <f>ric!B1474</f>
        <v/>
      </c>
      <c r="B1474" s="118">
        <f>ric!C1474</f>
        <v/>
      </c>
      <c r="C1474" s="125">
        <f>ric!D1474</f>
        <v/>
      </c>
      <c r="D1474" s="125" t="n"/>
      <c r="E1474" s="125" t="n"/>
      <c r="F1474" s="125" t="n"/>
      <c r="G1474" s="118">
        <f>CONCATENATE(A1474, " ",#REF!, " / ",H1474)</f>
        <v/>
      </c>
      <c r="H1474" s="118" t="n"/>
      <c r="I1474" s="119">
        <f>CONCATENATE(M1474," - ",J1474," - Lotto N° ",K1474,"")</f>
        <v/>
      </c>
      <c r="J1474" s="118" t="n"/>
      <c r="K1474" s="118">
        <f>VLOOKUP(#REF!,Produzione,7,FALSE)</f>
        <v/>
      </c>
      <c r="L1474" s="120" t="n"/>
      <c r="M1474" s="120" t="n"/>
      <c r="N1474" s="118" t="n"/>
      <c r="O1474" s="121" t="n"/>
      <c r="P1474" s="121" t="n"/>
      <c r="Q1474" s="166">
        <f>TODAY()</f>
        <v/>
      </c>
      <c r="R1474" s="165">
        <f>ElencoProdotti[[#This Row],[PRODUZIONE]]+20</f>
        <v/>
      </c>
      <c r="S1474" s="165">
        <f>TODAY()</f>
        <v/>
      </c>
      <c r="T1474" s="133">
        <f>CONCATENATE(A1474," - contiene allergni - prodotto il giorno ",TEXT(Q1474,"gg/mm/aaaa"),"")</f>
        <v/>
      </c>
    </row>
    <row r="1475" ht="15" customHeight="1" s="155">
      <c r="A1475" s="134">
        <f>ric!B1475</f>
        <v/>
      </c>
      <c r="B1475" s="118">
        <f>ric!C1475</f>
        <v/>
      </c>
      <c r="C1475" s="125">
        <f>ric!D1475</f>
        <v/>
      </c>
      <c r="D1475" s="125" t="n"/>
      <c r="E1475" s="125" t="n"/>
      <c r="F1475" s="125" t="n"/>
      <c r="G1475" s="118">
        <f>CONCATENATE(A1475, " ",#REF!, " / ",H1475)</f>
        <v/>
      </c>
      <c r="H1475" s="118" t="n"/>
      <c r="I1475" s="119">
        <f>CONCATENATE(M1475," - ",J1475," - Lotto N° ",K1475,"")</f>
        <v/>
      </c>
      <c r="J1475" s="118" t="n"/>
      <c r="K1475" s="118">
        <f>VLOOKUP(#REF!,Produzione,7,FALSE)</f>
        <v/>
      </c>
      <c r="L1475" s="120" t="n"/>
      <c r="M1475" s="120" t="n"/>
      <c r="N1475" s="118" t="n"/>
      <c r="O1475" s="121" t="n"/>
      <c r="P1475" s="121" t="n"/>
      <c r="Q1475" s="166">
        <f>TODAY()</f>
        <v/>
      </c>
      <c r="R1475" s="165">
        <f>ElencoProdotti[[#This Row],[PRODUZIONE]]+20</f>
        <v/>
      </c>
      <c r="S1475" s="165">
        <f>TODAY()</f>
        <v/>
      </c>
      <c r="T1475" s="133">
        <f>CONCATENATE(A1475," - contiene allergni - prodotto il giorno ",TEXT(Q1475,"gg/mm/aaaa"),"")</f>
        <v/>
      </c>
    </row>
    <row r="1476" ht="15" customHeight="1" s="155">
      <c r="A1476" s="134">
        <f>ric!B1476</f>
        <v/>
      </c>
      <c r="B1476" s="118">
        <f>ric!C1476</f>
        <v/>
      </c>
      <c r="C1476" s="125">
        <f>ric!D1476</f>
        <v/>
      </c>
      <c r="D1476" s="125" t="n"/>
      <c r="E1476" s="125" t="n"/>
      <c r="F1476" s="125" t="n"/>
      <c r="G1476" s="118">
        <f>CONCATENATE(A1476, " ",#REF!, " / ",H1476)</f>
        <v/>
      </c>
      <c r="H1476" s="118" t="n"/>
      <c r="I1476" s="119">
        <f>CONCATENATE(M1476," - ",J1476," - Lotto N° ",K1476,"")</f>
        <v/>
      </c>
      <c r="J1476" s="118" t="n"/>
      <c r="K1476" s="118">
        <f>VLOOKUP(#REF!,Produzione,7,FALSE)</f>
        <v/>
      </c>
      <c r="L1476" s="120" t="n"/>
      <c r="M1476" s="120" t="n"/>
      <c r="N1476" s="118" t="n"/>
      <c r="O1476" s="121" t="n"/>
      <c r="P1476" s="121" t="n"/>
      <c r="Q1476" s="166">
        <f>TODAY()</f>
        <v/>
      </c>
      <c r="R1476" s="165">
        <f>ElencoProdotti[[#This Row],[PRODUZIONE]]+20</f>
        <v/>
      </c>
      <c r="S1476" s="165">
        <f>TODAY()</f>
        <v/>
      </c>
      <c r="T1476" s="133">
        <f>CONCATENATE(A1476," - contiene allergni - prodotto il giorno ",TEXT(Q1476,"gg/mm/aaaa"),"")</f>
        <v/>
      </c>
    </row>
    <row r="1477" ht="15" customHeight="1" s="155">
      <c r="A1477" s="134">
        <f>ric!B1477</f>
        <v/>
      </c>
      <c r="B1477" s="118">
        <f>ric!C1477</f>
        <v/>
      </c>
      <c r="C1477" s="125">
        <f>ric!D1477</f>
        <v/>
      </c>
      <c r="D1477" s="125" t="n"/>
      <c r="E1477" s="125" t="n"/>
      <c r="F1477" s="125" t="n"/>
      <c r="G1477" s="118">
        <f>CONCATENATE(A1477, " ",#REF!, " / ",H1477)</f>
        <v/>
      </c>
      <c r="H1477" s="118" t="n"/>
      <c r="I1477" s="119">
        <f>CONCATENATE(M1477," - ",J1477," - Lotto N° ",K1477,"")</f>
        <v/>
      </c>
      <c r="J1477" s="118" t="n"/>
      <c r="K1477" s="118">
        <f>VLOOKUP(#REF!,Produzione,7,FALSE)</f>
        <v/>
      </c>
      <c r="L1477" s="120" t="n"/>
      <c r="M1477" s="120" t="n"/>
      <c r="N1477" s="118" t="n"/>
      <c r="O1477" s="121" t="n"/>
      <c r="P1477" s="121" t="n"/>
      <c r="Q1477" s="166">
        <f>TODAY()</f>
        <v/>
      </c>
      <c r="R1477" s="165">
        <f>ElencoProdotti[[#This Row],[PRODUZIONE]]+20</f>
        <v/>
      </c>
      <c r="S1477" s="165">
        <f>TODAY()</f>
        <v/>
      </c>
      <c r="T1477" s="133">
        <f>CONCATENATE(A1477," - contiene allergni - prodotto il giorno ",TEXT(Q1477,"gg/mm/aaaa"),"")</f>
        <v/>
      </c>
    </row>
    <row r="1478" ht="15" customHeight="1" s="155">
      <c r="A1478" s="134">
        <f>ric!B1478</f>
        <v/>
      </c>
      <c r="B1478" s="118">
        <f>ric!C1478</f>
        <v/>
      </c>
      <c r="C1478" s="125">
        <f>ric!D1478</f>
        <v/>
      </c>
      <c r="D1478" s="125" t="n"/>
      <c r="E1478" s="125" t="n"/>
      <c r="F1478" s="125" t="n"/>
      <c r="G1478" s="118">
        <f>CONCATENATE(A1478, " ",#REF!, " / ",H1478)</f>
        <v/>
      </c>
      <c r="H1478" s="118" t="n"/>
      <c r="I1478" s="119">
        <f>CONCATENATE(M1478," - ",J1478," - Lotto N° ",K1478,"")</f>
        <v/>
      </c>
      <c r="J1478" s="118" t="n"/>
      <c r="K1478" s="118">
        <f>VLOOKUP(#REF!,Produzione,7,FALSE)</f>
        <v/>
      </c>
      <c r="L1478" s="120" t="n"/>
      <c r="M1478" s="120" t="n"/>
      <c r="N1478" s="118" t="n"/>
      <c r="O1478" s="121" t="n"/>
      <c r="P1478" s="121" t="n"/>
      <c r="Q1478" s="166">
        <f>TODAY()</f>
        <v/>
      </c>
      <c r="R1478" s="165">
        <f>ElencoProdotti[[#This Row],[PRODUZIONE]]+20</f>
        <v/>
      </c>
      <c r="S1478" s="165">
        <f>TODAY()</f>
        <v/>
      </c>
      <c r="T1478" s="133">
        <f>CONCATENATE(A1478," - contiene allergni - prodotto il giorno ",TEXT(Q1478,"gg/mm/aaaa"),"")</f>
        <v/>
      </c>
    </row>
    <row r="1479" ht="15" customHeight="1" s="155">
      <c r="A1479" s="134">
        <f>ric!B1479</f>
        <v/>
      </c>
      <c r="B1479" s="118">
        <f>ric!C1479</f>
        <v/>
      </c>
      <c r="C1479" s="125">
        <f>ric!D1479</f>
        <v/>
      </c>
      <c r="D1479" s="125" t="n"/>
      <c r="E1479" s="125" t="n"/>
      <c r="F1479" s="125" t="n"/>
      <c r="G1479" s="118">
        <f>CONCATENATE(A1479, " ",#REF!, " / ",H1479)</f>
        <v/>
      </c>
      <c r="H1479" s="118" t="n"/>
      <c r="I1479" s="119">
        <f>CONCATENATE(M1479," - ",J1479," - Lotto N° ",K1479,"")</f>
        <v/>
      </c>
      <c r="J1479" s="118" t="n"/>
      <c r="K1479" s="118">
        <f>VLOOKUP(#REF!,Produzione,7,FALSE)</f>
        <v/>
      </c>
      <c r="L1479" s="120" t="n"/>
      <c r="M1479" s="120" t="n"/>
      <c r="N1479" s="118" t="n"/>
      <c r="O1479" s="121" t="n"/>
      <c r="P1479" s="121" t="n"/>
      <c r="Q1479" s="166">
        <f>TODAY()</f>
        <v/>
      </c>
      <c r="R1479" s="165">
        <f>ElencoProdotti[[#This Row],[PRODUZIONE]]+20</f>
        <v/>
      </c>
      <c r="S1479" s="165">
        <f>TODAY()</f>
        <v/>
      </c>
      <c r="T1479" s="133">
        <f>CONCATENATE(A1479," - contiene allergni - prodotto il giorno ",TEXT(Q1479,"gg/mm/aaaa"),"")</f>
        <v/>
      </c>
    </row>
    <row r="1480" ht="15" customHeight="1" s="155">
      <c r="A1480" s="134">
        <f>ric!B1480</f>
        <v/>
      </c>
      <c r="B1480" s="118">
        <f>ric!C1480</f>
        <v/>
      </c>
      <c r="C1480" s="125">
        <f>ric!D1480</f>
        <v/>
      </c>
      <c r="D1480" s="125" t="n"/>
      <c r="E1480" s="125" t="n"/>
      <c r="F1480" s="125" t="n"/>
      <c r="G1480" s="118">
        <f>CONCATENATE(A1480, " ",#REF!, " / ",H1480)</f>
        <v/>
      </c>
      <c r="H1480" s="118" t="n"/>
      <c r="I1480" s="119">
        <f>CONCATENATE(M1480," - ",J1480," - Lotto N° ",K1480,"")</f>
        <v/>
      </c>
      <c r="J1480" s="118" t="n"/>
      <c r="K1480" s="118">
        <f>VLOOKUP(#REF!,Produzione,7,FALSE)</f>
        <v/>
      </c>
      <c r="L1480" s="120" t="n"/>
      <c r="M1480" s="120" t="n"/>
      <c r="N1480" s="118" t="n"/>
      <c r="O1480" s="121" t="n"/>
      <c r="P1480" s="121" t="n"/>
      <c r="Q1480" s="166">
        <f>TODAY()</f>
        <v/>
      </c>
      <c r="R1480" s="165">
        <f>ElencoProdotti[[#This Row],[PRODUZIONE]]+20</f>
        <v/>
      </c>
      <c r="S1480" s="165">
        <f>TODAY()</f>
        <v/>
      </c>
      <c r="T1480" s="133">
        <f>CONCATENATE(A1480," - contiene allergni - prodotto il giorno ",TEXT(Q1480,"gg/mm/aaaa"),"")</f>
        <v/>
      </c>
    </row>
    <row r="1481" ht="15" customHeight="1" s="155">
      <c r="A1481" s="134">
        <f>ric!B1481</f>
        <v/>
      </c>
      <c r="B1481" s="118">
        <f>ric!C1481</f>
        <v/>
      </c>
      <c r="C1481" s="125">
        <f>ric!D1481</f>
        <v/>
      </c>
      <c r="D1481" s="125" t="n"/>
      <c r="E1481" s="125" t="n"/>
      <c r="F1481" s="125" t="n"/>
      <c r="G1481" s="118">
        <f>CONCATENATE(A1481, " ",#REF!, " / ",H1481)</f>
        <v/>
      </c>
      <c r="H1481" s="118" t="n"/>
      <c r="I1481" s="119">
        <f>CONCATENATE(M1481," - ",J1481," - Lotto N° ",K1481,"")</f>
        <v/>
      </c>
      <c r="J1481" s="118" t="n"/>
      <c r="K1481" s="118">
        <f>VLOOKUP(#REF!,Produzione,7,FALSE)</f>
        <v/>
      </c>
      <c r="L1481" s="120" t="n"/>
      <c r="M1481" s="120" t="n"/>
      <c r="N1481" s="118" t="n"/>
      <c r="O1481" s="121" t="n"/>
      <c r="P1481" s="121" t="n"/>
      <c r="Q1481" s="166">
        <f>TODAY()</f>
        <v/>
      </c>
      <c r="R1481" s="165">
        <f>ElencoProdotti[[#This Row],[PRODUZIONE]]+20</f>
        <v/>
      </c>
      <c r="S1481" s="165">
        <f>TODAY()</f>
        <v/>
      </c>
      <c r="T1481" s="133">
        <f>CONCATENATE(A1481," - contiene allergni - prodotto il giorno ",TEXT(Q1481,"gg/mm/aaaa"),"")</f>
        <v/>
      </c>
    </row>
    <row r="1482" ht="15" customHeight="1" s="155">
      <c r="A1482" s="134">
        <f>ric!B1482</f>
        <v/>
      </c>
      <c r="B1482" s="118">
        <f>ric!C1482</f>
        <v/>
      </c>
      <c r="C1482" s="125">
        <f>ric!D1482</f>
        <v/>
      </c>
      <c r="D1482" s="125" t="n"/>
      <c r="E1482" s="125" t="n"/>
      <c r="F1482" s="125" t="n"/>
      <c r="G1482" s="118">
        <f>CONCATENATE(A1482, " ",#REF!, " / ",H1482)</f>
        <v/>
      </c>
      <c r="H1482" s="118" t="n"/>
      <c r="I1482" s="119">
        <f>CONCATENATE(M1482," - ",J1482," - Lotto N° ",K1482,"")</f>
        <v/>
      </c>
      <c r="J1482" s="118" t="n"/>
      <c r="K1482" s="118">
        <f>VLOOKUP(#REF!,Produzione,7,FALSE)</f>
        <v/>
      </c>
      <c r="L1482" s="120" t="n"/>
      <c r="M1482" s="120" t="n"/>
      <c r="N1482" s="118" t="n"/>
      <c r="O1482" s="121" t="n"/>
      <c r="P1482" s="121" t="n"/>
      <c r="Q1482" s="166">
        <f>TODAY()</f>
        <v/>
      </c>
      <c r="R1482" s="165">
        <f>ElencoProdotti[[#This Row],[PRODUZIONE]]+20</f>
        <v/>
      </c>
      <c r="S1482" s="165">
        <f>TODAY()</f>
        <v/>
      </c>
      <c r="T1482" s="133">
        <f>CONCATENATE(A1482," - contiene allergni - prodotto il giorno ",TEXT(Q1482,"gg/mm/aaaa"),"")</f>
        <v/>
      </c>
    </row>
    <row r="1483" ht="15" customHeight="1" s="155">
      <c r="A1483" s="134">
        <f>ric!B1483</f>
        <v/>
      </c>
      <c r="B1483" s="118">
        <f>ric!C1483</f>
        <v/>
      </c>
      <c r="C1483" s="125">
        <f>ric!D1483</f>
        <v/>
      </c>
      <c r="D1483" s="125" t="n"/>
      <c r="E1483" s="125" t="n"/>
      <c r="F1483" s="125" t="n"/>
      <c r="G1483" s="118">
        <f>CONCATENATE(A1483, " ",#REF!, " / ",H1483)</f>
        <v/>
      </c>
      <c r="H1483" s="118" t="n"/>
      <c r="I1483" s="119">
        <f>CONCATENATE(M1483," - ",J1483," - Lotto N° ",K1483,"")</f>
        <v/>
      </c>
      <c r="J1483" s="118" t="n"/>
      <c r="K1483" s="118">
        <f>VLOOKUP(#REF!,Produzione,7,FALSE)</f>
        <v/>
      </c>
      <c r="L1483" s="120" t="n"/>
      <c r="M1483" s="120" t="n"/>
      <c r="N1483" s="118" t="n"/>
      <c r="O1483" s="121" t="n"/>
      <c r="P1483" s="121" t="n"/>
      <c r="Q1483" s="166">
        <f>TODAY()</f>
        <v/>
      </c>
      <c r="R1483" s="165">
        <f>ElencoProdotti[[#This Row],[PRODUZIONE]]+20</f>
        <v/>
      </c>
      <c r="S1483" s="165">
        <f>TODAY()</f>
        <v/>
      </c>
      <c r="T1483" s="133">
        <f>CONCATENATE(A1483," - contiene allergni - prodotto il giorno ",TEXT(Q1483,"gg/mm/aaaa"),"")</f>
        <v/>
      </c>
    </row>
    <row r="1484" ht="15" customHeight="1" s="155">
      <c r="A1484" s="134">
        <f>ric!B1484</f>
        <v/>
      </c>
      <c r="B1484" s="118">
        <f>ric!C1484</f>
        <v/>
      </c>
      <c r="C1484" s="125">
        <f>ric!D1484</f>
        <v/>
      </c>
      <c r="D1484" s="125" t="n"/>
      <c r="E1484" s="125" t="n"/>
      <c r="F1484" s="125" t="n"/>
      <c r="G1484" s="118">
        <f>CONCATENATE(A1484, " ",#REF!, " / ",H1484)</f>
        <v/>
      </c>
      <c r="H1484" s="118" t="n"/>
      <c r="I1484" s="119">
        <f>CONCATENATE(M1484," - ",J1484," - Lotto N° ",K1484,"")</f>
        <v/>
      </c>
      <c r="J1484" s="118" t="n"/>
      <c r="K1484" s="118">
        <f>VLOOKUP(#REF!,Produzione,7,FALSE)</f>
        <v/>
      </c>
      <c r="L1484" s="120" t="n"/>
      <c r="M1484" s="120" t="n"/>
      <c r="N1484" s="118" t="n"/>
      <c r="O1484" s="121" t="n"/>
      <c r="P1484" s="121" t="n"/>
      <c r="Q1484" s="166">
        <f>TODAY()</f>
        <v/>
      </c>
      <c r="R1484" s="165">
        <f>ElencoProdotti[[#This Row],[PRODUZIONE]]+20</f>
        <v/>
      </c>
      <c r="S1484" s="165">
        <f>TODAY()</f>
        <v/>
      </c>
      <c r="T1484" s="133">
        <f>CONCATENATE(A1484," - contiene allergni - prodotto il giorno ",TEXT(Q1484,"gg/mm/aaaa"),"")</f>
        <v/>
      </c>
    </row>
    <row r="1485" ht="15" customHeight="1" s="155">
      <c r="A1485" s="134">
        <f>ric!B1485</f>
        <v/>
      </c>
      <c r="B1485" s="118">
        <f>ric!C1485</f>
        <v/>
      </c>
      <c r="C1485" s="125">
        <f>ric!D1485</f>
        <v/>
      </c>
      <c r="D1485" s="125" t="n"/>
      <c r="E1485" s="125" t="n"/>
      <c r="F1485" s="125" t="n"/>
      <c r="G1485" s="118">
        <f>CONCATENATE(A1485, " ",#REF!, " / ",H1485)</f>
        <v/>
      </c>
      <c r="H1485" s="118" t="n"/>
      <c r="I1485" s="119">
        <f>CONCATENATE(M1485," - ",J1485," - Lotto N° ",K1485,"")</f>
        <v/>
      </c>
      <c r="J1485" s="118" t="n"/>
      <c r="K1485" s="118">
        <f>VLOOKUP(#REF!,Produzione,7,FALSE)</f>
        <v/>
      </c>
      <c r="L1485" s="120" t="n"/>
      <c r="M1485" s="120" t="n"/>
      <c r="N1485" s="118" t="n"/>
      <c r="O1485" s="121" t="n"/>
      <c r="P1485" s="121" t="n"/>
      <c r="Q1485" s="166">
        <f>TODAY()</f>
        <v/>
      </c>
      <c r="R1485" s="165">
        <f>ElencoProdotti[[#This Row],[PRODUZIONE]]+20</f>
        <v/>
      </c>
      <c r="S1485" s="165">
        <f>TODAY()</f>
        <v/>
      </c>
      <c r="T1485" s="133">
        <f>CONCATENATE(A1485," - contiene allergni - prodotto il giorno ",TEXT(Q1485,"gg/mm/aaaa"),"")</f>
        <v/>
      </c>
    </row>
    <row r="1486" ht="15" customHeight="1" s="155">
      <c r="A1486" s="134">
        <f>ric!B1486</f>
        <v/>
      </c>
      <c r="B1486" s="118">
        <f>ric!C1486</f>
        <v/>
      </c>
      <c r="C1486" s="125">
        <f>ric!D1486</f>
        <v/>
      </c>
      <c r="D1486" s="125" t="n"/>
      <c r="E1486" s="125" t="n"/>
      <c r="F1486" s="125" t="n"/>
      <c r="G1486" s="118">
        <f>CONCATENATE(A1486, " ",#REF!, " / ",H1486)</f>
        <v/>
      </c>
      <c r="H1486" s="118" t="n"/>
      <c r="I1486" s="119">
        <f>CONCATENATE(M1486," - ",J1486," - Lotto N° ",K1486,"")</f>
        <v/>
      </c>
      <c r="J1486" s="118" t="n"/>
      <c r="K1486" s="118">
        <f>VLOOKUP(#REF!,Produzione,7,FALSE)</f>
        <v/>
      </c>
      <c r="L1486" s="120" t="n"/>
      <c r="M1486" s="120" t="n"/>
      <c r="N1486" s="118" t="n"/>
      <c r="O1486" s="121" t="n"/>
      <c r="P1486" s="121" t="n"/>
      <c r="Q1486" s="166">
        <f>TODAY()</f>
        <v/>
      </c>
      <c r="R1486" s="165">
        <f>ElencoProdotti[[#This Row],[PRODUZIONE]]+20</f>
        <v/>
      </c>
      <c r="S1486" s="165">
        <f>TODAY()</f>
        <v/>
      </c>
      <c r="T1486" s="133">
        <f>CONCATENATE(A1486," - contiene allergni - prodotto il giorno ",TEXT(Q1486,"gg/mm/aaaa"),"")</f>
        <v/>
      </c>
    </row>
    <row r="1487" ht="15" customHeight="1" s="155">
      <c r="A1487" s="134">
        <f>ric!B1487</f>
        <v/>
      </c>
      <c r="B1487" s="118">
        <f>ric!C1487</f>
        <v/>
      </c>
      <c r="C1487" s="125">
        <f>ric!D1487</f>
        <v/>
      </c>
      <c r="D1487" s="125" t="n"/>
      <c r="E1487" s="125" t="n"/>
      <c r="F1487" s="125" t="n"/>
      <c r="G1487" s="118">
        <f>CONCATENATE(A1487, " ",#REF!, " / ",H1487)</f>
        <v/>
      </c>
      <c r="H1487" s="118" t="n"/>
      <c r="I1487" s="119">
        <f>CONCATENATE(M1487," - ",J1487," - Lotto N° ",K1487,"")</f>
        <v/>
      </c>
      <c r="J1487" s="118" t="n"/>
      <c r="K1487" s="118">
        <f>VLOOKUP(#REF!,Produzione,7,FALSE)</f>
        <v/>
      </c>
      <c r="L1487" s="120" t="n"/>
      <c r="M1487" s="120" t="n"/>
      <c r="N1487" s="118" t="n"/>
      <c r="O1487" s="121" t="n"/>
      <c r="P1487" s="121" t="n"/>
      <c r="Q1487" s="166">
        <f>TODAY()</f>
        <v/>
      </c>
      <c r="R1487" s="165">
        <f>ElencoProdotti[[#This Row],[PRODUZIONE]]+20</f>
        <v/>
      </c>
      <c r="S1487" s="165">
        <f>TODAY()</f>
        <v/>
      </c>
      <c r="T1487" s="133">
        <f>CONCATENATE(A1487," - contiene allergni - prodotto il giorno ",TEXT(Q1487,"gg/mm/aaaa"),"")</f>
        <v/>
      </c>
    </row>
    <row r="1488" ht="15" customHeight="1" s="155">
      <c r="A1488" s="134">
        <f>ric!B1488</f>
        <v/>
      </c>
      <c r="B1488" s="118">
        <f>ric!C1488</f>
        <v/>
      </c>
      <c r="C1488" s="125">
        <f>ric!D1488</f>
        <v/>
      </c>
      <c r="D1488" s="125" t="n"/>
      <c r="E1488" s="125" t="n"/>
      <c r="F1488" s="125" t="n"/>
      <c r="G1488" s="118">
        <f>CONCATENATE(A1488, " ",#REF!, " / ",H1488)</f>
        <v/>
      </c>
      <c r="H1488" s="118" t="n"/>
      <c r="I1488" s="119">
        <f>CONCATENATE(M1488," - ",J1488," - Lotto N° ",K1488,"")</f>
        <v/>
      </c>
      <c r="J1488" s="118" t="n"/>
      <c r="K1488" s="118">
        <f>VLOOKUP(#REF!,Produzione,7,FALSE)</f>
        <v/>
      </c>
      <c r="L1488" s="120" t="n"/>
      <c r="M1488" s="120" t="n"/>
      <c r="N1488" s="118" t="n"/>
      <c r="O1488" s="121" t="n"/>
      <c r="P1488" s="121" t="n"/>
      <c r="Q1488" s="166">
        <f>TODAY()</f>
        <v/>
      </c>
      <c r="R1488" s="165">
        <f>ElencoProdotti[[#This Row],[PRODUZIONE]]+20</f>
        <v/>
      </c>
      <c r="S1488" s="165">
        <f>TODAY()</f>
        <v/>
      </c>
      <c r="T1488" s="133">
        <f>CONCATENATE(A1488," - contiene allergni - prodotto il giorno ",TEXT(Q1488,"gg/mm/aaaa"),"")</f>
        <v/>
      </c>
    </row>
    <row r="1489" ht="15" customHeight="1" s="155">
      <c r="A1489" s="134">
        <f>ric!B1489</f>
        <v/>
      </c>
      <c r="B1489" s="118">
        <f>ric!C1489</f>
        <v/>
      </c>
      <c r="C1489" s="125">
        <f>ric!D1489</f>
        <v/>
      </c>
      <c r="D1489" s="125" t="n"/>
      <c r="E1489" s="125" t="n"/>
      <c r="F1489" s="125" t="n"/>
      <c r="G1489" s="118">
        <f>CONCATENATE(A1489, " ",#REF!, " / ",H1489)</f>
        <v/>
      </c>
      <c r="H1489" s="118" t="n"/>
      <c r="I1489" s="119">
        <f>CONCATENATE(M1489," - ",J1489," - Lotto N° ",K1489,"")</f>
        <v/>
      </c>
      <c r="J1489" s="118" t="n"/>
      <c r="K1489" s="118">
        <f>VLOOKUP(#REF!,Produzione,7,FALSE)</f>
        <v/>
      </c>
      <c r="L1489" s="120" t="n"/>
      <c r="M1489" s="120" t="n"/>
      <c r="N1489" s="118" t="n"/>
      <c r="O1489" s="121" t="n"/>
      <c r="P1489" s="121" t="n"/>
      <c r="Q1489" s="166">
        <f>TODAY()</f>
        <v/>
      </c>
      <c r="R1489" s="165">
        <f>ElencoProdotti[[#This Row],[PRODUZIONE]]+20</f>
        <v/>
      </c>
      <c r="S1489" s="165">
        <f>TODAY()</f>
        <v/>
      </c>
      <c r="T1489" s="133">
        <f>CONCATENATE(A1489," - contiene allergni - prodotto il giorno ",TEXT(Q1489,"gg/mm/aaaa"),"")</f>
        <v/>
      </c>
    </row>
    <row r="1490" ht="15" customHeight="1" s="155">
      <c r="A1490" s="134">
        <f>ric!B1490</f>
        <v/>
      </c>
      <c r="B1490" s="118">
        <f>ric!C1490</f>
        <v/>
      </c>
      <c r="C1490" s="125">
        <f>ric!D1490</f>
        <v/>
      </c>
      <c r="D1490" s="125" t="n"/>
      <c r="E1490" s="125" t="n"/>
      <c r="F1490" s="125" t="n"/>
      <c r="G1490" s="118">
        <f>CONCATENATE(A1490, " ",#REF!, " / ",H1490)</f>
        <v/>
      </c>
      <c r="H1490" s="118" t="n"/>
      <c r="I1490" s="119">
        <f>CONCATENATE(M1490," - ",J1490," - Lotto N° ",K1490,"")</f>
        <v/>
      </c>
      <c r="J1490" s="118" t="n"/>
      <c r="K1490" s="118">
        <f>VLOOKUP(#REF!,Produzione,7,FALSE)</f>
        <v/>
      </c>
      <c r="L1490" s="120" t="n"/>
      <c r="M1490" s="120" t="n"/>
      <c r="N1490" s="118" t="n"/>
      <c r="O1490" s="121" t="n"/>
      <c r="P1490" s="121" t="n"/>
      <c r="Q1490" s="166">
        <f>TODAY()</f>
        <v/>
      </c>
      <c r="R1490" s="165">
        <f>ElencoProdotti[[#This Row],[PRODUZIONE]]+20</f>
        <v/>
      </c>
      <c r="S1490" s="165">
        <f>TODAY()</f>
        <v/>
      </c>
      <c r="T1490" s="133">
        <f>CONCATENATE(A1490," - contiene allergni - prodotto il giorno ",TEXT(Q1490,"gg/mm/aaaa"),"")</f>
        <v/>
      </c>
    </row>
    <row r="1491" ht="15" customHeight="1" s="155">
      <c r="A1491" s="134">
        <f>ric!B1491</f>
        <v/>
      </c>
      <c r="B1491" s="118">
        <f>ric!C1491</f>
        <v/>
      </c>
      <c r="C1491" s="125">
        <f>ric!D1491</f>
        <v/>
      </c>
      <c r="D1491" s="125" t="n"/>
      <c r="E1491" s="125" t="n"/>
      <c r="F1491" s="125" t="n"/>
      <c r="G1491" s="118">
        <f>CONCATENATE(A1491, " ",#REF!, " / ",H1491)</f>
        <v/>
      </c>
      <c r="H1491" s="118" t="n"/>
      <c r="I1491" s="119">
        <f>CONCATENATE(M1491," - ",J1491," - Lotto N° ",K1491,"")</f>
        <v/>
      </c>
      <c r="J1491" s="118" t="n"/>
      <c r="K1491" s="118">
        <f>VLOOKUP(#REF!,Produzione,7,FALSE)</f>
        <v/>
      </c>
      <c r="L1491" s="120" t="n"/>
      <c r="M1491" s="120" t="n"/>
      <c r="N1491" s="118" t="n"/>
      <c r="O1491" s="121" t="n"/>
      <c r="P1491" s="121" t="n"/>
      <c r="Q1491" s="166">
        <f>TODAY()</f>
        <v/>
      </c>
      <c r="R1491" s="165">
        <f>ElencoProdotti[[#This Row],[PRODUZIONE]]+20</f>
        <v/>
      </c>
      <c r="S1491" s="165">
        <f>TODAY()</f>
        <v/>
      </c>
      <c r="T1491" s="133">
        <f>CONCATENATE(A1491," - contiene allergni - prodotto il giorno ",TEXT(Q1491,"gg/mm/aaaa"),"")</f>
        <v/>
      </c>
    </row>
    <row r="1492" ht="15" customHeight="1" s="155">
      <c r="A1492" s="134">
        <f>ric!B1492</f>
        <v/>
      </c>
      <c r="B1492" s="118">
        <f>ric!C1492</f>
        <v/>
      </c>
      <c r="C1492" s="125">
        <f>ric!D1492</f>
        <v/>
      </c>
      <c r="D1492" s="125" t="n"/>
      <c r="E1492" s="125" t="n"/>
      <c r="F1492" s="125" t="n"/>
      <c r="G1492" s="118">
        <f>CONCATENATE(A1492, " ",#REF!, " / ",H1492)</f>
        <v/>
      </c>
      <c r="H1492" s="118" t="n"/>
      <c r="I1492" s="119">
        <f>CONCATENATE(M1492," - ",J1492," - Lotto N° ",K1492,"")</f>
        <v/>
      </c>
      <c r="J1492" s="118" t="n"/>
      <c r="K1492" s="118">
        <f>VLOOKUP(#REF!,Produzione,7,FALSE)</f>
        <v/>
      </c>
      <c r="L1492" s="120" t="n"/>
      <c r="M1492" s="120" t="n"/>
      <c r="N1492" s="118" t="n"/>
      <c r="O1492" s="121" t="n"/>
      <c r="P1492" s="121" t="n"/>
      <c r="Q1492" s="166">
        <f>TODAY()</f>
        <v/>
      </c>
      <c r="R1492" s="165">
        <f>ElencoProdotti[[#This Row],[PRODUZIONE]]+20</f>
        <v/>
      </c>
      <c r="S1492" s="165">
        <f>TODAY()</f>
        <v/>
      </c>
      <c r="T1492" s="133">
        <f>CONCATENATE(A1492," - contiene allergni - prodotto il giorno ",TEXT(Q1492,"gg/mm/aaaa"),"")</f>
        <v/>
      </c>
    </row>
    <row r="1493" ht="15" customHeight="1" s="155">
      <c r="A1493" s="134">
        <f>ric!B1493</f>
        <v/>
      </c>
      <c r="B1493" s="118">
        <f>ric!C1493</f>
        <v/>
      </c>
      <c r="C1493" s="125">
        <f>ric!D1493</f>
        <v/>
      </c>
      <c r="D1493" s="125" t="n"/>
      <c r="E1493" s="125" t="n"/>
      <c r="F1493" s="125" t="n"/>
      <c r="G1493" s="118">
        <f>CONCATENATE(A1493, " ",#REF!, " / ",H1493)</f>
        <v/>
      </c>
      <c r="H1493" s="118" t="n"/>
      <c r="I1493" s="119">
        <f>CONCATENATE(M1493," - ",J1493," - Lotto N° ",K1493,"")</f>
        <v/>
      </c>
      <c r="J1493" s="118" t="n"/>
      <c r="K1493" s="118">
        <f>VLOOKUP(#REF!,Produzione,7,FALSE)</f>
        <v/>
      </c>
      <c r="L1493" s="120" t="n"/>
      <c r="M1493" s="120" t="n"/>
      <c r="N1493" s="118" t="n"/>
      <c r="O1493" s="121" t="n"/>
      <c r="P1493" s="121" t="n"/>
      <c r="Q1493" s="166">
        <f>TODAY()</f>
        <v/>
      </c>
      <c r="R1493" s="165">
        <f>ElencoProdotti[[#This Row],[PRODUZIONE]]+20</f>
        <v/>
      </c>
      <c r="S1493" s="165">
        <f>TODAY()</f>
        <v/>
      </c>
      <c r="T1493" s="133">
        <f>CONCATENATE(A1493," - contiene allergni - prodotto il giorno ",TEXT(Q1493,"gg/mm/aaaa"),"")</f>
        <v/>
      </c>
    </row>
    <row r="1494" ht="15" customHeight="1" s="155">
      <c r="A1494" s="134">
        <f>ric!B1494</f>
        <v/>
      </c>
      <c r="B1494" s="118">
        <f>ric!C1494</f>
        <v/>
      </c>
      <c r="C1494" s="125">
        <f>ric!D1494</f>
        <v/>
      </c>
      <c r="D1494" s="125" t="n"/>
      <c r="E1494" s="125" t="n"/>
      <c r="F1494" s="125" t="n"/>
      <c r="G1494" s="118">
        <f>CONCATENATE(A1494, " ",#REF!, " / ",H1494)</f>
        <v/>
      </c>
      <c r="H1494" s="118" t="n"/>
      <c r="I1494" s="119">
        <f>CONCATENATE(M1494," - ",J1494," - Lotto N° ",K1494,"")</f>
        <v/>
      </c>
      <c r="J1494" s="118" t="n"/>
      <c r="K1494" s="118">
        <f>VLOOKUP(#REF!,Produzione,7,FALSE)</f>
        <v/>
      </c>
      <c r="L1494" s="120" t="n"/>
      <c r="M1494" s="120" t="n"/>
      <c r="N1494" s="118" t="n"/>
      <c r="O1494" s="121" t="n"/>
      <c r="P1494" s="121" t="n"/>
      <c r="Q1494" s="166">
        <f>TODAY()</f>
        <v/>
      </c>
      <c r="R1494" s="165">
        <f>ElencoProdotti[[#This Row],[PRODUZIONE]]+20</f>
        <v/>
      </c>
      <c r="S1494" s="165">
        <f>TODAY()</f>
        <v/>
      </c>
      <c r="T1494" s="133">
        <f>CONCATENATE(A1494," - contiene allergni - prodotto il giorno ",TEXT(Q1494,"gg/mm/aaaa"),"")</f>
        <v/>
      </c>
    </row>
    <row r="1495" ht="15" customHeight="1" s="155">
      <c r="A1495" s="134">
        <f>ric!B1495</f>
        <v/>
      </c>
      <c r="B1495" s="118">
        <f>ric!C1495</f>
        <v/>
      </c>
      <c r="C1495" s="125">
        <f>ric!D1495</f>
        <v/>
      </c>
      <c r="D1495" s="125" t="n"/>
      <c r="E1495" s="125" t="n"/>
      <c r="F1495" s="125" t="n"/>
      <c r="G1495" s="118">
        <f>CONCATENATE(A1495, " ",#REF!, " / ",H1495)</f>
        <v/>
      </c>
      <c r="H1495" s="118" t="n"/>
      <c r="I1495" s="119">
        <f>CONCATENATE(M1495," - ",J1495," - Lotto N° ",K1495,"")</f>
        <v/>
      </c>
      <c r="J1495" s="118" t="n"/>
      <c r="K1495" s="118">
        <f>VLOOKUP(#REF!,Produzione,7,FALSE)</f>
        <v/>
      </c>
      <c r="L1495" s="120" t="n"/>
      <c r="M1495" s="120" t="n"/>
      <c r="N1495" s="118" t="n"/>
      <c r="O1495" s="121" t="n"/>
      <c r="P1495" s="121" t="n"/>
      <c r="Q1495" s="166">
        <f>TODAY()</f>
        <v/>
      </c>
      <c r="R1495" s="165">
        <f>ElencoProdotti[[#This Row],[PRODUZIONE]]+20</f>
        <v/>
      </c>
      <c r="S1495" s="165">
        <f>TODAY()</f>
        <v/>
      </c>
      <c r="T1495" s="133">
        <f>CONCATENATE(A1495," - contiene allergni - prodotto il giorno ",TEXT(Q1495,"gg/mm/aaaa"),"")</f>
        <v/>
      </c>
    </row>
    <row r="1496" ht="15" customHeight="1" s="155">
      <c r="A1496" s="134">
        <f>ric!B1496</f>
        <v/>
      </c>
      <c r="B1496" s="118">
        <f>ric!C1496</f>
        <v/>
      </c>
      <c r="C1496" s="125">
        <f>ric!D1496</f>
        <v/>
      </c>
      <c r="D1496" s="125" t="n"/>
      <c r="E1496" s="125" t="n"/>
      <c r="F1496" s="125" t="n"/>
      <c r="G1496" s="118">
        <f>CONCATENATE(A1496, " ",#REF!, " / ",H1496)</f>
        <v/>
      </c>
      <c r="H1496" s="118" t="n"/>
      <c r="I1496" s="119">
        <f>CONCATENATE(M1496," - ",J1496," - Lotto N° ",K1496,"")</f>
        <v/>
      </c>
      <c r="J1496" s="118" t="n"/>
      <c r="K1496" s="118">
        <f>VLOOKUP(#REF!,Produzione,7,FALSE)</f>
        <v/>
      </c>
      <c r="L1496" s="120" t="n"/>
      <c r="M1496" s="120" t="n"/>
      <c r="N1496" s="118" t="n"/>
      <c r="O1496" s="121" t="n"/>
      <c r="P1496" s="121" t="n"/>
      <c r="Q1496" s="166">
        <f>TODAY()</f>
        <v/>
      </c>
      <c r="R1496" s="165">
        <f>ElencoProdotti[[#This Row],[PRODUZIONE]]+20</f>
        <v/>
      </c>
      <c r="S1496" s="165">
        <f>TODAY()</f>
        <v/>
      </c>
      <c r="T1496" s="133">
        <f>CONCATENATE(A1496," - contiene allergni - prodotto il giorno ",TEXT(Q1496,"gg/mm/aaaa"),"")</f>
        <v/>
      </c>
    </row>
    <row r="1497" ht="15" customHeight="1" s="155">
      <c r="A1497" s="134">
        <f>ric!B1497</f>
        <v/>
      </c>
      <c r="B1497" s="118">
        <f>ric!C1497</f>
        <v/>
      </c>
      <c r="C1497" s="125">
        <f>ric!D1497</f>
        <v/>
      </c>
      <c r="D1497" s="125" t="n"/>
      <c r="E1497" s="125" t="n"/>
      <c r="F1497" s="125" t="n"/>
      <c r="G1497" s="118">
        <f>CONCATENATE(A1497, " ",#REF!, " / ",H1497)</f>
        <v/>
      </c>
      <c r="H1497" s="118" t="n"/>
      <c r="I1497" s="119">
        <f>CONCATENATE(M1497," - ",J1497," - Lotto N° ",K1497,"")</f>
        <v/>
      </c>
      <c r="J1497" s="118" t="n"/>
      <c r="K1497" s="118">
        <f>VLOOKUP(#REF!,Produzione,7,FALSE)</f>
        <v/>
      </c>
      <c r="L1497" s="120" t="n"/>
      <c r="M1497" s="120" t="n"/>
      <c r="N1497" s="118" t="n"/>
      <c r="O1497" s="121" t="n"/>
      <c r="P1497" s="121" t="n"/>
      <c r="Q1497" s="166">
        <f>TODAY()</f>
        <v/>
      </c>
      <c r="R1497" s="165">
        <f>ElencoProdotti[[#This Row],[PRODUZIONE]]+20</f>
        <v/>
      </c>
      <c r="S1497" s="165">
        <f>TODAY()</f>
        <v/>
      </c>
      <c r="T1497" s="133">
        <f>CONCATENATE(A1497," - contiene allergni - prodotto il giorno ",TEXT(Q1497,"gg/mm/aaaa"),"")</f>
        <v/>
      </c>
    </row>
    <row r="1498" ht="15" customHeight="1" s="155">
      <c r="A1498" s="134">
        <f>ric!B1498</f>
        <v/>
      </c>
      <c r="B1498" s="118">
        <f>ric!C1498</f>
        <v/>
      </c>
      <c r="C1498" s="125">
        <f>ric!D1498</f>
        <v/>
      </c>
      <c r="D1498" s="125" t="n"/>
      <c r="E1498" s="125" t="n"/>
      <c r="F1498" s="125" t="n"/>
      <c r="G1498" s="118">
        <f>CONCATENATE(A1498, " ",#REF!, " / ",H1498)</f>
        <v/>
      </c>
      <c r="H1498" s="118" t="n"/>
      <c r="I1498" s="119">
        <f>CONCATENATE(M1498," - ",J1498," - Lotto N° ",K1498,"")</f>
        <v/>
      </c>
      <c r="J1498" s="118" t="n"/>
      <c r="K1498" s="118">
        <f>VLOOKUP(#REF!,Produzione,7,FALSE)</f>
        <v/>
      </c>
      <c r="L1498" s="120" t="n"/>
      <c r="M1498" s="120" t="n"/>
      <c r="N1498" s="118" t="n"/>
      <c r="O1498" s="121" t="n"/>
      <c r="P1498" s="121" t="n"/>
      <c r="Q1498" s="166">
        <f>TODAY()</f>
        <v/>
      </c>
      <c r="R1498" s="165">
        <f>ElencoProdotti[[#This Row],[PRODUZIONE]]+20</f>
        <v/>
      </c>
      <c r="S1498" s="165">
        <f>TODAY()</f>
        <v/>
      </c>
      <c r="T1498" s="133">
        <f>CONCATENATE(A1498," - contiene allergni - prodotto il giorno ",TEXT(Q1498,"gg/mm/aaaa"),"")</f>
        <v/>
      </c>
    </row>
    <row r="1499" ht="15" customHeight="1" s="155">
      <c r="A1499" s="134">
        <f>ric!B1499</f>
        <v/>
      </c>
      <c r="B1499" s="118">
        <f>ric!C1499</f>
        <v/>
      </c>
      <c r="C1499" s="125">
        <f>ric!D1499</f>
        <v/>
      </c>
      <c r="D1499" s="125" t="n"/>
      <c r="E1499" s="125" t="n"/>
      <c r="F1499" s="125" t="n"/>
      <c r="G1499" s="118">
        <f>CONCATENATE(A1499, " ",#REF!, " / ",H1499)</f>
        <v/>
      </c>
      <c r="H1499" s="118" t="n"/>
      <c r="I1499" s="119">
        <f>CONCATENATE(M1499," - ",J1499," - Lotto N° ",K1499,"")</f>
        <v/>
      </c>
      <c r="J1499" s="118" t="n"/>
      <c r="K1499" s="118">
        <f>VLOOKUP(#REF!,Produzione,7,FALSE)</f>
        <v/>
      </c>
      <c r="L1499" s="120" t="n"/>
      <c r="M1499" s="120" t="n"/>
      <c r="N1499" s="118" t="n"/>
      <c r="O1499" s="121" t="n"/>
      <c r="P1499" s="121" t="n"/>
      <c r="Q1499" s="166">
        <f>TODAY()</f>
        <v/>
      </c>
      <c r="R1499" s="165">
        <f>ElencoProdotti[[#This Row],[PRODUZIONE]]+20</f>
        <v/>
      </c>
      <c r="S1499" s="165">
        <f>TODAY()</f>
        <v/>
      </c>
      <c r="T1499" s="133">
        <f>CONCATENATE(A1499," - contiene allergni - prodotto il giorno ",TEXT(Q1499,"gg/mm/aaaa"),"")</f>
        <v/>
      </c>
    </row>
    <row r="1500" ht="15" customHeight="1" s="155">
      <c r="A1500" s="134">
        <f>ric!B1500</f>
        <v/>
      </c>
      <c r="B1500" s="118">
        <f>ric!C1500</f>
        <v/>
      </c>
      <c r="C1500" s="125">
        <f>ric!D1500</f>
        <v/>
      </c>
      <c r="D1500" s="125" t="n"/>
      <c r="E1500" s="125" t="n"/>
      <c r="F1500" s="125" t="n"/>
      <c r="G1500" s="118">
        <f>CONCATENATE(A1500, " ",#REF!, " / ",H1500)</f>
        <v/>
      </c>
      <c r="H1500" s="118" t="n"/>
      <c r="I1500" s="119">
        <f>CONCATENATE(M1500," - ",J1500," - Lotto N° ",K1500,"")</f>
        <v/>
      </c>
      <c r="J1500" s="118" t="n"/>
      <c r="K1500" s="118">
        <f>VLOOKUP(#REF!,Produzione,7,FALSE)</f>
        <v/>
      </c>
      <c r="L1500" s="120" t="n"/>
      <c r="M1500" s="120" t="n"/>
      <c r="N1500" s="118" t="n"/>
      <c r="O1500" s="121" t="n"/>
      <c r="P1500" s="121" t="n"/>
      <c r="Q1500" s="166">
        <f>TODAY()</f>
        <v/>
      </c>
      <c r="R1500" s="165">
        <f>ElencoProdotti[[#This Row],[PRODUZIONE]]+20</f>
        <v/>
      </c>
      <c r="S1500" s="165">
        <f>TODAY()</f>
        <v/>
      </c>
      <c r="T1500" s="133">
        <f>CONCATENATE(A1500," - contiene allergni - prodotto il giorno ",TEXT(Q1500,"gg/mm/aaaa"),"")</f>
        <v/>
      </c>
    </row>
    <row r="1501" ht="15" customHeight="1" s="155">
      <c r="A1501" s="134">
        <f>ric!B1501</f>
        <v/>
      </c>
      <c r="B1501" s="118">
        <f>ric!C1501</f>
        <v/>
      </c>
      <c r="C1501" s="125">
        <f>ric!D1501</f>
        <v/>
      </c>
      <c r="D1501" s="125" t="n"/>
      <c r="E1501" s="125" t="n"/>
      <c r="F1501" s="125" t="n"/>
      <c r="G1501" s="118">
        <f>CONCATENATE(A1501, " ",#REF!, " / ",H1501)</f>
        <v/>
      </c>
      <c r="H1501" s="118" t="n"/>
      <c r="I1501" s="119">
        <f>CONCATENATE(M1501," - ",J1501," - Lotto N° ",K1501,"")</f>
        <v/>
      </c>
      <c r="J1501" s="118" t="n"/>
      <c r="K1501" s="118">
        <f>VLOOKUP(#REF!,Produzione,7,FALSE)</f>
        <v/>
      </c>
      <c r="L1501" s="120" t="n"/>
      <c r="M1501" s="120" t="n"/>
      <c r="N1501" s="118" t="n"/>
      <c r="O1501" s="121" t="n"/>
      <c r="P1501" s="121" t="n"/>
      <c r="Q1501" s="166">
        <f>TODAY()</f>
        <v/>
      </c>
      <c r="R1501" s="165">
        <f>ElencoProdotti[[#This Row],[PRODUZIONE]]+20</f>
        <v/>
      </c>
      <c r="S1501" s="165">
        <f>TODAY()</f>
        <v/>
      </c>
      <c r="T1501" s="133">
        <f>CONCATENATE(A1501," - contiene allergni - prodotto il giorno ",TEXT(Q1501,"gg/mm/aaaa"),"")</f>
        <v/>
      </c>
    </row>
    <row r="1502" ht="15" customHeight="1" s="155">
      <c r="A1502" s="134">
        <f>ric!B1502</f>
        <v/>
      </c>
      <c r="B1502" s="118">
        <f>ric!C1502</f>
        <v/>
      </c>
      <c r="C1502" s="125">
        <f>ric!D1502</f>
        <v/>
      </c>
      <c r="D1502" s="125" t="n"/>
      <c r="E1502" s="125" t="n"/>
      <c r="F1502" s="125" t="n"/>
      <c r="G1502" s="118">
        <f>CONCATENATE(A1502, " ",#REF!, " / ",H1502)</f>
        <v/>
      </c>
      <c r="H1502" s="118" t="n"/>
      <c r="I1502" s="119">
        <f>CONCATENATE(M1502," - ",J1502," - Lotto N° ",K1502,"")</f>
        <v/>
      </c>
      <c r="J1502" s="118" t="n"/>
      <c r="K1502" s="118">
        <f>VLOOKUP(#REF!,Produzione,7,FALSE)</f>
        <v/>
      </c>
      <c r="L1502" s="120" t="n"/>
      <c r="M1502" s="120" t="n"/>
      <c r="N1502" s="118" t="n"/>
      <c r="O1502" s="121" t="n"/>
      <c r="P1502" s="121" t="n"/>
      <c r="Q1502" s="166">
        <f>TODAY()</f>
        <v/>
      </c>
      <c r="R1502" s="165">
        <f>ElencoProdotti[[#This Row],[PRODUZIONE]]+20</f>
        <v/>
      </c>
      <c r="S1502" s="165">
        <f>TODAY()</f>
        <v/>
      </c>
      <c r="T1502" s="133">
        <f>CONCATENATE(A1502," - contiene allergni - prodotto il giorno ",TEXT(Q1502,"gg/mm/aaaa"),"")</f>
        <v/>
      </c>
    </row>
    <row r="1503" ht="15" customHeight="1" s="155">
      <c r="A1503" s="134">
        <f>ric!B1503</f>
        <v/>
      </c>
      <c r="B1503" s="118">
        <f>ric!C1503</f>
        <v/>
      </c>
      <c r="C1503" s="125">
        <f>ric!D1503</f>
        <v/>
      </c>
      <c r="D1503" s="125" t="n"/>
      <c r="E1503" s="125" t="n"/>
      <c r="F1503" s="125" t="n"/>
      <c r="G1503" s="118">
        <f>CONCATENATE(A1503, " ",#REF!, " / ",H1503)</f>
        <v/>
      </c>
      <c r="H1503" s="118" t="n"/>
      <c r="I1503" s="119">
        <f>CONCATENATE(M1503," - ",J1503," - Lotto N° ",K1503,"")</f>
        <v/>
      </c>
      <c r="J1503" s="118" t="n"/>
      <c r="K1503" s="118">
        <f>VLOOKUP(#REF!,Produzione,7,FALSE)</f>
        <v/>
      </c>
      <c r="L1503" s="120" t="n"/>
      <c r="M1503" s="120" t="n"/>
      <c r="N1503" s="118" t="n"/>
      <c r="O1503" s="121" t="n"/>
      <c r="P1503" s="121" t="n"/>
      <c r="Q1503" s="166">
        <f>TODAY()</f>
        <v/>
      </c>
      <c r="R1503" s="165">
        <f>ElencoProdotti[[#This Row],[PRODUZIONE]]+20</f>
        <v/>
      </c>
      <c r="S1503" s="165">
        <f>TODAY()</f>
        <v/>
      </c>
      <c r="T1503" s="133">
        <f>CONCATENATE(A1503," - contiene allergni - prodotto il giorno ",TEXT(Q1503,"gg/mm/aaaa"),"")</f>
        <v/>
      </c>
    </row>
    <row r="1504" ht="15" customHeight="1" s="155">
      <c r="A1504" s="134">
        <f>ric!B1504</f>
        <v/>
      </c>
      <c r="B1504" s="118">
        <f>ric!C1504</f>
        <v/>
      </c>
      <c r="C1504" s="125">
        <f>ric!D1504</f>
        <v/>
      </c>
      <c r="D1504" s="125" t="n"/>
      <c r="E1504" s="125" t="n"/>
      <c r="F1504" s="125" t="n"/>
      <c r="G1504" s="118">
        <f>CONCATENATE(A1504, " ",#REF!, " / ",H1504)</f>
        <v/>
      </c>
      <c r="H1504" s="118" t="n"/>
      <c r="I1504" s="119">
        <f>CONCATENATE(M1504," - ",J1504," - Lotto N° ",K1504,"")</f>
        <v/>
      </c>
      <c r="J1504" s="118" t="n"/>
      <c r="K1504" s="118">
        <f>VLOOKUP(#REF!,Produzione,7,FALSE)</f>
        <v/>
      </c>
      <c r="L1504" s="120" t="n"/>
      <c r="M1504" s="120" t="n"/>
      <c r="N1504" s="118" t="n"/>
      <c r="O1504" s="121" t="n"/>
      <c r="P1504" s="121" t="n"/>
      <c r="Q1504" s="166">
        <f>TODAY()</f>
        <v/>
      </c>
      <c r="R1504" s="165">
        <f>ElencoProdotti[[#This Row],[PRODUZIONE]]+20</f>
        <v/>
      </c>
      <c r="S1504" s="165">
        <f>TODAY()</f>
        <v/>
      </c>
      <c r="T1504" s="133">
        <f>CONCATENATE(A1504," - contiene allergni - prodotto il giorno ",TEXT(Q1504,"gg/mm/aaaa"),"")</f>
        <v/>
      </c>
    </row>
    <row r="1505" ht="15" customHeight="1" s="155">
      <c r="A1505" s="134">
        <f>ric!B1505</f>
        <v/>
      </c>
      <c r="B1505" s="118">
        <f>ric!C1505</f>
        <v/>
      </c>
      <c r="C1505" s="125">
        <f>ric!D1505</f>
        <v/>
      </c>
      <c r="D1505" s="125" t="n"/>
      <c r="E1505" s="125" t="n"/>
      <c r="F1505" s="125" t="n"/>
      <c r="G1505" s="118">
        <f>CONCATENATE(A1505, " ",#REF!, " / ",H1505)</f>
        <v/>
      </c>
      <c r="H1505" s="118" t="n"/>
      <c r="I1505" s="119">
        <f>CONCATENATE(M1505," - ",J1505," - Lotto N° ",K1505,"")</f>
        <v/>
      </c>
      <c r="J1505" s="118" t="n"/>
      <c r="K1505" s="118">
        <f>VLOOKUP(#REF!,Produzione,7,FALSE)</f>
        <v/>
      </c>
      <c r="L1505" s="120" t="n"/>
      <c r="M1505" s="120" t="n"/>
      <c r="N1505" s="118" t="n"/>
      <c r="O1505" s="121" t="n"/>
      <c r="P1505" s="121" t="n"/>
      <c r="Q1505" s="166">
        <f>TODAY()</f>
        <v/>
      </c>
      <c r="R1505" s="165">
        <f>ElencoProdotti[[#This Row],[PRODUZIONE]]+20</f>
        <v/>
      </c>
      <c r="S1505" s="165">
        <f>TODAY()</f>
        <v/>
      </c>
      <c r="T1505" s="133">
        <f>CONCATENATE(A1505," - contiene allergni - prodotto il giorno ",TEXT(Q1505,"gg/mm/aaaa"),"")</f>
        <v/>
      </c>
    </row>
    <row r="1506" ht="15" customHeight="1" s="155">
      <c r="A1506" s="134">
        <f>ric!B1506</f>
        <v/>
      </c>
      <c r="B1506" s="118">
        <f>ric!C1506</f>
        <v/>
      </c>
      <c r="C1506" s="125">
        <f>ric!D1506</f>
        <v/>
      </c>
      <c r="D1506" s="125" t="n"/>
      <c r="E1506" s="125" t="n"/>
      <c r="F1506" s="125" t="n"/>
      <c r="G1506" s="118">
        <f>CONCATENATE(A1506, " ",#REF!, " / ",H1506)</f>
        <v/>
      </c>
      <c r="H1506" s="118" t="n"/>
      <c r="I1506" s="119">
        <f>CONCATENATE(M1506," - ",J1506," - Lotto N° ",K1506,"")</f>
        <v/>
      </c>
      <c r="J1506" s="118" t="n"/>
      <c r="K1506" s="118">
        <f>VLOOKUP(#REF!,Produzione,7,FALSE)</f>
        <v/>
      </c>
      <c r="L1506" s="120" t="n"/>
      <c r="M1506" s="120" t="n"/>
      <c r="N1506" s="118" t="n"/>
      <c r="O1506" s="121" t="n"/>
      <c r="P1506" s="121" t="n"/>
      <c r="Q1506" s="166">
        <f>TODAY()</f>
        <v/>
      </c>
      <c r="R1506" s="165">
        <f>ElencoProdotti[[#This Row],[PRODUZIONE]]+20</f>
        <v/>
      </c>
      <c r="S1506" s="165">
        <f>TODAY()</f>
        <v/>
      </c>
      <c r="T1506" s="133">
        <f>CONCATENATE(A1506," - contiene allergni - prodotto il giorno ",TEXT(Q1506,"gg/mm/aaaa"),"")</f>
        <v/>
      </c>
    </row>
    <row r="1507" ht="15" customHeight="1" s="155">
      <c r="A1507" s="134">
        <f>ric!B1507</f>
        <v/>
      </c>
      <c r="B1507" s="118">
        <f>ric!C1507</f>
        <v/>
      </c>
      <c r="C1507" s="125">
        <f>ric!D1507</f>
        <v/>
      </c>
      <c r="D1507" s="125" t="n"/>
      <c r="E1507" s="125" t="n"/>
      <c r="F1507" s="125" t="n"/>
      <c r="G1507" s="118">
        <f>CONCATENATE(A1507, " ",#REF!, " / ",H1507)</f>
        <v/>
      </c>
      <c r="H1507" s="118" t="n"/>
      <c r="I1507" s="119">
        <f>CONCATENATE(M1507," - ",J1507," - Lotto N° ",K1507,"")</f>
        <v/>
      </c>
      <c r="J1507" s="118" t="n"/>
      <c r="K1507" s="118">
        <f>VLOOKUP(#REF!,Produzione,7,FALSE)</f>
        <v/>
      </c>
      <c r="L1507" s="120" t="n"/>
      <c r="M1507" s="120" t="n"/>
      <c r="N1507" s="118" t="n"/>
      <c r="O1507" s="121" t="n"/>
      <c r="P1507" s="121" t="n"/>
      <c r="Q1507" s="166">
        <f>TODAY()</f>
        <v/>
      </c>
      <c r="R1507" s="165">
        <f>ElencoProdotti[[#This Row],[PRODUZIONE]]+20</f>
        <v/>
      </c>
      <c r="S1507" s="165">
        <f>TODAY()</f>
        <v/>
      </c>
      <c r="T1507" s="133">
        <f>CONCATENATE(A1507," - contiene allergni - prodotto il giorno ",TEXT(Q1507,"gg/mm/aaaa"),"")</f>
        <v/>
      </c>
    </row>
    <row r="1508" ht="15" customHeight="1" s="155">
      <c r="A1508" s="134">
        <f>ric!B1508</f>
        <v/>
      </c>
      <c r="B1508" s="118">
        <f>ric!C1508</f>
        <v/>
      </c>
      <c r="C1508" s="125">
        <f>ric!D1508</f>
        <v/>
      </c>
      <c r="D1508" s="125" t="n"/>
      <c r="E1508" s="125" t="n"/>
      <c r="F1508" s="125" t="n"/>
      <c r="G1508" s="118">
        <f>CONCATENATE(A1508, " ",#REF!, " / ",H1508)</f>
        <v/>
      </c>
      <c r="H1508" s="118" t="n"/>
      <c r="I1508" s="119">
        <f>CONCATENATE(M1508," - ",J1508," - Lotto N° ",K1508,"")</f>
        <v/>
      </c>
      <c r="J1508" s="118" t="n"/>
      <c r="K1508" s="118">
        <f>VLOOKUP(#REF!,Produzione,7,FALSE)</f>
        <v/>
      </c>
      <c r="L1508" s="120" t="n"/>
      <c r="M1508" s="120" t="n"/>
      <c r="N1508" s="118" t="n"/>
      <c r="O1508" s="121" t="n"/>
      <c r="P1508" s="121" t="n"/>
      <c r="Q1508" s="166">
        <f>TODAY()</f>
        <v/>
      </c>
      <c r="R1508" s="165">
        <f>ElencoProdotti[[#This Row],[PRODUZIONE]]+20</f>
        <v/>
      </c>
      <c r="S1508" s="165">
        <f>TODAY()</f>
        <v/>
      </c>
      <c r="T1508" s="133">
        <f>CONCATENATE(A1508," - contiene allergni - prodotto il giorno ",TEXT(Q1508,"gg/mm/aaaa"),"")</f>
        <v/>
      </c>
    </row>
    <row r="1509" ht="15" customHeight="1" s="155">
      <c r="A1509" s="134">
        <f>ric!B1509</f>
        <v/>
      </c>
      <c r="B1509" s="118">
        <f>ric!C1509</f>
        <v/>
      </c>
      <c r="C1509" s="125">
        <f>ric!D1509</f>
        <v/>
      </c>
      <c r="D1509" s="125" t="n"/>
      <c r="E1509" s="125" t="n"/>
      <c r="F1509" s="125" t="n"/>
      <c r="G1509" s="118">
        <f>CONCATENATE(A1509, " ",#REF!, " / ",H1509)</f>
        <v/>
      </c>
      <c r="H1509" s="118" t="n"/>
      <c r="I1509" s="119">
        <f>CONCATENATE(M1509," - ",J1509," - Lotto N° ",K1509,"")</f>
        <v/>
      </c>
      <c r="J1509" s="118" t="n"/>
      <c r="K1509" s="118">
        <f>VLOOKUP(#REF!,Produzione,7,FALSE)</f>
        <v/>
      </c>
      <c r="L1509" s="120" t="n"/>
      <c r="M1509" s="120" t="n"/>
      <c r="N1509" s="118" t="n"/>
      <c r="O1509" s="121" t="n"/>
      <c r="P1509" s="121" t="n"/>
      <c r="Q1509" s="166">
        <f>TODAY()</f>
        <v/>
      </c>
      <c r="R1509" s="165">
        <f>ElencoProdotti[[#This Row],[PRODUZIONE]]+20</f>
        <v/>
      </c>
      <c r="S1509" s="165">
        <f>TODAY()</f>
        <v/>
      </c>
      <c r="T1509" s="133">
        <f>CONCATENATE(A1509," - contiene allergni - prodotto il giorno ",TEXT(Q1509,"gg/mm/aaaa"),"")</f>
        <v/>
      </c>
    </row>
    <row r="1510" ht="15" customHeight="1" s="155">
      <c r="A1510" s="134">
        <f>ric!B1510</f>
        <v/>
      </c>
      <c r="B1510" s="118">
        <f>ric!C1510</f>
        <v/>
      </c>
      <c r="C1510" s="125">
        <f>ric!D1510</f>
        <v/>
      </c>
      <c r="D1510" s="125" t="n"/>
      <c r="E1510" s="125" t="n"/>
      <c r="F1510" s="125" t="n"/>
      <c r="G1510" s="118">
        <f>CONCATENATE(A1510, " ",#REF!, " / ",H1510)</f>
        <v/>
      </c>
      <c r="H1510" s="118" t="n"/>
      <c r="I1510" s="119">
        <f>CONCATENATE(M1510," - ",J1510," - Lotto N° ",K1510,"")</f>
        <v/>
      </c>
      <c r="J1510" s="118" t="n"/>
      <c r="K1510" s="118">
        <f>VLOOKUP(#REF!,Produzione,7,FALSE)</f>
        <v/>
      </c>
      <c r="L1510" s="120" t="n"/>
      <c r="M1510" s="120" t="n"/>
      <c r="N1510" s="118" t="n"/>
      <c r="O1510" s="121" t="n"/>
      <c r="P1510" s="121" t="n"/>
      <c r="Q1510" s="166">
        <f>TODAY()</f>
        <v/>
      </c>
      <c r="R1510" s="165">
        <f>ElencoProdotti[[#This Row],[PRODUZIONE]]+20</f>
        <v/>
      </c>
      <c r="S1510" s="165">
        <f>TODAY()</f>
        <v/>
      </c>
      <c r="T1510" s="133">
        <f>CONCATENATE(A1510," - contiene allergni - prodotto il giorno ",TEXT(Q1510,"gg/mm/aaaa"),"")</f>
        <v/>
      </c>
    </row>
    <row r="1511" ht="15" customHeight="1" s="155">
      <c r="A1511" s="134">
        <f>ric!B1511</f>
        <v/>
      </c>
      <c r="B1511" s="118">
        <f>ric!C1511</f>
        <v/>
      </c>
      <c r="C1511" s="125">
        <f>ric!D1511</f>
        <v/>
      </c>
      <c r="D1511" s="125" t="n"/>
      <c r="E1511" s="125" t="n"/>
      <c r="F1511" s="125" t="n"/>
      <c r="G1511" s="118">
        <f>CONCATENATE(A1511, " ",#REF!, " / ",H1511)</f>
        <v/>
      </c>
      <c r="H1511" s="118" t="n"/>
      <c r="I1511" s="119">
        <f>CONCATENATE(M1511," - ",J1511," - Lotto N° ",K1511,"")</f>
        <v/>
      </c>
      <c r="J1511" s="118" t="n"/>
      <c r="K1511" s="118">
        <f>VLOOKUP(#REF!,Produzione,7,FALSE)</f>
        <v/>
      </c>
      <c r="L1511" s="120" t="n"/>
      <c r="M1511" s="120" t="n"/>
      <c r="N1511" s="118" t="n"/>
      <c r="O1511" s="121" t="n"/>
      <c r="P1511" s="121" t="n"/>
      <c r="Q1511" s="166">
        <f>TODAY()</f>
        <v/>
      </c>
      <c r="R1511" s="165">
        <f>ElencoProdotti[[#This Row],[PRODUZIONE]]+20</f>
        <v/>
      </c>
      <c r="S1511" s="165">
        <f>TODAY()</f>
        <v/>
      </c>
      <c r="T1511" s="133">
        <f>CONCATENATE(A1511," - contiene allergni - prodotto il giorno ",TEXT(Q1511,"gg/mm/aaaa"),"")</f>
        <v/>
      </c>
    </row>
    <row r="1512" ht="15" customHeight="1" s="155">
      <c r="A1512" s="134">
        <f>ric!B1512</f>
        <v/>
      </c>
      <c r="B1512" s="118">
        <f>ric!C1512</f>
        <v/>
      </c>
      <c r="C1512" s="125">
        <f>ric!D1512</f>
        <v/>
      </c>
      <c r="D1512" s="125" t="n"/>
      <c r="E1512" s="125" t="n"/>
      <c r="F1512" s="125" t="n"/>
      <c r="G1512" s="118">
        <f>CONCATENATE(A1512, " ",#REF!, " / ",H1512)</f>
        <v/>
      </c>
      <c r="H1512" s="118" t="n"/>
      <c r="I1512" s="119">
        <f>CONCATENATE(M1512," - ",J1512," - Lotto N° ",K1512,"")</f>
        <v/>
      </c>
      <c r="J1512" s="118" t="n"/>
      <c r="K1512" s="118">
        <f>VLOOKUP(#REF!,Produzione,7,FALSE)</f>
        <v/>
      </c>
      <c r="L1512" s="120" t="n"/>
      <c r="M1512" s="120" t="n"/>
      <c r="N1512" s="118" t="n"/>
      <c r="O1512" s="121" t="n"/>
      <c r="P1512" s="121" t="n"/>
      <c r="Q1512" s="166">
        <f>TODAY()</f>
        <v/>
      </c>
      <c r="R1512" s="165">
        <f>ElencoProdotti[[#This Row],[PRODUZIONE]]+20</f>
        <v/>
      </c>
      <c r="S1512" s="165">
        <f>TODAY()</f>
        <v/>
      </c>
      <c r="T1512" s="133">
        <f>CONCATENATE(A1512," - contiene allergni - prodotto il giorno ",TEXT(Q1512,"gg/mm/aaaa"),"")</f>
        <v/>
      </c>
    </row>
    <row r="1513" ht="15" customHeight="1" s="155">
      <c r="A1513" s="134">
        <f>ric!B1513</f>
        <v/>
      </c>
      <c r="B1513" s="118">
        <f>ric!C1513</f>
        <v/>
      </c>
      <c r="C1513" s="125">
        <f>ric!D1513</f>
        <v/>
      </c>
      <c r="D1513" s="125" t="n"/>
      <c r="E1513" s="125" t="n"/>
      <c r="F1513" s="125" t="n"/>
      <c r="G1513" s="118">
        <f>CONCATENATE(A1513, " ",#REF!, " / ",H1513)</f>
        <v/>
      </c>
      <c r="H1513" s="118" t="n"/>
      <c r="I1513" s="119">
        <f>CONCATENATE(M1513," - ",J1513," - Lotto N° ",K1513,"")</f>
        <v/>
      </c>
      <c r="J1513" s="118" t="n"/>
      <c r="K1513" s="118">
        <f>VLOOKUP(#REF!,Produzione,7,FALSE)</f>
        <v/>
      </c>
      <c r="L1513" s="120" t="n"/>
      <c r="M1513" s="120" t="n"/>
      <c r="N1513" s="118" t="n"/>
      <c r="O1513" s="121" t="n"/>
      <c r="P1513" s="121" t="n"/>
      <c r="Q1513" s="166">
        <f>TODAY()</f>
        <v/>
      </c>
      <c r="R1513" s="165">
        <f>ElencoProdotti[[#This Row],[PRODUZIONE]]+20</f>
        <v/>
      </c>
      <c r="S1513" s="165">
        <f>TODAY()</f>
        <v/>
      </c>
      <c r="T1513" s="133">
        <f>CONCATENATE(A1513," - contiene allergni - prodotto il giorno ",TEXT(Q1513,"gg/mm/aaaa"),"")</f>
        <v/>
      </c>
    </row>
    <row r="1514" ht="15" customHeight="1" s="155">
      <c r="A1514" s="134">
        <f>ric!B1514</f>
        <v/>
      </c>
      <c r="B1514" s="118">
        <f>ric!C1514</f>
        <v/>
      </c>
      <c r="C1514" s="125">
        <f>ric!D1514</f>
        <v/>
      </c>
      <c r="D1514" s="125" t="n"/>
      <c r="E1514" s="125" t="n"/>
      <c r="F1514" s="125" t="n"/>
      <c r="G1514" s="118">
        <f>CONCATENATE(A1514, " ",#REF!, " / ",H1514)</f>
        <v/>
      </c>
      <c r="H1514" s="118" t="n"/>
      <c r="I1514" s="119">
        <f>CONCATENATE(M1514," - ",J1514," - Lotto N° ",K1514,"")</f>
        <v/>
      </c>
      <c r="J1514" s="118" t="n"/>
      <c r="K1514" s="118">
        <f>VLOOKUP(#REF!,Produzione,7,FALSE)</f>
        <v/>
      </c>
      <c r="L1514" s="120" t="n"/>
      <c r="M1514" s="120" t="n"/>
      <c r="N1514" s="118" t="n"/>
      <c r="O1514" s="121" t="n"/>
      <c r="P1514" s="121" t="n"/>
      <c r="Q1514" s="166">
        <f>TODAY()</f>
        <v/>
      </c>
      <c r="R1514" s="165">
        <f>ElencoProdotti[[#This Row],[PRODUZIONE]]+20</f>
        <v/>
      </c>
      <c r="S1514" s="165">
        <f>TODAY()</f>
        <v/>
      </c>
      <c r="T1514" s="133">
        <f>CONCATENATE(A1514," - contiene allergni - prodotto il giorno ",TEXT(Q1514,"gg/mm/aaaa"),"")</f>
        <v/>
      </c>
    </row>
    <row r="1515" ht="15" customHeight="1" s="155">
      <c r="A1515" s="134">
        <f>ric!B1515</f>
        <v/>
      </c>
      <c r="B1515" s="118">
        <f>ric!C1515</f>
        <v/>
      </c>
      <c r="C1515" s="125">
        <f>ric!D1515</f>
        <v/>
      </c>
      <c r="D1515" s="125" t="n"/>
      <c r="E1515" s="125" t="n"/>
      <c r="F1515" s="125" t="n"/>
      <c r="G1515" s="118">
        <f>CONCATENATE(A1515, " ",#REF!, " / ",H1515)</f>
        <v/>
      </c>
      <c r="H1515" s="118" t="n"/>
      <c r="I1515" s="119">
        <f>CONCATENATE(M1515," - ",J1515," - Lotto N° ",K1515,"")</f>
        <v/>
      </c>
      <c r="J1515" s="118" t="n"/>
      <c r="K1515" s="118">
        <f>VLOOKUP(#REF!,Produzione,7,FALSE)</f>
        <v/>
      </c>
      <c r="L1515" s="120" t="n"/>
      <c r="M1515" s="120" t="n"/>
      <c r="N1515" s="118" t="n"/>
      <c r="O1515" s="121" t="n"/>
      <c r="P1515" s="121" t="n"/>
      <c r="Q1515" s="166">
        <f>TODAY()</f>
        <v/>
      </c>
      <c r="R1515" s="165">
        <f>ElencoProdotti[[#This Row],[PRODUZIONE]]+20</f>
        <v/>
      </c>
      <c r="S1515" s="165">
        <f>TODAY()</f>
        <v/>
      </c>
      <c r="T1515" s="133">
        <f>CONCATENATE(A1515," - contiene allergni - prodotto il giorno ",TEXT(Q1515,"gg/mm/aaaa"),"")</f>
        <v/>
      </c>
    </row>
    <row r="1516" ht="15" customHeight="1" s="155">
      <c r="A1516" s="134">
        <f>ric!B1516</f>
        <v/>
      </c>
      <c r="B1516" s="118">
        <f>ric!C1516</f>
        <v/>
      </c>
      <c r="C1516" s="125">
        <f>ric!D1516</f>
        <v/>
      </c>
      <c r="D1516" s="125" t="n"/>
      <c r="E1516" s="125" t="n"/>
      <c r="F1516" s="125" t="n"/>
      <c r="G1516" s="118">
        <f>CONCATENATE(A1516, " ",#REF!, " / ",H1516)</f>
        <v/>
      </c>
      <c r="H1516" s="118" t="n"/>
      <c r="I1516" s="119">
        <f>CONCATENATE(M1516," - ",J1516," - Lotto N° ",K1516,"")</f>
        <v/>
      </c>
      <c r="J1516" s="118" t="n"/>
      <c r="K1516" s="118">
        <f>VLOOKUP(#REF!,Produzione,7,FALSE)</f>
        <v/>
      </c>
      <c r="L1516" s="120" t="n"/>
      <c r="M1516" s="120" t="n"/>
      <c r="N1516" s="118" t="n"/>
      <c r="O1516" s="121" t="n"/>
      <c r="P1516" s="121" t="n"/>
      <c r="Q1516" s="166">
        <f>TODAY()</f>
        <v/>
      </c>
      <c r="R1516" s="165">
        <f>ElencoProdotti[[#This Row],[PRODUZIONE]]+20</f>
        <v/>
      </c>
      <c r="S1516" s="165">
        <f>TODAY()</f>
        <v/>
      </c>
      <c r="T1516" s="133">
        <f>CONCATENATE(A1516," - contiene allergni - prodotto il giorno ",TEXT(Q1516,"gg/mm/aaaa"),"")</f>
        <v/>
      </c>
    </row>
    <row r="1517" ht="15" customHeight="1" s="155">
      <c r="A1517" s="134">
        <f>ric!B1517</f>
        <v/>
      </c>
      <c r="B1517" s="118">
        <f>ric!C1517</f>
        <v/>
      </c>
      <c r="C1517" s="125">
        <f>ric!D1517</f>
        <v/>
      </c>
      <c r="D1517" s="125" t="n"/>
      <c r="E1517" s="125" t="n"/>
      <c r="F1517" s="125" t="n"/>
      <c r="G1517" s="118">
        <f>CONCATENATE(A1517, " ",#REF!, " / ",H1517)</f>
        <v/>
      </c>
      <c r="H1517" s="118" t="n"/>
      <c r="I1517" s="119">
        <f>CONCATENATE(M1517," - ",J1517," - Lotto N° ",K1517,"")</f>
        <v/>
      </c>
      <c r="J1517" s="118" t="n"/>
      <c r="K1517" s="118">
        <f>VLOOKUP(#REF!,Produzione,7,FALSE)</f>
        <v/>
      </c>
      <c r="L1517" s="120" t="n"/>
      <c r="M1517" s="120" t="n"/>
      <c r="N1517" s="118" t="n"/>
      <c r="O1517" s="121" t="n"/>
      <c r="P1517" s="121" t="n"/>
      <c r="Q1517" s="166">
        <f>TODAY()</f>
        <v/>
      </c>
      <c r="R1517" s="165">
        <f>ElencoProdotti[[#This Row],[PRODUZIONE]]+20</f>
        <v/>
      </c>
      <c r="S1517" s="165">
        <f>TODAY()</f>
        <v/>
      </c>
      <c r="T1517" s="133">
        <f>CONCATENATE(A1517," - contiene allergni - prodotto il giorno ",TEXT(Q1517,"gg/mm/aaaa"),"")</f>
        <v/>
      </c>
    </row>
    <row r="1518" ht="15" customHeight="1" s="155">
      <c r="A1518" s="134">
        <f>ric!B1518</f>
        <v/>
      </c>
      <c r="B1518" s="118">
        <f>ric!C1518</f>
        <v/>
      </c>
      <c r="C1518" s="125">
        <f>ric!D1518</f>
        <v/>
      </c>
      <c r="D1518" s="125" t="n"/>
      <c r="E1518" s="125" t="n"/>
      <c r="F1518" s="125" t="n"/>
      <c r="G1518" s="118">
        <f>CONCATENATE(A1518, " ",#REF!, " / ",H1518)</f>
        <v/>
      </c>
      <c r="H1518" s="118" t="n"/>
      <c r="I1518" s="119">
        <f>CONCATENATE(M1518," - ",J1518," - Lotto N° ",K1518,"")</f>
        <v/>
      </c>
      <c r="J1518" s="118" t="n"/>
      <c r="K1518" s="118">
        <f>VLOOKUP(#REF!,Produzione,7,FALSE)</f>
        <v/>
      </c>
      <c r="L1518" s="120" t="n"/>
      <c r="M1518" s="120" t="n"/>
      <c r="N1518" s="118" t="n"/>
      <c r="O1518" s="121" t="n"/>
      <c r="P1518" s="121" t="n"/>
      <c r="Q1518" s="166">
        <f>TODAY()</f>
        <v/>
      </c>
      <c r="R1518" s="165">
        <f>ElencoProdotti[[#This Row],[PRODUZIONE]]+20</f>
        <v/>
      </c>
      <c r="S1518" s="165">
        <f>TODAY()</f>
        <v/>
      </c>
      <c r="T1518" s="133">
        <f>CONCATENATE(A1518," - contiene allergni - prodotto il giorno ",TEXT(Q1518,"gg/mm/aaaa"),"")</f>
        <v/>
      </c>
    </row>
    <row r="1519" ht="15" customHeight="1" s="155">
      <c r="A1519" s="134">
        <f>ric!B1519</f>
        <v/>
      </c>
      <c r="B1519" s="118">
        <f>ric!C1519</f>
        <v/>
      </c>
      <c r="C1519" s="125">
        <f>ric!D1519</f>
        <v/>
      </c>
      <c r="D1519" s="125" t="n"/>
      <c r="E1519" s="125" t="n"/>
      <c r="F1519" s="125" t="n"/>
      <c r="G1519" s="118">
        <f>CONCATENATE(A1519, " ",#REF!, " / ",H1519)</f>
        <v/>
      </c>
      <c r="H1519" s="118" t="n"/>
      <c r="I1519" s="119">
        <f>CONCATENATE(M1519," - ",J1519," - Lotto N° ",K1519,"")</f>
        <v/>
      </c>
      <c r="J1519" s="118" t="n"/>
      <c r="K1519" s="118">
        <f>VLOOKUP(#REF!,Produzione,7,FALSE)</f>
        <v/>
      </c>
      <c r="L1519" s="120" t="n"/>
      <c r="M1519" s="120" t="n"/>
      <c r="N1519" s="118" t="n"/>
      <c r="O1519" s="121" t="n"/>
      <c r="P1519" s="121" t="n"/>
      <c r="Q1519" s="166">
        <f>TODAY()</f>
        <v/>
      </c>
      <c r="R1519" s="165">
        <f>ElencoProdotti[[#This Row],[PRODUZIONE]]+20</f>
        <v/>
      </c>
      <c r="S1519" s="165">
        <f>TODAY()</f>
        <v/>
      </c>
      <c r="T1519" s="133">
        <f>CONCATENATE(A1519," - contiene allergni - prodotto il giorno ",TEXT(Q1519,"gg/mm/aaaa"),"")</f>
        <v/>
      </c>
    </row>
    <row r="1520" ht="15" customHeight="1" s="155">
      <c r="A1520" s="134">
        <f>ric!B1520</f>
        <v/>
      </c>
      <c r="B1520" s="118">
        <f>ric!C1520</f>
        <v/>
      </c>
      <c r="C1520" s="125">
        <f>ric!D1520</f>
        <v/>
      </c>
      <c r="D1520" s="125" t="n"/>
      <c r="E1520" s="125" t="n"/>
      <c r="F1520" s="125" t="n"/>
      <c r="G1520" s="118">
        <f>CONCATENATE(A1520, " ",#REF!, " / ",H1520)</f>
        <v/>
      </c>
      <c r="H1520" s="118" t="n"/>
      <c r="I1520" s="119">
        <f>CONCATENATE(M1520," - ",J1520," - Lotto N° ",K1520,"")</f>
        <v/>
      </c>
      <c r="J1520" s="118" t="n"/>
      <c r="K1520" s="118">
        <f>VLOOKUP(#REF!,Produzione,7,FALSE)</f>
        <v/>
      </c>
      <c r="L1520" s="120" t="n"/>
      <c r="M1520" s="120" t="n"/>
      <c r="N1520" s="118" t="n"/>
      <c r="O1520" s="121" t="n"/>
      <c r="P1520" s="121" t="n"/>
      <c r="Q1520" s="166">
        <f>TODAY()</f>
        <v/>
      </c>
      <c r="R1520" s="165">
        <f>ElencoProdotti[[#This Row],[PRODUZIONE]]+20</f>
        <v/>
      </c>
      <c r="S1520" s="165">
        <f>TODAY()</f>
        <v/>
      </c>
      <c r="T1520" s="133">
        <f>CONCATENATE(A1520," - contiene allergni - prodotto il giorno ",TEXT(Q1520,"gg/mm/aaaa"),"")</f>
        <v/>
      </c>
    </row>
    <row r="1521" ht="15" customHeight="1" s="155">
      <c r="A1521" s="134">
        <f>ric!B1521</f>
        <v/>
      </c>
      <c r="B1521" s="118">
        <f>ric!C1521</f>
        <v/>
      </c>
      <c r="C1521" s="125">
        <f>ric!D1521</f>
        <v/>
      </c>
      <c r="D1521" s="125" t="n"/>
      <c r="E1521" s="125" t="n"/>
      <c r="F1521" s="125" t="n"/>
      <c r="G1521" s="118">
        <f>CONCATENATE(A1521, " ",#REF!, " / ",H1521)</f>
        <v/>
      </c>
      <c r="H1521" s="118" t="n"/>
      <c r="I1521" s="119">
        <f>CONCATENATE(M1521," - ",J1521," - Lotto N° ",K1521,"")</f>
        <v/>
      </c>
      <c r="J1521" s="118" t="n"/>
      <c r="K1521" s="118">
        <f>VLOOKUP(#REF!,Produzione,7,FALSE)</f>
        <v/>
      </c>
      <c r="L1521" s="120" t="n"/>
      <c r="M1521" s="120" t="n"/>
      <c r="N1521" s="118" t="n"/>
      <c r="O1521" s="121" t="n"/>
      <c r="P1521" s="121" t="n"/>
      <c r="Q1521" s="166">
        <f>TODAY()</f>
        <v/>
      </c>
      <c r="R1521" s="165">
        <f>ElencoProdotti[[#This Row],[PRODUZIONE]]+20</f>
        <v/>
      </c>
      <c r="S1521" s="165">
        <f>TODAY()</f>
        <v/>
      </c>
      <c r="T1521" s="133">
        <f>CONCATENATE(A1521," - contiene allergni - prodotto il giorno ",TEXT(Q1521,"gg/mm/aaaa"),"")</f>
        <v/>
      </c>
    </row>
    <row r="1522" ht="15" customHeight="1" s="155">
      <c r="A1522" s="134">
        <f>ric!B1522</f>
        <v/>
      </c>
      <c r="B1522" s="118">
        <f>ric!C1522</f>
        <v/>
      </c>
      <c r="C1522" s="125">
        <f>ric!D1522</f>
        <v/>
      </c>
      <c r="D1522" s="125" t="n"/>
      <c r="E1522" s="125" t="n"/>
      <c r="F1522" s="125" t="n"/>
      <c r="G1522" s="118">
        <f>CONCATENATE(A1522, " ",#REF!, " / ",H1522)</f>
        <v/>
      </c>
      <c r="H1522" s="118" t="n"/>
      <c r="I1522" s="119">
        <f>CONCATENATE(M1522," - ",J1522," - Lotto N° ",K1522,"")</f>
        <v/>
      </c>
      <c r="J1522" s="118" t="n"/>
      <c r="K1522" s="118">
        <f>VLOOKUP(#REF!,Produzione,7,FALSE)</f>
        <v/>
      </c>
      <c r="L1522" s="120" t="n"/>
      <c r="M1522" s="120" t="n"/>
      <c r="N1522" s="118" t="n"/>
      <c r="O1522" s="121" t="n"/>
      <c r="P1522" s="121" t="n"/>
      <c r="Q1522" s="166">
        <f>TODAY()</f>
        <v/>
      </c>
      <c r="R1522" s="165">
        <f>ElencoProdotti[[#This Row],[PRODUZIONE]]+20</f>
        <v/>
      </c>
      <c r="S1522" s="165">
        <f>TODAY()</f>
        <v/>
      </c>
      <c r="T1522" s="133">
        <f>CONCATENATE(A1522," - contiene allergni - prodotto il giorno ",TEXT(Q1522,"gg/mm/aaaa"),"")</f>
        <v/>
      </c>
    </row>
    <row r="1523" ht="15" customHeight="1" s="155">
      <c r="A1523" s="134">
        <f>ric!B1523</f>
        <v/>
      </c>
      <c r="B1523" s="118">
        <f>ric!C1523</f>
        <v/>
      </c>
      <c r="C1523" s="125">
        <f>ric!D1523</f>
        <v/>
      </c>
      <c r="D1523" s="125" t="n"/>
      <c r="E1523" s="125" t="n"/>
      <c r="F1523" s="125" t="n"/>
      <c r="G1523" s="118">
        <f>CONCATENATE(A1523, " ",#REF!, " / ",H1523)</f>
        <v/>
      </c>
      <c r="H1523" s="118" t="n"/>
      <c r="I1523" s="119">
        <f>CONCATENATE(M1523," - ",J1523," - Lotto N° ",K1523,"")</f>
        <v/>
      </c>
      <c r="J1523" s="118" t="n"/>
      <c r="K1523" s="118">
        <f>VLOOKUP(#REF!,Produzione,7,FALSE)</f>
        <v/>
      </c>
      <c r="L1523" s="120" t="n"/>
      <c r="M1523" s="120" t="n"/>
      <c r="N1523" s="118" t="n"/>
      <c r="O1523" s="121" t="n"/>
      <c r="P1523" s="121" t="n"/>
      <c r="Q1523" s="166">
        <f>TODAY()</f>
        <v/>
      </c>
      <c r="R1523" s="165">
        <f>ElencoProdotti[[#This Row],[PRODUZIONE]]+20</f>
        <v/>
      </c>
      <c r="S1523" s="165">
        <f>TODAY()</f>
        <v/>
      </c>
      <c r="T1523" s="133">
        <f>CONCATENATE(A1523," - contiene allergni - prodotto il giorno ",TEXT(Q1523,"gg/mm/aaaa"),"")</f>
        <v/>
      </c>
    </row>
    <row r="1524" ht="15" customHeight="1" s="155">
      <c r="A1524" s="134">
        <f>ric!B1524</f>
        <v/>
      </c>
      <c r="B1524" s="118">
        <f>ric!C1524</f>
        <v/>
      </c>
      <c r="C1524" s="125">
        <f>ric!D1524</f>
        <v/>
      </c>
      <c r="D1524" s="125" t="n"/>
      <c r="E1524" s="125" t="n"/>
      <c r="F1524" s="125" t="n"/>
      <c r="G1524" s="118">
        <f>CONCATENATE(A1524, " ",#REF!, " / ",H1524)</f>
        <v/>
      </c>
      <c r="H1524" s="118" t="n"/>
      <c r="I1524" s="119">
        <f>CONCATENATE(M1524," - ",J1524," - Lotto N° ",K1524,"")</f>
        <v/>
      </c>
      <c r="J1524" s="118" t="n"/>
      <c r="K1524" s="118">
        <f>VLOOKUP(#REF!,Produzione,7,FALSE)</f>
        <v/>
      </c>
      <c r="L1524" s="120" t="n"/>
      <c r="M1524" s="120" t="n"/>
      <c r="N1524" s="118" t="n"/>
      <c r="O1524" s="121" t="n"/>
      <c r="P1524" s="121" t="n"/>
      <c r="Q1524" s="166">
        <f>TODAY()</f>
        <v/>
      </c>
      <c r="R1524" s="165">
        <f>ElencoProdotti[[#This Row],[PRODUZIONE]]+20</f>
        <v/>
      </c>
      <c r="S1524" s="165">
        <f>TODAY()</f>
        <v/>
      </c>
      <c r="T1524" s="133">
        <f>CONCATENATE(A1524," - contiene allergni - prodotto il giorno ",TEXT(Q1524,"gg/mm/aaaa"),"")</f>
        <v/>
      </c>
    </row>
    <row r="1525" ht="15" customHeight="1" s="155">
      <c r="A1525" s="134">
        <f>ric!B1525</f>
        <v/>
      </c>
      <c r="B1525" s="118">
        <f>ric!C1525</f>
        <v/>
      </c>
      <c r="C1525" s="125">
        <f>ric!D1525</f>
        <v/>
      </c>
      <c r="D1525" s="125" t="n"/>
      <c r="E1525" s="125" t="n"/>
      <c r="F1525" s="125" t="n"/>
      <c r="G1525" s="118">
        <f>CONCATENATE(A1525, " ",#REF!, " / ",H1525)</f>
        <v/>
      </c>
      <c r="H1525" s="118" t="n"/>
      <c r="I1525" s="119">
        <f>CONCATENATE(M1525," - ",J1525," - Lotto N° ",K1525,"")</f>
        <v/>
      </c>
      <c r="J1525" s="118" t="n"/>
      <c r="K1525" s="118">
        <f>VLOOKUP(#REF!,Produzione,7,FALSE)</f>
        <v/>
      </c>
      <c r="L1525" s="120" t="n"/>
      <c r="M1525" s="120" t="n"/>
      <c r="N1525" s="118" t="n"/>
      <c r="O1525" s="121" t="n"/>
      <c r="P1525" s="121" t="n"/>
      <c r="Q1525" s="166">
        <f>TODAY()</f>
        <v/>
      </c>
      <c r="R1525" s="165">
        <f>ElencoProdotti[[#This Row],[PRODUZIONE]]+20</f>
        <v/>
      </c>
      <c r="S1525" s="165">
        <f>TODAY()</f>
        <v/>
      </c>
      <c r="T1525" s="133">
        <f>CONCATENATE(A1525," - contiene allergni - prodotto il giorno ",TEXT(Q1525,"gg/mm/aaaa"),"")</f>
        <v/>
      </c>
    </row>
    <row r="1526" ht="15" customHeight="1" s="155">
      <c r="A1526" s="134">
        <f>ric!B1526</f>
        <v/>
      </c>
      <c r="B1526" s="118">
        <f>ric!C1526</f>
        <v/>
      </c>
      <c r="C1526" s="125">
        <f>ric!D1526</f>
        <v/>
      </c>
      <c r="D1526" s="125" t="n"/>
      <c r="E1526" s="125" t="n"/>
      <c r="F1526" s="125" t="n"/>
      <c r="G1526" s="118">
        <f>CONCATENATE(A1526, " ",#REF!, " / ",H1526)</f>
        <v/>
      </c>
      <c r="H1526" s="118" t="n"/>
      <c r="I1526" s="119">
        <f>CONCATENATE(M1526," - ",J1526," - Lotto N° ",K1526,"")</f>
        <v/>
      </c>
      <c r="J1526" s="118" t="n"/>
      <c r="K1526" s="118">
        <f>VLOOKUP(#REF!,Produzione,7,FALSE)</f>
        <v/>
      </c>
      <c r="L1526" s="120" t="n"/>
      <c r="M1526" s="120" t="n"/>
      <c r="N1526" s="118" t="n"/>
      <c r="O1526" s="121" t="n"/>
      <c r="P1526" s="121" t="n"/>
      <c r="Q1526" s="166">
        <f>TODAY()</f>
        <v/>
      </c>
      <c r="R1526" s="165">
        <f>ElencoProdotti[[#This Row],[PRODUZIONE]]+20</f>
        <v/>
      </c>
      <c r="S1526" s="165">
        <f>TODAY()</f>
        <v/>
      </c>
      <c r="T1526" s="133">
        <f>CONCATENATE(A1526," - contiene allergni - prodotto il giorno ",TEXT(Q1526,"gg/mm/aaaa"),"")</f>
        <v/>
      </c>
    </row>
    <row r="1527" ht="15" customHeight="1" s="155">
      <c r="A1527" s="134">
        <f>ric!B1527</f>
        <v/>
      </c>
      <c r="B1527" s="118">
        <f>ric!C1527</f>
        <v/>
      </c>
      <c r="C1527" s="125">
        <f>ric!D1527</f>
        <v/>
      </c>
      <c r="D1527" s="125" t="n"/>
      <c r="E1527" s="125" t="n"/>
      <c r="F1527" s="125" t="n"/>
      <c r="G1527" s="118">
        <f>CONCATENATE(A1527, " ",#REF!, " / ",H1527)</f>
        <v/>
      </c>
      <c r="H1527" s="118" t="n"/>
      <c r="I1527" s="119">
        <f>CONCATENATE(M1527," - ",J1527," - Lotto N° ",K1527,"")</f>
        <v/>
      </c>
      <c r="J1527" s="118" t="n"/>
      <c r="K1527" s="118">
        <f>VLOOKUP(#REF!,Produzione,7,FALSE)</f>
        <v/>
      </c>
      <c r="L1527" s="120" t="n"/>
      <c r="M1527" s="120" t="n"/>
      <c r="N1527" s="118" t="n"/>
      <c r="O1527" s="121" t="n"/>
      <c r="P1527" s="121" t="n"/>
      <c r="Q1527" s="166">
        <f>TODAY()</f>
        <v/>
      </c>
      <c r="R1527" s="165">
        <f>ElencoProdotti[[#This Row],[PRODUZIONE]]+20</f>
        <v/>
      </c>
      <c r="S1527" s="165">
        <f>TODAY()</f>
        <v/>
      </c>
      <c r="T1527" s="133">
        <f>CONCATENATE(A1527," - contiene allergni - prodotto il giorno ",TEXT(Q1527,"gg/mm/aaaa"),"")</f>
        <v/>
      </c>
    </row>
    <row r="1528" ht="15" customHeight="1" s="155">
      <c r="A1528" s="134">
        <f>ric!B1528</f>
        <v/>
      </c>
      <c r="B1528" s="118">
        <f>ric!C1528</f>
        <v/>
      </c>
      <c r="C1528" s="125">
        <f>ric!D1528</f>
        <v/>
      </c>
      <c r="D1528" s="125" t="n"/>
      <c r="E1528" s="125" t="n"/>
      <c r="F1528" s="125" t="n"/>
      <c r="G1528" s="118">
        <f>CONCATENATE(A1528, " ",#REF!, " / ",H1528)</f>
        <v/>
      </c>
      <c r="H1528" s="118" t="n"/>
      <c r="I1528" s="119">
        <f>CONCATENATE(M1528," - ",J1528," - Lotto N° ",K1528,"")</f>
        <v/>
      </c>
      <c r="J1528" s="118" t="n"/>
      <c r="K1528" s="118">
        <f>VLOOKUP(#REF!,Produzione,7,FALSE)</f>
        <v/>
      </c>
      <c r="L1528" s="120" t="n"/>
      <c r="M1528" s="120" t="n"/>
      <c r="N1528" s="118" t="n"/>
      <c r="O1528" s="121" t="n"/>
      <c r="P1528" s="121" t="n"/>
      <c r="Q1528" s="166">
        <f>TODAY()</f>
        <v/>
      </c>
      <c r="R1528" s="165">
        <f>ElencoProdotti[[#This Row],[PRODUZIONE]]+20</f>
        <v/>
      </c>
      <c r="S1528" s="165">
        <f>TODAY()</f>
        <v/>
      </c>
      <c r="T1528" s="133">
        <f>CONCATENATE(A1528," - contiene allergni - prodotto il giorno ",TEXT(Q1528,"gg/mm/aaaa"),"")</f>
        <v/>
      </c>
    </row>
    <row r="1529" ht="15" customHeight="1" s="155">
      <c r="A1529" s="134">
        <f>ric!B1529</f>
        <v/>
      </c>
      <c r="B1529" s="118">
        <f>ric!C1529</f>
        <v/>
      </c>
      <c r="C1529" s="125">
        <f>ric!D1529</f>
        <v/>
      </c>
      <c r="D1529" s="125" t="n"/>
      <c r="E1529" s="125" t="n"/>
      <c r="F1529" s="125" t="n"/>
      <c r="G1529" s="118">
        <f>CONCATENATE(A1529, " ",#REF!, " / ",H1529)</f>
        <v/>
      </c>
      <c r="H1529" s="118" t="n"/>
      <c r="I1529" s="119">
        <f>CONCATENATE(M1529," - ",J1529," - Lotto N° ",K1529,"")</f>
        <v/>
      </c>
      <c r="J1529" s="118" t="n"/>
      <c r="K1529" s="118">
        <f>VLOOKUP(#REF!,Produzione,7,FALSE)</f>
        <v/>
      </c>
      <c r="L1529" s="120" t="n"/>
      <c r="M1529" s="120" t="n"/>
      <c r="N1529" s="118" t="n"/>
      <c r="O1529" s="121" t="n"/>
      <c r="P1529" s="121" t="n"/>
      <c r="Q1529" s="166">
        <f>TODAY()</f>
        <v/>
      </c>
      <c r="R1529" s="165">
        <f>ElencoProdotti[[#This Row],[PRODUZIONE]]+20</f>
        <v/>
      </c>
      <c r="S1529" s="165">
        <f>TODAY()</f>
        <v/>
      </c>
      <c r="T1529" s="133">
        <f>CONCATENATE(A1529," - contiene allergni - prodotto il giorno ",TEXT(Q1529,"gg/mm/aaaa"),"")</f>
        <v/>
      </c>
    </row>
    <row r="1530" ht="15" customHeight="1" s="155">
      <c r="A1530" s="134">
        <f>ric!B1530</f>
        <v/>
      </c>
      <c r="B1530" s="118">
        <f>ric!C1530</f>
        <v/>
      </c>
      <c r="C1530" s="125">
        <f>ric!D1530</f>
        <v/>
      </c>
      <c r="D1530" s="125" t="n"/>
      <c r="E1530" s="125" t="n"/>
      <c r="F1530" s="125" t="n"/>
      <c r="G1530" s="118">
        <f>CONCATENATE(A1530, " ",#REF!, " / ",H1530)</f>
        <v/>
      </c>
      <c r="H1530" s="118" t="n"/>
      <c r="I1530" s="119">
        <f>CONCATENATE(M1530," - ",J1530," - Lotto N° ",K1530,"")</f>
        <v/>
      </c>
      <c r="J1530" s="118" t="n"/>
      <c r="K1530" s="118">
        <f>VLOOKUP(#REF!,Produzione,7,FALSE)</f>
        <v/>
      </c>
      <c r="L1530" s="120" t="n"/>
      <c r="M1530" s="120" t="n"/>
      <c r="N1530" s="118" t="n"/>
      <c r="O1530" s="121" t="n"/>
      <c r="P1530" s="121" t="n"/>
      <c r="Q1530" s="166">
        <f>TODAY()</f>
        <v/>
      </c>
      <c r="R1530" s="165">
        <f>ElencoProdotti[[#This Row],[PRODUZIONE]]+20</f>
        <v/>
      </c>
      <c r="S1530" s="165">
        <f>TODAY()</f>
        <v/>
      </c>
      <c r="T1530" s="133">
        <f>CONCATENATE(A1530," - contiene allergni - prodotto il giorno ",TEXT(Q1530,"gg/mm/aaaa"),"")</f>
        <v/>
      </c>
    </row>
    <row r="1531" ht="15" customHeight="1" s="155">
      <c r="A1531" s="134">
        <f>ric!B1531</f>
        <v/>
      </c>
      <c r="B1531" s="118">
        <f>ric!C1531</f>
        <v/>
      </c>
      <c r="C1531" s="125">
        <f>ric!D1531</f>
        <v/>
      </c>
      <c r="D1531" s="125" t="n"/>
      <c r="E1531" s="125" t="n"/>
      <c r="F1531" s="125" t="n"/>
      <c r="G1531" s="118">
        <f>CONCATENATE(A1531, " ",#REF!, " / ",H1531)</f>
        <v/>
      </c>
      <c r="H1531" s="118" t="n"/>
      <c r="I1531" s="119">
        <f>CONCATENATE(M1531," - ",J1531," - Lotto N° ",K1531,"")</f>
        <v/>
      </c>
      <c r="J1531" s="118" t="n"/>
      <c r="K1531" s="118">
        <f>VLOOKUP(#REF!,Produzione,7,FALSE)</f>
        <v/>
      </c>
      <c r="L1531" s="120" t="n"/>
      <c r="M1531" s="120" t="n"/>
      <c r="N1531" s="118" t="n"/>
      <c r="O1531" s="121" t="n"/>
      <c r="P1531" s="121" t="n"/>
      <c r="Q1531" s="166">
        <f>TODAY()</f>
        <v/>
      </c>
      <c r="R1531" s="165">
        <f>ElencoProdotti[[#This Row],[PRODUZIONE]]+20</f>
        <v/>
      </c>
      <c r="S1531" s="165">
        <f>TODAY()</f>
        <v/>
      </c>
      <c r="T1531" s="133">
        <f>CONCATENATE(A1531," - contiene allergni - prodotto il giorno ",TEXT(Q1531,"gg/mm/aaaa"),"")</f>
        <v/>
      </c>
    </row>
    <row r="1532" ht="15" customHeight="1" s="155">
      <c r="A1532" s="134">
        <f>ric!B1532</f>
        <v/>
      </c>
      <c r="B1532" s="118">
        <f>ric!C1532</f>
        <v/>
      </c>
      <c r="C1532" s="125">
        <f>ric!D1532</f>
        <v/>
      </c>
      <c r="D1532" s="125" t="n"/>
      <c r="E1532" s="125" t="n"/>
      <c r="F1532" s="125" t="n"/>
      <c r="G1532" s="118">
        <f>CONCATENATE(A1532, " ",#REF!, " / ",H1532)</f>
        <v/>
      </c>
      <c r="H1532" s="118" t="n"/>
      <c r="I1532" s="119">
        <f>CONCATENATE(M1532," - ",J1532," - Lotto N° ",K1532,"")</f>
        <v/>
      </c>
      <c r="J1532" s="118" t="n"/>
      <c r="K1532" s="118">
        <f>VLOOKUP(#REF!,Produzione,7,FALSE)</f>
        <v/>
      </c>
      <c r="L1532" s="120" t="n"/>
      <c r="M1532" s="120" t="n"/>
      <c r="N1532" s="118" t="n"/>
      <c r="O1532" s="121" t="n"/>
      <c r="P1532" s="121" t="n"/>
      <c r="Q1532" s="166">
        <f>TODAY()</f>
        <v/>
      </c>
      <c r="R1532" s="165">
        <f>ElencoProdotti[[#This Row],[PRODUZIONE]]+20</f>
        <v/>
      </c>
      <c r="S1532" s="165">
        <f>TODAY()</f>
        <v/>
      </c>
      <c r="T1532" s="133">
        <f>CONCATENATE(A1532," - contiene allergni - prodotto il giorno ",TEXT(Q1532,"gg/mm/aaaa"),"")</f>
        <v/>
      </c>
    </row>
    <row r="1533" ht="15" customHeight="1" s="155">
      <c r="A1533" s="134">
        <f>ric!B1533</f>
        <v/>
      </c>
      <c r="B1533" s="118">
        <f>ric!C1533</f>
        <v/>
      </c>
      <c r="C1533" s="125">
        <f>ric!D1533</f>
        <v/>
      </c>
      <c r="D1533" s="125" t="n"/>
      <c r="E1533" s="125" t="n"/>
      <c r="F1533" s="125" t="n"/>
      <c r="G1533" s="118">
        <f>CONCATENATE(A1533, " ",#REF!, " / ",H1533)</f>
        <v/>
      </c>
      <c r="H1533" s="118" t="n"/>
      <c r="I1533" s="119">
        <f>CONCATENATE(M1533," - ",J1533," - Lotto N° ",K1533,"")</f>
        <v/>
      </c>
      <c r="J1533" s="118" t="n"/>
      <c r="K1533" s="118">
        <f>VLOOKUP(#REF!,Produzione,7,FALSE)</f>
        <v/>
      </c>
      <c r="L1533" s="120" t="n"/>
      <c r="M1533" s="120" t="n"/>
      <c r="N1533" s="118" t="n"/>
      <c r="O1533" s="121" t="n"/>
      <c r="P1533" s="121" t="n"/>
      <c r="Q1533" s="166">
        <f>TODAY()</f>
        <v/>
      </c>
      <c r="R1533" s="165">
        <f>ElencoProdotti[[#This Row],[PRODUZIONE]]+20</f>
        <v/>
      </c>
      <c r="S1533" s="165">
        <f>TODAY()</f>
        <v/>
      </c>
      <c r="T1533" s="133">
        <f>CONCATENATE(A1533," - contiene allergni - prodotto il giorno ",TEXT(Q1533,"gg/mm/aaaa"),"")</f>
        <v/>
      </c>
    </row>
    <row r="1534" ht="15" customHeight="1" s="155">
      <c r="A1534" s="134">
        <f>ric!B1534</f>
        <v/>
      </c>
      <c r="B1534" s="118">
        <f>ric!C1534</f>
        <v/>
      </c>
      <c r="C1534" s="125">
        <f>ric!D1534</f>
        <v/>
      </c>
      <c r="D1534" s="125" t="n"/>
      <c r="E1534" s="125" t="n"/>
      <c r="F1534" s="125" t="n"/>
      <c r="G1534" s="118">
        <f>CONCATENATE(A1534, " ",#REF!, " / ",H1534)</f>
        <v/>
      </c>
      <c r="H1534" s="118" t="n"/>
      <c r="I1534" s="119">
        <f>CONCATENATE(M1534," - ",J1534," - Lotto N° ",K1534,"")</f>
        <v/>
      </c>
      <c r="J1534" s="118" t="n"/>
      <c r="K1534" s="118">
        <f>VLOOKUP(#REF!,Produzione,7,FALSE)</f>
        <v/>
      </c>
      <c r="L1534" s="120" t="n"/>
      <c r="M1534" s="120" t="n"/>
      <c r="N1534" s="118" t="n"/>
      <c r="O1534" s="121" t="n"/>
      <c r="P1534" s="121" t="n"/>
      <c r="Q1534" s="166">
        <f>TODAY()</f>
        <v/>
      </c>
      <c r="R1534" s="165">
        <f>ElencoProdotti[[#This Row],[PRODUZIONE]]+20</f>
        <v/>
      </c>
      <c r="S1534" s="165">
        <f>TODAY()</f>
        <v/>
      </c>
      <c r="T1534" s="133">
        <f>CONCATENATE(A1534," - contiene allergni - prodotto il giorno ",TEXT(Q1534,"gg/mm/aaaa"),"")</f>
        <v/>
      </c>
    </row>
    <row r="1535" ht="15" customHeight="1" s="155">
      <c r="A1535" s="134">
        <f>ric!B1535</f>
        <v/>
      </c>
      <c r="B1535" s="118">
        <f>ric!C1535</f>
        <v/>
      </c>
      <c r="C1535" s="125">
        <f>ric!D1535</f>
        <v/>
      </c>
      <c r="D1535" s="125" t="n"/>
      <c r="E1535" s="125" t="n"/>
      <c r="F1535" s="125" t="n"/>
      <c r="G1535" s="118">
        <f>CONCATENATE(A1535, " ",#REF!, " / ",H1535)</f>
        <v/>
      </c>
      <c r="H1535" s="118" t="n"/>
      <c r="I1535" s="119">
        <f>CONCATENATE(M1535," - ",J1535," - Lotto N° ",K1535,"")</f>
        <v/>
      </c>
      <c r="J1535" s="118" t="n"/>
      <c r="K1535" s="118">
        <f>VLOOKUP(#REF!,Produzione,7,FALSE)</f>
        <v/>
      </c>
      <c r="L1535" s="120" t="n"/>
      <c r="M1535" s="120" t="n"/>
      <c r="N1535" s="118" t="n"/>
      <c r="O1535" s="121" t="n"/>
      <c r="P1535" s="121" t="n"/>
      <c r="Q1535" s="166">
        <f>TODAY()</f>
        <v/>
      </c>
      <c r="R1535" s="165">
        <f>ElencoProdotti[[#This Row],[PRODUZIONE]]+20</f>
        <v/>
      </c>
      <c r="S1535" s="165">
        <f>TODAY()</f>
        <v/>
      </c>
      <c r="T1535" s="133">
        <f>CONCATENATE(A1535," - contiene allergni - prodotto il giorno ",TEXT(Q1535,"gg/mm/aaaa"),"")</f>
        <v/>
      </c>
    </row>
    <row r="1536" ht="15" customHeight="1" s="155">
      <c r="A1536" s="134">
        <f>ric!B1536</f>
        <v/>
      </c>
      <c r="B1536" s="118">
        <f>ric!C1536</f>
        <v/>
      </c>
      <c r="C1536" s="125">
        <f>ric!D1536</f>
        <v/>
      </c>
      <c r="D1536" s="125" t="n"/>
      <c r="E1536" s="125" t="n"/>
      <c r="F1536" s="125" t="n"/>
      <c r="G1536" s="118">
        <f>CONCATENATE(A1536, " ",#REF!, " / ",H1536)</f>
        <v/>
      </c>
      <c r="H1536" s="118" t="n"/>
      <c r="I1536" s="119">
        <f>CONCATENATE(M1536," - ",J1536," - Lotto N° ",K1536,"")</f>
        <v/>
      </c>
      <c r="J1536" s="118" t="n"/>
      <c r="K1536" s="118">
        <f>VLOOKUP(#REF!,Produzione,7,FALSE)</f>
        <v/>
      </c>
      <c r="L1536" s="120" t="n"/>
      <c r="M1536" s="120" t="n"/>
      <c r="N1536" s="118" t="n"/>
      <c r="O1536" s="121" t="n"/>
      <c r="P1536" s="121" t="n"/>
      <c r="Q1536" s="166">
        <f>TODAY()</f>
        <v/>
      </c>
      <c r="R1536" s="165">
        <f>ElencoProdotti[[#This Row],[PRODUZIONE]]+20</f>
        <v/>
      </c>
      <c r="S1536" s="165">
        <f>TODAY()</f>
        <v/>
      </c>
      <c r="T1536" s="133">
        <f>CONCATENATE(A1536," - contiene allergni - prodotto il giorno ",TEXT(Q1536,"gg/mm/aaaa"),"")</f>
        <v/>
      </c>
    </row>
    <row r="1537" ht="15" customHeight="1" s="155">
      <c r="A1537" s="134">
        <f>ric!B1537</f>
        <v/>
      </c>
      <c r="B1537" s="118">
        <f>ric!C1537</f>
        <v/>
      </c>
      <c r="C1537" s="125">
        <f>ric!D1537</f>
        <v/>
      </c>
      <c r="D1537" s="125" t="n"/>
      <c r="E1537" s="125" t="n"/>
      <c r="F1537" s="125" t="n"/>
      <c r="G1537" s="118">
        <f>CONCATENATE(A1537, " ",#REF!, " / ",H1537)</f>
        <v/>
      </c>
      <c r="H1537" s="118" t="n"/>
      <c r="I1537" s="119">
        <f>CONCATENATE(M1537," - ",J1537," - Lotto N° ",K1537,"")</f>
        <v/>
      </c>
      <c r="J1537" s="118" t="n"/>
      <c r="K1537" s="118">
        <f>VLOOKUP(#REF!,Produzione,7,FALSE)</f>
        <v/>
      </c>
      <c r="L1537" s="120" t="n"/>
      <c r="M1537" s="120" t="n"/>
      <c r="N1537" s="118" t="n"/>
      <c r="O1537" s="121" t="n"/>
      <c r="P1537" s="121" t="n"/>
      <c r="Q1537" s="166">
        <f>TODAY()</f>
        <v/>
      </c>
      <c r="R1537" s="165">
        <f>ElencoProdotti[[#This Row],[PRODUZIONE]]+20</f>
        <v/>
      </c>
      <c r="S1537" s="165">
        <f>TODAY()</f>
        <v/>
      </c>
      <c r="T1537" s="133">
        <f>CONCATENATE(A1537," - contiene allergni - prodotto il giorno ",TEXT(Q1537,"gg/mm/aaaa"),"")</f>
        <v/>
      </c>
    </row>
    <row r="1538" ht="15" customHeight="1" s="155">
      <c r="A1538" s="134">
        <f>ric!B1538</f>
        <v/>
      </c>
      <c r="B1538" s="118">
        <f>ric!C1538</f>
        <v/>
      </c>
      <c r="C1538" s="125">
        <f>ric!D1538</f>
        <v/>
      </c>
      <c r="D1538" s="125" t="n"/>
      <c r="E1538" s="125" t="n"/>
      <c r="F1538" s="125" t="n"/>
      <c r="G1538" s="118">
        <f>CONCATENATE(A1538, " ",#REF!, " / ",H1538)</f>
        <v/>
      </c>
      <c r="H1538" s="118" t="n"/>
      <c r="I1538" s="119">
        <f>CONCATENATE(M1538," - ",J1538," - Lotto N° ",K1538,"")</f>
        <v/>
      </c>
      <c r="J1538" s="118" t="n"/>
      <c r="K1538" s="118">
        <f>VLOOKUP(#REF!,Produzione,7,FALSE)</f>
        <v/>
      </c>
      <c r="L1538" s="120" t="n"/>
      <c r="M1538" s="120" t="n"/>
      <c r="N1538" s="118" t="n"/>
      <c r="O1538" s="121" t="n"/>
      <c r="P1538" s="121" t="n"/>
      <c r="Q1538" s="166">
        <f>TODAY()</f>
        <v/>
      </c>
      <c r="R1538" s="165">
        <f>ElencoProdotti[[#This Row],[PRODUZIONE]]+20</f>
        <v/>
      </c>
      <c r="S1538" s="165">
        <f>TODAY()</f>
        <v/>
      </c>
      <c r="T1538" s="133">
        <f>CONCATENATE(A1538," - contiene allergni - prodotto il giorno ",TEXT(Q1538,"gg/mm/aaaa"),"")</f>
        <v/>
      </c>
    </row>
    <row r="1539" ht="15" customHeight="1" s="155">
      <c r="A1539" s="134">
        <f>ric!B1539</f>
        <v/>
      </c>
      <c r="B1539" s="118">
        <f>ric!C1539</f>
        <v/>
      </c>
      <c r="C1539" s="125">
        <f>ric!D1539</f>
        <v/>
      </c>
      <c r="D1539" s="125" t="n"/>
      <c r="E1539" s="125" t="n"/>
      <c r="F1539" s="125" t="n"/>
      <c r="G1539" s="118">
        <f>CONCATENATE(A1539, " ",#REF!, " / ",H1539)</f>
        <v/>
      </c>
      <c r="H1539" s="118" t="n"/>
      <c r="I1539" s="119">
        <f>CONCATENATE(M1539," - ",J1539," - Lotto N° ",K1539,"")</f>
        <v/>
      </c>
      <c r="J1539" s="118" t="n"/>
      <c r="K1539" s="118">
        <f>VLOOKUP(#REF!,Produzione,7,FALSE)</f>
        <v/>
      </c>
      <c r="L1539" s="120" t="n"/>
      <c r="M1539" s="120" t="n"/>
      <c r="N1539" s="118" t="n"/>
      <c r="O1539" s="121" t="n"/>
      <c r="P1539" s="121" t="n"/>
      <c r="Q1539" s="166">
        <f>TODAY()</f>
        <v/>
      </c>
      <c r="R1539" s="165">
        <f>ElencoProdotti[[#This Row],[PRODUZIONE]]+20</f>
        <v/>
      </c>
      <c r="S1539" s="165">
        <f>TODAY()</f>
        <v/>
      </c>
      <c r="T1539" s="133">
        <f>CONCATENATE(A1539," - contiene allergni - prodotto il giorno ",TEXT(Q1539,"gg/mm/aaaa"),"")</f>
        <v/>
      </c>
    </row>
    <row r="1540" ht="15" customHeight="1" s="155">
      <c r="A1540" s="134">
        <f>ric!B1540</f>
        <v/>
      </c>
      <c r="B1540" s="118">
        <f>ric!C1540</f>
        <v/>
      </c>
      <c r="C1540" s="125">
        <f>ric!D1540</f>
        <v/>
      </c>
      <c r="D1540" s="125" t="n"/>
      <c r="E1540" s="125" t="n"/>
      <c r="F1540" s="125" t="n"/>
      <c r="G1540" s="118">
        <f>CONCATENATE(A1540, " ",#REF!, " / ",H1540)</f>
        <v/>
      </c>
      <c r="H1540" s="118" t="n"/>
      <c r="I1540" s="119">
        <f>CONCATENATE(M1540," - ",J1540," - Lotto N° ",K1540,"")</f>
        <v/>
      </c>
      <c r="J1540" s="118" t="n"/>
      <c r="K1540" s="118">
        <f>VLOOKUP(#REF!,Produzione,7,FALSE)</f>
        <v/>
      </c>
      <c r="L1540" s="120" t="n"/>
      <c r="M1540" s="120" t="n"/>
      <c r="N1540" s="118" t="n"/>
      <c r="O1540" s="121" t="n"/>
      <c r="P1540" s="121" t="n"/>
      <c r="Q1540" s="166">
        <f>TODAY()</f>
        <v/>
      </c>
      <c r="R1540" s="165">
        <f>ElencoProdotti[[#This Row],[PRODUZIONE]]+20</f>
        <v/>
      </c>
      <c r="S1540" s="165">
        <f>TODAY()</f>
        <v/>
      </c>
      <c r="T1540" s="133">
        <f>CONCATENATE(A1540," - contiene allergni - prodotto il giorno ",TEXT(Q1540,"gg/mm/aaaa"),"")</f>
        <v/>
      </c>
    </row>
    <row r="1541" ht="15" customHeight="1" s="155">
      <c r="A1541" s="134">
        <f>ric!B1541</f>
        <v/>
      </c>
      <c r="B1541" s="118">
        <f>ric!C1541</f>
        <v/>
      </c>
      <c r="C1541" s="125">
        <f>ric!D1541</f>
        <v/>
      </c>
      <c r="D1541" s="125" t="n"/>
      <c r="E1541" s="125" t="n"/>
      <c r="F1541" s="125" t="n"/>
      <c r="G1541" s="118">
        <f>CONCATENATE(A1541, " ",#REF!, " / ",H1541)</f>
        <v/>
      </c>
      <c r="H1541" s="118" t="n"/>
      <c r="I1541" s="119">
        <f>CONCATENATE(M1541," - ",J1541," - Lotto N° ",K1541,"")</f>
        <v/>
      </c>
      <c r="J1541" s="118" t="n"/>
      <c r="K1541" s="118">
        <f>VLOOKUP(#REF!,Produzione,7,FALSE)</f>
        <v/>
      </c>
      <c r="L1541" s="120" t="n"/>
      <c r="M1541" s="120" t="n"/>
      <c r="N1541" s="118" t="n"/>
      <c r="O1541" s="121" t="n"/>
      <c r="P1541" s="121" t="n"/>
      <c r="Q1541" s="166">
        <f>TODAY()</f>
        <v/>
      </c>
      <c r="R1541" s="165">
        <f>ElencoProdotti[[#This Row],[PRODUZIONE]]+20</f>
        <v/>
      </c>
      <c r="S1541" s="165">
        <f>TODAY()</f>
        <v/>
      </c>
      <c r="T1541" s="133">
        <f>CONCATENATE(A1541," - contiene allergni - prodotto il giorno ",TEXT(Q1541,"gg/mm/aaaa"),"")</f>
        <v/>
      </c>
    </row>
    <row r="1542" ht="15" customHeight="1" s="155">
      <c r="A1542" s="134">
        <f>ric!B1542</f>
        <v/>
      </c>
      <c r="B1542" s="118">
        <f>ric!C1542</f>
        <v/>
      </c>
      <c r="C1542" s="125">
        <f>ric!D1542</f>
        <v/>
      </c>
      <c r="D1542" s="125" t="n"/>
      <c r="E1542" s="125" t="n"/>
      <c r="F1542" s="125" t="n"/>
      <c r="G1542" s="118">
        <f>CONCATENATE(A1542, " ",#REF!, " / ",H1542)</f>
        <v/>
      </c>
      <c r="H1542" s="118" t="n"/>
      <c r="I1542" s="119">
        <f>CONCATENATE(M1542," - ",J1542," - Lotto N° ",K1542,"")</f>
        <v/>
      </c>
      <c r="J1542" s="118" t="n"/>
      <c r="K1542" s="118">
        <f>VLOOKUP(#REF!,Produzione,7,FALSE)</f>
        <v/>
      </c>
      <c r="L1542" s="120" t="n"/>
      <c r="M1542" s="120" t="n"/>
      <c r="N1542" s="118" t="n"/>
      <c r="O1542" s="121" t="n"/>
      <c r="P1542" s="121" t="n"/>
      <c r="Q1542" s="166">
        <f>TODAY()</f>
        <v/>
      </c>
      <c r="R1542" s="165">
        <f>ElencoProdotti[[#This Row],[PRODUZIONE]]+20</f>
        <v/>
      </c>
      <c r="S1542" s="165">
        <f>TODAY()</f>
        <v/>
      </c>
      <c r="T1542" s="133">
        <f>CONCATENATE(A1542," - contiene allergni - prodotto il giorno ",TEXT(Q1542,"gg/mm/aaaa"),"")</f>
        <v/>
      </c>
    </row>
    <row r="1543" ht="15" customHeight="1" s="155">
      <c r="A1543" s="134">
        <f>ric!B1543</f>
        <v/>
      </c>
      <c r="B1543" s="118">
        <f>ric!C1543</f>
        <v/>
      </c>
      <c r="C1543" s="125">
        <f>ric!D1543</f>
        <v/>
      </c>
      <c r="D1543" s="125" t="n"/>
      <c r="E1543" s="125" t="n"/>
      <c r="F1543" s="125" t="n"/>
      <c r="G1543" s="118">
        <f>CONCATENATE(A1543, " ",#REF!, " / ",H1543)</f>
        <v/>
      </c>
      <c r="H1543" s="118" t="n"/>
      <c r="I1543" s="119">
        <f>CONCATENATE(M1543," - ",J1543," - Lotto N° ",K1543,"")</f>
        <v/>
      </c>
      <c r="J1543" s="118" t="n"/>
      <c r="K1543" s="118">
        <f>VLOOKUP(#REF!,Produzione,7,FALSE)</f>
        <v/>
      </c>
      <c r="L1543" s="120" t="n"/>
      <c r="M1543" s="120" t="n"/>
      <c r="N1543" s="118" t="n"/>
      <c r="O1543" s="121" t="n"/>
      <c r="P1543" s="121" t="n"/>
      <c r="Q1543" s="166">
        <f>TODAY()</f>
        <v/>
      </c>
      <c r="R1543" s="165">
        <f>ElencoProdotti[[#This Row],[PRODUZIONE]]+20</f>
        <v/>
      </c>
      <c r="S1543" s="165">
        <f>TODAY()</f>
        <v/>
      </c>
      <c r="T1543" s="133">
        <f>CONCATENATE(A1543," - contiene allergni - prodotto il giorno ",TEXT(Q1543,"gg/mm/aaaa"),"")</f>
        <v/>
      </c>
    </row>
    <row r="1544" ht="15" customHeight="1" s="155">
      <c r="A1544" s="134">
        <f>ric!B1544</f>
        <v/>
      </c>
      <c r="B1544" s="118">
        <f>ric!C1544</f>
        <v/>
      </c>
      <c r="C1544" s="125">
        <f>ric!D1544</f>
        <v/>
      </c>
      <c r="D1544" s="125" t="n"/>
      <c r="E1544" s="125" t="n"/>
      <c r="F1544" s="125" t="n"/>
      <c r="G1544" s="118">
        <f>CONCATENATE(A1544, " ",#REF!, " / ",H1544)</f>
        <v/>
      </c>
      <c r="H1544" s="118" t="n"/>
      <c r="I1544" s="119">
        <f>CONCATENATE(M1544," - ",J1544," - Lotto N° ",K1544,"")</f>
        <v/>
      </c>
      <c r="J1544" s="118" t="n"/>
      <c r="K1544" s="118">
        <f>VLOOKUP(#REF!,Produzione,7,FALSE)</f>
        <v/>
      </c>
      <c r="L1544" s="120" t="n"/>
      <c r="M1544" s="120" t="n"/>
      <c r="N1544" s="118" t="n"/>
      <c r="O1544" s="121" t="n"/>
      <c r="P1544" s="121" t="n"/>
      <c r="Q1544" s="166">
        <f>TODAY()</f>
        <v/>
      </c>
      <c r="R1544" s="165">
        <f>ElencoProdotti[[#This Row],[PRODUZIONE]]+20</f>
        <v/>
      </c>
      <c r="S1544" s="165">
        <f>TODAY()</f>
        <v/>
      </c>
      <c r="T1544" s="133">
        <f>CONCATENATE(A1544," - contiene allergni - prodotto il giorno ",TEXT(Q1544,"gg/mm/aaaa"),"")</f>
        <v/>
      </c>
    </row>
    <row r="1545" ht="15" customHeight="1" s="155">
      <c r="A1545" s="134">
        <f>ric!B1545</f>
        <v/>
      </c>
      <c r="B1545" s="118">
        <f>ric!C1545</f>
        <v/>
      </c>
      <c r="C1545" s="125">
        <f>ric!D1545</f>
        <v/>
      </c>
      <c r="D1545" s="125" t="n"/>
      <c r="E1545" s="125" t="n"/>
      <c r="F1545" s="125" t="n"/>
      <c r="G1545" s="118">
        <f>CONCATENATE(A1545, " ",#REF!, " / ",H1545)</f>
        <v/>
      </c>
      <c r="H1545" s="118" t="n"/>
      <c r="I1545" s="119">
        <f>CONCATENATE(M1545," - ",J1545," - Lotto N° ",K1545,"")</f>
        <v/>
      </c>
      <c r="J1545" s="118" t="n"/>
      <c r="K1545" s="118">
        <f>VLOOKUP(#REF!,Produzione,7,FALSE)</f>
        <v/>
      </c>
      <c r="L1545" s="120" t="n"/>
      <c r="M1545" s="120" t="n"/>
      <c r="N1545" s="118" t="n"/>
      <c r="O1545" s="121" t="n"/>
      <c r="P1545" s="121" t="n"/>
      <c r="Q1545" s="166">
        <f>TODAY()</f>
        <v/>
      </c>
      <c r="R1545" s="165">
        <f>ElencoProdotti[[#This Row],[PRODUZIONE]]+20</f>
        <v/>
      </c>
      <c r="S1545" s="165">
        <f>TODAY()</f>
        <v/>
      </c>
      <c r="T1545" s="133">
        <f>CONCATENATE(A1545," - contiene allergni - prodotto il giorno ",TEXT(Q1545,"gg/mm/aaaa"),"")</f>
        <v/>
      </c>
    </row>
    <row r="1546" ht="15" customHeight="1" s="155">
      <c r="A1546" s="134">
        <f>ric!B1546</f>
        <v/>
      </c>
      <c r="B1546" s="118">
        <f>ric!C1546</f>
        <v/>
      </c>
      <c r="C1546" s="125">
        <f>ric!D1546</f>
        <v/>
      </c>
      <c r="D1546" s="125" t="n"/>
      <c r="E1546" s="125" t="n"/>
      <c r="F1546" s="125" t="n"/>
      <c r="G1546" s="118">
        <f>CONCATENATE(A1546, " ",#REF!, " / ",H1546)</f>
        <v/>
      </c>
      <c r="H1546" s="118" t="n"/>
      <c r="I1546" s="119">
        <f>CONCATENATE(M1546," - ",J1546," - Lotto N° ",K1546,"")</f>
        <v/>
      </c>
      <c r="J1546" s="118" t="n"/>
      <c r="K1546" s="118">
        <f>VLOOKUP(#REF!,Produzione,7,FALSE)</f>
        <v/>
      </c>
      <c r="L1546" s="120" t="n"/>
      <c r="M1546" s="120" t="n"/>
      <c r="N1546" s="118" t="n"/>
      <c r="O1546" s="121" t="n"/>
      <c r="P1546" s="121" t="n"/>
      <c r="Q1546" s="166">
        <f>TODAY()</f>
        <v/>
      </c>
      <c r="R1546" s="165">
        <f>ElencoProdotti[[#This Row],[PRODUZIONE]]+20</f>
        <v/>
      </c>
      <c r="S1546" s="165">
        <f>TODAY()</f>
        <v/>
      </c>
      <c r="T1546" s="133">
        <f>CONCATENATE(A1546," - contiene allergni - prodotto il giorno ",TEXT(Q1546,"gg/mm/aaaa"),"")</f>
        <v/>
      </c>
    </row>
    <row r="1547" ht="15" customHeight="1" s="155">
      <c r="A1547" s="134">
        <f>ric!B1547</f>
        <v/>
      </c>
      <c r="B1547" s="118">
        <f>ric!C1547</f>
        <v/>
      </c>
      <c r="C1547" s="125">
        <f>ric!D1547</f>
        <v/>
      </c>
      <c r="D1547" s="125" t="n"/>
      <c r="E1547" s="125" t="n"/>
      <c r="F1547" s="125" t="n"/>
      <c r="G1547" s="118">
        <f>CONCATENATE(A1547, " ",#REF!, " / ",H1547)</f>
        <v/>
      </c>
      <c r="H1547" s="118" t="n"/>
      <c r="I1547" s="119">
        <f>CONCATENATE(M1547," - ",J1547," - Lotto N° ",K1547,"")</f>
        <v/>
      </c>
      <c r="J1547" s="118" t="n"/>
      <c r="K1547" s="118">
        <f>VLOOKUP(#REF!,Produzione,7,FALSE)</f>
        <v/>
      </c>
      <c r="L1547" s="120" t="n"/>
      <c r="M1547" s="120" t="n"/>
      <c r="N1547" s="118" t="n"/>
      <c r="O1547" s="121" t="n"/>
      <c r="P1547" s="121" t="n"/>
      <c r="Q1547" s="166">
        <f>TODAY()</f>
        <v/>
      </c>
      <c r="R1547" s="165">
        <f>ElencoProdotti[[#This Row],[PRODUZIONE]]+20</f>
        <v/>
      </c>
      <c r="S1547" s="165">
        <f>TODAY()</f>
        <v/>
      </c>
      <c r="T1547" s="133">
        <f>CONCATENATE(A1547," - contiene allergni - prodotto il giorno ",TEXT(Q1547,"gg/mm/aaaa"),"")</f>
        <v/>
      </c>
    </row>
    <row r="1548" ht="15" customHeight="1" s="155">
      <c r="A1548" s="134">
        <f>ric!B1548</f>
        <v/>
      </c>
      <c r="B1548" s="118">
        <f>ric!C1548</f>
        <v/>
      </c>
      <c r="C1548" s="125">
        <f>ric!D1548</f>
        <v/>
      </c>
      <c r="D1548" s="125" t="n"/>
      <c r="E1548" s="125" t="n"/>
      <c r="F1548" s="125" t="n"/>
      <c r="G1548" s="118">
        <f>CONCATENATE(A1548, " ",#REF!, " / ",H1548)</f>
        <v/>
      </c>
      <c r="H1548" s="118" t="n"/>
      <c r="I1548" s="119">
        <f>CONCATENATE(M1548," - ",J1548," - Lotto N° ",K1548,"")</f>
        <v/>
      </c>
      <c r="J1548" s="118" t="n"/>
      <c r="K1548" s="118">
        <f>VLOOKUP(#REF!,Produzione,7,FALSE)</f>
        <v/>
      </c>
      <c r="L1548" s="120" t="n"/>
      <c r="M1548" s="120" t="n"/>
      <c r="N1548" s="118" t="n"/>
      <c r="O1548" s="121" t="n"/>
      <c r="P1548" s="121" t="n"/>
      <c r="Q1548" s="166">
        <f>TODAY()</f>
        <v/>
      </c>
      <c r="R1548" s="165">
        <f>ElencoProdotti[[#This Row],[PRODUZIONE]]+20</f>
        <v/>
      </c>
      <c r="S1548" s="165">
        <f>TODAY()</f>
        <v/>
      </c>
      <c r="T1548" s="133">
        <f>CONCATENATE(A1548," - contiene allergni - prodotto il giorno ",TEXT(Q1548,"gg/mm/aaaa"),"")</f>
        <v/>
      </c>
    </row>
    <row r="1549" ht="15" customHeight="1" s="155">
      <c r="A1549" s="134">
        <f>ric!B1549</f>
        <v/>
      </c>
      <c r="B1549" s="118">
        <f>ric!C1549</f>
        <v/>
      </c>
      <c r="C1549" s="125">
        <f>ric!D1549</f>
        <v/>
      </c>
      <c r="D1549" s="125" t="n"/>
      <c r="E1549" s="125" t="n"/>
      <c r="F1549" s="125" t="n"/>
      <c r="G1549" s="118">
        <f>CONCATENATE(A1549, " ",#REF!, " / ",H1549)</f>
        <v/>
      </c>
      <c r="H1549" s="118" t="n"/>
      <c r="I1549" s="119">
        <f>CONCATENATE(M1549," - ",J1549," - Lotto N° ",K1549,"")</f>
        <v/>
      </c>
      <c r="J1549" s="118" t="n"/>
      <c r="K1549" s="118">
        <f>VLOOKUP(#REF!,Produzione,7,FALSE)</f>
        <v/>
      </c>
      <c r="L1549" s="120" t="n"/>
      <c r="M1549" s="120" t="n"/>
      <c r="N1549" s="118" t="n"/>
      <c r="O1549" s="121" t="n"/>
      <c r="P1549" s="121" t="n"/>
      <c r="Q1549" s="166">
        <f>TODAY()</f>
        <v/>
      </c>
      <c r="R1549" s="165">
        <f>ElencoProdotti[[#This Row],[PRODUZIONE]]+20</f>
        <v/>
      </c>
      <c r="S1549" s="165">
        <f>TODAY()</f>
        <v/>
      </c>
      <c r="T1549" s="133">
        <f>CONCATENATE(A1549," - contiene allergni - prodotto il giorno ",TEXT(Q1549,"gg/mm/aaaa"),"")</f>
        <v/>
      </c>
    </row>
    <row r="1550" ht="15" customHeight="1" s="155">
      <c r="A1550" s="134">
        <f>ric!B1550</f>
        <v/>
      </c>
      <c r="B1550" s="118">
        <f>ric!C1550</f>
        <v/>
      </c>
      <c r="C1550" s="125">
        <f>ric!D1550</f>
        <v/>
      </c>
      <c r="D1550" s="125" t="n"/>
      <c r="E1550" s="125" t="n"/>
      <c r="F1550" s="125" t="n"/>
      <c r="G1550" s="118">
        <f>CONCATENATE(A1550, " ",#REF!, " / ",H1550)</f>
        <v/>
      </c>
      <c r="H1550" s="118" t="n"/>
      <c r="I1550" s="119">
        <f>CONCATENATE(M1550," - ",J1550," - Lotto N° ",K1550,"")</f>
        <v/>
      </c>
      <c r="J1550" s="118" t="n"/>
      <c r="K1550" s="118">
        <f>VLOOKUP(#REF!,Produzione,7,FALSE)</f>
        <v/>
      </c>
      <c r="L1550" s="120" t="n"/>
      <c r="M1550" s="120" t="n"/>
      <c r="N1550" s="118" t="n"/>
      <c r="O1550" s="121" t="n"/>
      <c r="P1550" s="121" t="n"/>
      <c r="Q1550" s="166">
        <f>TODAY()</f>
        <v/>
      </c>
      <c r="R1550" s="165">
        <f>ElencoProdotti[[#This Row],[PRODUZIONE]]+20</f>
        <v/>
      </c>
      <c r="S1550" s="165">
        <f>TODAY()</f>
        <v/>
      </c>
      <c r="T1550" s="133">
        <f>CONCATENATE(A1550," - contiene allergni - prodotto il giorno ",TEXT(Q1550,"gg/mm/aaaa"),"")</f>
        <v/>
      </c>
    </row>
    <row r="1551" ht="15" customHeight="1" s="155">
      <c r="A1551" s="134">
        <f>ric!B1551</f>
        <v/>
      </c>
      <c r="B1551" s="118">
        <f>ric!C1551</f>
        <v/>
      </c>
      <c r="C1551" s="125">
        <f>ric!D1551</f>
        <v/>
      </c>
      <c r="D1551" s="125" t="n"/>
      <c r="E1551" s="125" t="n"/>
      <c r="F1551" s="125" t="n"/>
      <c r="G1551" s="118">
        <f>CONCATENATE(A1551, " ",#REF!, " / ",H1551)</f>
        <v/>
      </c>
      <c r="H1551" s="118" t="n"/>
      <c r="I1551" s="119">
        <f>CONCATENATE(M1551," - ",J1551," - Lotto N° ",K1551,"")</f>
        <v/>
      </c>
      <c r="J1551" s="118" t="n"/>
      <c r="K1551" s="118">
        <f>VLOOKUP(#REF!,Produzione,7,FALSE)</f>
        <v/>
      </c>
      <c r="L1551" s="120" t="n"/>
      <c r="M1551" s="120" t="n"/>
      <c r="N1551" s="118" t="n"/>
      <c r="O1551" s="121" t="n"/>
      <c r="P1551" s="121" t="n"/>
      <c r="Q1551" s="166">
        <f>TODAY()</f>
        <v/>
      </c>
      <c r="R1551" s="165">
        <f>ElencoProdotti[[#This Row],[PRODUZIONE]]+20</f>
        <v/>
      </c>
      <c r="S1551" s="165">
        <f>TODAY()</f>
        <v/>
      </c>
      <c r="T1551" s="133">
        <f>CONCATENATE(A1551," - contiene allergni - prodotto il giorno ",TEXT(Q1551,"gg/mm/aaaa"),"")</f>
        <v/>
      </c>
    </row>
    <row r="1552" ht="15" customHeight="1" s="155">
      <c r="A1552" s="134">
        <f>ric!B1552</f>
        <v/>
      </c>
      <c r="B1552" s="118">
        <f>ric!C1552</f>
        <v/>
      </c>
      <c r="C1552" s="125">
        <f>ric!D1552</f>
        <v/>
      </c>
      <c r="D1552" s="125" t="n"/>
      <c r="E1552" s="125" t="n"/>
      <c r="F1552" s="125" t="n"/>
      <c r="G1552" s="118">
        <f>CONCATENATE(A1552, " ",#REF!, " / ",H1552)</f>
        <v/>
      </c>
      <c r="H1552" s="118" t="n"/>
      <c r="I1552" s="119">
        <f>CONCATENATE(M1552," - ",J1552," - Lotto N° ",K1552,"")</f>
        <v/>
      </c>
      <c r="J1552" s="118" t="n"/>
      <c r="K1552" s="118">
        <f>VLOOKUP(#REF!,Produzione,7,FALSE)</f>
        <v/>
      </c>
      <c r="L1552" s="120" t="n"/>
      <c r="M1552" s="120" t="n"/>
      <c r="N1552" s="118" t="n"/>
      <c r="O1552" s="121" t="n"/>
      <c r="P1552" s="121" t="n"/>
      <c r="Q1552" s="166">
        <f>TODAY()</f>
        <v/>
      </c>
      <c r="R1552" s="165">
        <f>ElencoProdotti[[#This Row],[PRODUZIONE]]+20</f>
        <v/>
      </c>
      <c r="S1552" s="165">
        <f>TODAY()</f>
        <v/>
      </c>
      <c r="T1552" s="133">
        <f>CONCATENATE(A1552," - contiene allergni - prodotto il giorno ",TEXT(Q1552,"gg/mm/aaaa"),"")</f>
        <v/>
      </c>
    </row>
    <row r="1553" ht="15" customHeight="1" s="155">
      <c r="A1553" s="134">
        <f>ric!B1553</f>
        <v/>
      </c>
      <c r="B1553" s="118">
        <f>ric!C1553</f>
        <v/>
      </c>
      <c r="C1553" s="125">
        <f>ric!D1553</f>
        <v/>
      </c>
      <c r="D1553" s="125" t="n"/>
      <c r="E1553" s="125" t="n"/>
      <c r="F1553" s="125" t="n"/>
      <c r="G1553" s="118">
        <f>CONCATENATE(A1553, " ",#REF!, " / ",H1553)</f>
        <v/>
      </c>
      <c r="H1553" s="118" t="n"/>
      <c r="I1553" s="119">
        <f>CONCATENATE(M1553," - ",J1553," - Lotto N° ",K1553,"")</f>
        <v/>
      </c>
      <c r="J1553" s="118" t="n"/>
      <c r="K1553" s="118">
        <f>VLOOKUP(#REF!,Produzione,7,FALSE)</f>
        <v/>
      </c>
      <c r="L1553" s="120" t="n"/>
      <c r="M1553" s="120" t="n"/>
      <c r="N1553" s="118" t="n"/>
      <c r="O1553" s="121" t="n"/>
      <c r="P1553" s="121" t="n"/>
      <c r="Q1553" s="166">
        <f>TODAY()</f>
        <v/>
      </c>
      <c r="R1553" s="165">
        <f>ElencoProdotti[[#This Row],[PRODUZIONE]]+20</f>
        <v/>
      </c>
      <c r="S1553" s="165">
        <f>TODAY()</f>
        <v/>
      </c>
      <c r="T1553" s="133">
        <f>CONCATENATE(A1553," - contiene allergni - prodotto il giorno ",TEXT(Q1553,"gg/mm/aaaa"),"")</f>
        <v/>
      </c>
    </row>
    <row r="1554" ht="15" customHeight="1" s="155">
      <c r="A1554" s="134">
        <f>ric!B1554</f>
        <v/>
      </c>
      <c r="B1554" s="118">
        <f>ric!C1554</f>
        <v/>
      </c>
      <c r="C1554" s="125">
        <f>ric!D1554</f>
        <v/>
      </c>
      <c r="D1554" s="125" t="n"/>
      <c r="E1554" s="125" t="n"/>
      <c r="F1554" s="125" t="n"/>
      <c r="G1554" s="118">
        <f>CONCATENATE(A1554, " ",#REF!, " / ",H1554)</f>
        <v/>
      </c>
      <c r="H1554" s="118" t="n"/>
      <c r="I1554" s="119">
        <f>CONCATENATE(M1554," - ",J1554," - Lotto N° ",K1554,"")</f>
        <v/>
      </c>
      <c r="J1554" s="118" t="n"/>
      <c r="K1554" s="118">
        <f>VLOOKUP(#REF!,Produzione,7,FALSE)</f>
        <v/>
      </c>
      <c r="L1554" s="120" t="n"/>
      <c r="M1554" s="120" t="n"/>
      <c r="N1554" s="118" t="n"/>
      <c r="O1554" s="121" t="n"/>
      <c r="P1554" s="121" t="n"/>
      <c r="Q1554" s="166">
        <f>TODAY()</f>
        <v/>
      </c>
      <c r="R1554" s="165">
        <f>ElencoProdotti[[#This Row],[PRODUZIONE]]+20</f>
        <v/>
      </c>
      <c r="S1554" s="165">
        <f>TODAY()</f>
        <v/>
      </c>
      <c r="T1554" s="133">
        <f>CONCATENATE(A1554," - contiene allergni - prodotto il giorno ",TEXT(Q1554,"gg/mm/aaaa"),"")</f>
        <v/>
      </c>
    </row>
    <row r="1555" ht="15" customHeight="1" s="155">
      <c r="A1555" s="134">
        <f>ric!B1555</f>
        <v/>
      </c>
      <c r="B1555" s="118">
        <f>ric!C1555</f>
        <v/>
      </c>
      <c r="C1555" s="125">
        <f>ric!D1555</f>
        <v/>
      </c>
      <c r="D1555" s="125" t="n"/>
      <c r="E1555" s="125" t="n"/>
      <c r="F1555" s="125" t="n"/>
      <c r="G1555" s="118">
        <f>CONCATENATE(A1555, " ",#REF!, " / ",H1555)</f>
        <v/>
      </c>
      <c r="H1555" s="118" t="n"/>
      <c r="I1555" s="119">
        <f>CONCATENATE(M1555," - ",J1555," - Lotto N° ",K1555,"")</f>
        <v/>
      </c>
      <c r="J1555" s="118" t="n"/>
      <c r="K1555" s="118">
        <f>VLOOKUP(#REF!,Produzione,7,FALSE)</f>
        <v/>
      </c>
      <c r="L1555" s="120" t="n"/>
      <c r="M1555" s="120" t="n"/>
      <c r="N1555" s="118" t="n"/>
      <c r="O1555" s="121" t="n"/>
      <c r="P1555" s="121" t="n"/>
      <c r="Q1555" s="166">
        <f>TODAY()</f>
        <v/>
      </c>
      <c r="R1555" s="165">
        <f>ElencoProdotti[[#This Row],[PRODUZIONE]]+20</f>
        <v/>
      </c>
      <c r="S1555" s="165">
        <f>TODAY()</f>
        <v/>
      </c>
      <c r="T1555" s="133">
        <f>CONCATENATE(A1555," - contiene allergni - prodotto il giorno ",TEXT(Q1555,"gg/mm/aaaa"),"")</f>
        <v/>
      </c>
    </row>
    <row r="1556" ht="15" customHeight="1" s="155">
      <c r="A1556" s="134">
        <f>ric!B1556</f>
        <v/>
      </c>
      <c r="B1556" s="118">
        <f>ric!C1556</f>
        <v/>
      </c>
      <c r="C1556" s="125">
        <f>ric!D1556</f>
        <v/>
      </c>
      <c r="D1556" s="125" t="n"/>
      <c r="E1556" s="125" t="n"/>
      <c r="F1556" s="125" t="n"/>
      <c r="G1556" s="118">
        <f>CONCATENATE(A1556, " ",#REF!, " / ",H1556)</f>
        <v/>
      </c>
      <c r="H1556" s="118" t="n"/>
      <c r="I1556" s="119">
        <f>CONCATENATE(M1556," - ",J1556," - Lotto N° ",K1556,"")</f>
        <v/>
      </c>
      <c r="J1556" s="118" t="n"/>
      <c r="K1556" s="118">
        <f>VLOOKUP(#REF!,Produzione,7,FALSE)</f>
        <v/>
      </c>
      <c r="L1556" s="120" t="n"/>
      <c r="M1556" s="120" t="n"/>
      <c r="N1556" s="118" t="n"/>
      <c r="O1556" s="121" t="n"/>
      <c r="P1556" s="121" t="n"/>
      <c r="Q1556" s="166">
        <f>TODAY()</f>
        <v/>
      </c>
      <c r="R1556" s="165">
        <f>ElencoProdotti[[#This Row],[PRODUZIONE]]+20</f>
        <v/>
      </c>
      <c r="S1556" s="165">
        <f>TODAY()</f>
        <v/>
      </c>
      <c r="T1556" s="133">
        <f>CONCATENATE(A1556," - contiene allergni - prodotto il giorno ",TEXT(Q1556,"gg/mm/aaaa"),"")</f>
        <v/>
      </c>
    </row>
    <row r="1557" ht="15" customHeight="1" s="155">
      <c r="A1557" s="134">
        <f>ric!B1557</f>
        <v/>
      </c>
      <c r="B1557" s="118">
        <f>ric!C1557</f>
        <v/>
      </c>
      <c r="C1557" s="125">
        <f>ric!D1557</f>
        <v/>
      </c>
      <c r="D1557" s="125" t="n"/>
      <c r="E1557" s="125" t="n"/>
      <c r="F1557" s="125" t="n"/>
      <c r="G1557" s="118">
        <f>CONCATENATE(A1557, " ",#REF!, " / ",H1557)</f>
        <v/>
      </c>
      <c r="H1557" s="118" t="n"/>
      <c r="I1557" s="119">
        <f>CONCATENATE(M1557," - ",J1557," - Lotto N° ",K1557,"")</f>
        <v/>
      </c>
      <c r="J1557" s="118" t="n"/>
      <c r="K1557" s="118">
        <f>VLOOKUP(#REF!,Produzione,7,FALSE)</f>
        <v/>
      </c>
      <c r="L1557" s="120" t="n"/>
      <c r="M1557" s="120" t="n"/>
      <c r="N1557" s="118" t="n"/>
      <c r="O1557" s="121" t="n"/>
      <c r="P1557" s="121" t="n"/>
      <c r="Q1557" s="166">
        <f>TODAY()</f>
        <v/>
      </c>
      <c r="R1557" s="165">
        <f>ElencoProdotti[[#This Row],[PRODUZIONE]]+20</f>
        <v/>
      </c>
      <c r="S1557" s="165">
        <f>TODAY()</f>
        <v/>
      </c>
      <c r="T1557" s="133">
        <f>CONCATENATE(A1557," - contiene allergni - prodotto il giorno ",TEXT(Q1557,"gg/mm/aaaa"),"")</f>
        <v/>
      </c>
    </row>
    <row r="1558" ht="15" customHeight="1" s="155">
      <c r="A1558" s="134">
        <f>ric!B1558</f>
        <v/>
      </c>
      <c r="B1558" s="118">
        <f>ric!C1558</f>
        <v/>
      </c>
      <c r="C1558" s="125">
        <f>ric!D1558</f>
        <v/>
      </c>
      <c r="D1558" s="125" t="n"/>
      <c r="E1558" s="125" t="n"/>
      <c r="F1558" s="125" t="n"/>
      <c r="G1558" s="118">
        <f>CONCATENATE(A1558, " ",#REF!, " / ",H1558)</f>
        <v/>
      </c>
      <c r="H1558" s="118" t="n"/>
      <c r="I1558" s="119">
        <f>CONCATENATE(M1558," - ",J1558," - Lotto N° ",K1558,"")</f>
        <v/>
      </c>
      <c r="J1558" s="118" t="n"/>
      <c r="K1558" s="118">
        <f>VLOOKUP(#REF!,Produzione,7,FALSE)</f>
        <v/>
      </c>
      <c r="L1558" s="120" t="n"/>
      <c r="M1558" s="120" t="n"/>
      <c r="N1558" s="118" t="n"/>
      <c r="O1558" s="121" t="n"/>
      <c r="P1558" s="121" t="n"/>
      <c r="Q1558" s="166">
        <f>TODAY()</f>
        <v/>
      </c>
      <c r="R1558" s="165">
        <f>ElencoProdotti[[#This Row],[PRODUZIONE]]+20</f>
        <v/>
      </c>
      <c r="S1558" s="165">
        <f>TODAY()</f>
        <v/>
      </c>
      <c r="T1558" s="133">
        <f>CONCATENATE(A1558," - contiene allergni - prodotto il giorno ",TEXT(Q1558,"gg/mm/aaaa"),"")</f>
        <v/>
      </c>
    </row>
    <row r="1559" ht="15" customHeight="1" s="155">
      <c r="A1559" s="134">
        <f>ric!B1559</f>
        <v/>
      </c>
      <c r="B1559" s="118">
        <f>ric!C1559</f>
        <v/>
      </c>
      <c r="C1559" s="125">
        <f>ric!D1559</f>
        <v/>
      </c>
      <c r="D1559" s="125" t="n"/>
      <c r="E1559" s="125" t="n"/>
      <c r="F1559" s="125" t="n"/>
      <c r="G1559" s="118">
        <f>CONCATENATE(A1559, " ",#REF!, " / ",H1559)</f>
        <v/>
      </c>
      <c r="H1559" s="118" t="n"/>
      <c r="I1559" s="119">
        <f>CONCATENATE(M1559," - ",J1559," - Lotto N° ",K1559,"")</f>
        <v/>
      </c>
      <c r="J1559" s="118" t="n"/>
      <c r="K1559" s="118">
        <f>VLOOKUP(#REF!,Produzione,7,FALSE)</f>
        <v/>
      </c>
      <c r="L1559" s="120" t="n"/>
      <c r="M1559" s="120" t="n"/>
      <c r="N1559" s="118" t="n"/>
      <c r="O1559" s="121" t="n"/>
      <c r="P1559" s="121" t="n"/>
      <c r="Q1559" s="166">
        <f>TODAY()</f>
        <v/>
      </c>
      <c r="R1559" s="165">
        <f>ElencoProdotti[[#This Row],[PRODUZIONE]]+20</f>
        <v/>
      </c>
      <c r="S1559" s="165">
        <f>TODAY()</f>
        <v/>
      </c>
      <c r="T1559" s="133">
        <f>CONCATENATE(A1559," - contiene allergni - prodotto il giorno ",TEXT(Q1559,"gg/mm/aaaa"),"")</f>
        <v/>
      </c>
    </row>
    <row r="1560" ht="15" customHeight="1" s="155">
      <c r="A1560" s="134">
        <f>ric!B1560</f>
        <v/>
      </c>
      <c r="B1560" s="118">
        <f>ric!C1560</f>
        <v/>
      </c>
      <c r="C1560" s="125">
        <f>ric!D1560</f>
        <v/>
      </c>
      <c r="D1560" s="125" t="n"/>
      <c r="E1560" s="125" t="n"/>
      <c r="F1560" s="125" t="n"/>
      <c r="G1560" s="118">
        <f>CONCATENATE(A1560, " ",#REF!, " / ",H1560)</f>
        <v/>
      </c>
      <c r="H1560" s="118" t="n"/>
      <c r="I1560" s="119">
        <f>CONCATENATE(M1560," - ",J1560," - Lotto N° ",K1560,"")</f>
        <v/>
      </c>
      <c r="J1560" s="118" t="n"/>
      <c r="K1560" s="118">
        <f>VLOOKUP(#REF!,Produzione,7,FALSE)</f>
        <v/>
      </c>
      <c r="L1560" s="120" t="n"/>
      <c r="M1560" s="120" t="n"/>
      <c r="N1560" s="118" t="n"/>
      <c r="O1560" s="121" t="n"/>
      <c r="P1560" s="121" t="n"/>
      <c r="Q1560" s="166">
        <f>TODAY()</f>
        <v/>
      </c>
      <c r="R1560" s="165">
        <f>ElencoProdotti[[#This Row],[PRODUZIONE]]+20</f>
        <v/>
      </c>
      <c r="S1560" s="165">
        <f>TODAY()</f>
        <v/>
      </c>
      <c r="T1560" s="133">
        <f>CONCATENATE(A1560," - contiene allergni - prodotto il giorno ",TEXT(Q1560,"gg/mm/aaaa"),"")</f>
        <v/>
      </c>
    </row>
    <row r="1561" ht="15" customHeight="1" s="155">
      <c r="A1561" s="134">
        <f>ric!B1561</f>
        <v/>
      </c>
      <c r="B1561" s="118">
        <f>ric!C1561</f>
        <v/>
      </c>
      <c r="C1561" s="125">
        <f>ric!D1561</f>
        <v/>
      </c>
      <c r="D1561" s="125" t="n"/>
      <c r="E1561" s="125" t="n"/>
      <c r="F1561" s="125" t="n"/>
      <c r="G1561" s="118">
        <f>CONCATENATE(A1561, " ",#REF!, " / ",H1561)</f>
        <v/>
      </c>
      <c r="H1561" s="118" t="n"/>
      <c r="I1561" s="119">
        <f>CONCATENATE(M1561," - ",J1561," - Lotto N° ",K1561,"")</f>
        <v/>
      </c>
      <c r="J1561" s="118" t="n"/>
      <c r="K1561" s="118">
        <f>VLOOKUP(#REF!,Produzione,7,FALSE)</f>
        <v/>
      </c>
      <c r="L1561" s="120" t="n"/>
      <c r="M1561" s="120" t="n"/>
      <c r="N1561" s="118" t="n"/>
      <c r="O1561" s="121" t="n"/>
      <c r="P1561" s="121" t="n"/>
      <c r="Q1561" s="166">
        <f>TODAY()</f>
        <v/>
      </c>
      <c r="R1561" s="165">
        <f>ElencoProdotti[[#This Row],[PRODUZIONE]]+20</f>
        <v/>
      </c>
      <c r="S1561" s="165">
        <f>TODAY()</f>
        <v/>
      </c>
      <c r="T1561" s="133">
        <f>CONCATENATE(A1561," - contiene allergni - prodotto il giorno ",TEXT(Q1561,"gg/mm/aaaa"),"")</f>
        <v/>
      </c>
    </row>
    <row r="1562" ht="15" customHeight="1" s="155">
      <c r="A1562" s="134">
        <f>ric!B1562</f>
        <v/>
      </c>
      <c r="B1562" s="118">
        <f>ric!C1562</f>
        <v/>
      </c>
      <c r="C1562" s="125">
        <f>ric!D1562</f>
        <v/>
      </c>
      <c r="D1562" s="125" t="n"/>
      <c r="E1562" s="125" t="n"/>
      <c r="F1562" s="125" t="n"/>
      <c r="G1562" s="118">
        <f>CONCATENATE(A1562, " ",#REF!, " / ",H1562)</f>
        <v/>
      </c>
      <c r="H1562" s="118" t="n"/>
      <c r="I1562" s="119">
        <f>CONCATENATE(M1562," - ",J1562," - Lotto N° ",K1562,"")</f>
        <v/>
      </c>
      <c r="J1562" s="118" t="n"/>
      <c r="K1562" s="118">
        <f>VLOOKUP(#REF!,Produzione,7,FALSE)</f>
        <v/>
      </c>
      <c r="L1562" s="120" t="n"/>
      <c r="M1562" s="120" t="n"/>
      <c r="N1562" s="118" t="n"/>
      <c r="O1562" s="121" t="n"/>
      <c r="P1562" s="121" t="n"/>
      <c r="Q1562" s="166">
        <f>TODAY()</f>
        <v/>
      </c>
      <c r="R1562" s="165">
        <f>ElencoProdotti[[#This Row],[PRODUZIONE]]+20</f>
        <v/>
      </c>
      <c r="S1562" s="165">
        <f>TODAY()</f>
        <v/>
      </c>
      <c r="T1562" s="133">
        <f>CONCATENATE(A1562," - contiene allergni - prodotto il giorno ",TEXT(Q1562,"gg/mm/aaaa"),"")</f>
        <v/>
      </c>
    </row>
    <row r="1563" ht="15" customHeight="1" s="155">
      <c r="A1563" s="134">
        <f>ric!B1563</f>
        <v/>
      </c>
      <c r="B1563" s="118">
        <f>ric!C1563</f>
        <v/>
      </c>
      <c r="C1563" s="125">
        <f>ric!D1563</f>
        <v/>
      </c>
      <c r="D1563" s="125" t="n"/>
      <c r="E1563" s="125" t="n"/>
      <c r="F1563" s="125" t="n"/>
      <c r="G1563" s="118">
        <f>CONCATENATE(A1563, " ",#REF!, " / ",H1563)</f>
        <v/>
      </c>
      <c r="H1563" s="118" t="n"/>
      <c r="I1563" s="119">
        <f>CONCATENATE(M1563," - ",J1563," - Lotto N° ",K1563,"")</f>
        <v/>
      </c>
      <c r="J1563" s="118" t="n"/>
      <c r="K1563" s="118">
        <f>VLOOKUP(#REF!,Produzione,7,FALSE)</f>
        <v/>
      </c>
      <c r="L1563" s="120" t="n"/>
      <c r="M1563" s="120" t="n"/>
      <c r="N1563" s="118" t="n"/>
      <c r="O1563" s="121" t="n"/>
      <c r="P1563" s="121" t="n"/>
      <c r="Q1563" s="166">
        <f>TODAY()</f>
        <v/>
      </c>
      <c r="R1563" s="165">
        <f>ElencoProdotti[[#This Row],[PRODUZIONE]]+20</f>
        <v/>
      </c>
      <c r="S1563" s="165">
        <f>TODAY()</f>
        <v/>
      </c>
      <c r="T1563" s="133">
        <f>CONCATENATE(A1563," - contiene allergni - prodotto il giorno ",TEXT(Q1563,"gg/mm/aaaa"),"")</f>
        <v/>
      </c>
    </row>
    <row r="1564" ht="15" customHeight="1" s="155">
      <c r="A1564" s="134">
        <f>ric!B1564</f>
        <v/>
      </c>
      <c r="B1564" s="118">
        <f>ric!C1564</f>
        <v/>
      </c>
      <c r="C1564" s="125">
        <f>ric!D1564</f>
        <v/>
      </c>
      <c r="D1564" s="125" t="n"/>
      <c r="E1564" s="125" t="n"/>
      <c r="F1564" s="125" t="n"/>
      <c r="G1564" s="118">
        <f>CONCATENATE(A1564, " ",#REF!, " / ",H1564)</f>
        <v/>
      </c>
      <c r="H1564" s="118" t="n"/>
      <c r="I1564" s="119">
        <f>CONCATENATE(M1564," - ",J1564," - Lotto N° ",K1564,"")</f>
        <v/>
      </c>
      <c r="J1564" s="118" t="n"/>
      <c r="K1564" s="118">
        <f>VLOOKUP(#REF!,Produzione,7,FALSE)</f>
        <v/>
      </c>
      <c r="L1564" s="120" t="n"/>
      <c r="M1564" s="120" t="n"/>
      <c r="N1564" s="118" t="n"/>
      <c r="O1564" s="121" t="n"/>
      <c r="P1564" s="121" t="n"/>
      <c r="Q1564" s="166">
        <f>TODAY()</f>
        <v/>
      </c>
      <c r="R1564" s="165">
        <f>ElencoProdotti[[#This Row],[PRODUZIONE]]+20</f>
        <v/>
      </c>
      <c r="S1564" s="165">
        <f>TODAY()</f>
        <v/>
      </c>
      <c r="T1564" s="133">
        <f>CONCATENATE(A1564," - contiene allergni - prodotto il giorno ",TEXT(Q1564,"gg/mm/aaaa"),"")</f>
        <v/>
      </c>
    </row>
    <row r="1565" ht="15" customHeight="1" s="155">
      <c r="A1565" s="134">
        <f>ric!B1565</f>
        <v/>
      </c>
      <c r="B1565" s="118">
        <f>ric!C1565</f>
        <v/>
      </c>
      <c r="C1565" s="125">
        <f>ric!D1565</f>
        <v/>
      </c>
      <c r="D1565" s="125" t="n"/>
      <c r="E1565" s="125" t="n"/>
      <c r="F1565" s="125" t="n"/>
      <c r="G1565" s="118">
        <f>CONCATENATE(A1565, " ",#REF!, " / ",H1565)</f>
        <v/>
      </c>
      <c r="H1565" s="118" t="n"/>
      <c r="I1565" s="119">
        <f>CONCATENATE(M1565," - ",J1565," - Lotto N° ",K1565,"")</f>
        <v/>
      </c>
      <c r="J1565" s="118" t="n"/>
      <c r="K1565" s="118">
        <f>VLOOKUP(#REF!,Produzione,7,FALSE)</f>
        <v/>
      </c>
      <c r="L1565" s="120" t="n"/>
      <c r="M1565" s="120" t="n"/>
      <c r="N1565" s="118" t="n"/>
      <c r="O1565" s="121" t="n"/>
      <c r="P1565" s="121" t="n"/>
      <c r="Q1565" s="166">
        <f>TODAY()</f>
        <v/>
      </c>
      <c r="R1565" s="165">
        <f>ElencoProdotti[[#This Row],[PRODUZIONE]]+20</f>
        <v/>
      </c>
      <c r="S1565" s="165">
        <f>TODAY()</f>
        <v/>
      </c>
      <c r="T1565" s="133">
        <f>CONCATENATE(A1565," - contiene allergni - prodotto il giorno ",TEXT(Q1565,"gg/mm/aaaa"),"")</f>
        <v/>
      </c>
    </row>
    <row r="1566" ht="15" customHeight="1" s="155">
      <c r="A1566" s="134">
        <f>ric!B1566</f>
        <v/>
      </c>
      <c r="B1566" s="118">
        <f>ric!C1566</f>
        <v/>
      </c>
      <c r="C1566" s="125">
        <f>ric!D1566</f>
        <v/>
      </c>
      <c r="D1566" s="125" t="n"/>
      <c r="E1566" s="125" t="n"/>
      <c r="F1566" s="125" t="n"/>
      <c r="G1566" s="118">
        <f>CONCATENATE(A1566, " ",#REF!, " / ",H1566)</f>
        <v/>
      </c>
      <c r="H1566" s="118" t="n"/>
      <c r="I1566" s="119">
        <f>CONCATENATE(M1566," - ",J1566," - Lotto N° ",K1566,"")</f>
        <v/>
      </c>
      <c r="J1566" s="118" t="n"/>
      <c r="K1566" s="118">
        <f>VLOOKUP(#REF!,Produzione,7,FALSE)</f>
        <v/>
      </c>
      <c r="L1566" s="120" t="n"/>
      <c r="M1566" s="120" t="n"/>
      <c r="N1566" s="118" t="n"/>
      <c r="O1566" s="121" t="n"/>
      <c r="P1566" s="121" t="n"/>
      <c r="Q1566" s="166">
        <f>TODAY()</f>
        <v/>
      </c>
      <c r="R1566" s="165">
        <f>ElencoProdotti[[#This Row],[PRODUZIONE]]+20</f>
        <v/>
      </c>
      <c r="S1566" s="165">
        <f>TODAY()</f>
        <v/>
      </c>
      <c r="T1566" s="133">
        <f>CONCATENATE(A1566," - contiene allergni - prodotto il giorno ",TEXT(Q1566,"gg/mm/aaaa"),"")</f>
        <v/>
      </c>
    </row>
    <row r="1567" ht="15" customHeight="1" s="155">
      <c r="A1567" s="134">
        <f>ric!B1567</f>
        <v/>
      </c>
      <c r="B1567" s="118">
        <f>ric!C1567</f>
        <v/>
      </c>
      <c r="C1567" s="125">
        <f>ric!D1567</f>
        <v/>
      </c>
      <c r="D1567" s="125" t="n"/>
      <c r="E1567" s="125" t="n"/>
      <c r="F1567" s="125" t="n"/>
      <c r="G1567" s="118">
        <f>CONCATENATE(A1567, " ",#REF!, " / ",H1567)</f>
        <v/>
      </c>
      <c r="H1567" s="118" t="n"/>
      <c r="I1567" s="119">
        <f>CONCATENATE(M1567," - ",J1567," - Lotto N° ",K1567,"")</f>
        <v/>
      </c>
      <c r="J1567" s="118" t="n"/>
      <c r="K1567" s="118">
        <f>VLOOKUP(#REF!,Produzione,7,FALSE)</f>
        <v/>
      </c>
      <c r="L1567" s="120" t="n"/>
      <c r="M1567" s="120" t="n"/>
      <c r="N1567" s="118" t="n"/>
      <c r="O1567" s="121" t="n"/>
      <c r="P1567" s="121" t="n"/>
      <c r="Q1567" s="166">
        <f>TODAY()</f>
        <v/>
      </c>
      <c r="R1567" s="165">
        <f>ElencoProdotti[[#This Row],[PRODUZIONE]]+20</f>
        <v/>
      </c>
      <c r="S1567" s="165">
        <f>TODAY()</f>
        <v/>
      </c>
      <c r="T1567" s="133">
        <f>CONCATENATE(A1567," - contiene allergni - prodotto il giorno ",TEXT(Q1567,"gg/mm/aaaa"),"")</f>
        <v/>
      </c>
    </row>
    <row r="1568" ht="15" customHeight="1" s="155">
      <c r="A1568" s="134">
        <f>ric!B1568</f>
        <v/>
      </c>
      <c r="B1568" s="118">
        <f>ric!C1568</f>
        <v/>
      </c>
      <c r="C1568" s="125">
        <f>ric!D1568</f>
        <v/>
      </c>
      <c r="D1568" s="125" t="n"/>
      <c r="E1568" s="125" t="n"/>
      <c r="F1568" s="125" t="n"/>
      <c r="G1568" s="118">
        <f>CONCATENATE(A1568, " ",#REF!, " / ",H1568)</f>
        <v/>
      </c>
      <c r="H1568" s="118" t="n"/>
      <c r="I1568" s="119">
        <f>CONCATENATE(M1568," - ",J1568," - Lotto N° ",K1568,"")</f>
        <v/>
      </c>
      <c r="J1568" s="118" t="n"/>
      <c r="K1568" s="118">
        <f>VLOOKUP(#REF!,Produzione,7,FALSE)</f>
        <v/>
      </c>
      <c r="L1568" s="120" t="n"/>
      <c r="M1568" s="120" t="n"/>
      <c r="N1568" s="118" t="n"/>
      <c r="O1568" s="121" t="n"/>
      <c r="P1568" s="121" t="n"/>
      <c r="Q1568" s="166">
        <f>TODAY()</f>
        <v/>
      </c>
      <c r="R1568" s="165">
        <f>ElencoProdotti[[#This Row],[PRODUZIONE]]+20</f>
        <v/>
      </c>
      <c r="S1568" s="165">
        <f>TODAY()</f>
        <v/>
      </c>
      <c r="T1568" s="133">
        <f>CONCATENATE(A1568," - contiene allergni - prodotto il giorno ",TEXT(Q1568,"gg/mm/aaaa"),"")</f>
        <v/>
      </c>
    </row>
    <row r="1569" ht="15" customHeight="1" s="155">
      <c r="A1569" s="134">
        <f>ric!B1569</f>
        <v/>
      </c>
      <c r="B1569" s="118">
        <f>ric!C1569</f>
        <v/>
      </c>
      <c r="C1569" s="125">
        <f>ric!D1569</f>
        <v/>
      </c>
      <c r="D1569" s="125" t="n"/>
      <c r="E1569" s="125" t="n"/>
      <c r="F1569" s="125" t="n"/>
      <c r="G1569" s="118">
        <f>CONCATENATE(A1569, " ",#REF!, " / ",H1569)</f>
        <v/>
      </c>
      <c r="H1569" s="118" t="n"/>
      <c r="I1569" s="119">
        <f>CONCATENATE(M1569," - ",J1569," - Lotto N° ",K1569,"")</f>
        <v/>
      </c>
      <c r="J1569" s="118" t="n"/>
      <c r="K1569" s="118">
        <f>VLOOKUP(#REF!,Produzione,7,FALSE)</f>
        <v/>
      </c>
      <c r="L1569" s="120" t="n"/>
      <c r="M1569" s="120" t="n"/>
      <c r="N1569" s="118" t="n"/>
      <c r="O1569" s="121" t="n"/>
      <c r="P1569" s="121" t="n"/>
      <c r="Q1569" s="166">
        <f>TODAY()</f>
        <v/>
      </c>
      <c r="R1569" s="165">
        <f>ElencoProdotti[[#This Row],[PRODUZIONE]]+20</f>
        <v/>
      </c>
      <c r="S1569" s="165">
        <f>TODAY()</f>
        <v/>
      </c>
      <c r="T1569" s="133">
        <f>CONCATENATE(A1569," - contiene allergni - prodotto il giorno ",TEXT(Q1569,"gg/mm/aaaa"),"")</f>
        <v/>
      </c>
    </row>
    <row r="1570" ht="15" customHeight="1" s="155">
      <c r="A1570" s="134">
        <f>ric!B1570</f>
        <v/>
      </c>
      <c r="B1570" s="118">
        <f>ric!C1570</f>
        <v/>
      </c>
      <c r="C1570" s="125">
        <f>ric!D1570</f>
        <v/>
      </c>
      <c r="D1570" s="125" t="n"/>
      <c r="E1570" s="125" t="n"/>
      <c r="F1570" s="125" t="n"/>
      <c r="G1570" s="118">
        <f>CONCATENATE(A1570, " ",#REF!, " / ",H1570)</f>
        <v/>
      </c>
      <c r="H1570" s="118" t="n"/>
      <c r="I1570" s="119">
        <f>CONCATENATE(M1570," - ",J1570," - Lotto N° ",K1570,"")</f>
        <v/>
      </c>
      <c r="J1570" s="118" t="n"/>
      <c r="K1570" s="118">
        <f>VLOOKUP(#REF!,Produzione,7,FALSE)</f>
        <v/>
      </c>
      <c r="L1570" s="120" t="n"/>
      <c r="M1570" s="120" t="n"/>
      <c r="N1570" s="118" t="n"/>
      <c r="O1570" s="121" t="n"/>
      <c r="P1570" s="121" t="n"/>
      <c r="Q1570" s="166">
        <f>TODAY()</f>
        <v/>
      </c>
      <c r="R1570" s="165">
        <f>ElencoProdotti[[#This Row],[PRODUZIONE]]+20</f>
        <v/>
      </c>
      <c r="S1570" s="165">
        <f>TODAY()</f>
        <v/>
      </c>
      <c r="T1570" s="133">
        <f>CONCATENATE(A1570," - contiene allergni - prodotto il giorno ",TEXT(Q1570,"gg/mm/aaaa"),"")</f>
        <v/>
      </c>
    </row>
    <row r="1571" ht="15" customHeight="1" s="155">
      <c r="A1571" s="134">
        <f>ric!B1571</f>
        <v/>
      </c>
      <c r="B1571" s="118">
        <f>ric!C1571</f>
        <v/>
      </c>
      <c r="C1571" s="125">
        <f>ric!D1571</f>
        <v/>
      </c>
      <c r="D1571" s="125" t="n"/>
      <c r="E1571" s="125" t="n"/>
      <c r="F1571" s="125" t="n"/>
      <c r="G1571" s="118">
        <f>CONCATENATE(A1571, " ",#REF!, " / ",H1571)</f>
        <v/>
      </c>
      <c r="H1571" s="118" t="n"/>
      <c r="I1571" s="119">
        <f>CONCATENATE(M1571," - ",J1571," - Lotto N° ",K1571,"")</f>
        <v/>
      </c>
      <c r="J1571" s="118" t="n"/>
      <c r="K1571" s="118">
        <f>VLOOKUP(#REF!,Produzione,7,FALSE)</f>
        <v/>
      </c>
      <c r="L1571" s="120" t="n"/>
      <c r="M1571" s="120" t="n"/>
      <c r="N1571" s="118" t="n"/>
      <c r="O1571" s="121" t="n"/>
      <c r="P1571" s="121" t="n"/>
      <c r="Q1571" s="166">
        <f>TODAY()</f>
        <v/>
      </c>
      <c r="R1571" s="165">
        <f>ElencoProdotti[[#This Row],[PRODUZIONE]]+20</f>
        <v/>
      </c>
      <c r="S1571" s="165">
        <f>TODAY()</f>
        <v/>
      </c>
      <c r="T1571" s="133">
        <f>CONCATENATE(A1571," - contiene allergni - prodotto il giorno ",TEXT(Q1571,"gg/mm/aaaa"),"")</f>
        <v/>
      </c>
    </row>
    <row r="1572" ht="15" customHeight="1" s="155">
      <c r="A1572" s="134">
        <f>ric!B1572</f>
        <v/>
      </c>
      <c r="B1572" s="118">
        <f>ric!C1572</f>
        <v/>
      </c>
      <c r="C1572" s="125">
        <f>ric!D1572</f>
        <v/>
      </c>
      <c r="D1572" s="125" t="n"/>
      <c r="E1572" s="125" t="n"/>
      <c r="F1572" s="125" t="n"/>
      <c r="G1572" s="118">
        <f>CONCATENATE(A1572, " ",#REF!, " / ",H1572)</f>
        <v/>
      </c>
      <c r="H1572" s="118" t="n"/>
      <c r="I1572" s="119">
        <f>CONCATENATE(M1572," - ",J1572," - Lotto N° ",K1572,"")</f>
        <v/>
      </c>
      <c r="J1572" s="118" t="n"/>
      <c r="K1572" s="118">
        <f>VLOOKUP(#REF!,Produzione,7,FALSE)</f>
        <v/>
      </c>
      <c r="L1572" s="120" t="n"/>
      <c r="M1572" s="120" t="n"/>
      <c r="N1572" s="118" t="n"/>
      <c r="O1572" s="121" t="n"/>
      <c r="P1572" s="121" t="n"/>
      <c r="Q1572" s="166">
        <f>TODAY()</f>
        <v/>
      </c>
      <c r="R1572" s="165">
        <f>ElencoProdotti[[#This Row],[PRODUZIONE]]+20</f>
        <v/>
      </c>
      <c r="S1572" s="165">
        <f>TODAY()</f>
        <v/>
      </c>
      <c r="T1572" s="133">
        <f>CONCATENATE(A1572," - contiene allergni - prodotto il giorno ",TEXT(Q1572,"gg/mm/aaaa"),"")</f>
        <v/>
      </c>
    </row>
    <row r="1573" ht="15" customHeight="1" s="155">
      <c r="A1573" s="134">
        <f>ric!B1573</f>
        <v/>
      </c>
      <c r="B1573" s="118">
        <f>ric!C1573</f>
        <v/>
      </c>
      <c r="C1573" s="125">
        <f>ric!D1573</f>
        <v/>
      </c>
      <c r="D1573" s="125" t="n"/>
      <c r="E1573" s="125" t="n"/>
      <c r="F1573" s="125" t="n"/>
      <c r="G1573" s="118">
        <f>CONCATENATE(A1573, " ",#REF!, " / ",H1573)</f>
        <v/>
      </c>
      <c r="H1573" s="118" t="n"/>
      <c r="I1573" s="119">
        <f>CONCATENATE(M1573," - ",J1573," - Lotto N° ",K1573,"")</f>
        <v/>
      </c>
      <c r="J1573" s="118" t="n"/>
      <c r="K1573" s="118">
        <f>VLOOKUP(#REF!,Produzione,7,FALSE)</f>
        <v/>
      </c>
      <c r="L1573" s="120" t="n"/>
      <c r="M1573" s="120" t="n"/>
      <c r="N1573" s="118" t="n"/>
      <c r="O1573" s="121" t="n"/>
      <c r="P1573" s="121" t="n"/>
      <c r="Q1573" s="166">
        <f>TODAY()</f>
        <v/>
      </c>
      <c r="R1573" s="165">
        <f>ElencoProdotti[[#This Row],[PRODUZIONE]]+20</f>
        <v/>
      </c>
      <c r="S1573" s="165">
        <f>TODAY()</f>
        <v/>
      </c>
      <c r="T1573" s="133">
        <f>CONCATENATE(A1573," - contiene allergni - prodotto il giorno ",TEXT(Q1573,"gg/mm/aaaa"),"")</f>
        <v/>
      </c>
    </row>
    <row r="1574" ht="15" customHeight="1" s="155">
      <c r="A1574" s="134">
        <f>ric!B1574</f>
        <v/>
      </c>
      <c r="B1574" s="118">
        <f>ric!C1574</f>
        <v/>
      </c>
      <c r="C1574" s="125">
        <f>ric!D1574</f>
        <v/>
      </c>
      <c r="D1574" s="125" t="n"/>
      <c r="E1574" s="125" t="n"/>
      <c r="F1574" s="125" t="n"/>
      <c r="G1574" s="118">
        <f>CONCATENATE(A1574, " ",#REF!, " / ",H1574)</f>
        <v/>
      </c>
      <c r="H1574" s="118" t="n"/>
      <c r="I1574" s="119">
        <f>CONCATENATE(M1574," - ",J1574," - Lotto N° ",K1574,"")</f>
        <v/>
      </c>
      <c r="J1574" s="118" t="n"/>
      <c r="K1574" s="118">
        <f>VLOOKUP(#REF!,Produzione,7,FALSE)</f>
        <v/>
      </c>
      <c r="L1574" s="120" t="n"/>
      <c r="M1574" s="120" t="n"/>
      <c r="N1574" s="118" t="n"/>
      <c r="O1574" s="121" t="n"/>
      <c r="P1574" s="121" t="n"/>
      <c r="Q1574" s="166">
        <f>TODAY()</f>
        <v/>
      </c>
      <c r="R1574" s="165">
        <f>ElencoProdotti[[#This Row],[PRODUZIONE]]+20</f>
        <v/>
      </c>
      <c r="S1574" s="165">
        <f>TODAY()</f>
        <v/>
      </c>
      <c r="T1574" s="133">
        <f>CONCATENATE(A1574," - contiene allergni - prodotto il giorno ",TEXT(Q1574,"gg/mm/aaaa"),"")</f>
        <v/>
      </c>
    </row>
    <row r="1575" ht="15" customHeight="1" s="155">
      <c r="A1575" s="134">
        <f>ric!B1575</f>
        <v/>
      </c>
      <c r="B1575" s="118">
        <f>ric!C1575</f>
        <v/>
      </c>
      <c r="C1575" s="125">
        <f>ric!D1575</f>
        <v/>
      </c>
      <c r="D1575" s="125" t="n"/>
      <c r="E1575" s="125" t="n"/>
      <c r="F1575" s="125" t="n"/>
      <c r="G1575" s="118">
        <f>CONCATENATE(A1575, " ",#REF!, " / ",H1575)</f>
        <v/>
      </c>
      <c r="H1575" s="118" t="n"/>
      <c r="I1575" s="119">
        <f>CONCATENATE(M1575," - ",J1575," - Lotto N° ",K1575,"")</f>
        <v/>
      </c>
      <c r="J1575" s="118" t="n"/>
      <c r="K1575" s="118">
        <f>VLOOKUP(#REF!,Produzione,7,FALSE)</f>
        <v/>
      </c>
      <c r="L1575" s="120" t="n"/>
      <c r="M1575" s="120" t="n"/>
      <c r="N1575" s="118" t="n"/>
      <c r="O1575" s="121" t="n"/>
      <c r="P1575" s="121" t="n"/>
      <c r="Q1575" s="166">
        <f>TODAY()</f>
        <v/>
      </c>
      <c r="R1575" s="165">
        <f>ElencoProdotti[[#This Row],[PRODUZIONE]]+20</f>
        <v/>
      </c>
      <c r="S1575" s="165">
        <f>TODAY()</f>
        <v/>
      </c>
      <c r="T1575" s="133">
        <f>CONCATENATE(A1575," - contiene allergni - prodotto il giorno ",TEXT(Q1575,"gg/mm/aaaa"),"")</f>
        <v/>
      </c>
    </row>
    <row r="1576" ht="15" customHeight="1" s="155">
      <c r="A1576" s="134">
        <f>ric!B1576</f>
        <v/>
      </c>
      <c r="B1576" s="118">
        <f>ric!C1576</f>
        <v/>
      </c>
      <c r="C1576" s="125">
        <f>ric!D1576</f>
        <v/>
      </c>
      <c r="D1576" s="125" t="n"/>
      <c r="E1576" s="125" t="n"/>
      <c r="F1576" s="125" t="n"/>
      <c r="G1576" s="118">
        <f>CONCATENATE(A1576, " ",#REF!, " / ",H1576)</f>
        <v/>
      </c>
      <c r="H1576" s="118" t="n"/>
      <c r="I1576" s="119">
        <f>CONCATENATE(M1576," - ",J1576," - Lotto N° ",K1576,"")</f>
        <v/>
      </c>
      <c r="J1576" s="118" t="n"/>
      <c r="K1576" s="118">
        <f>VLOOKUP(#REF!,Produzione,7,FALSE)</f>
        <v/>
      </c>
      <c r="L1576" s="120" t="n"/>
      <c r="M1576" s="120" t="n"/>
      <c r="N1576" s="118" t="n"/>
      <c r="O1576" s="121" t="n"/>
      <c r="P1576" s="121" t="n"/>
      <c r="Q1576" s="166">
        <f>TODAY()</f>
        <v/>
      </c>
      <c r="R1576" s="165">
        <f>ElencoProdotti[[#This Row],[PRODUZIONE]]+20</f>
        <v/>
      </c>
      <c r="S1576" s="165">
        <f>TODAY()</f>
        <v/>
      </c>
      <c r="T1576" s="133">
        <f>CONCATENATE(A1576," - contiene allergni - prodotto il giorno ",TEXT(Q1576,"gg/mm/aaaa"),"")</f>
        <v/>
      </c>
    </row>
    <row r="1577" ht="15" customHeight="1" s="155">
      <c r="A1577" s="134">
        <f>ric!B1577</f>
        <v/>
      </c>
      <c r="B1577" s="118">
        <f>ric!C1577</f>
        <v/>
      </c>
      <c r="C1577" s="125">
        <f>ric!D1577</f>
        <v/>
      </c>
      <c r="D1577" s="125" t="n"/>
      <c r="E1577" s="125" t="n"/>
      <c r="F1577" s="125" t="n"/>
      <c r="G1577" s="118">
        <f>CONCATENATE(A1577, " ",#REF!, " / ",H1577)</f>
        <v/>
      </c>
      <c r="H1577" s="118" t="n"/>
      <c r="I1577" s="119">
        <f>CONCATENATE(M1577," - ",J1577," - Lotto N° ",K1577,"")</f>
        <v/>
      </c>
      <c r="J1577" s="118" t="n"/>
      <c r="K1577" s="118">
        <f>VLOOKUP(#REF!,Produzione,7,FALSE)</f>
        <v/>
      </c>
      <c r="L1577" s="120" t="n"/>
      <c r="M1577" s="120" t="n"/>
      <c r="N1577" s="118" t="n"/>
      <c r="O1577" s="121" t="n"/>
      <c r="P1577" s="121" t="n"/>
      <c r="Q1577" s="166">
        <f>TODAY()</f>
        <v/>
      </c>
      <c r="R1577" s="165">
        <f>ElencoProdotti[[#This Row],[PRODUZIONE]]+20</f>
        <v/>
      </c>
      <c r="S1577" s="165">
        <f>TODAY()</f>
        <v/>
      </c>
      <c r="T1577" s="133">
        <f>CONCATENATE(A1577," - contiene allergni - prodotto il giorno ",TEXT(Q1577,"gg/mm/aaaa"),"")</f>
        <v/>
      </c>
    </row>
    <row r="1578" ht="15" customHeight="1" s="155">
      <c r="A1578" s="134">
        <f>ric!B1578</f>
        <v/>
      </c>
      <c r="B1578" s="118">
        <f>ric!C1578</f>
        <v/>
      </c>
      <c r="C1578" s="125">
        <f>ric!D1578</f>
        <v/>
      </c>
      <c r="D1578" s="125" t="n"/>
      <c r="E1578" s="125" t="n"/>
      <c r="F1578" s="125" t="n"/>
      <c r="G1578" s="118">
        <f>CONCATENATE(A1578, " ",#REF!, " / ",H1578)</f>
        <v/>
      </c>
      <c r="H1578" s="118" t="n"/>
      <c r="I1578" s="119">
        <f>CONCATENATE(M1578," - ",J1578," - Lotto N° ",K1578,"")</f>
        <v/>
      </c>
      <c r="J1578" s="118" t="n"/>
      <c r="K1578" s="118">
        <f>VLOOKUP(#REF!,Produzione,7,FALSE)</f>
        <v/>
      </c>
      <c r="L1578" s="120" t="n"/>
      <c r="M1578" s="120" t="n"/>
      <c r="N1578" s="118" t="n"/>
      <c r="O1578" s="121" t="n"/>
      <c r="P1578" s="121" t="n"/>
      <c r="Q1578" s="166">
        <f>TODAY()</f>
        <v/>
      </c>
      <c r="R1578" s="165">
        <f>ElencoProdotti[[#This Row],[PRODUZIONE]]+20</f>
        <v/>
      </c>
      <c r="S1578" s="165">
        <f>TODAY()</f>
        <v/>
      </c>
      <c r="T1578" s="133">
        <f>CONCATENATE(A1578," - contiene allergni - prodotto il giorno ",TEXT(Q1578,"gg/mm/aaaa"),"")</f>
        <v/>
      </c>
    </row>
    <row r="1579" ht="15" customHeight="1" s="155">
      <c r="A1579" s="134">
        <f>ric!B1579</f>
        <v/>
      </c>
      <c r="B1579" s="118">
        <f>ric!C1579</f>
        <v/>
      </c>
      <c r="C1579" s="125">
        <f>ric!D1579</f>
        <v/>
      </c>
      <c r="D1579" s="125" t="n"/>
      <c r="E1579" s="125" t="n"/>
      <c r="F1579" s="125" t="n"/>
      <c r="G1579" s="118">
        <f>CONCATENATE(A1579, " ",#REF!, " / ",H1579)</f>
        <v/>
      </c>
      <c r="H1579" s="118" t="n"/>
      <c r="I1579" s="119">
        <f>CONCATENATE(M1579," - ",J1579," - Lotto N° ",K1579,"")</f>
        <v/>
      </c>
      <c r="J1579" s="118" t="n"/>
      <c r="K1579" s="118">
        <f>VLOOKUP(#REF!,Produzione,7,FALSE)</f>
        <v/>
      </c>
      <c r="L1579" s="120" t="n"/>
      <c r="M1579" s="120" t="n"/>
      <c r="N1579" s="118" t="n"/>
      <c r="O1579" s="121" t="n"/>
      <c r="P1579" s="121" t="n"/>
      <c r="Q1579" s="166">
        <f>TODAY()</f>
        <v/>
      </c>
      <c r="R1579" s="165">
        <f>ElencoProdotti[[#This Row],[PRODUZIONE]]+20</f>
        <v/>
      </c>
      <c r="S1579" s="165">
        <f>TODAY()</f>
        <v/>
      </c>
      <c r="T1579" s="133">
        <f>CONCATENATE(A1579," - contiene allergni - prodotto il giorno ",TEXT(Q1579,"gg/mm/aaaa"),"")</f>
        <v/>
      </c>
    </row>
    <row r="1580" ht="15" customHeight="1" s="155">
      <c r="A1580" s="134">
        <f>ric!B1580</f>
        <v/>
      </c>
      <c r="B1580" s="118">
        <f>ric!C1580</f>
        <v/>
      </c>
      <c r="C1580" s="125">
        <f>ric!D1580</f>
        <v/>
      </c>
      <c r="D1580" s="125" t="n"/>
      <c r="E1580" s="125" t="n"/>
      <c r="F1580" s="125" t="n"/>
      <c r="G1580" s="118">
        <f>CONCATENATE(A1580, " ",#REF!, " / ",H1580)</f>
        <v/>
      </c>
      <c r="H1580" s="118" t="n"/>
      <c r="I1580" s="119">
        <f>CONCATENATE(M1580," - ",J1580," - Lotto N° ",K1580,"")</f>
        <v/>
      </c>
      <c r="J1580" s="118" t="n"/>
      <c r="K1580" s="118">
        <f>VLOOKUP(#REF!,Produzione,7,FALSE)</f>
        <v/>
      </c>
      <c r="L1580" s="120" t="n"/>
      <c r="M1580" s="120" t="n"/>
      <c r="N1580" s="118" t="n"/>
      <c r="O1580" s="121" t="n"/>
      <c r="P1580" s="121" t="n"/>
      <c r="Q1580" s="166">
        <f>TODAY()</f>
        <v/>
      </c>
      <c r="R1580" s="165">
        <f>ElencoProdotti[[#This Row],[PRODUZIONE]]+20</f>
        <v/>
      </c>
      <c r="S1580" s="165">
        <f>TODAY()</f>
        <v/>
      </c>
      <c r="T1580" s="133">
        <f>CONCATENATE(A1580," - contiene allergni - prodotto il giorno ",TEXT(Q1580,"gg/mm/aaaa"),"")</f>
        <v/>
      </c>
    </row>
    <row r="1581" ht="15" customHeight="1" s="155">
      <c r="A1581" s="134">
        <f>ric!B1581</f>
        <v/>
      </c>
      <c r="B1581" s="118">
        <f>ric!C1581</f>
        <v/>
      </c>
      <c r="C1581" s="125">
        <f>ric!D1581</f>
        <v/>
      </c>
      <c r="D1581" s="125" t="n"/>
      <c r="E1581" s="125" t="n"/>
      <c r="F1581" s="125" t="n"/>
      <c r="G1581" s="118">
        <f>CONCATENATE(A1581, " ",#REF!, " / ",H1581)</f>
        <v/>
      </c>
      <c r="H1581" s="118" t="n"/>
      <c r="I1581" s="119">
        <f>CONCATENATE(M1581," - ",J1581," - Lotto N° ",K1581,"")</f>
        <v/>
      </c>
      <c r="J1581" s="118" t="n"/>
      <c r="K1581" s="118">
        <f>VLOOKUP(#REF!,Produzione,7,FALSE)</f>
        <v/>
      </c>
      <c r="L1581" s="120" t="n"/>
      <c r="M1581" s="120" t="n"/>
      <c r="N1581" s="118" t="n"/>
      <c r="O1581" s="121" t="n"/>
      <c r="P1581" s="121" t="n"/>
      <c r="Q1581" s="166">
        <f>TODAY()</f>
        <v/>
      </c>
      <c r="R1581" s="165">
        <f>ElencoProdotti[[#This Row],[PRODUZIONE]]+20</f>
        <v/>
      </c>
      <c r="S1581" s="165">
        <f>TODAY()</f>
        <v/>
      </c>
      <c r="T1581" s="133">
        <f>CONCATENATE(A1581," - contiene allergni - prodotto il giorno ",TEXT(Q1581,"gg/mm/aaaa"),"")</f>
        <v/>
      </c>
    </row>
    <row r="1582" ht="15" customHeight="1" s="155">
      <c r="A1582" s="134">
        <f>ric!B1582</f>
        <v/>
      </c>
      <c r="B1582" s="118">
        <f>ric!C1582</f>
        <v/>
      </c>
      <c r="C1582" s="125">
        <f>ric!D1582</f>
        <v/>
      </c>
      <c r="D1582" s="125" t="n"/>
      <c r="E1582" s="125" t="n"/>
      <c r="F1582" s="125" t="n"/>
      <c r="G1582" s="118">
        <f>CONCATENATE(A1582, " ",#REF!, " / ",H1582)</f>
        <v/>
      </c>
      <c r="H1582" s="118" t="n"/>
      <c r="I1582" s="119">
        <f>CONCATENATE(M1582," - ",J1582," - Lotto N° ",K1582,"")</f>
        <v/>
      </c>
      <c r="J1582" s="118" t="n"/>
      <c r="K1582" s="118">
        <f>VLOOKUP(#REF!,Produzione,7,FALSE)</f>
        <v/>
      </c>
      <c r="L1582" s="120" t="n"/>
      <c r="M1582" s="120" t="n"/>
      <c r="N1582" s="118" t="n"/>
      <c r="O1582" s="121" t="n"/>
      <c r="P1582" s="121" t="n"/>
      <c r="Q1582" s="166">
        <f>TODAY()</f>
        <v/>
      </c>
      <c r="R1582" s="165">
        <f>ElencoProdotti[[#This Row],[PRODUZIONE]]+20</f>
        <v/>
      </c>
      <c r="S1582" s="165">
        <f>TODAY()</f>
        <v/>
      </c>
      <c r="T1582" s="133">
        <f>CONCATENATE(A1582," - contiene allergni - prodotto il giorno ",TEXT(Q1582,"gg/mm/aaaa"),"")</f>
        <v/>
      </c>
    </row>
    <row r="1583" ht="15" customHeight="1" s="155">
      <c r="A1583" s="134">
        <f>ric!B1583</f>
        <v/>
      </c>
      <c r="B1583" s="118">
        <f>ric!C1583</f>
        <v/>
      </c>
      <c r="C1583" s="125">
        <f>ric!D1583</f>
        <v/>
      </c>
      <c r="D1583" s="125" t="n"/>
      <c r="E1583" s="125" t="n"/>
      <c r="F1583" s="125" t="n"/>
      <c r="G1583" s="118">
        <f>CONCATENATE(A1583, " ",#REF!, " / ",H1583)</f>
        <v/>
      </c>
      <c r="H1583" s="118" t="n"/>
      <c r="I1583" s="119">
        <f>CONCATENATE(M1583," - ",J1583," - Lotto N° ",K1583,"")</f>
        <v/>
      </c>
      <c r="J1583" s="118" t="n"/>
      <c r="K1583" s="118">
        <f>VLOOKUP(#REF!,Produzione,7,FALSE)</f>
        <v/>
      </c>
      <c r="L1583" s="120" t="n"/>
      <c r="M1583" s="120" t="n"/>
      <c r="N1583" s="118" t="n"/>
      <c r="O1583" s="121" t="n"/>
      <c r="P1583" s="121" t="n"/>
      <c r="Q1583" s="166">
        <f>TODAY()</f>
        <v/>
      </c>
      <c r="R1583" s="165">
        <f>ElencoProdotti[[#This Row],[PRODUZIONE]]+20</f>
        <v/>
      </c>
      <c r="S1583" s="165">
        <f>TODAY()</f>
        <v/>
      </c>
      <c r="T1583" s="133">
        <f>CONCATENATE(A1583," - contiene allergni - prodotto il giorno ",TEXT(Q1583,"gg/mm/aaaa"),"")</f>
        <v/>
      </c>
    </row>
    <row r="1584" ht="15" customHeight="1" s="155">
      <c r="A1584" s="134">
        <f>ric!B1584</f>
        <v/>
      </c>
      <c r="B1584" s="118">
        <f>ric!C1584</f>
        <v/>
      </c>
      <c r="C1584" s="125">
        <f>ric!D1584</f>
        <v/>
      </c>
      <c r="D1584" s="125" t="n"/>
      <c r="E1584" s="125" t="n"/>
      <c r="F1584" s="125" t="n"/>
      <c r="G1584" s="118">
        <f>CONCATENATE(A1584, " ",#REF!, " / ",H1584)</f>
        <v/>
      </c>
      <c r="H1584" s="118" t="n"/>
      <c r="I1584" s="119">
        <f>CONCATENATE(M1584," - ",J1584," - Lotto N° ",K1584,"")</f>
        <v/>
      </c>
      <c r="J1584" s="118" t="n"/>
      <c r="K1584" s="118">
        <f>VLOOKUP(#REF!,Produzione,7,FALSE)</f>
        <v/>
      </c>
      <c r="L1584" s="120" t="n"/>
      <c r="M1584" s="120" t="n"/>
      <c r="N1584" s="118" t="n"/>
      <c r="O1584" s="121" t="n"/>
      <c r="P1584" s="121" t="n"/>
      <c r="Q1584" s="166">
        <f>TODAY()</f>
        <v/>
      </c>
      <c r="R1584" s="165">
        <f>ElencoProdotti[[#This Row],[PRODUZIONE]]+20</f>
        <v/>
      </c>
      <c r="S1584" s="165">
        <f>TODAY()</f>
        <v/>
      </c>
      <c r="T1584" s="133">
        <f>CONCATENATE(A1584," - contiene allergni - prodotto il giorno ",TEXT(Q1584,"gg/mm/aaaa"),"")</f>
        <v/>
      </c>
    </row>
    <row r="1585" ht="15" customHeight="1" s="155">
      <c r="A1585" s="134">
        <f>ric!B1585</f>
        <v/>
      </c>
      <c r="B1585" s="118">
        <f>ric!C1585</f>
        <v/>
      </c>
      <c r="C1585" s="125">
        <f>ric!D1585</f>
        <v/>
      </c>
      <c r="D1585" s="125" t="n"/>
      <c r="E1585" s="125" t="n"/>
      <c r="F1585" s="125" t="n"/>
      <c r="G1585" s="118">
        <f>CONCATENATE(A1585, " ",#REF!, " / ",H1585)</f>
        <v/>
      </c>
      <c r="H1585" s="118" t="n"/>
      <c r="I1585" s="119">
        <f>CONCATENATE(M1585," - ",J1585," - Lotto N° ",K1585,"")</f>
        <v/>
      </c>
      <c r="J1585" s="118" t="n"/>
      <c r="K1585" s="118">
        <f>VLOOKUP(#REF!,Produzione,7,FALSE)</f>
        <v/>
      </c>
      <c r="L1585" s="120" t="n"/>
      <c r="M1585" s="120" t="n"/>
      <c r="N1585" s="118" t="n"/>
      <c r="O1585" s="121" t="n"/>
      <c r="P1585" s="121" t="n"/>
      <c r="Q1585" s="166">
        <f>TODAY()</f>
        <v/>
      </c>
      <c r="R1585" s="165">
        <f>ElencoProdotti[[#This Row],[PRODUZIONE]]+20</f>
        <v/>
      </c>
      <c r="S1585" s="165">
        <f>TODAY()</f>
        <v/>
      </c>
      <c r="T1585" s="133">
        <f>CONCATENATE(A1585," - contiene allergni - prodotto il giorno ",TEXT(Q1585,"gg/mm/aaaa"),"")</f>
        <v/>
      </c>
    </row>
    <row r="1586" ht="15" customHeight="1" s="155">
      <c r="A1586" s="134">
        <f>ric!B1586</f>
        <v/>
      </c>
      <c r="B1586" s="118">
        <f>ric!C1586</f>
        <v/>
      </c>
      <c r="C1586" s="125">
        <f>ric!D1586</f>
        <v/>
      </c>
      <c r="D1586" s="125" t="n"/>
      <c r="E1586" s="125" t="n"/>
      <c r="F1586" s="125" t="n"/>
      <c r="G1586" s="118">
        <f>CONCATENATE(A1586, " ",#REF!, " / ",H1586)</f>
        <v/>
      </c>
      <c r="H1586" s="118" t="n"/>
      <c r="I1586" s="119">
        <f>CONCATENATE(M1586," - ",J1586," - Lotto N° ",K1586,"")</f>
        <v/>
      </c>
      <c r="J1586" s="118" t="n"/>
      <c r="K1586" s="118">
        <f>VLOOKUP(#REF!,Produzione,7,FALSE)</f>
        <v/>
      </c>
      <c r="L1586" s="120" t="n"/>
      <c r="M1586" s="120" t="n"/>
      <c r="N1586" s="118" t="n"/>
      <c r="O1586" s="121" t="n"/>
      <c r="P1586" s="121" t="n"/>
      <c r="Q1586" s="166">
        <f>TODAY()</f>
        <v/>
      </c>
      <c r="R1586" s="165">
        <f>ElencoProdotti[[#This Row],[PRODUZIONE]]+20</f>
        <v/>
      </c>
      <c r="S1586" s="165">
        <f>TODAY()</f>
        <v/>
      </c>
      <c r="T1586" s="133">
        <f>CONCATENATE(A1586," - contiene allergni - prodotto il giorno ",TEXT(Q1586,"gg/mm/aaaa"),"")</f>
        <v/>
      </c>
    </row>
    <row r="1587" ht="15" customHeight="1" s="155">
      <c r="A1587" s="134">
        <f>ric!B1587</f>
        <v/>
      </c>
      <c r="B1587" s="118">
        <f>ric!C1587</f>
        <v/>
      </c>
      <c r="C1587" s="125">
        <f>ric!D1587</f>
        <v/>
      </c>
      <c r="D1587" s="125" t="n"/>
      <c r="E1587" s="125" t="n"/>
      <c r="F1587" s="125" t="n"/>
      <c r="G1587" s="118">
        <f>CONCATENATE(A1587, " ",#REF!, " / ",H1587)</f>
        <v/>
      </c>
      <c r="H1587" s="118" t="n"/>
      <c r="I1587" s="119">
        <f>CONCATENATE(M1587," - ",J1587," - Lotto N° ",K1587,"")</f>
        <v/>
      </c>
      <c r="J1587" s="118" t="n"/>
      <c r="K1587" s="118">
        <f>VLOOKUP(#REF!,Produzione,7,FALSE)</f>
        <v/>
      </c>
      <c r="L1587" s="120" t="n"/>
      <c r="M1587" s="120" t="n"/>
      <c r="N1587" s="118" t="n"/>
      <c r="O1587" s="121" t="n"/>
      <c r="P1587" s="121" t="n"/>
      <c r="Q1587" s="166">
        <f>TODAY()</f>
        <v/>
      </c>
      <c r="R1587" s="165">
        <f>ElencoProdotti[[#This Row],[PRODUZIONE]]+20</f>
        <v/>
      </c>
      <c r="S1587" s="165">
        <f>TODAY()</f>
        <v/>
      </c>
      <c r="T1587" s="133">
        <f>CONCATENATE(A1587," - contiene allergni - prodotto il giorno ",TEXT(Q1587,"gg/mm/aaaa"),"")</f>
        <v/>
      </c>
    </row>
    <row r="1588" ht="15" customHeight="1" s="155">
      <c r="A1588" s="134">
        <f>ric!B1588</f>
        <v/>
      </c>
      <c r="B1588" s="118">
        <f>ric!C1588</f>
        <v/>
      </c>
      <c r="C1588" s="125">
        <f>ric!D1588</f>
        <v/>
      </c>
      <c r="D1588" s="125" t="n"/>
      <c r="E1588" s="125" t="n"/>
      <c r="F1588" s="125" t="n"/>
      <c r="G1588" s="118">
        <f>CONCATENATE(A1588, " ",#REF!, " / ",H1588)</f>
        <v/>
      </c>
      <c r="H1588" s="118" t="n"/>
      <c r="I1588" s="119">
        <f>CONCATENATE(M1588," - ",J1588," - Lotto N° ",K1588,"")</f>
        <v/>
      </c>
      <c r="J1588" s="118" t="n"/>
      <c r="K1588" s="118">
        <f>VLOOKUP(#REF!,Produzione,7,FALSE)</f>
        <v/>
      </c>
      <c r="L1588" s="120" t="n"/>
      <c r="M1588" s="120" t="n"/>
      <c r="N1588" s="118" t="n"/>
      <c r="O1588" s="121" t="n"/>
      <c r="P1588" s="121" t="n"/>
      <c r="Q1588" s="166">
        <f>TODAY()</f>
        <v/>
      </c>
      <c r="R1588" s="165">
        <f>ElencoProdotti[[#This Row],[PRODUZIONE]]+20</f>
        <v/>
      </c>
      <c r="S1588" s="165">
        <f>TODAY()</f>
        <v/>
      </c>
      <c r="T1588" s="133">
        <f>CONCATENATE(A1588," - contiene allergni - prodotto il giorno ",TEXT(Q1588,"gg/mm/aaaa"),"")</f>
        <v/>
      </c>
    </row>
    <row r="1589" ht="15" customHeight="1" s="155">
      <c r="A1589" s="134">
        <f>ric!B1589</f>
        <v/>
      </c>
      <c r="B1589" s="118">
        <f>ric!C1589</f>
        <v/>
      </c>
      <c r="C1589" s="125">
        <f>ric!D1589</f>
        <v/>
      </c>
      <c r="D1589" s="125" t="n"/>
      <c r="E1589" s="125" t="n"/>
      <c r="F1589" s="125" t="n"/>
      <c r="G1589" s="118">
        <f>CONCATENATE(A1589, " ",#REF!, " / ",H1589)</f>
        <v/>
      </c>
      <c r="H1589" s="118" t="n"/>
      <c r="I1589" s="119">
        <f>CONCATENATE(M1589," - ",J1589," - Lotto N° ",K1589,"")</f>
        <v/>
      </c>
      <c r="J1589" s="118" t="n"/>
      <c r="K1589" s="118">
        <f>VLOOKUP(#REF!,Produzione,7,FALSE)</f>
        <v/>
      </c>
      <c r="L1589" s="120" t="n"/>
      <c r="M1589" s="120" t="n"/>
      <c r="N1589" s="118" t="n"/>
      <c r="O1589" s="121" t="n"/>
      <c r="P1589" s="121" t="n"/>
      <c r="Q1589" s="166">
        <f>TODAY()</f>
        <v/>
      </c>
      <c r="R1589" s="165">
        <f>ElencoProdotti[[#This Row],[PRODUZIONE]]+20</f>
        <v/>
      </c>
      <c r="S1589" s="165">
        <f>TODAY()</f>
        <v/>
      </c>
      <c r="T1589" s="133">
        <f>CONCATENATE(A1589," - contiene allergni - prodotto il giorno ",TEXT(Q1589,"gg/mm/aaaa"),"")</f>
        <v/>
      </c>
    </row>
    <row r="1590" ht="15" customHeight="1" s="155">
      <c r="A1590" s="134">
        <f>ric!B1590</f>
        <v/>
      </c>
      <c r="B1590" s="118">
        <f>ric!C1590</f>
        <v/>
      </c>
      <c r="C1590" s="125">
        <f>ric!D1590</f>
        <v/>
      </c>
      <c r="D1590" s="125" t="n"/>
      <c r="E1590" s="125" t="n"/>
      <c r="F1590" s="125" t="n"/>
      <c r="G1590" s="118">
        <f>CONCATENATE(A1590, " ",#REF!, " / ",H1590)</f>
        <v/>
      </c>
      <c r="H1590" s="118" t="n"/>
      <c r="I1590" s="119">
        <f>CONCATENATE(M1590," - ",J1590," - Lotto N° ",K1590,"")</f>
        <v/>
      </c>
      <c r="J1590" s="118" t="n"/>
      <c r="K1590" s="118">
        <f>VLOOKUP(#REF!,Produzione,7,FALSE)</f>
        <v/>
      </c>
      <c r="L1590" s="120" t="n"/>
      <c r="M1590" s="120" t="n"/>
      <c r="N1590" s="118" t="n"/>
      <c r="O1590" s="121" t="n"/>
      <c r="P1590" s="121" t="n"/>
      <c r="Q1590" s="166">
        <f>TODAY()</f>
        <v/>
      </c>
      <c r="R1590" s="165">
        <f>ElencoProdotti[[#This Row],[PRODUZIONE]]+20</f>
        <v/>
      </c>
      <c r="S1590" s="165">
        <f>TODAY()</f>
        <v/>
      </c>
      <c r="T1590" s="133">
        <f>CONCATENATE(A1590," - contiene allergni - prodotto il giorno ",TEXT(Q1590,"gg/mm/aaaa"),"")</f>
        <v/>
      </c>
    </row>
    <row r="1591" ht="15" customHeight="1" s="155">
      <c r="A1591" s="134">
        <f>ric!B1591</f>
        <v/>
      </c>
      <c r="B1591" s="118">
        <f>ric!C1591</f>
        <v/>
      </c>
      <c r="C1591" s="125">
        <f>ric!D1591</f>
        <v/>
      </c>
      <c r="D1591" s="125" t="n"/>
      <c r="E1591" s="125" t="n"/>
      <c r="F1591" s="125" t="n"/>
      <c r="G1591" s="118">
        <f>CONCATENATE(A1591, " ",#REF!, " / ",H1591)</f>
        <v/>
      </c>
      <c r="H1591" s="118" t="n"/>
      <c r="I1591" s="119">
        <f>CONCATENATE(M1591," - ",J1591," - Lotto N° ",K1591,"")</f>
        <v/>
      </c>
      <c r="J1591" s="118" t="n"/>
      <c r="K1591" s="118">
        <f>VLOOKUP(#REF!,Produzione,7,FALSE)</f>
        <v/>
      </c>
      <c r="L1591" s="120" t="n"/>
      <c r="M1591" s="120" t="n"/>
      <c r="N1591" s="118" t="n"/>
      <c r="O1591" s="121" t="n"/>
      <c r="P1591" s="121" t="n"/>
      <c r="Q1591" s="166">
        <f>TODAY()</f>
        <v/>
      </c>
      <c r="R1591" s="165">
        <f>ElencoProdotti[[#This Row],[PRODUZIONE]]+20</f>
        <v/>
      </c>
      <c r="S1591" s="165">
        <f>TODAY()</f>
        <v/>
      </c>
      <c r="T1591" s="133">
        <f>CONCATENATE(A1591," - contiene allergni - prodotto il giorno ",TEXT(Q1591,"gg/mm/aaaa"),"")</f>
        <v/>
      </c>
    </row>
    <row r="1592" ht="15" customHeight="1" s="155">
      <c r="A1592" s="134">
        <f>ric!B1592</f>
        <v/>
      </c>
      <c r="B1592" s="118">
        <f>ric!C1592</f>
        <v/>
      </c>
      <c r="C1592" s="125">
        <f>ric!D1592</f>
        <v/>
      </c>
      <c r="D1592" s="125" t="n"/>
      <c r="E1592" s="125" t="n"/>
      <c r="F1592" s="125" t="n"/>
      <c r="G1592" s="118">
        <f>CONCATENATE(A1592, " ",#REF!, " / ",H1592)</f>
        <v/>
      </c>
      <c r="H1592" s="118" t="n"/>
      <c r="I1592" s="119">
        <f>CONCATENATE(M1592," - ",J1592," - Lotto N° ",K1592,"")</f>
        <v/>
      </c>
      <c r="J1592" s="118" t="n"/>
      <c r="K1592" s="118">
        <f>VLOOKUP(#REF!,Produzione,7,FALSE)</f>
        <v/>
      </c>
      <c r="L1592" s="120" t="n"/>
      <c r="M1592" s="120" t="n"/>
      <c r="N1592" s="118" t="n"/>
      <c r="O1592" s="121" t="n"/>
      <c r="P1592" s="121" t="n"/>
      <c r="Q1592" s="166">
        <f>TODAY()</f>
        <v/>
      </c>
      <c r="R1592" s="165">
        <f>ElencoProdotti[[#This Row],[PRODUZIONE]]+20</f>
        <v/>
      </c>
      <c r="S1592" s="165">
        <f>TODAY()</f>
        <v/>
      </c>
      <c r="T1592" s="133">
        <f>CONCATENATE(A1592," - contiene allergni - prodotto il giorno ",TEXT(Q1592,"gg/mm/aaaa"),"")</f>
        <v/>
      </c>
    </row>
    <row r="1593" ht="15" customHeight="1" s="155">
      <c r="A1593" s="134">
        <f>ric!B1593</f>
        <v/>
      </c>
      <c r="B1593" s="118">
        <f>ric!C1593</f>
        <v/>
      </c>
      <c r="C1593" s="125">
        <f>ric!D1593</f>
        <v/>
      </c>
      <c r="D1593" s="125" t="n"/>
      <c r="E1593" s="125" t="n"/>
      <c r="F1593" s="125" t="n"/>
      <c r="G1593" s="118">
        <f>CONCATENATE(A1593, " ",#REF!, " / ",H1593)</f>
        <v/>
      </c>
      <c r="H1593" s="118" t="n"/>
      <c r="I1593" s="119">
        <f>CONCATENATE(M1593," - ",J1593," - Lotto N° ",K1593,"")</f>
        <v/>
      </c>
      <c r="J1593" s="118" t="n"/>
      <c r="K1593" s="118">
        <f>VLOOKUP(#REF!,Produzione,7,FALSE)</f>
        <v/>
      </c>
      <c r="L1593" s="120" t="n"/>
      <c r="M1593" s="120" t="n"/>
      <c r="N1593" s="118" t="n"/>
      <c r="O1593" s="121" t="n"/>
      <c r="P1593" s="121" t="n"/>
      <c r="Q1593" s="166">
        <f>TODAY()</f>
        <v/>
      </c>
      <c r="R1593" s="165">
        <f>ElencoProdotti[[#This Row],[PRODUZIONE]]+20</f>
        <v/>
      </c>
      <c r="S1593" s="165">
        <f>TODAY()</f>
        <v/>
      </c>
      <c r="T1593" s="133">
        <f>CONCATENATE(A1593," - contiene allergni - prodotto il giorno ",TEXT(Q1593,"gg/mm/aaaa"),"")</f>
        <v/>
      </c>
    </row>
    <row r="1594" ht="15" customHeight="1" s="155">
      <c r="A1594" s="134">
        <f>ric!B1594</f>
        <v/>
      </c>
      <c r="B1594" s="118">
        <f>ric!C1594</f>
        <v/>
      </c>
      <c r="C1594" s="125">
        <f>ric!D1594</f>
        <v/>
      </c>
      <c r="D1594" s="125" t="n"/>
      <c r="E1594" s="125" t="n"/>
      <c r="F1594" s="125" t="n"/>
      <c r="G1594" s="118">
        <f>CONCATENATE(A1594, " ",#REF!, " / ",H1594)</f>
        <v/>
      </c>
      <c r="H1594" s="118" t="n"/>
      <c r="I1594" s="119">
        <f>CONCATENATE(M1594," - ",J1594," - Lotto N° ",K1594,"")</f>
        <v/>
      </c>
      <c r="J1594" s="118" t="n"/>
      <c r="K1594" s="118">
        <f>VLOOKUP(#REF!,Produzione,7,FALSE)</f>
        <v/>
      </c>
      <c r="L1594" s="120" t="n"/>
      <c r="M1594" s="120" t="n"/>
      <c r="N1594" s="118" t="n"/>
      <c r="O1594" s="121" t="n"/>
      <c r="P1594" s="121" t="n"/>
      <c r="Q1594" s="166">
        <f>TODAY()</f>
        <v/>
      </c>
      <c r="R1594" s="165">
        <f>ElencoProdotti[[#This Row],[PRODUZIONE]]+20</f>
        <v/>
      </c>
      <c r="S1594" s="165">
        <f>TODAY()</f>
        <v/>
      </c>
      <c r="T1594" s="133">
        <f>CONCATENATE(A1594," - contiene allergni - prodotto il giorno ",TEXT(Q1594,"gg/mm/aaaa"),"")</f>
        <v/>
      </c>
    </row>
    <row r="1595" ht="15" customHeight="1" s="155">
      <c r="A1595" s="134">
        <f>ric!B1595</f>
        <v/>
      </c>
      <c r="B1595" s="118">
        <f>ric!C1595</f>
        <v/>
      </c>
      <c r="C1595" s="125">
        <f>ric!D1595</f>
        <v/>
      </c>
      <c r="D1595" s="125" t="n"/>
      <c r="E1595" s="125" t="n"/>
      <c r="F1595" s="125" t="n"/>
      <c r="G1595" s="118">
        <f>CONCATENATE(A1595, " ",#REF!, " / ",H1595)</f>
        <v/>
      </c>
      <c r="H1595" s="118" t="n"/>
      <c r="I1595" s="119">
        <f>CONCATENATE(M1595," - ",J1595," - Lotto N° ",K1595,"")</f>
        <v/>
      </c>
      <c r="J1595" s="118" t="n"/>
      <c r="K1595" s="118">
        <f>VLOOKUP(#REF!,Produzione,7,FALSE)</f>
        <v/>
      </c>
      <c r="L1595" s="120" t="n"/>
      <c r="M1595" s="120" t="n"/>
      <c r="N1595" s="118" t="n"/>
      <c r="O1595" s="121" t="n"/>
      <c r="P1595" s="121" t="n"/>
      <c r="Q1595" s="166">
        <f>TODAY()</f>
        <v/>
      </c>
      <c r="R1595" s="165">
        <f>ElencoProdotti[[#This Row],[PRODUZIONE]]+20</f>
        <v/>
      </c>
      <c r="S1595" s="165">
        <f>TODAY()</f>
        <v/>
      </c>
      <c r="T1595" s="133">
        <f>CONCATENATE(A1595," - contiene allergni - prodotto il giorno ",TEXT(Q1595,"gg/mm/aaaa"),"")</f>
        <v/>
      </c>
    </row>
    <row r="1596" ht="15" customHeight="1" s="155">
      <c r="A1596" s="134">
        <f>ric!B1596</f>
        <v/>
      </c>
      <c r="B1596" s="118">
        <f>ric!C1596</f>
        <v/>
      </c>
      <c r="C1596" s="125">
        <f>ric!D1596</f>
        <v/>
      </c>
      <c r="D1596" s="125" t="n"/>
      <c r="E1596" s="125" t="n"/>
      <c r="F1596" s="125" t="n"/>
      <c r="G1596" s="118">
        <f>CONCATENATE(A1596, " ",#REF!, " / ",H1596)</f>
        <v/>
      </c>
      <c r="H1596" s="118" t="n"/>
      <c r="I1596" s="119">
        <f>CONCATENATE(M1596," - ",J1596," - Lotto N° ",K1596,"")</f>
        <v/>
      </c>
      <c r="J1596" s="118" t="n"/>
      <c r="K1596" s="118">
        <f>VLOOKUP(#REF!,Produzione,7,FALSE)</f>
        <v/>
      </c>
      <c r="L1596" s="120" t="n"/>
      <c r="M1596" s="120" t="n"/>
      <c r="N1596" s="118" t="n"/>
      <c r="O1596" s="121" t="n"/>
      <c r="P1596" s="121" t="n"/>
      <c r="Q1596" s="166">
        <f>TODAY()</f>
        <v/>
      </c>
      <c r="R1596" s="165">
        <f>ElencoProdotti[[#This Row],[PRODUZIONE]]+20</f>
        <v/>
      </c>
      <c r="S1596" s="165">
        <f>TODAY()</f>
        <v/>
      </c>
      <c r="T1596" s="133">
        <f>CONCATENATE(A1596," - contiene allergni - prodotto il giorno ",TEXT(Q1596,"gg/mm/aaaa"),"")</f>
        <v/>
      </c>
    </row>
    <row r="1597" ht="15" customHeight="1" s="155">
      <c r="A1597" s="134">
        <f>ric!B1597</f>
        <v/>
      </c>
      <c r="B1597" s="118">
        <f>ric!C1597</f>
        <v/>
      </c>
      <c r="C1597" s="125">
        <f>ric!D1597</f>
        <v/>
      </c>
      <c r="D1597" s="125" t="n"/>
      <c r="E1597" s="125" t="n"/>
      <c r="F1597" s="125" t="n"/>
      <c r="G1597" s="118">
        <f>CONCATENATE(A1597, " ",#REF!, " / ",H1597)</f>
        <v/>
      </c>
      <c r="H1597" s="118" t="n"/>
      <c r="I1597" s="119">
        <f>CONCATENATE(M1597," - ",J1597," - Lotto N° ",K1597,"")</f>
        <v/>
      </c>
      <c r="J1597" s="118" t="n"/>
      <c r="K1597" s="118">
        <f>VLOOKUP(#REF!,Produzione,7,FALSE)</f>
        <v/>
      </c>
      <c r="L1597" s="120" t="n"/>
      <c r="M1597" s="120" t="n"/>
      <c r="N1597" s="118" t="n"/>
      <c r="O1597" s="121" t="n"/>
      <c r="P1597" s="121" t="n"/>
      <c r="Q1597" s="166">
        <f>TODAY()</f>
        <v/>
      </c>
      <c r="R1597" s="165">
        <f>ElencoProdotti[[#This Row],[PRODUZIONE]]+20</f>
        <v/>
      </c>
      <c r="S1597" s="165">
        <f>TODAY()</f>
        <v/>
      </c>
      <c r="T1597" s="133">
        <f>CONCATENATE(A1597," - contiene allergni - prodotto il giorno ",TEXT(Q1597,"gg/mm/aaaa"),"")</f>
        <v/>
      </c>
    </row>
    <row r="1598" ht="15" customHeight="1" s="155">
      <c r="A1598" s="134">
        <f>ric!B1598</f>
        <v/>
      </c>
      <c r="B1598" s="118">
        <f>ric!C1598</f>
        <v/>
      </c>
      <c r="C1598" s="125">
        <f>ric!D1598</f>
        <v/>
      </c>
      <c r="D1598" s="125" t="n"/>
      <c r="E1598" s="125" t="n"/>
      <c r="F1598" s="125" t="n"/>
      <c r="G1598" s="118">
        <f>CONCATENATE(A1598, " ",#REF!, " / ",H1598)</f>
        <v/>
      </c>
      <c r="H1598" s="118" t="n"/>
      <c r="I1598" s="119">
        <f>CONCATENATE(M1598," - ",J1598," - Lotto N° ",K1598,"")</f>
        <v/>
      </c>
      <c r="J1598" s="118" t="n"/>
      <c r="K1598" s="118">
        <f>VLOOKUP(#REF!,Produzione,7,FALSE)</f>
        <v/>
      </c>
      <c r="L1598" s="120" t="n"/>
      <c r="M1598" s="120" t="n"/>
      <c r="N1598" s="118" t="n"/>
      <c r="O1598" s="121" t="n"/>
      <c r="P1598" s="121" t="n"/>
      <c r="Q1598" s="166">
        <f>TODAY()</f>
        <v/>
      </c>
      <c r="R1598" s="165">
        <f>ElencoProdotti[[#This Row],[PRODUZIONE]]+20</f>
        <v/>
      </c>
      <c r="S1598" s="165">
        <f>TODAY()</f>
        <v/>
      </c>
      <c r="T1598" s="133">
        <f>CONCATENATE(A1598," - contiene allergni - prodotto il giorno ",TEXT(Q1598,"gg/mm/aaaa"),"")</f>
        <v/>
      </c>
    </row>
    <row r="1599" ht="15" customHeight="1" s="155">
      <c r="A1599" s="134">
        <f>ric!B1599</f>
        <v/>
      </c>
      <c r="B1599" s="118">
        <f>ric!C1599</f>
        <v/>
      </c>
      <c r="C1599" s="125">
        <f>ric!D1599</f>
        <v/>
      </c>
      <c r="D1599" s="125" t="n"/>
      <c r="E1599" s="125" t="n"/>
      <c r="F1599" s="125" t="n"/>
      <c r="G1599" s="118">
        <f>CONCATENATE(A1599, " ",#REF!, " / ",H1599)</f>
        <v/>
      </c>
      <c r="H1599" s="118" t="n"/>
      <c r="I1599" s="119">
        <f>CONCATENATE(M1599," - ",J1599," - Lotto N° ",K1599,"")</f>
        <v/>
      </c>
      <c r="J1599" s="118" t="n"/>
      <c r="K1599" s="118">
        <f>VLOOKUP(#REF!,Produzione,7,FALSE)</f>
        <v/>
      </c>
      <c r="L1599" s="120" t="n"/>
      <c r="M1599" s="120" t="n"/>
      <c r="N1599" s="118" t="n"/>
      <c r="O1599" s="121" t="n"/>
      <c r="P1599" s="121" t="n"/>
      <c r="Q1599" s="166">
        <f>TODAY()</f>
        <v/>
      </c>
      <c r="R1599" s="165">
        <f>ElencoProdotti[[#This Row],[PRODUZIONE]]+20</f>
        <v/>
      </c>
      <c r="S1599" s="165">
        <f>TODAY()</f>
        <v/>
      </c>
      <c r="T1599" s="133">
        <f>CONCATENATE(A1599," - contiene allergni - prodotto il giorno ",TEXT(Q1599,"gg/mm/aaaa"),"")</f>
        <v/>
      </c>
    </row>
    <row r="1600" ht="15" customHeight="1" s="155">
      <c r="A1600" s="134">
        <f>ric!B1600</f>
        <v/>
      </c>
      <c r="B1600" s="118">
        <f>ric!C1600</f>
        <v/>
      </c>
      <c r="C1600" s="125">
        <f>ric!D1600</f>
        <v/>
      </c>
      <c r="D1600" s="125" t="n"/>
      <c r="E1600" s="125" t="n"/>
      <c r="F1600" s="125" t="n"/>
      <c r="G1600" s="118">
        <f>CONCATENATE(A1600, " ",#REF!, " / ",H1600)</f>
        <v/>
      </c>
      <c r="H1600" s="118" t="n"/>
      <c r="I1600" s="119">
        <f>CONCATENATE(M1600," - ",J1600," - Lotto N° ",K1600,"")</f>
        <v/>
      </c>
      <c r="J1600" s="118" t="n"/>
      <c r="K1600" s="118">
        <f>VLOOKUP(#REF!,Produzione,7,FALSE)</f>
        <v/>
      </c>
      <c r="L1600" s="120" t="n"/>
      <c r="M1600" s="120" t="n"/>
      <c r="N1600" s="118" t="n"/>
      <c r="O1600" s="121" t="n"/>
      <c r="P1600" s="121" t="n"/>
      <c r="Q1600" s="166">
        <f>TODAY()</f>
        <v/>
      </c>
      <c r="R1600" s="165">
        <f>ElencoProdotti[[#This Row],[PRODUZIONE]]+20</f>
        <v/>
      </c>
      <c r="S1600" s="165">
        <f>TODAY()</f>
        <v/>
      </c>
      <c r="T1600" s="133">
        <f>CONCATENATE(A1600," - contiene allergni - prodotto il giorno ",TEXT(Q1600,"gg/mm/aaaa"),"")</f>
        <v/>
      </c>
    </row>
    <row r="1601" ht="15" customHeight="1" s="155">
      <c r="A1601" s="134">
        <f>ric!B1601</f>
        <v/>
      </c>
      <c r="B1601" s="118">
        <f>ric!C1601</f>
        <v/>
      </c>
      <c r="C1601" s="125">
        <f>ric!D1601</f>
        <v/>
      </c>
      <c r="D1601" s="125" t="n"/>
      <c r="E1601" s="125" t="n"/>
      <c r="F1601" s="125" t="n"/>
      <c r="G1601" s="118">
        <f>CONCATENATE(A1601, " ",#REF!, " / ",H1601)</f>
        <v/>
      </c>
      <c r="H1601" s="118" t="n"/>
      <c r="I1601" s="119">
        <f>CONCATENATE(M1601," - ",J1601," - Lotto N° ",K1601,"")</f>
        <v/>
      </c>
      <c r="J1601" s="118" t="n"/>
      <c r="K1601" s="118">
        <f>VLOOKUP(#REF!,Produzione,7,FALSE)</f>
        <v/>
      </c>
      <c r="L1601" s="120" t="n"/>
      <c r="M1601" s="120" t="n"/>
      <c r="N1601" s="118" t="n"/>
      <c r="O1601" s="121" t="n"/>
      <c r="P1601" s="121" t="n"/>
      <c r="Q1601" s="166">
        <f>TODAY()</f>
        <v/>
      </c>
      <c r="R1601" s="165">
        <f>ElencoProdotti[[#This Row],[PRODUZIONE]]+20</f>
        <v/>
      </c>
      <c r="S1601" s="165">
        <f>TODAY()</f>
        <v/>
      </c>
      <c r="T1601" s="133">
        <f>CONCATENATE(A1601," - contiene allergni - prodotto il giorno ",TEXT(Q1601,"gg/mm/aaaa"),"")</f>
        <v/>
      </c>
    </row>
    <row r="1602" ht="15" customHeight="1" s="155">
      <c r="A1602" s="134">
        <f>ric!B1602</f>
        <v/>
      </c>
      <c r="B1602" s="118">
        <f>ric!C1602</f>
        <v/>
      </c>
      <c r="C1602" s="125">
        <f>ric!D1602</f>
        <v/>
      </c>
      <c r="D1602" s="125" t="n"/>
      <c r="E1602" s="125" t="n"/>
      <c r="F1602" s="125" t="n"/>
      <c r="G1602" s="118">
        <f>CONCATENATE(A1602, " ",#REF!, " / ",H1602)</f>
        <v/>
      </c>
      <c r="H1602" s="118" t="n"/>
      <c r="I1602" s="119">
        <f>CONCATENATE(M1602," - ",J1602," - Lotto N° ",K1602,"")</f>
        <v/>
      </c>
      <c r="J1602" s="118" t="n"/>
      <c r="K1602" s="118">
        <f>VLOOKUP(#REF!,Produzione,7,FALSE)</f>
        <v/>
      </c>
      <c r="L1602" s="120" t="n"/>
      <c r="M1602" s="120" t="n"/>
      <c r="N1602" s="118" t="n"/>
      <c r="O1602" s="121" t="n"/>
      <c r="P1602" s="121" t="n"/>
      <c r="Q1602" s="166">
        <f>TODAY()</f>
        <v/>
      </c>
      <c r="R1602" s="165">
        <f>ElencoProdotti[[#This Row],[PRODUZIONE]]+20</f>
        <v/>
      </c>
      <c r="S1602" s="165">
        <f>TODAY()</f>
        <v/>
      </c>
      <c r="T1602" s="133">
        <f>CONCATENATE(A1602," - contiene allergni - prodotto il giorno ",TEXT(Q1602,"gg/mm/aaaa"),"")</f>
        <v/>
      </c>
    </row>
    <row r="1603" ht="15" customHeight="1" s="155">
      <c r="A1603" s="134">
        <f>ric!B1603</f>
        <v/>
      </c>
      <c r="B1603" s="118">
        <f>ric!C1603</f>
        <v/>
      </c>
      <c r="C1603" s="125">
        <f>ric!D1603</f>
        <v/>
      </c>
      <c r="D1603" s="125" t="n"/>
      <c r="E1603" s="125" t="n"/>
      <c r="F1603" s="125" t="n"/>
      <c r="G1603" s="118">
        <f>CONCATENATE(A1603, " ",#REF!, " / ",H1603)</f>
        <v/>
      </c>
      <c r="H1603" s="118" t="n"/>
      <c r="I1603" s="119">
        <f>CONCATENATE(M1603," - ",J1603," - Lotto N° ",K1603,"")</f>
        <v/>
      </c>
      <c r="J1603" s="118" t="n"/>
      <c r="K1603" s="118">
        <f>VLOOKUP(#REF!,Produzione,7,FALSE)</f>
        <v/>
      </c>
      <c r="L1603" s="120" t="n"/>
      <c r="M1603" s="120" t="n"/>
      <c r="N1603" s="118" t="n"/>
      <c r="O1603" s="121" t="n"/>
      <c r="P1603" s="121" t="n"/>
      <c r="Q1603" s="166">
        <f>TODAY()</f>
        <v/>
      </c>
      <c r="R1603" s="165">
        <f>ElencoProdotti[[#This Row],[PRODUZIONE]]+20</f>
        <v/>
      </c>
      <c r="S1603" s="165">
        <f>TODAY()</f>
        <v/>
      </c>
      <c r="T1603" s="133">
        <f>CONCATENATE(A1603," - contiene allergni - prodotto il giorno ",TEXT(Q1603,"gg/mm/aaaa"),"")</f>
        <v/>
      </c>
    </row>
    <row r="1604" ht="15" customHeight="1" s="155">
      <c r="A1604" s="134">
        <f>ric!B1604</f>
        <v/>
      </c>
      <c r="B1604" s="118">
        <f>ric!C1604</f>
        <v/>
      </c>
      <c r="C1604" s="125">
        <f>ric!D1604</f>
        <v/>
      </c>
      <c r="D1604" s="125" t="n"/>
      <c r="E1604" s="125" t="n"/>
      <c r="F1604" s="125" t="n"/>
      <c r="G1604" s="118">
        <f>CONCATENATE(A1604, " ",#REF!, " / ",H1604)</f>
        <v/>
      </c>
      <c r="H1604" s="118" t="n"/>
      <c r="I1604" s="119">
        <f>CONCATENATE(M1604," - ",J1604," - Lotto N° ",K1604,"")</f>
        <v/>
      </c>
      <c r="J1604" s="118" t="n"/>
      <c r="K1604" s="118">
        <f>VLOOKUP(#REF!,Produzione,7,FALSE)</f>
        <v/>
      </c>
      <c r="L1604" s="120" t="n"/>
      <c r="M1604" s="120" t="n"/>
      <c r="N1604" s="118" t="n"/>
      <c r="O1604" s="121" t="n"/>
      <c r="P1604" s="121" t="n"/>
      <c r="Q1604" s="166">
        <f>TODAY()</f>
        <v/>
      </c>
      <c r="R1604" s="165">
        <f>ElencoProdotti[[#This Row],[PRODUZIONE]]+20</f>
        <v/>
      </c>
      <c r="S1604" s="165">
        <f>TODAY()</f>
        <v/>
      </c>
      <c r="T1604" s="133">
        <f>CONCATENATE(A1604," - contiene allergni - prodotto il giorno ",TEXT(Q1604,"gg/mm/aaaa"),"")</f>
        <v/>
      </c>
    </row>
    <row r="1605" ht="15" customHeight="1" s="155">
      <c r="A1605" s="134">
        <f>ric!B1605</f>
        <v/>
      </c>
      <c r="B1605" s="118">
        <f>ric!C1605</f>
        <v/>
      </c>
      <c r="C1605" s="125">
        <f>ric!D1605</f>
        <v/>
      </c>
      <c r="D1605" s="125" t="n"/>
      <c r="E1605" s="125" t="n"/>
      <c r="F1605" s="125" t="n"/>
      <c r="G1605" s="118">
        <f>CONCATENATE(A1605, " ",#REF!, " / ",H1605)</f>
        <v/>
      </c>
      <c r="H1605" s="118" t="n"/>
      <c r="I1605" s="119">
        <f>CONCATENATE(M1605," - ",J1605," - Lotto N° ",K1605,"")</f>
        <v/>
      </c>
      <c r="J1605" s="118" t="n"/>
      <c r="K1605" s="118">
        <f>VLOOKUP(#REF!,Produzione,7,FALSE)</f>
        <v/>
      </c>
      <c r="L1605" s="120" t="n"/>
      <c r="M1605" s="120" t="n"/>
      <c r="N1605" s="118" t="n"/>
      <c r="O1605" s="121" t="n"/>
      <c r="P1605" s="121" t="n"/>
      <c r="Q1605" s="166">
        <f>TODAY()</f>
        <v/>
      </c>
      <c r="R1605" s="165">
        <f>ElencoProdotti[[#This Row],[PRODUZIONE]]+20</f>
        <v/>
      </c>
      <c r="S1605" s="165">
        <f>TODAY()</f>
        <v/>
      </c>
      <c r="T1605" s="133">
        <f>CONCATENATE(A1605," - contiene allergni - prodotto il giorno ",TEXT(Q1605,"gg/mm/aaaa"),"")</f>
        <v/>
      </c>
    </row>
    <row r="1606" ht="15" customHeight="1" s="155">
      <c r="A1606" s="134">
        <f>ric!B1606</f>
        <v/>
      </c>
      <c r="B1606" s="118">
        <f>ric!C1606</f>
        <v/>
      </c>
      <c r="C1606" s="125">
        <f>ric!D1606</f>
        <v/>
      </c>
      <c r="D1606" s="125" t="n"/>
      <c r="E1606" s="125" t="n"/>
      <c r="F1606" s="125" t="n"/>
      <c r="G1606" s="118">
        <f>CONCATENATE(A1606, " ",#REF!, " / ",H1606)</f>
        <v/>
      </c>
      <c r="H1606" s="118" t="n"/>
      <c r="I1606" s="119">
        <f>CONCATENATE(M1606," - ",J1606," - Lotto N° ",K1606,"")</f>
        <v/>
      </c>
      <c r="J1606" s="118" t="n"/>
      <c r="K1606" s="118">
        <f>VLOOKUP(#REF!,Produzione,7,FALSE)</f>
        <v/>
      </c>
      <c r="L1606" s="120" t="n"/>
      <c r="M1606" s="120" t="n"/>
      <c r="N1606" s="118" t="n"/>
      <c r="O1606" s="121" t="n"/>
      <c r="P1606" s="121" t="n"/>
      <c r="Q1606" s="166">
        <f>TODAY()</f>
        <v/>
      </c>
      <c r="R1606" s="165">
        <f>ElencoProdotti[[#This Row],[PRODUZIONE]]+20</f>
        <v/>
      </c>
      <c r="S1606" s="165">
        <f>TODAY()</f>
        <v/>
      </c>
      <c r="T1606" s="133">
        <f>CONCATENATE(A1606," - contiene allergni - prodotto il giorno ",TEXT(Q1606,"gg/mm/aaaa"),"")</f>
        <v/>
      </c>
    </row>
    <row r="1607" ht="15" customHeight="1" s="155">
      <c r="A1607" s="134">
        <f>ric!B1607</f>
        <v/>
      </c>
      <c r="B1607" s="118">
        <f>ric!C1607</f>
        <v/>
      </c>
      <c r="C1607" s="125">
        <f>ric!D1607</f>
        <v/>
      </c>
      <c r="D1607" s="125" t="n"/>
      <c r="E1607" s="125" t="n"/>
      <c r="F1607" s="125" t="n"/>
      <c r="G1607" s="118">
        <f>CONCATENATE(A1607, " ",#REF!, " / ",H1607)</f>
        <v/>
      </c>
      <c r="H1607" s="118" t="n"/>
      <c r="I1607" s="119">
        <f>CONCATENATE(M1607," - ",J1607," - Lotto N° ",K1607,"")</f>
        <v/>
      </c>
      <c r="J1607" s="118" t="n"/>
      <c r="K1607" s="118">
        <f>VLOOKUP(#REF!,Produzione,7,FALSE)</f>
        <v/>
      </c>
      <c r="L1607" s="120" t="n"/>
      <c r="M1607" s="120" t="n"/>
      <c r="N1607" s="118" t="n"/>
      <c r="O1607" s="121" t="n"/>
      <c r="P1607" s="121" t="n"/>
      <c r="Q1607" s="166">
        <f>TODAY()</f>
        <v/>
      </c>
      <c r="R1607" s="165">
        <f>ElencoProdotti[[#This Row],[PRODUZIONE]]+20</f>
        <v/>
      </c>
      <c r="S1607" s="165">
        <f>TODAY()</f>
        <v/>
      </c>
      <c r="T1607" s="133">
        <f>CONCATENATE(A1607," - contiene allergni - prodotto il giorno ",TEXT(Q1607,"gg/mm/aaaa"),"")</f>
        <v/>
      </c>
    </row>
    <row r="1608" ht="15" customHeight="1" s="155">
      <c r="A1608" s="134">
        <f>ric!B1608</f>
        <v/>
      </c>
      <c r="B1608" s="118">
        <f>ric!C1608</f>
        <v/>
      </c>
      <c r="C1608" s="125">
        <f>ric!D1608</f>
        <v/>
      </c>
      <c r="D1608" s="125" t="n"/>
      <c r="E1608" s="125" t="n"/>
      <c r="F1608" s="125" t="n"/>
      <c r="G1608" s="118">
        <f>CONCATENATE(A1608, " ",#REF!, " / ",H1608)</f>
        <v/>
      </c>
      <c r="H1608" s="118" t="n"/>
      <c r="I1608" s="119">
        <f>CONCATENATE(M1608," - ",J1608," - Lotto N° ",K1608,"")</f>
        <v/>
      </c>
      <c r="J1608" s="118" t="n"/>
      <c r="K1608" s="118">
        <f>VLOOKUP(#REF!,Produzione,7,FALSE)</f>
        <v/>
      </c>
      <c r="L1608" s="120" t="n"/>
      <c r="M1608" s="120" t="n"/>
      <c r="N1608" s="118" t="n"/>
      <c r="O1608" s="121" t="n"/>
      <c r="P1608" s="121" t="n"/>
      <c r="Q1608" s="166">
        <f>TODAY()</f>
        <v/>
      </c>
      <c r="R1608" s="165">
        <f>ElencoProdotti[[#This Row],[PRODUZIONE]]+20</f>
        <v/>
      </c>
      <c r="S1608" s="165">
        <f>TODAY()</f>
        <v/>
      </c>
      <c r="T1608" s="133">
        <f>CONCATENATE(A1608," - contiene allergni - prodotto il giorno ",TEXT(Q1608,"gg/mm/aaaa"),"")</f>
        <v/>
      </c>
    </row>
    <row r="1609" ht="15" customHeight="1" s="155">
      <c r="A1609" s="134">
        <f>ric!B1609</f>
        <v/>
      </c>
      <c r="B1609" s="118">
        <f>ric!C1609</f>
        <v/>
      </c>
      <c r="C1609" s="125">
        <f>ric!D1609</f>
        <v/>
      </c>
      <c r="D1609" s="125" t="n"/>
      <c r="E1609" s="125" t="n"/>
      <c r="F1609" s="125" t="n"/>
      <c r="G1609" s="118">
        <f>CONCATENATE(A1609, " ",#REF!, " / ",H1609)</f>
        <v/>
      </c>
      <c r="H1609" s="118" t="n"/>
      <c r="I1609" s="119">
        <f>CONCATENATE(M1609," - ",J1609," - Lotto N° ",K1609,"")</f>
        <v/>
      </c>
      <c r="J1609" s="118" t="n"/>
      <c r="K1609" s="118">
        <f>VLOOKUP(#REF!,Produzione,7,FALSE)</f>
        <v/>
      </c>
      <c r="L1609" s="120" t="n"/>
      <c r="M1609" s="120" t="n"/>
      <c r="N1609" s="118" t="n"/>
      <c r="O1609" s="121" t="n"/>
      <c r="P1609" s="121" t="n"/>
      <c r="Q1609" s="166">
        <f>TODAY()</f>
        <v/>
      </c>
      <c r="R1609" s="165">
        <f>ElencoProdotti[[#This Row],[PRODUZIONE]]+20</f>
        <v/>
      </c>
      <c r="S1609" s="165">
        <f>TODAY()</f>
        <v/>
      </c>
      <c r="T1609" s="133">
        <f>CONCATENATE(A1609," - contiene allergni - prodotto il giorno ",TEXT(Q1609,"gg/mm/aaaa"),"")</f>
        <v/>
      </c>
    </row>
    <row r="1610" ht="15" customHeight="1" s="155">
      <c r="A1610" s="134">
        <f>ric!B1610</f>
        <v/>
      </c>
      <c r="B1610" s="118">
        <f>ric!C1610</f>
        <v/>
      </c>
      <c r="C1610" s="125">
        <f>ric!D1610</f>
        <v/>
      </c>
      <c r="D1610" s="125" t="n"/>
      <c r="E1610" s="125" t="n"/>
      <c r="F1610" s="125" t="n"/>
      <c r="G1610" s="118">
        <f>CONCATENATE(A1610, " ",#REF!, " / ",H1610)</f>
        <v/>
      </c>
      <c r="H1610" s="118" t="n"/>
      <c r="I1610" s="119">
        <f>CONCATENATE(M1610," - ",J1610," - Lotto N° ",K1610,"")</f>
        <v/>
      </c>
      <c r="J1610" s="118" t="n"/>
      <c r="K1610" s="118">
        <f>VLOOKUP(#REF!,Produzione,7,FALSE)</f>
        <v/>
      </c>
      <c r="L1610" s="120" t="n"/>
      <c r="M1610" s="120" t="n"/>
      <c r="N1610" s="118" t="n"/>
      <c r="O1610" s="121" t="n"/>
      <c r="P1610" s="121" t="n"/>
      <c r="Q1610" s="166">
        <f>TODAY()</f>
        <v/>
      </c>
      <c r="R1610" s="165">
        <f>ElencoProdotti[[#This Row],[PRODUZIONE]]+20</f>
        <v/>
      </c>
      <c r="S1610" s="165">
        <f>TODAY()</f>
        <v/>
      </c>
      <c r="T1610" s="133">
        <f>CONCATENATE(A1610," - contiene allergni - prodotto il giorno ",TEXT(Q1610,"gg/mm/aaaa"),"")</f>
        <v/>
      </c>
    </row>
    <row r="1611" ht="15" customHeight="1" s="155">
      <c r="A1611" s="134">
        <f>ric!B1611</f>
        <v/>
      </c>
      <c r="B1611" s="118">
        <f>ric!C1611</f>
        <v/>
      </c>
      <c r="C1611" s="125">
        <f>ric!D1611</f>
        <v/>
      </c>
      <c r="D1611" s="125" t="n"/>
      <c r="E1611" s="125" t="n"/>
      <c r="F1611" s="125" t="n"/>
      <c r="G1611" s="118">
        <f>CONCATENATE(A1611, " ",#REF!, " / ",H1611)</f>
        <v/>
      </c>
      <c r="H1611" s="118" t="n"/>
      <c r="I1611" s="119">
        <f>CONCATENATE(M1611," - ",J1611," - Lotto N° ",K1611,"")</f>
        <v/>
      </c>
      <c r="J1611" s="118" t="n"/>
      <c r="K1611" s="118">
        <f>VLOOKUP(#REF!,Produzione,7,FALSE)</f>
        <v/>
      </c>
      <c r="L1611" s="120" t="n"/>
      <c r="M1611" s="120" t="n"/>
      <c r="N1611" s="118" t="n"/>
      <c r="O1611" s="121" t="n"/>
      <c r="P1611" s="121" t="n"/>
      <c r="Q1611" s="166">
        <f>TODAY()</f>
        <v/>
      </c>
      <c r="R1611" s="165">
        <f>ElencoProdotti[[#This Row],[PRODUZIONE]]+20</f>
        <v/>
      </c>
      <c r="S1611" s="165">
        <f>TODAY()</f>
        <v/>
      </c>
      <c r="T1611" s="133">
        <f>CONCATENATE(A1611," - contiene allergni - prodotto il giorno ",TEXT(Q1611,"gg/mm/aaaa"),"")</f>
        <v/>
      </c>
    </row>
    <row r="1612" ht="15" customHeight="1" s="155">
      <c r="A1612" s="134">
        <f>ric!B1612</f>
        <v/>
      </c>
      <c r="B1612" s="118">
        <f>ric!C1612</f>
        <v/>
      </c>
      <c r="C1612" s="125">
        <f>ric!D1612</f>
        <v/>
      </c>
      <c r="D1612" s="125" t="n"/>
      <c r="E1612" s="125" t="n"/>
      <c r="F1612" s="125" t="n"/>
      <c r="G1612" s="118">
        <f>CONCATENATE(A1612, " ",#REF!, " / ",H1612)</f>
        <v/>
      </c>
      <c r="H1612" s="118" t="n"/>
      <c r="I1612" s="119">
        <f>CONCATENATE(M1612," - ",J1612," - Lotto N° ",K1612,"")</f>
        <v/>
      </c>
      <c r="J1612" s="118" t="n"/>
      <c r="K1612" s="118">
        <f>VLOOKUP(#REF!,Produzione,7,FALSE)</f>
        <v/>
      </c>
      <c r="L1612" s="120" t="n"/>
      <c r="M1612" s="120" t="n"/>
      <c r="N1612" s="118" t="n"/>
      <c r="O1612" s="121" t="n"/>
      <c r="P1612" s="121" t="n"/>
      <c r="Q1612" s="166">
        <f>TODAY()</f>
        <v/>
      </c>
      <c r="R1612" s="165">
        <f>ElencoProdotti[[#This Row],[PRODUZIONE]]+20</f>
        <v/>
      </c>
      <c r="S1612" s="165">
        <f>TODAY()</f>
        <v/>
      </c>
      <c r="T1612" s="133">
        <f>CONCATENATE(A1612," - contiene allergni - prodotto il giorno ",TEXT(Q1612,"gg/mm/aaaa"),"")</f>
        <v/>
      </c>
    </row>
    <row r="1613" ht="15" customHeight="1" s="155">
      <c r="A1613" s="134">
        <f>ric!B1613</f>
        <v/>
      </c>
      <c r="B1613" s="118">
        <f>ric!C1613</f>
        <v/>
      </c>
      <c r="C1613" s="125">
        <f>ric!D1613</f>
        <v/>
      </c>
      <c r="D1613" s="125" t="n"/>
      <c r="E1613" s="125" t="n"/>
      <c r="F1613" s="125" t="n"/>
      <c r="G1613" s="118">
        <f>CONCATENATE(A1613, " ",#REF!, " / ",H1613)</f>
        <v/>
      </c>
      <c r="H1613" s="118" t="n"/>
      <c r="I1613" s="119">
        <f>CONCATENATE(M1613," - ",J1613," - Lotto N° ",K1613,"")</f>
        <v/>
      </c>
      <c r="J1613" s="118" t="n"/>
      <c r="K1613" s="118">
        <f>VLOOKUP(#REF!,Produzione,7,FALSE)</f>
        <v/>
      </c>
      <c r="L1613" s="120" t="n"/>
      <c r="M1613" s="120" t="n"/>
      <c r="N1613" s="118" t="n"/>
      <c r="O1613" s="121" t="n"/>
      <c r="P1613" s="121" t="n"/>
      <c r="Q1613" s="166">
        <f>TODAY()</f>
        <v/>
      </c>
      <c r="R1613" s="165">
        <f>ElencoProdotti[[#This Row],[PRODUZIONE]]+20</f>
        <v/>
      </c>
      <c r="S1613" s="165">
        <f>TODAY()</f>
        <v/>
      </c>
      <c r="T1613" s="133">
        <f>CONCATENATE(A1613," - contiene allergni - prodotto il giorno ",TEXT(Q1613,"gg/mm/aaaa"),"")</f>
        <v/>
      </c>
    </row>
    <row r="1614" ht="15" customHeight="1" s="155">
      <c r="A1614" s="134">
        <f>ric!B1614</f>
        <v/>
      </c>
      <c r="B1614" s="118">
        <f>ric!C1614</f>
        <v/>
      </c>
      <c r="C1614" s="125">
        <f>ric!D1614</f>
        <v/>
      </c>
      <c r="D1614" s="125" t="n"/>
      <c r="E1614" s="125" t="n"/>
      <c r="F1614" s="125" t="n"/>
      <c r="G1614" s="118">
        <f>CONCATENATE(A1614, " ",#REF!, " / ",H1614)</f>
        <v/>
      </c>
      <c r="H1614" s="118" t="n"/>
      <c r="I1614" s="119">
        <f>CONCATENATE(M1614," - ",J1614," - Lotto N° ",K1614,"")</f>
        <v/>
      </c>
      <c r="J1614" s="118" t="n"/>
      <c r="K1614" s="118">
        <f>VLOOKUP(#REF!,Produzione,7,FALSE)</f>
        <v/>
      </c>
      <c r="L1614" s="120" t="n"/>
      <c r="M1614" s="120" t="n"/>
      <c r="N1614" s="118" t="n"/>
      <c r="O1614" s="121" t="n"/>
      <c r="P1614" s="121" t="n"/>
      <c r="Q1614" s="166">
        <f>TODAY()</f>
        <v/>
      </c>
      <c r="R1614" s="165">
        <f>ElencoProdotti[[#This Row],[PRODUZIONE]]+20</f>
        <v/>
      </c>
      <c r="S1614" s="165">
        <f>TODAY()</f>
        <v/>
      </c>
      <c r="T1614" s="133">
        <f>CONCATENATE(A1614," - contiene allergni - prodotto il giorno ",TEXT(Q1614,"gg/mm/aaaa"),"")</f>
        <v/>
      </c>
    </row>
    <row r="1615" ht="15" customHeight="1" s="155">
      <c r="A1615" s="134">
        <f>ric!B1615</f>
        <v/>
      </c>
      <c r="B1615" s="118">
        <f>ric!C1615</f>
        <v/>
      </c>
      <c r="C1615" s="125">
        <f>ric!D1615</f>
        <v/>
      </c>
      <c r="D1615" s="125" t="n"/>
      <c r="E1615" s="125" t="n"/>
      <c r="F1615" s="125" t="n"/>
      <c r="G1615" s="118">
        <f>CONCATENATE(A1615, " ",#REF!, " / ",H1615)</f>
        <v/>
      </c>
      <c r="H1615" s="118" t="n"/>
      <c r="I1615" s="119">
        <f>CONCATENATE(M1615," - ",J1615," - Lotto N° ",K1615,"")</f>
        <v/>
      </c>
      <c r="J1615" s="118" t="n"/>
      <c r="K1615" s="118">
        <f>VLOOKUP(#REF!,Produzione,7,FALSE)</f>
        <v/>
      </c>
      <c r="L1615" s="120" t="n"/>
      <c r="M1615" s="120" t="n"/>
      <c r="N1615" s="118" t="n"/>
      <c r="O1615" s="121" t="n"/>
      <c r="P1615" s="121" t="n"/>
      <c r="Q1615" s="166">
        <f>TODAY()</f>
        <v/>
      </c>
      <c r="R1615" s="165">
        <f>ElencoProdotti[[#This Row],[PRODUZIONE]]+20</f>
        <v/>
      </c>
      <c r="S1615" s="165">
        <f>TODAY()</f>
        <v/>
      </c>
      <c r="T1615" s="133">
        <f>CONCATENATE(A1615," - contiene allergni - prodotto il giorno ",TEXT(Q1615,"gg/mm/aaaa"),"")</f>
        <v/>
      </c>
    </row>
    <row r="1616" ht="15" customHeight="1" s="155">
      <c r="A1616" s="134">
        <f>ric!B1616</f>
        <v/>
      </c>
      <c r="B1616" s="118">
        <f>ric!C1616</f>
        <v/>
      </c>
      <c r="C1616" s="125">
        <f>ric!D1616</f>
        <v/>
      </c>
      <c r="D1616" s="125" t="n"/>
      <c r="E1616" s="125" t="n"/>
      <c r="F1616" s="125" t="n"/>
      <c r="G1616" s="118">
        <f>CONCATENATE(A1616, " ",#REF!, " / ",H1616)</f>
        <v/>
      </c>
      <c r="H1616" s="118" t="n"/>
      <c r="I1616" s="119">
        <f>CONCATENATE(M1616," - ",J1616," - Lotto N° ",K1616,"")</f>
        <v/>
      </c>
      <c r="J1616" s="118" t="n"/>
      <c r="K1616" s="118">
        <f>VLOOKUP(#REF!,Produzione,7,FALSE)</f>
        <v/>
      </c>
      <c r="L1616" s="120" t="n"/>
      <c r="M1616" s="120" t="n"/>
      <c r="N1616" s="118" t="n"/>
      <c r="O1616" s="121" t="n"/>
      <c r="P1616" s="121" t="n"/>
      <c r="Q1616" s="166">
        <f>TODAY()</f>
        <v/>
      </c>
      <c r="R1616" s="165">
        <f>ElencoProdotti[[#This Row],[PRODUZIONE]]+20</f>
        <v/>
      </c>
      <c r="S1616" s="165">
        <f>TODAY()</f>
        <v/>
      </c>
      <c r="T1616" s="133">
        <f>CONCATENATE(A1616," - contiene allergni - prodotto il giorno ",TEXT(Q1616,"gg/mm/aaaa"),"")</f>
        <v/>
      </c>
    </row>
    <row r="1617" ht="15" customHeight="1" s="155">
      <c r="A1617" s="134">
        <f>ric!B1617</f>
        <v/>
      </c>
      <c r="B1617" s="118">
        <f>ric!C1617</f>
        <v/>
      </c>
      <c r="C1617" s="125">
        <f>ric!D1617</f>
        <v/>
      </c>
      <c r="D1617" s="125" t="n"/>
      <c r="E1617" s="125" t="n"/>
      <c r="F1617" s="125" t="n"/>
      <c r="G1617" s="118">
        <f>CONCATENATE(A1617, " ",#REF!, " / ",H1617)</f>
        <v/>
      </c>
      <c r="H1617" s="118" t="n"/>
      <c r="I1617" s="119">
        <f>CONCATENATE(M1617," - ",J1617," - Lotto N° ",K1617,"")</f>
        <v/>
      </c>
      <c r="J1617" s="118" t="n"/>
      <c r="K1617" s="118">
        <f>VLOOKUP(#REF!,Produzione,7,FALSE)</f>
        <v/>
      </c>
      <c r="L1617" s="120" t="n"/>
      <c r="M1617" s="120" t="n"/>
      <c r="N1617" s="118" t="n"/>
      <c r="O1617" s="121" t="n"/>
      <c r="P1617" s="121" t="n"/>
      <c r="Q1617" s="166">
        <f>TODAY()</f>
        <v/>
      </c>
      <c r="R1617" s="165">
        <f>ElencoProdotti[[#This Row],[PRODUZIONE]]+20</f>
        <v/>
      </c>
      <c r="S1617" s="165">
        <f>TODAY()</f>
        <v/>
      </c>
      <c r="T1617" s="133">
        <f>CONCATENATE(A1617," - contiene allergni - prodotto il giorno ",TEXT(Q1617,"gg/mm/aaaa"),"")</f>
        <v/>
      </c>
    </row>
    <row r="1618" ht="15" customHeight="1" s="155">
      <c r="A1618" s="134">
        <f>ric!B1618</f>
        <v/>
      </c>
      <c r="B1618" s="118">
        <f>ric!C1618</f>
        <v/>
      </c>
      <c r="C1618" s="125">
        <f>ric!D1618</f>
        <v/>
      </c>
      <c r="D1618" s="125" t="n"/>
      <c r="E1618" s="125" t="n"/>
      <c r="F1618" s="125" t="n"/>
      <c r="G1618" s="118">
        <f>CONCATENATE(A1618, " ",#REF!, " / ",H1618)</f>
        <v/>
      </c>
      <c r="H1618" s="118" t="n"/>
      <c r="I1618" s="119">
        <f>CONCATENATE(M1618," - ",J1618," - Lotto N° ",K1618,"")</f>
        <v/>
      </c>
      <c r="J1618" s="118" t="n"/>
      <c r="K1618" s="118">
        <f>VLOOKUP(#REF!,Produzione,7,FALSE)</f>
        <v/>
      </c>
      <c r="L1618" s="120" t="n"/>
      <c r="M1618" s="120" t="n"/>
      <c r="N1618" s="118" t="n"/>
      <c r="O1618" s="121" t="n"/>
      <c r="P1618" s="121" t="n"/>
      <c r="Q1618" s="166">
        <f>TODAY()</f>
        <v/>
      </c>
      <c r="R1618" s="165">
        <f>ElencoProdotti[[#This Row],[PRODUZIONE]]+20</f>
        <v/>
      </c>
      <c r="S1618" s="165">
        <f>TODAY()</f>
        <v/>
      </c>
      <c r="T1618" s="133">
        <f>CONCATENATE(A1618," - contiene allergni - prodotto il giorno ",TEXT(Q1618,"gg/mm/aaaa"),"")</f>
        <v/>
      </c>
    </row>
    <row r="1619" ht="15" customHeight="1" s="155">
      <c r="A1619" s="134">
        <f>ric!B1619</f>
        <v/>
      </c>
      <c r="B1619" s="118">
        <f>ric!C1619</f>
        <v/>
      </c>
      <c r="C1619" s="125">
        <f>ric!D1619</f>
        <v/>
      </c>
      <c r="D1619" s="125" t="n"/>
      <c r="E1619" s="125" t="n"/>
      <c r="F1619" s="125" t="n"/>
      <c r="G1619" s="118">
        <f>CONCATENATE(A1619, " ",#REF!, " / ",H1619)</f>
        <v/>
      </c>
      <c r="H1619" s="118" t="n"/>
      <c r="I1619" s="119">
        <f>CONCATENATE(M1619," - ",J1619," - Lotto N° ",K1619,"")</f>
        <v/>
      </c>
      <c r="J1619" s="118" t="n"/>
      <c r="K1619" s="118">
        <f>VLOOKUP(#REF!,Produzione,7,FALSE)</f>
        <v/>
      </c>
      <c r="L1619" s="120" t="n"/>
      <c r="M1619" s="120" t="n"/>
      <c r="N1619" s="118" t="n"/>
      <c r="O1619" s="121" t="n"/>
      <c r="P1619" s="121" t="n"/>
      <c r="Q1619" s="166">
        <f>TODAY()</f>
        <v/>
      </c>
      <c r="R1619" s="165">
        <f>ElencoProdotti[[#This Row],[PRODUZIONE]]+20</f>
        <v/>
      </c>
      <c r="S1619" s="165">
        <f>TODAY()</f>
        <v/>
      </c>
      <c r="T1619" s="133">
        <f>CONCATENATE(A1619," - contiene allergni - prodotto il giorno ",TEXT(Q1619,"gg/mm/aaaa"),"")</f>
        <v/>
      </c>
    </row>
    <row r="1620" ht="15" customHeight="1" s="155">
      <c r="A1620" s="134">
        <f>ric!B1620</f>
        <v/>
      </c>
      <c r="B1620" s="118">
        <f>ric!C1620</f>
        <v/>
      </c>
      <c r="C1620" s="125">
        <f>ric!D1620</f>
        <v/>
      </c>
      <c r="D1620" s="125" t="n"/>
      <c r="E1620" s="125" t="n"/>
      <c r="F1620" s="125" t="n"/>
      <c r="G1620" s="118">
        <f>CONCATENATE(A1620, " ",#REF!, " / ",H1620)</f>
        <v/>
      </c>
      <c r="H1620" s="118" t="n"/>
      <c r="I1620" s="119">
        <f>CONCATENATE(M1620," - ",J1620," - Lotto N° ",K1620,"")</f>
        <v/>
      </c>
      <c r="J1620" s="118" t="n"/>
      <c r="K1620" s="118">
        <f>VLOOKUP(#REF!,Produzione,7,FALSE)</f>
        <v/>
      </c>
      <c r="L1620" s="120" t="n"/>
      <c r="M1620" s="120" t="n"/>
      <c r="N1620" s="118" t="n"/>
      <c r="O1620" s="121" t="n"/>
      <c r="P1620" s="121" t="n"/>
      <c r="Q1620" s="166">
        <f>TODAY()</f>
        <v/>
      </c>
      <c r="R1620" s="165">
        <f>ElencoProdotti[[#This Row],[PRODUZIONE]]+20</f>
        <v/>
      </c>
      <c r="S1620" s="165">
        <f>TODAY()</f>
        <v/>
      </c>
      <c r="T1620" s="133">
        <f>CONCATENATE(A1620," - contiene allergni - prodotto il giorno ",TEXT(Q1620,"gg/mm/aaaa"),"")</f>
        <v/>
      </c>
    </row>
    <row r="1621" ht="15" customHeight="1" s="155">
      <c r="A1621" s="134">
        <f>ric!B1621</f>
        <v/>
      </c>
      <c r="B1621" s="118">
        <f>ric!C1621</f>
        <v/>
      </c>
      <c r="C1621" s="125">
        <f>ric!D1621</f>
        <v/>
      </c>
      <c r="D1621" s="125" t="n"/>
      <c r="E1621" s="125" t="n"/>
      <c r="F1621" s="125" t="n"/>
      <c r="G1621" s="118">
        <f>CONCATENATE(A1621, " ",#REF!, " / ",H1621)</f>
        <v/>
      </c>
      <c r="H1621" s="118" t="n"/>
      <c r="I1621" s="119">
        <f>CONCATENATE(M1621," - ",J1621," - Lotto N° ",K1621,"")</f>
        <v/>
      </c>
      <c r="J1621" s="118" t="n"/>
      <c r="K1621" s="118">
        <f>VLOOKUP(#REF!,Produzione,7,FALSE)</f>
        <v/>
      </c>
      <c r="L1621" s="120" t="n"/>
      <c r="M1621" s="120" t="n"/>
      <c r="N1621" s="118" t="n"/>
      <c r="O1621" s="121" t="n"/>
      <c r="P1621" s="121" t="n"/>
      <c r="Q1621" s="166">
        <f>TODAY()</f>
        <v/>
      </c>
      <c r="R1621" s="165">
        <f>ElencoProdotti[[#This Row],[PRODUZIONE]]+20</f>
        <v/>
      </c>
      <c r="S1621" s="165">
        <f>TODAY()</f>
        <v/>
      </c>
      <c r="T1621" s="133">
        <f>CONCATENATE(A1621," - contiene allergni - prodotto il giorno ",TEXT(Q1621,"gg/mm/aaaa"),"")</f>
        <v/>
      </c>
    </row>
    <row r="1622" ht="15" customHeight="1" s="155">
      <c r="A1622" s="134">
        <f>ric!B1622</f>
        <v/>
      </c>
      <c r="B1622" s="118">
        <f>ric!C1622</f>
        <v/>
      </c>
      <c r="C1622" s="125">
        <f>ric!D1622</f>
        <v/>
      </c>
      <c r="D1622" s="125" t="n"/>
      <c r="E1622" s="125" t="n"/>
      <c r="F1622" s="125" t="n"/>
      <c r="G1622" s="118">
        <f>CONCATENATE(A1622, " ",#REF!, " / ",H1622)</f>
        <v/>
      </c>
      <c r="H1622" s="118" t="n"/>
      <c r="I1622" s="119">
        <f>CONCATENATE(M1622," - ",J1622," - Lotto N° ",K1622,"")</f>
        <v/>
      </c>
      <c r="J1622" s="118" t="n"/>
      <c r="K1622" s="118">
        <f>VLOOKUP(#REF!,Produzione,7,FALSE)</f>
        <v/>
      </c>
      <c r="L1622" s="120" t="n"/>
      <c r="M1622" s="120" t="n"/>
      <c r="N1622" s="118" t="n"/>
      <c r="O1622" s="121" t="n"/>
      <c r="P1622" s="121" t="n"/>
      <c r="Q1622" s="166">
        <f>TODAY()</f>
        <v/>
      </c>
      <c r="R1622" s="165">
        <f>ElencoProdotti[[#This Row],[PRODUZIONE]]+20</f>
        <v/>
      </c>
      <c r="S1622" s="165">
        <f>TODAY()</f>
        <v/>
      </c>
      <c r="T1622" s="133">
        <f>CONCATENATE(A1622," - contiene allergni - prodotto il giorno ",TEXT(Q1622,"gg/mm/aaaa"),"")</f>
        <v/>
      </c>
    </row>
    <row r="1623" ht="15" customHeight="1" s="155">
      <c r="A1623" s="134">
        <f>ric!B1623</f>
        <v/>
      </c>
      <c r="B1623" s="118">
        <f>ric!C1623</f>
        <v/>
      </c>
      <c r="C1623" s="125">
        <f>ric!D1623</f>
        <v/>
      </c>
      <c r="D1623" s="125" t="n"/>
      <c r="E1623" s="125" t="n"/>
      <c r="F1623" s="125" t="n"/>
      <c r="G1623" s="118">
        <f>CONCATENATE(A1623, " ",#REF!, " / ",H1623)</f>
        <v/>
      </c>
      <c r="H1623" s="118" t="n"/>
      <c r="I1623" s="119">
        <f>CONCATENATE(M1623," - ",J1623," - Lotto N° ",K1623,"")</f>
        <v/>
      </c>
      <c r="J1623" s="118" t="n"/>
      <c r="K1623" s="118">
        <f>VLOOKUP(#REF!,Produzione,7,FALSE)</f>
        <v/>
      </c>
      <c r="L1623" s="120" t="n"/>
      <c r="M1623" s="120" t="n"/>
      <c r="N1623" s="118" t="n"/>
      <c r="O1623" s="121" t="n"/>
      <c r="P1623" s="121" t="n"/>
      <c r="Q1623" s="166">
        <f>TODAY()</f>
        <v/>
      </c>
      <c r="R1623" s="165">
        <f>ElencoProdotti[[#This Row],[PRODUZIONE]]+20</f>
        <v/>
      </c>
      <c r="S1623" s="165">
        <f>TODAY()</f>
        <v/>
      </c>
      <c r="T1623" s="133">
        <f>CONCATENATE(A1623," - contiene allergni - prodotto il giorno ",TEXT(Q1623,"gg/mm/aaaa"),"")</f>
        <v/>
      </c>
    </row>
    <row r="1624" ht="15" customHeight="1" s="155">
      <c r="A1624" s="134">
        <f>ric!B1624</f>
        <v/>
      </c>
      <c r="B1624" s="118">
        <f>ric!C1624</f>
        <v/>
      </c>
      <c r="C1624" s="125">
        <f>ric!D1624</f>
        <v/>
      </c>
      <c r="D1624" s="125" t="n"/>
      <c r="E1624" s="125" t="n"/>
      <c r="F1624" s="125" t="n"/>
      <c r="G1624" s="118">
        <f>CONCATENATE(A1624, " ",#REF!, " / ",H1624)</f>
        <v/>
      </c>
      <c r="H1624" s="118" t="n"/>
      <c r="I1624" s="119">
        <f>CONCATENATE(M1624," - ",J1624," - Lotto N° ",K1624,"")</f>
        <v/>
      </c>
      <c r="J1624" s="118" t="n"/>
      <c r="K1624" s="118">
        <f>VLOOKUP(#REF!,Produzione,7,FALSE)</f>
        <v/>
      </c>
      <c r="L1624" s="120" t="n"/>
      <c r="M1624" s="120" t="n"/>
      <c r="N1624" s="118" t="n"/>
      <c r="O1624" s="121" t="n"/>
      <c r="P1624" s="121" t="n"/>
      <c r="Q1624" s="166">
        <f>TODAY()</f>
        <v/>
      </c>
      <c r="R1624" s="165">
        <f>ElencoProdotti[[#This Row],[PRODUZIONE]]+20</f>
        <v/>
      </c>
      <c r="S1624" s="165">
        <f>TODAY()</f>
        <v/>
      </c>
      <c r="T1624" s="133">
        <f>CONCATENATE(A1624," - contiene allergni - prodotto il giorno ",TEXT(Q1624,"gg/mm/aaaa"),"")</f>
        <v/>
      </c>
    </row>
    <row r="1625" ht="15" customHeight="1" s="155">
      <c r="A1625" s="134">
        <f>ric!B1625</f>
        <v/>
      </c>
      <c r="B1625" s="118">
        <f>ric!C1625</f>
        <v/>
      </c>
      <c r="C1625" s="125">
        <f>ric!D1625</f>
        <v/>
      </c>
      <c r="D1625" s="125" t="n"/>
      <c r="E1625" s="125" t="n"/>
      <c r="F1625" s="125" t="n"/>
      <c r="G1625" s="118">
        <f>CONCATENATE(A1625, " ",#REF!, " / ",H1625)</f>
        <v/>
      </c>
      <c r="H1625" s="118" t="n"/>
      <c r="I1625" s="119">
        <f>CONCATENATE(M1625," - ",J1625," - Lotto N° ",K1625,"")</f>
        <v/>
      </c>
      <c r="J1625" s="118" t="n"/>
      <c r="K1625" s="118">
        <f>VLOOKUP(#REF!,Produzione,7,FALSE)</f>
        <v/>
      </c>
      <c r="L1625" s="120" t="n"/>
      <c r="M1625" s="120" t="n"/>
      <c r="N1625" s="118" t="n"/>
      <c r="O1625" s="121" t="n"/>
      <c r="P1625" s="121" t="n"/>
      <c r="Q1625" s="166">
        <f>TODAY()</f>
        <v/>
      </c>
      <c r="R1625" s="165">
        <f>ElencoProdotti[[#This Row],[PRODUZIONE]]+20</f>
        <v/>
      </c>
      <c r="S1625" s="165">
        <f>TODAY()</f>
        <v/>
      </c>
      <c r="T1625" s="133">
        <f>CONCATENATE(A1625," - contiene allergni - prodotto il giorno ",TEXT(Q1625,"gg/mm/aaaa"),"")</f>
        <v/>
      </c>
    </row>
    <row r="1626" ht="15" customHeight="1" s="155">
      <c r="A1626" s="134">
        <f>ric!B1626</f>
        <v/>
      </c>
      <c r="B1626" s="118">
        <f>ric!C1626</f>
        <v/>
      </c>
      <c r="C1626" s="125">
        <f>ric!D1626</f>
        <v/>
      </c>
      <c r="D1626" s="125" t="n"/>
      <c r="E1626" s="125" t="n"/>
      <c r="F1626" s="125" t="n"/>
      <c r="G1626" s="118">
        <f>CONCATENATE(A1626, " ",#REF!, " / ",H1626)</f>
        <v/>
      </c>
      <c r="H1626" s="118" t="n"/>
      <c r="I1626" s="119">
        <f>CONCATENATE(M1626," - ",J1626," - Lotto N° ",K1626,"")</f>
        <v/>
      </c>
      <c r="J1626" s="118" t="n"/>
      <c r="K1626" s="118">
        <f>VLOOKUP(#REF!,Produzione,7,FALSE)</f>
        <v/>
      </c>
      <c r="L1626" s="120" t="n"/>
      <c r="M1626" s="120" t="n"/>
      <c r="N1626" s="118" t="n"/>
      <c r="O1626" s="121" t="n"/>
      <c r="P1626" s="121" t="n"/>
      <c r="Q1626" s="166">
        <f>TODAY()</f>
        <v/>
      </c>
      <c r="R1626" s="165">
        <f>ElencoProdotti[[#This Row],[PRODUZIONE]]+20</f>
        <v/>
      </c>
      <c r="S1626" s="165">
        <f>TODAY()</f>
        <v/>
      </c>
      <c r="T1626" s="133">
        <f>CONCATENATE(A1626," - contiene allergni - prodotto il giorno ",TEXT(Q1626,"gg/mm/aaaa"),"")</f>
        <v/>
      </c>
    </row>
    <row r="1627" ht="15" customHeight="1" s="155">
      <c r="A1627" s="134">
        <f>ric!B1627</f>
        <v/>
      </c>
      <c r="B1627" s="118">
        <f>ric!C1627</f>
        <v/>
      </c>
      <c r="C1627" s="125">
        <f>ric!D1627</f>
        <v/>
      </c>
      <c r="D1627" s="125" t="n"/>
      <c r="E1627" s="125" t="n"/>
      <c r="F1627" s="125" t="n"/>
      <c r="G1627" s="118">
        <f>CONCATENATE(A1627, " ",#REF!, " / ",H1627)</f>
        <v/>
      </c>
      <c r="H1627" s="118" t="n"/>
      <c r="I1627" s="119">
        <f>CONCATENATE(M1627," - ",J1627," - Lotto N° ",K1627,"")</f>
        <v/>
      </c>
      <c r="J1627" s="118" t="n"/>
      <c r="K1627" s="118">
        <f>VLOOKUP(#REF!,Produzione,7,FALSE)</f>
        <v/>
      </c>
      <c r="L1627" s="120" t="n"/>
      <c r="M1627" s="120" t="n"/>
      <c r="N1627" s="118" t="n"/>
      <c r="O1627" s="121" t="n"/>
      <c r="P1627" s="121" t="n"/>
      <c r="Q1627" s="166">
        <f>TODAY()</f>
        <v/>
      </c>
      <c r="R1627" s="165">
        <f>ElencoProdotti[[#This Row],[PRODUZIONE]]+20</f>
        <v/>
      </c>
      <c r="S1627" s="165">
        <f>TODAY()</f>
        <v/>
      </c>
      <c r="T1627" s="133">
        <f>CONCATENATE(A1627," - contiene allergni - prodotto il giorno ",TEXT(Q1627,"gg/mm/aaaa"),"")</f>
        <v/>
      </c>
    </row>
    <row r="1628" ht="15" customHeight="1" s="155">
      <c r="A1628" s="134">
        <f>ric!B1628</f>
        <v/>
      </c>
      <c r="B1628" s="118">
        <f>ric!C1628</f>
        <v/>
      </c>
      <c r="C1628" s="125">
        <f>ric!D1628</f>
        <v/>
      </c>
      <c r="D1628" s="125" t="n"/>
      <c r="E1628" s="125" t="n"/>
      <c r="F1628" s="125" t="n"/>
      <c r="G1628" s="118">
        <f>CONCATENATE(A1628, " ",#REF!, " / ",H1628)</f>
        <v/>
      </c>
      <c r="H1628" s="118" t="n"/>
      <c r="I1628" s="119">
        <f>CONCATENATE(M1628," - ",J1628," - Lotto N° ",K1628,"")</f>
        <v/>
      </c>
      <c r="J1628" s="118" t="n"/>
      <c r="K1628" s="118">
        <f>VLOOKUP(#REF!,Produzione,7,FALSE)</f>
        <v/>
      </c>
      <c r="L1628" s="120" t="n"/>
      <c r="M1628" s="120" t="n"/>
      <c r="N1628" s="118" t="n"/>
      <c r="O1628" s="121" t="n"/>
      <c r="P1628" s="121" t="n"/>
      <c r="Q1628" s="166">
        <f>TODAY()</f>
        <v/>
      </c>
      <c r="R1628" s="165">
        <f>ElencoProdotti[[#This Row],[PRODUZIONE]]+20</f>
        <v/>
      </c>
      <c r="S1628" s="165">
        <f>TODAY()</f>
        <v/>
      </c>
      <c r="T1628" s="133">
        <f>CONCATENATE(A1628," - contiene allergni - prodotto il giorno ",TEXT(Q1628,"gg/mm/aaaa"),"")</f>
        <v/>
      </c>
    </row>
    <row r="1629" ht="15" customHeight="1" s="155">
      <c r="A1629" s="134">
        <f>ric!B1629</f>
        <v/>
      </c>
      <c r="B1629" s="118">
        <f>ric!C1629</f>
        <v/>
      </c>
      <c r="C1629" s="125">
        <f>ric!D1629</f>
        <v/>
      </c>
      <c r="D1629" s="125" t="n"/>
      <c r="E1629" s="125" t="n"/>
      <c r="F1629" s="125" t="n"/>
      <c r="G1629" s="118">
        <f>CONCATENATE(A1629, " ",#REF!, " / ",H1629)</f>
        <v/>
      </c>
      <c r="H1629" s="118" t="n"/>
      <c r="I1629" s="119">
        <f>CONCATENATE(M1629," - ",J1629," - Lotto N° ",K1629,"")</f>
        <v/>
      </c>
      <c r="J1629" s="118" t="n"/>
      <c r="K1629" s="118">
        <f>VLOOKUP(#REF!,Produzione,7,FALSE)</f>
        <v/>
      </c>
      <c r="L1629" s="120" t="n"/>
      <c r="M1629" s="120" t="n"/>
      <c r="N1629" s="118" t="n"/>
      <c r="O1629" s="121" t="n"/>
      <c r="P1629" s="121" t="n"/>
      <c r="Q1629" s="166">
        <f>TODAY()</f>
        <v/>
      </c>
      <c r="R1629" s="165">
        <f>ElencoProdotti[[#This Row],[PRODUZIONE]]+20</f>
        <v/>
      </c>
      <c r="S1629" s="165">
        <f>TODAY()</f>
        <v/>
      </c>
      <c r="T1629" s="133">
        <f>CONCATENATE(A1629," - contiene allergni - prodotto il giorno ",TEXT(Q1629,"gg/mm/aaaa"),"")</f>
        <v/>
      </c>
    </row>
    <row r="1630" ht="15" customHeight="1" s="155">
      <c r="A1630" s="134">
        <f>ric!B1630</f>
        <v/>
      </c>
      <c r="B1630" s="118">
        <f>ric!C1630</f>
        <v/>
      </c>
      <c r="C1630" s="125">
        <f>ric!D1630</f>
        <v/>
      </c>
      <c r="D1630" s="125" t="n"/>
      <c r="E1630" s="125" t="n"/>
      <c r="F1630" s="125" t="n"/>
      <c r="G1630" s="118">
        <f>CONCATENATE(A1630, " ",#REF!, " / ",H1630)</f>
        <v/>
      </c>
      <c r="H1630" s="118" t="n"/>
      <c r="I1630" s="119">
        <f>CONCATENATE(M1630," - ",J1630," - Lotto N° ",K1630,"")</f>
        <v/>
      </c>
      <c r="J1630" s="118" t="n"/>
      <c r="K1630" s="118">
        <f>VLOOKUP(#REF!,Produzione,7,FALSE)</f>
        <v/>
      </c>
      <c r="L1630" s="120" t="n"/>
      <c r="M1630" s="120" t="n"/>
      <c r="N1630" s="118" t="n"/>
      <c r="O1630" s="121" t="n"/>
      <c r="P1630" s="121" t="n"/>
      <c r="Q1630" s="166">
        <f>TODAY()</f>
        <v/>
      </c>
      <c r="R1630" s="165">
        <f>ElencoProdotti[[#This Row],[PRODUZIONE]]+20</f>
        <v/>
      </c>
      <c r="S1630" s="165">
        <f>TODAY()</f>
        <v/>
      </c>
      <c r="T1630" s="133">
        <f>CONCATENATE(A1630," - contiene allergni - prodotto il giorno ",TEXT(Q1630,"gg/mm/aaaa"),"")</f>
        <v/>
      </c>
    </row>
    <row r="1631" ht="15" customHeight="1" s="155">
      <c r="A1631" s="134">
        <f>ric!B1631</f>
        <v/>
      </c>
      <c r="B1631" s="118">
        <f>ric!C1631</f>
        <v/>
      </c>
      <c r="C1631" s="125">
        <f>ric!D1631</f>
        <v/>
      </c>
      <c r="D1631" s="125" t="n"/>
      <c r="E1631" s="125" t="n"/>
      <c r="F1631" s="125" t="n"/>
      <c r="G1631" s="118">
        <f>CONCATENATE(A1631, " ",#REF!, " / ",H1631)</f>
        <v/>
      </c>
      <c r="H1631" s="118" t="n"/>
      <c r="I1631" s="119">
        <f>CONCATENATE(M1631," - ",J1631," - Lotto N° ",K1631,"")</f>
        <v/>
      </c>
      <c r="J1631" s="118" t="n"/>
      <c r="K1631" s="118">
        <f>VLOOKUP(#REF!,Produzione,7,FALSE)</f>
        <v/>
      </c>
      <c r="L1631" s="120" t="n"/>
      <c r="M1631" s="120" t="n"/>
      <c r="N1631" s="118" t="n"/>
      <c r="O1631" s="121" t="n"/>
      <c r="P1631" s="121" t="n"/>
      <c r="Q1631" s="166">
        <f>TODAY()</f>
        <v/>
      </c>
      <c r="R1631" s="165">
        <f>ElencoProdotti[[#This Row],[PRODUZIONE]]+20</f>
        <v/>
      </c>
      <c r="S1631" s="165">
        <f>TODAY()</f>
        <v/>
      </c>
      <c r="T1631" s="133">
        <f>CONCATENATE(A1631," - contiene allergni - prodotto il giorno ",TEXT(Q1631,"gg/mm/aaaa"),"")</f>
        <v/>
      </c>
    </row>
    <row r="1632" ht="15" customHeight="1" s="155">
      <c r="A1632" s="134">
        <f>ric!B1632</f>
        <v/>
      </c>
      <c r="B1632" s="118">
        <f>ric!C1632</f>
        <v/>
      </c>
      <c r="C1632" s="125">
        <f>ric!D1632</f>
        <v/>
      </c>
      <c r="D1632" s="125" t="n"/>
      <c r="E1632" s="125" t="n"/>
      <c r="F1632" s="125" t="n"/>
      <c r="G1632" s="118">
        <f>CONCATENATE(A1632, " ",#REF!, " / ",H1632)</f>
        <v/>
      </c>
      <c r="H1632" s="118" t="n"/>
      <c r="I1632" s="119">
        <f>CONCATENATE(M1632," - ",J1632," - Lotto N° ",K1632,"")</f>
        <v/>
      </c>
      <c r="J1632" s="118" t="n"/>
      <c r="K1632" s="118">
        <f>VLOOKUP(#REF!,Produzione,7,FALSE)</f>
        <v/>
      </c>
      <c r="L1632" s="120" t="n"/>
      <c r="M1632" s="120" t="n"/>
      <c r="N1632" s="118" t="n"/>
      <c r="O1632" s="121" t="n"/>
      <c r="P1632" s="121" t="n"/>
      <c r="Q1632" s="166">
        <f>TODAY()</f>
        <v/>
      </c>
      <c r="R1632" s="165">
        <f>ElencoProdotti[[#This Row],[PRODUZIONE]]+20</f>
        <v/>
      </c>
      <c r="S1632" s="165">
        <f>TODAY()</f>
        <v/>
      </c>
      <c r="T1632" s="133">
        <f>CONCATENATE(A1632," - contiene allergni - prodotto il giorno ",TEXT(Q1632,"gg/mm/aaaa"),"")</f>
        <v/>
      </c>
    </row>
    <row r="1633" ht="15" customHeight="1" s="155">
      <c r="A1633" s="134">
        <f>ric!B1633</f>
        <v/>
      </c>
      <c r="B1633" s="118">
        <f>ric!C1633</f>
        <v/>
      </c>
      <c r="C1633" s="125">
        <f>ric!D1633</f>
        <v/>
      </c>
      <c r="D1633" s="125" t="n"/>
      <c r="E1633" s="125" t="n"/>
      <c r="F1633" s="125" t="n"/>
      <c r="G1633" s="118">
        <f>CONCATENATE(A1633, " ",#REF!, " / ",H1633)</f>
        <v/>
      </c>
      <c r="H1633" s="118" t="n"/>
      <c r="I1633" s="119">
        <f>CONCATENATE(M1633," - ",J1633," - Lotto N° ",K1633,"")</f>
        <v/>
      </c>
      <c r="J1633" s="118" t="n"/>
      <c r="K1633" s="118">
        <f>VLOOKUP(#REF!,Produzione,7,FALSE)</f>
        <v/>
      </c>
      <c r="L1633" s="120" t="n"/>
      <c r="M1633" s="120" t="n"/>
      <c r="N1633" s="118" t="n"/>
      <c r="O1633" s="121" t="n"/>
      <c r="P1633" s="121" t="n"/>
      <c r="Q1633" s="166">
        <f>TODAY()</f>
        <v/>
      </c>
      <c r="R1633" s="165">
        <f>ElencoProdotti[[#This Row],[PRODUZIONE]]+20</f>
        <v/>
      </c>
      <c r="S1633" s="165">
        <f>TODAY()</f>
        <v/>
      </c>
      <c r="T1633" s="133">
        <f>CONCATENATE(A1633," - contiene allergni - prodotto il giorno ",TEXT(Q1633,"gg/mm/aaaa"),"")</f>
        <v/>
      </c>
    </row>
    <row r="1634" ht="15" customHeight="1" s="155">
      <c r="A1634" s="134">
        <f>ric!B1634</f>
        <v/>
      </c>
      <c r="B1634" s="118">
        <f>ric!C1634</f>
        <v/>
      </c>
      <c r="C1634" s="125">
        <f>ric!D1634</f>
        <v/>
      </c>
      <c r="D1634" s="125" t="n"/>
      <c r="E1634" s="125" t="n"/>
      <c r="F1634" s="125" t="n"/>
      <c r="G1634" s="118">
        <f>CONCATENATE(A1634, " ",#REF!, " / ",H1634)</f>
        <v/>
      </c>
      <c r="H1634" s="118" t="n"/>
      <c r="I1634" s="119">
        <f>CONCATENATE(M1634," - ",J1634," - Lotto N° ",K1634,"")</f>
        <v/>
      </c>
      <c r="J1634" s="118" t="n"/>
      <c r="K1634" s="118">
        <f>VLOOKUP(#REF!,Produzione,7,FALSE)</f>
        <v/>
      </c>
      <c r="L1634" s="120" t="n"/>
      <c r="M1634" s="120" t="n"/>
      <c r="N1634" s="118" t="n"/>
      <c r="O1634" s="121" t="n"/>
      <c r="P1634" s="121" t="n"/>
      <c r="Q1634" s="166">
        <f>TODAY()</f>
        <v/>
      </c>
      <c r="R1634" s="165">
        <f>ElencoProdotti[[#This Row],[PRODUZIONE]]+20</f>
        <v/>
      </c>
      <c r="S1634" s="165">
        <f>TODAY()</f>
        <v/>
      </c>
      <c r="T1634" s="133">
        <f>CONCATENATE(A1634," - contiene allergni - prodotto il giorno ",TEXT(Q1634,"gg/mm/aaaa"),"")</f>
        <v/>
      </c>
    </row>
    <row r="1635" ht="15" customHeight="1" s="155">
      <c r="A1635" s="134">
        <f>ric!B1635</f>
        <v/>
      </c>
      <c r="B1635" s="118">
        <f>ric!C1635</f>
        <v/>
      </c>
      <c r="C1635" s="125">
        <f>ric!D1635</f>
        <v/>
      </c>
      <c r="D1635" s="125" t="n"/>
      <c r="E1635" s="125" t="n"/>
      <c r="F1635" s="125" t="n"/>
      <c r="G1635" s="118">
        <f>CONCATENATE(A1635, " ",#REF!, " / ",H1635)</f>
        <v/>
      </c>
      <c r="H1635" s="118" t="n"/>
      <c r="I1635" s="119">
        <f>CONCATENATE(M1635," - ",J1635," - Lotto N° ",K1635,"")</f>
        <v/>
      </c>
      <c r="J1635" s="118" t="n"/>
      <c r="K1635" s="118">
        <f>VLOOKUP(#REF!,Produzione,7,FALSE)</f>
        <v/>
      </c>
      <c r="L1635" s="120" t="n"/>
      <c r="M1635" s="120" t="n"/>
      <c r="N1635" s="118" t="n"/>
      <c r="O1635" s="121" t="n"/>
      <c r="P1635" s="121" t="n"/>
      <c r="Q1635" s="166">
        <f>TODAY()</f>
        <v/>
      </c>
      <c r="R1635" s="165">
        <f>ElencoProdotti[[#This Row],[PRODUZIONE]]+20</f>
        <v/>
      </c>
      <c r="S1635" s="165">
        <f>TODAY()</f>
        <v/>
      </c>
      <c r="T1635" s="133">
        <f>CONCATENATE(A1635," - contiene allergni - prodotto il giorno ",TEXT(Q1635,"gg/mm/aaaa"),"")</f>
        <v/>
      </c>
    </row>
    <row r="1636" ht="15" customHeight="1" s="155">
      <c r="A1636" s="134">
        <f>ric!B1636</f>
        <v/>
      </c>
      <c r="B1636" s="118">
        <f>ric!C1636</f>
        <v/>
      </c>
      <c r="C1636" s="125">
        <f>ric!D1636</f>
        <v/>
      </c>
      <c r="D1636" s="125" t="n"/>
      <c r="E1636" s="125" t="n"/>
      <c r="F1636" s="125" t="n"/>
      <c r="G1636" s="118">
        <f>CONCATENATE(A1636, " ",#REF!, " / ",H1636)</f>
        <v/>
      </c>
      <c r="H1636" s="118" t="n"/>
      <c r="I1636" s="119">
        <f>CONCATENATE(M1636," - ",J1636," - Lotto N° ",K1636,"")</f>
        <v/>
      </c>
      <c r="J1636" s="118" t="n"/>
      <c r="K1636" s="118">
        <f>VLOOKUP(#REF!,Produzione,7,FALSE)</f>
        <v/>
      </c>
      <c r="L1636" s="120" t="n"/>
      <c r="M1636" s="120" t="n"/>
      <c r="N1636" s="118" t="n"/>
      <c r="O1636" s="121" t="n"/>
      <c r="P1636" s="121" t="n"/>
      <c r="Q1636" s="166">
        <f>TODAY()</f>
        <v/>
      </c>
      <c r="R1636" s="165">
        <f>ElencoProdotti[[#This Row],[PRODUZIONE]]+20</f>
        <v/>
      </c>
      <c r="S1636" s="165">
        <f>TODAY()</f>
        <v/>
      </c>
      <c r="T1636" s="133">
        <f>CONCATENATE(A1636," - contiene allergni - prodotto il giorno ",TEXT(Q1636,"gg/mm/aaaa"),"")</f>
        <v/>
      </c>
    </row>
    <row r="1637" ht="15" customHeight="1" s="155">
      <c r="A1637" s="134">
        <f>ric!B1637</f>
        <v/>
      </c>
      <c r="B1637" s="118">
        <f>ric!C1637</f>
        <v/>
      </c>
      <c r="C1637" s="125">
        <f>ric!D1637</f>
        <v/>
      </c>
      <c r="D1637" s="125" t="n"/>
      <c r="E1637" s="125" t="n"/>
      <c r="F1637" s="125" t="n"/>
      <c r="G1637" s="118">
        <f>CONCATENATE(A1637, " ",#REF!, " / ",H1637)</f>
        <v/>
      </c>
      <c r="H1637" s="118" t="n"/>
      <c r="I1637" s="119">
        <f>CONCATENATE(M1637," - ",J1637," - Lotto N° ",K1637,"")</f>
        <v/>
      </c>
      <c r="J1637" s="118" t="n"/>
      <c r="K1637" s="118">
        <f>VLOOKUP(#REF!,Produzione,7,FALSE)</f>
        <v/>
      </c>
      <c r="L1637" s="120" t="n"/>
      <c r="M1637" s="120" t="n"/>
      <c r="N1637" s="118" t="n"/>
      <c r="O1637" s="121" t="n"/>
      <c r="P1637" s="121" t="n"/>
      <c r="Q1637" s="166">
        <f>TODAY()</f>
        <v/>
      </c>
      <c r="R1637" s="165">
        <f>ElencoProdotti[[#This Row],[PRODUZIONE]]+20</f>
        <v/>
      </c>
      <c r="S1637" s="165">
        <f>TODAY()</f>
        <v/>
      </c>
      <c r="T1637" s="133">
        <f>CONCATENATE(A1637," - contiene allergni - prodotto il giorno ",TEXT(Q1637,"gg/mm/aaaa"),"")</f>
        <v/>
      </c>
    </row>
    <row r="1638" ht="15" customHeight="1" s="155">
      <c r="A1638" s="134">
        <f>ric!B1638</f>
        <v/>
      </c>
      <c r="B1638" s="118">
        <f>ric!C1638</f>
        <v/>
      </c>
      <c r="C1638" s="125">
        <f>ric!D1638</f>
        <v/>
      </c>
      <c r="D1638" s="125" t="n"/>
      <c r="E1638" s="125" t="n"/>
      <c r="F1638" s="125" t="n"/>
      <c r="G1638" s="118">
        <f>CONCATENATE(A1638, " ",#REF!, " / ",H1638)</f>
        <v/>
      </c>
      <c r="H1638" s="118" t="n"/>
      <c r="I1638" s="119">
        <f>CONCATENATE(M1638," - ",J1638," - Lotto N° ",K1638,"")</f>
        <v/>
      </c>
      <c r="J1638" s="118" t="n"/>
      <c r="K1638" s="118">
        <f>VLOOKUP(#REF!,Produzione,7,FALSE)</f>
        <v/>
      </c>
      <c r="L1638" s="120" t="n"/>
      <c r="M1638" s="120" t="n"/>
      <c r="N1638" s="118" t="n"/>
      <c r="O1638" s="121" t="n"/>
      <c r="P1638" s="121" t="n"/>
      <c r="Q1638" s="166">
        <f>TODAY()</f>
        <v/>
      </c>
      <c r="R1638" s="165">
        <f>ElencoProdotti[[#This Row],[PRODUZIONE]]+20</f>
        <v/>
      </c>
      <c r="S1638" s="165">
        <f>TODAY()</f>
        <v/>
      </c>
      <c r="T1638" s="133">
        <f>CONCATENATE(A1638," - contiene allergni - prodotto il giorno ",TEXT(Q1638,"gg/mm/aaaa"),"")</f>
        <v/>
      </c>
    </row>
    <row r="1639" ht="15" customHeight="1" s="155">
      <c r="A1639" s="134">
        <f>ric!B1639</f>
        <v/>
      </c>
      <c r="B1639" s="118">
        <f>ric!C1639</f>
        <v/>
      </c>
      <c r="C1639" s="125">
        <f>ric!D1639</f>
        <v/>
      </c>
      <c r="D1639" s="125" t="n"/>
      <c r="E1639" s="125" t="n"/>
      <c r="F1639" s="125" t="n"/>
      <c r="G1639" s="118">
        <f>CONCATENATE(A1639, " ",#REF!, " / ",H1639)</f>
        <v/>
      </c>
      <c r="H1639" s="118" t="n"/>
      <c r="I1639" s="119">
        <f>CONCATENATE(M1639," - ",J1639," - Lotto N° ",K1639,"")</f>
        <v/>
      </c>
      <c r="J1639" s="118" t="n"/>
      <c r="K1639" s="118">
        <f>VLOOKUP(#REF!,Produzione,7,FALSE)</f>
        <v/>
      </c>
      <c r="L1639" s="120" t="n"/>
      <c r="M1639" s="120" t="n"/>
      <c r="N1639" s="118" t="n"/>
      <c r="O1639" s="121" t="n"/>
      <c r="P1639" s="121" t="n"/>
      <c r="Q1639" s="166">
        <f>TODAY()</f>
        <v/>
      </c>
      <c r="R1639" s="165">
        <f>ElencoProdotti[[#This Row],[PRODUZIONE]]+20</f>
        <v/>
      </c>
      <c r="S1639" s="165">
        <f>TODAY()</f>
        <v/>
      </c>
      <c r="T1639" s="133">
        <f>CONCATENATE(A1639," - contiene allergni - prodotto il giorno ",TEXT(Q1639,"gg/mm/aaaa"),"")</f>
        <v/>
      </c>
    </row>
    <row r="1640" ht="15" customHeight="1" s="155">
      <c r="A1640" s="134">
        <f>ric!B1640</f>
        <v/>
      </c>
      <c r="B1640" s="118">
        <f>ric!C1640</f>
        <v/>
      </c>
      <c r="C1640" s="125">
        <f>ric!D1640</f>
        <v/>
      </c>
      <c r="D1640" s="125" t="n"/>
      <c r="E1640" s="125" t="n"/>
      <c r="F1640" s="125" t="n"/>
      <c r="G1640" s="118">
        <f>CONCATENATE(A1640, " ",#REF!, " / ",H1640)</f>
        <v/>
      </c>
      <c r="H1640" s="118" t="n"/>
      <c r="I1640" s="119">
        <f>CONCATENATE(M1640," - ",J1640," - Lotto N° ",K1640,"")</f>
        <v/>
      </c>
      <c r="J1640" s="118" t="n"/>
      <c r="K1640" s="118">
        <f>VLOOKUP(#REF!,Produzione,7,FALSE)</f>
        <v/>
      </c>
      <c r="L1640" s="120" t="n"/>
      <c r="M1640" s="120" t="n"/>
      <c r="N1640" s="118" t="n"/>
      <c r="O1640" s="121" t="n"/>
      <c r="P1640" s="121" t="n"/>
      <c r="Q1640" s="166">
        <f>TODAY()</f>
        <v/>
      </c>
      <c r="R1640" s="165">
        <f>ElencoProdotti[[#This Row],[PRODUZIONE]]+20</f>
        <v/>
      </c>
      <c r="S1640" s="165">
        <f>TODAY()</f>
        <v/>
      </c>
      <c r="T1640" s="133">
        <f>CONCATENATE(A1640," - contiene allergni - prodotto il giorno ",TEXT(Q1640,"gg/mm/aaaa"),"")</f>
        <v/>
      </c>
    </row>
    <row r="1641" ht="15" customHeight="1" s="155">
      <c r="A1641" s="134">
        <f>ric!B1641</f>
        <v/>
      </c>
      <c r="B1641" s="118">
        <f>ric!C1641</f>
        <v/>
      </c>
      <c r="C1641" s="125">
        <f>ric!D1641</f>
        <v/>
      </c>
      <c r="D1641" s="125" t="n"/>
      <c r="E1641" s="125" t="n"/>
      <c r="F1641" s="125" t="n"/>
      <c r="G1641" s="118">
        <f>CONCATENATE(A1641, " ",#REF!, " / ",H1641)</f>
        <v/>
      </c>
      <c r="H1641" s="118" t="n"/>
      <c r="I1641" s="119">
        <f>CONCATENATE(M1641," - ",J1641," - Lotto N° ",K1641,"")</f>
        <v/>
      </c>
      <c r="J1641" s="118" t="n"/>
      <c r="K1641" s="118">
        <f>VLOOKUP(#REF!,Produzione,7,FALSE)</f>
        <v/>
      </c>
      <c r="L1641" s="120" t="n"/>
      <c r="M1641" s="120" t="n"/>
      <c r="N1641" s="118" t="n"/>
      <c r="O1641" s="121" t="n"/>
      <c r="P1641" s="121" t="n"/>
      <c r="Q1641" s="166">
        <f>TODAY()</f>
        <v/>
      </c>
      <c r="R1641" s="165">
        <f>ElencoProdotti[[#This Row],[PRODUZIONE]]+20</f>
        <v/>
      </c>
      <c r="S1641" s="165">
        <f>TODAY()</f>
        <v/>
      </c>
      <c r="T1641" s="133">
        <f>CONCATENATE(A1641," - contiene allergni - prodotto il giorno ",TEXT(Q1641,"gg/mm/aaaa"),"")</f>
        <v/>
      </c>
    </row>
    <row r="1642" ht="15" customHeight="1" s="155">
      <c r="A1642" s="134">
        <f>ric!B1642</f>
        <v/>
      </c>
      <c r="B1642" s="118">
        <f>ric!C1642</f>
        <v/>
      </c>
      <c r="C1642" s="125">
        <f>ric!D1642</f>
        <v/>
      </c>
      <c r="D1642" s="125" t="n"/>
      <c r="E1642" s="125" t="n"/>
      <c r="F1642" s="125" t="n"/>
      <c r="G1642" s="118">
        <f>CONCATENATE(A1642, " ",#REF!, " / ",H1642)</f>
        <v/>
      </c>
      <c r="H1642" s="118" t="n"/>
      <c r="I1642" s="119">
        <f>CONCATENATE(M1642," - ",J1642," - Lotto N° ",K1642,"")</f>
        <v/>
      </c>
      <c r="J1642" s="118" t="n"/>
      <c r="K1642" s="118">
        <f>VLOOKUP(#REF!,Produzione,7,FALSE)</f>
        <v/>
      </c>
      <c r="L1642" s="120" t="n"/>
      <c r="M1642" s="120" t="n"/>
      <c r="N1642" s="118" t="n"/>
      <c r="O1642" s="121" t="n"/>
      <c r="P1642" s="121" t="n"/>
      <c r="Q1642" s="166">
        <f>TODAY()</f>
        <v/>
      </c>
      <c r="R1642" s="165">
        <f>ElencoProdotti[[#This Row],[PRODUZIONE]]+20</f>
        <v/>
      </c>
      <c r="S1642" s="165">
        <f>TODAY()</f>
        <v/>
      </c>
      <c r="T1642" s="133">
        <f>CONCATENATE(A1642," - contiene allergni - prodotto il giorno ",TEXT(Q1642,"gg/mm/aaaa"),"")</f>
        <v/>
      </c>
    </row>
    <row r="1643" ht="15" customHeight="1" s="155">
      <c r="A1643" s="134">
        <f>ric!B1643</f>
        <v/>
      </c>
      <c r="B1643" s="118">
        <f>ric!C1643</f>
        <v/>
      </c>
      <c r="C1643" s="125">
        <f>ric!D1643</f>
        <v/>
      </c>
      <c r="D1643" s="125" t="n"/>
      <c r="E1643" s="125" t="n"/>
      <c r="F1643" s="125" t="n"/>
      <c r="G1643" s="118">
        <f>CONCATENATE(A1643, " ",#REF!, " / ",H1643)</f>
        <v/>
      </c>
      <c r="H1643" s="118" t="n"/>
      <c r="I1643" s="119">
        <f>CONCATENATE(M1643," - ",J1643," - Lotto N° ",K1643,"")</f>
        <v/>
      </c>
      <c r="J1643" s="118" t="n"/>
      <c r="K1643" s="118">
        <f>VLOOKUP(#REF!,Produzione,7,FALSE)</f>
        <v/>
      </c>
      <c r="L1643" s="120" t="n"/>
      <c r="M1643" s="120" t="n"/>
      <c r="N1643" s="118" t="n"/>
      <c r="O1643" s="121" t="n"/>
      <c r="P1643" s="121" t="n"/>
      <c r="Q1643" s="166">
        <f>TODAY()</f>
        <v/>
      </c>
      <c r="R1643" s="165">
        <f>ElencoProdotti[[#This Row],[PRODUZIONE]]+20</f>
        <v/>
      </c>
      <c r="S1643" s="165">
        <f>TODAY()</f>
        <v/>
      </c>
      <c r="T1643" s="133">
        <f>CONCATENATE(A1643," - contiene allergni - prodotto il giorno ",TEXT(Q1643,"gg/mm/aaaa"),"")</f>
        <v/>
      </c>
    </row>
    <row r="1644" ht="15" customHeight="1" s="155">
      <c r="A1644" s="134">
        <f>ric!B1644</f>
        <v/>
      </c>
      <c r="B1644" s="118">
        <f>ric!C1644</f>
        <v/>
      </c>
      <c r="C1644" s="125">
        <f>ric!D1644</f>
        <v/>
      </c>
      <c r="D1644" s="125" t="n"/>
      <c r="E1644" s="125" t="n"/>
      <c r="F1644" s="125" t="n"/>
      <c r="G1644" s="118">
        <f>CONCATENATE(A1644, " ",#REF!, " / ",H1644)</f>
        <v/>
      </c>
      <c r="H1644" s="118" t="n"/>
      <c r="I1644" s="119">
        <f>CONCATENATE(M1644," - ",J1644," - Lotto N° ",K1644,"")</f>
        <v/>
      </c>
      <c r="J1644" s="118" t="n"/>
      <c r="K1644" s="118">
        <f>VLOOKUP(#REF!,Produzione,7,FALSE)</f>
        <v/>
      </c>
      <c r="L1644" s="120" t="n"/>
      <c r="M1644" s="120" t="n"/>
      <c r="N1644" s="118" t="n"/>
      <c r="O1644" s="121" t="n"/>
      <c r="P1644" s="121" t="n"/>
      <c r="Q1644" s="166">
        <f>TODAY()</f>
        <v/>
      </c>
      <c r="R1644" s="165">
        <f>ElencoProdotti[[#This Row],[PRODUZIONE]]+20</f>
        <v/>
      </c>
      <c r="S1644" s="165">
        <f>TODAY()</f>
        <v/>
      </c>
      <c r="T1644" s="133">
        <f>CONCATENATE(A1644," - contiene allergni - prodotto il giorno ",TEXT(Q1644,"gg/mm/aaaa"),"")</f>
        <v/>
      </c>
    </row>
    <row r="1645" ht="15" customHeight="1" s="155">
      <c r="A1645" s="134">
        <f>ric!B1645</f>
        <v/>
      </c>
      <c r="B1645" s="118">
        <f>ric!C1645</f>
        <v/>
      </c>
      <c r="C1645" s="125">
        <f>ric!D1645</f>
        <v/>
      </c>
      <c r="D1645" s="125" t="n"/>
      <c r="E1645" s="125" t="n"/>
      <c r="F1645" s="125" t="n"/>
      <c r="G1645" s="118">
        <f>CONCATENATE(A1645, " ",#REF!, " / ",H1645)</f>
        <v/>
      </c>
      <c r="H1645" s="118" t="n"/>
      <c r="I1645" s="119">
        <f>CONCATENATE(M1645," - ",J1645," - Lotto N° ",K1645,"")</f>
        <v/>
      </c>
      <c r="J1645" s="118" t="n"/>
      <c r="K1645" s="118">
        <f>VLOOKUP(#REF!,Produzione,7,FALSE)</f>
        <v/>
      </c>
      <c r="L1645" s="120" t="n"/>
      <c r="M1645" s="120" t="n"/>
      <c r="N1645" s="118" t="n"/>
      <c r="O1645" s="121" t="n"/>
      <c r="P1645" s="121" t="n"/>
      <c r="Q1645" s="166">
        <f>TODAY()</f>
        <v/>
      </c>
      <c r="R1645" s="165">
        <f>ElencoProdotti[[#This Row],[PRODUZIONE]]+20</f>
        <v/>
      </c>
      <c r="S1645" s="165">
        <f>TODAY()</f>
        <v/>
      </c>
      <c r="T1645" s="133">
        <f>CONCATENATE(A1645," - contiene allergni - prodotto il giorno ",TEXT(Q1645,"gg/mm/aaaa"),"")</f>
        <v/>
      </c>
    </row>
    <row r="1646" ht="15" customHeight="1" s="155">
      <c r="A1646" s="134">
        <f>ric!B1646</f>
        <v/>
      </c>
      <c r="B1646" s="118">
        <f>ric!C1646</f>
        <v/>
      </c>
      <c r="C1646" s="125">
        <f>ric!D1646</f>
        <v/>
      </c>
      <c r="D1646" s="125" t="n"/>
      <c r="E1646" s="125" t="n"/>
      <c r="F1646" s="125" t="n"/>
      <c r="G1646" s="118">
        <f>CONCATENATE(A1646, " ",#REF!, " / ",H1646)</f>
        <v/>
      </c>
      <c r="H1646" s="118" t="n"/>
      <c r="I1646" s="119">
        <f>CONCATENATE(M1646," - ",J1646," - Lotto N° ",K1646,"")</f>
        <v/>
      </c>
      <c r="J1646" s="118" t="n"/>
      <c r="K1646" s="118">
        <f>VLOOKUP(#REF!,Produzione,7,FALSE)</f>
        <v/>
      </c>
      <c r="L1646" s="120" t="n"/>
      <c r="M1646" s="120" t="n"/>
      <c r="N1646" s="118" t="n"/>
      <c r="O1646" s="121" t="n"/>
      <c r="P1646" s="121" t="n"/>
      <c r="Q1646" s="166">
        <f>TODAY()</f>
        <v/>
      </c>
      <c r="R1646" s="165">
        <f>ElencoProdotti[[#This Row],[PRODUZIONE]]+20</f>
        <v/>
      </c>
      <c r="S1646" s="165">
        <f>TODAY()</f>
        <v/>
      </c>
      <c r="T1646" s="133">
        <f>CONCATENATE(A1646," - contiene allergni - prodotto il giorno ",TEXT(Q1646,"gg/mm/aaaa"),"")</f>
        <v/>
      </c>
    </row>
    <row r="1647" ht="15" customHeight="1" s="155">
      <c r="A1647" s="134">
        <f>ric!B1647</f>
        <v/>
      </c>
      <c r="B1647" s="118">
        <f>ric!C1647</f>
        <v/>
      </c>
      <c r="C1647" s="125">
        <f>ric!D1647</f>
        <v/>
      </c>
      <c r="D1647" s="125" t="n"/>
      <c r="E1647" s="125" t="n"/>
      <c r="F1647" s="125" t="n"/>
      <c r="G1647" s="118">
        <f>CONCATENATE(A1647, " ",#REF!, " / ",H1647)</f>
        <v/>
      </c>
      <c r="H1647" s="118" t="n"/>
      <c r="I1647" s="119">
        <f>CONCATENATE(M1647," - ",J1647," - Lotto N° ",K1647,"")</f>
        <v/>
      </c>
      <c r="J1647" s="118" t="n"/>
      <c r="K1647" s="118">
        <f>VLOOKUP(#REF!,Produzione,7,FALSE)</f>
        <v/>
      </c>
      <c r="L1647" s="120" t="n"/>
      <c r="M1647" s="120" t="n"/>
      <c r="N1647" s="118" t="n"/>
      <c r="O1647" s="121" t="n"/>
      <c r="P1647" s="121" t="n"/>
      <c r="Q1647" s="166">
        <f>TODAY()</f>
        <v/>
      </c>
      <c r="R1647" s="165">
        <f>ElencoProdotti[[#This Row],[PRODUZIONE]]+20</f>
        <v/>
      </c>
      <c r="S1647" s="165">
        <f>TODAY()</f>
        <v/>
      </c>
      <c r="T1647" s="133">
        <f>CONCATENATE(A1647," - contiene allergni - prodotto il giorno ",TEXT(Q1647,"gg/mm/aaaa"),"")</f>
        <v/>
      </c>
    </row>
    <row r="1648" ht="15" customHeight="1" s="155">
      <c r="A1648" s="134">
        <f>ric!B1648</f>
        <v/>
      </c>
      <c r="B1648" s="118">
        <f>ric!C1648</f>
        <v/>
      </c>
      <c r="C1648" s="125">
        <f>ric!D1648</f>
        <v/>
      </c>
      <c r="D1648" s="125" t="n"/>
      <c r="E1648" s="125" t="n"/>
      <c r="F1648" s="125" t="n"/>
      <c r="G1648" s="118">
        <f>CONCATENATE(A1648, " ",#REF!, " / ",H1648)</f>
        <v/>
      </c>
      <c r="H1648" s="118" t="n"/>
      <c r="I1648" s="119">
        <f>CONCATENATE(M1648," - ",J1648," - Lotto N° ",K1648,"")</f>
        <v/>
      </c>
      <c r="J1648" s="118" t="n"/>
      <c r="K1648" s="118">
        <f>VLOOKUP(#REF!,Produzione,7,FALSE)</f>
        <v/>
      </c>
      <c r="L1648" s="120" t="n"/>
      <c r="M1648" s="120" t="n"/>
      <c r="N1648" s="118" t="n"/>
      <c r="O1648" s="121" t="n"/>
      <c r="P1648" s="121" t="n"/>
      <c r="Q1648" s="166">
        <f>TODAY()</f>
        <v/>
      </c>
      <c r="R1648" s="165">
        <f>ElencoProdotti[[#This Row],[PRODUZIONE]]+20</f>
        <v/>
      </c>
      <c r="S1648" s="165">
        <f>TODAY()</f>
        <v/>
      </c>
      <c r="T1648" s="133">
        <f>CONCATENATE(A1648," - contiene allergni - prodotto il giorno ",TEXT(Q1648,"gg/mm/aaaa"),"")</f>
        <v/>
      </c>
    </row>
    <row r="1649" ht="15" customHeight="1" s="155">
      <c r="A1649" s="134">
        <f>ric!B1649</f>
        <v/>
      </c>
      <c r="B1649" s="118">
        <f>ric!C1649</f>
        <v/>
      </c>
      <c r="C1649" s="125">
        <f>ric!D1649</f>
        <v/>
      </c>
      <c r="D1649" s="125" t="n"/>
      <c r="E1649" s="125" t="n"/>
      <c r="F1649" s="125" t="n"/>
      <c r="G1649" s="118">
        <f>CONCATENATE(A1649, " ",#REF!, " / ",H1649)</f>
        <v/>
      </c>
      <c r="H1649" s="118" t="n"/>
      <c r="I1649" s="119">
        <f>CONCATENATE(M1649," - ",J1649," - Lotto N° ",K1649,"")</f>
        <v/>
      </c>
      <c r="J1649" s="118" t="n"/>
      <c r="K1649" s="118">
        <f>VLOOKUP(#REF!,Produzione,7,FALSE)</f>
        <v/>
      </c>
      <c r="L1649" s="120" t="n"/>
      <c r="M1649" s="120" t="n"/>
      <c r="N1649" s="118" t="n"/>
      <c r="O1649" s="121" t="n"/>
      <c r="P1649" s="121" t="n"/>
      <c r="Q1649" s="166">
        <f>TODAY()</f>
        <v/>
      </c>
      <c r="R1649" s="165">
        <f>ElencoProdotti[[#This Row],[PRODUZIONE]]+20</f>
        <v/>
      </c>
      <c r="S1649" s="165">
        <f>TODAY()</f>
        <v/>
      </c>
      <c r="T1649" s="133">
        <f>CONCATENATE(A1649," - contiene allergni - prodotto il giorno ",TEXT(Q1649,"gg/mm/aaaa"),"")</f>
        <v/>
      </c>
    </row>
    <row r="1650" ht="15" customHeight="1" s="155">
      <c r="A1650" s="134">
        <f>ric!B1650</f>
        <v/>
      </c>
      <c r="B1650" s="118">
        <f>ric!C1650</f>
        <v/>
      </c>
      <c r="C1650" s="125">
        <f>ric!D1650</f>
        <v/>
      </c>
      <c r="D1650" s="125" t="n"/>
      <c r="E1650" s="125" t="n"/>
      <c r="F1650" s="125" t="n"/>
      <c r="G1650" s="118">
        <f>CONCATENATE(A1650, " ",#REF!, " / ",H1650)</f>
        <v/>
      </c>
      <c r="H1650" s="118" t="n"/>
      <c r="I1650" s="119">
        <f>CONCATENATE(M1650," - ",J1650," - Lotto N° ",K1650,"")</f>
        <v/>
      </c>
      <c r="J1650" s="118" t="n"/>
      <c r="K1650" s="118">
        <f>VLOOKUP(#REF!,Produzione,7,FALSE)</f>
        <v/>
      </c>
      <c r="L1650" s="120" t="n"/>
      <c r="M1650" s="120" t="n"/>
      <c r="N1650" s="118" t="n"/>
      <c r="O1650" s="121" t="n"/>
      <c r="P1650" s="121" t="n"/>
      <c r="Q1650" s="166">
        <f>TODAY()</f>
        <v/>
      </c>
      <c r="R1650" s="165">
        <f>ElencoProdotti[[#This Row],[PRODUZIONE]]+20</f>
        <v/>
      </c>
      <c r="S1650" s="165">
        <f>TODAY()</f>
        <v/>
      </c>
      <c r="T1650" s="133">
        <f>CONCATENATE(A1650," - contiene allergni - prodotto il giorno ",TEXT(Q1650,"gg/mm/aaaa"),"")</f>
        <v/>
      </c>
    </row>
    <row r="1651" ht="15" customHeight="1" s="155">
      <c r="A1651" s="134">
        <f>ric!B1651</f>
        <v/>
      </c>
      <c r="B1651" s="118">
        <f>ric!C1651</f>
        <v/>
      </c>
      <c r="C1651" s="125">
        <f>ric!D1651</f>
        <v/>
      </c>
      <c r="D1651" s="125" t="n"/>
      <c r="E1651" s="125" t="n"/>
      <c r="F1651" s="125" t="n"/>
      <c r="G1651" s="118">
        <f>CONCATENATE(A1651, " ",#REF!, " / ",H1651)</f>
        <v/>
      </c>
      <c r="H1651" s="118" t="n"/>
      <c r="I1651" s="119">
        <f>CONCATENATE(M1651," - ",J1651," - Lotto N° ",K1651,"")</f>
        <v/>
      </c>
      <c r="J1651" s="118" t="n"/>
      <c r="K1651" s="118">
        <f>VLOOKUP(#REF!,Produzione,7,FALSE)</f>
        <v/>
      </c>
      <c r="L1651" s="120" t="n"/>
      <c r="M1651" s="120" t="n"/>
      <c r="N1651" s="118" t="n"/>
      <c r="O1651" s="121" t="n"/>
      <c r="P1651" s="121" t="n"/>
      <c r="Q1651" s="166">
        <f>TODAY()</f>
        <v/>
      </c>
      <c r="R1651" s="165">
        <f>ElencoProdotti[[#This Row],[PRODUZIONE]]+20</f>
        <v/>
      </c>
      <c r="S1651" s="165">
        <f>TODAY()</f>
        <v/>
      </c>
      <c r="T1651" s="133">
        <f>CONCATENATE(A1651," - contiene allergni - prodotto il giorno ",TEXT(Q1651,"gg/mm/aaaa"),"")</f>
        <v/>
      </c>
    </row>
    <row r="1652" ht="15" customHeight="1" s="155">
      <c r="A1652" s="134">
        <f>ric!B1652</f>
        <v/>
      </c>
      <c r="B1652" s="118">
        <f>ric!C1652</f>
        <v/>
      </c>
      <c r="C1652" s="125">
        <f>ric!D1652</f>
        <v/>
      </c>
      <c r="D1652" s="125" t="n"/>
      <c r="E1652" s="125" t="n"/>
      <c r="F1652" s="125" t="n"/>
      <c r="G1652" s="118">
        <f>CONCATENATE(A1652, " ",#REF!, " / ",H1652)</f>
        <v/>
      </c>
      <c r="H1652" s="118" t="n"/>
      <c r="I1652" s="119">
        <f>CONCATENATE(M1652," - ",J1652," - Lotto N° ",K1652,"")</f>
        <v/>
      </c>
      <c r="J1652" s="118" t="n"/>
      <c r="K1652" s="118">
        <f>VLOOKUP(#REF!,Produzione,7,FALSE)</f>
        <v/>
      </c>
      <c r="L1652" s="120" t="n"/>
      <c r="M1652" s="120" t="n"/>
      <c r="N1652" s="118" t="n"/>
      <c r="O1652" s="121" t="n"/>
      <c r="P1652" s="121" t="n"/>
      <c r="Q1652" s="166">
        <f>TODAY()</f>
        <v/>
      </c>
      <c r="R1652" s="165">
        <f>ElencoProdotti[[#This Row],[PRODUZIONE]]+20</f>
        <v/>
      </c>
      <c r="S1652" s="165">
        <f>TODAY()</f>
        <v/>
      </c>
      <c r="T1652" s="133">
        <f>CONCATENATE(A1652," - contiene allergni - prodotto il giorno ",TEXT(Q1652,"gg/mm/aaaa"),"")</f>
        <v/>
      </c>
    </row>
    <row r="1653" ht="15" customHeight="1" s="155">
      <c r="A1653" s="134">
        <f>ric!B1653</f>
        <v/>
      </c>
      <c r="B1653" s="118">
        <f>ric!C1653</f>
        <v/>
      </c>
      <c r="C1653" s="125">
        <f>ric!D1653</f>
        <v/>
      </c>
      <c r="D1653" s="125" t="n"/>
      <c r="E1653" s="125" t="n"/>
      <c r="F1653" s="125" t="n"/>
      <c r="G1653" s="118">
        <f>CONCATENATE(A1653, " ",#REF!, " / ",H1653)</f>
        <v/>
      </c>
      <c r="H1653" s="118" t="n"/>
      <c r="I1653" s="119">
        <f>CONCATENATE(M1653," - ",J1653," - Lotto N° ",K1653,"")</f>
        <v/>
      </c>
      <c r="J1653" s="118" t="n"/>
      <c r="K1653" s="118">
        <f>VLOOKUP(#REF!,Produzione,7,FALSE)</f>
        <v/>
      </c>
      <c r="L1653" s="120" t="n"/>
      <c r="M1653" s="120" t="n"/>
      <c r="N1653" s="118" t="n"/>
      <c r="O1653" s="121" t="n"/>
      <c r="P1653" s="121" t="n"/>
      <c r="Q1653" s="166">
        <f>TODAY()</f>
        <v/>
      </c>
      <c r="R1653" s="165">
        <f>ElencoProdotti[[#This Row],[PRODUZIONE]]+20</f>
        <v/>
      </c>
      <c r="S1653" s="165">
        <f>TODAY()</f>
        <v/>
      </c>
      <c r="T1653" s="133">
        <f>CONCATENATE(A1653," - contiene allergni - prodotto il giorno ",TEXT(Q1653,"gg/mm/aaaa"),"")</f>
        <v/>
      </c>
    </row>
    <row r="1654" ht="15" customHeight="1" s="155">
      <c r="A1654" s="134">
        <f>ric!B1654</f>
        <v/>
      </c>
      <c r="B1654" s="118">
        <f>ric!C1654</f>
        <v/>
      </c>
      <c r="C1654" s="125">
        <f>ric!D1654</f>
        <v/>
      </c>
      <c r="D1654" s="125" t="n"/>
      <c r="E1654" s="125" t="n"/>
      <c r="F1654" s="125" t="n"/>
      <c r="G1654" s="118">
        <f>CONCATENATE(A1654, " ",#REF!, " / ",H1654)</f>
        <v/>
      </c>
      <c r="H1654" s="118" t="n"/>
      <c r="I1654" s="119">
        <f>CONCATENATE(M1654," - ",J1654," - Lotto N° ",K1654,"")</f>
        <v/>
      </c>
      <c r="J1654" s="118" t="n"/>
      <c r="K1654" s="118">
        <f>VLOOKUP(#REF!,Produzione,7,FALSE)</f>
        <v/>
      </c>
      <c r="L1654" s="120" t="n"/>
      <c r="M1654" s="120" t="n"/>
      <c r="N1654" s="118" t="n"/>
      <c r="O1654" s="121" t="n"/>
      <c r="P1654" s="121" t="n"/>
      <c r="Q1654" s="166">
        <f>TODAY()</f>
        <v/>
      </c>
      <c r="R1654" s="165">
        <f>ElencoProdotti[[#This Row],[PRODUZIONE]]+20</f>
        <v/>
      </c>
      <c r="S1654" s="165">
        <f>TODAY()</f>
        <v/>
      </c>
      <c r="T1654" s="133">
        <f>CONCATENATE(A1654," - contiene allergni - prodotto il giorno ",TEXT(Q1654,"gg/mm/aaaa"),"")</f>
        <v/>
      </c>
    </row>
    <row r="1655" ht="15" customHeight="1" s="155">
      <c r="A1655" s="134">
        <f>ric!B1655</f>
        <v/>
      </c>
      <c r="B1655" s="118">
        <f>ric!C1655</f>
        <v/>
      </c>
      <c r="C1655" s="125">
        <f>ric!D1655</f>
        <v/>
      </c>
      <c r="D1655" s="125" t="n"/>
      <c r="E1655" s="125" t="n"/>
      <c r="F1655" s="125" t="n"/>
      <c r="G1655" s="118">
        <f>CONCATENATE(A1655, " ",#REF!, " / ",H1655)</f>
        <v/>
      </c>
      <c r="H1655" s="118" t="n"/>
      <c r="I1655" s="119">
        <f>CONCATENATE(M1655," - ",J1655," - Lotto N° ",K1655,"")</f>
        <v/>
      </c>
      <c r="J1655" s="118" t="n"/>
      <c r="K1655" s="118">
        <f>VLOOKUP(#REF!,Produzione,7,FALSE)</f>
        <v/>
      </c>
      <c r="L1655" s="120" t="n"/>
      <c r="M1655" s="120" t="n"/>
      <c r="N1655" s="118" t="n"/>
      <c r="O1655" s="121" t="n"/>
      <c r="P1655" s="121" t="n"/>
      <c r="Q1655" s="166">
        <f>TODAY()</f>
        <v/>
      </c>
      <c r="R1655" s="165">
        <f>ElencoProdotti[[#This Row],[PRODUZIONE]]+20</f>
        <v/>
      </c>
      <c r="S1655" s="165">
        <f>TODAY()</f>
        <v/>
      </c>
      <c r="T1655" s="133">
        <f>CONCATENATE(A1655," - contiene allergni - prodotto il giorno ",TEXT(Q1655,"gg/mm/aaaa"),"")</f>
        <v/>
      </c>
    </row>
    <row r="1656" ht="15" customHeight="1" s="155">
      <c r="A1656" s="134">
        <f>ric!B1656</f>
        <v/>
      </c>
      <c r="B1656" s="118">
        <f>ric!C1656</f>
        <v/>
      </c>
      <c r="C1656" s="125">
        <f>ric!D1656</f>
        <v/>
      </c>
      <c r="D1656" s="125" t="n"/>
      <c r="E1656" s="125" t="n"/>
      <c r="F1656" s="125" t="n"/>
      <c r="G1656" s="118">
        <f>CONCATENATE(A1656, " ",#REF!, " / ",H1656)</f>
        <v/>
      </c>
      <c r="H1656" s="118" t="n"/>
      <c r="I1656" s="119">
        <f>CONCATENATE(M1656," - ",J1656," - Lotto N° ",K1656,"")</f>
        <v/>
      </c>
      <c r="J1656" s="118" t="n"/>
      <c r="K1656" s="118">
        <f>VLOOKUP(#REF!,Produzione,7,FALSE)</f>
        <v/>
      </c>
      <c r="L1656" s="120" t="n"/>
      <c r="M1656" s="120" t="n"/>
      <c r="N1656" s="118" t="n"/>
      <c r="O1656" s="121" t="n"/>
      <c r="P1656" s="121" t="n"/>
      <c r="Q1656" s="166">
        <f>TODAY()</f>
        <v/>
      </c>
      <c r="R1656" s="165">
        <f>ElencoProdotti[[#This Row],[PRODUZIONE]]+20</f>
        <v/>
      </c>
      <c r="S1656" s="165">
        <f>TODAY()</f>
        <v/>
      </c>
      <c r="T1656" s="133">
        <f>CONCATENATE(A1656," - contiene allergni - prodotto il giorno ",TEXT(Q1656,"gg/mm/aaaa"),"")</f>
        <v/>
      </c>
    </row>
    <row r="1657" ht="15" customHeight="1" s="155">
      <c r="A1657" s="134">
        <f>ric!B1657</f>
        <v/>
      </c>
      <c r="B1657" s="118">
        <f>ric!C1657</f>
        <v/>
      </c>
      <c r="C1657" s="125">
        <f>ric!D1657</f>
        <v/>
      </c>
      <c r="D1657" s="125" t="n"/>
      <c r="E1657" s="125" t="n"/>
      <c r="F1657" s="125" t="n"/>
      <c r="G1657" s="118">
        <f>CONCATENATE(A1657, " ",#REF!, " / ",H1657)</f>
        <v/>
      </c>
      <c r="H1657" s="118" t="n"/>
      <c r="I1657" s="119">
        <f>CONCATENATE(M1657," - ",J1657," - Lotto N° ",K1657,"")</f>
        <v/>
      </c>
      <c r="J1657" s="118" t="n"/>
      <c r="K1657" s="118">
        <f>VLOOKUP(#REF!,Produzione,7,FALSE)</f>
        <v/>
      </c>
      <c r="L1657" s="120" t="n"/>
      <c r="M1657" s="120" t="n"/>
      <c r="N1657" s="118" t="n"/>
      <c r="O1657" s="121" t="n"/>
      <c r="P1657" s="121" t="n"/>
      <c r="Q1657" s="166">
        <f>TODAY()</f>
        <v/>
      </c>
      <c r="R1657" s="165">
        <f>ElencoProdotti[[#This Row],[PRODUZIONE]]+20</f>
        <v/>
      </c>
      <c r="S1657" s="165">
        <f>TODAY()</f>
        <v/>
      </c>
      <c r="T1657" s="133">
        <f>CONCATENATE(A1657," - contiene allergni - prodotto il giorno ",TEXT(Q1657,"gg/mm/aaaa"),"")</f>
        <v/>
      </c>
    </row>
    <row r="1658" ht="15" customHeight="1" s="155">
      <c r="A1658" s="134">
        <f>ric!B1658</f>
        <v/>
      </c>
      <c r="B1658" s="118">
        <f>ric!C1658</f>
        <v/>
      </c>
      <c r="C1658" s="125">
        <f>ric!D1658</f>
        <v/>
      </c>
      <c r="D1658" s="125" t="n"/>
      <c r="E1658" s="125" t="n"/>
      <c r="F1658" s="125" t="n"/>
      <c r="G1658" s="118">
        <f>CONCATENATE(A1658, " ",#REF!, " / ",H1658)</f>
        <v/>
      </c>
      <c r="H1658" s="118" t="n"/>
      <c r="I1658" s="119">
        <f>CONCATENATE(M1658," - ",J1658," - Lotto N° ",K1658,"")</f>
        <v/>
      </c>
      <c r="J1658" s="118" t="n"/>
      <c r="K1658" s="118">
        <f>VLOOKUP(#REF!,Produzione,7,FALSE)</f>
        <v/>
      </c>
      <c r="L1658" s="120" t="n"/>
      <c r="M1658" s="120" t="n"/>
      <c r="N1658" s="118" t="n"/>
      <c r="O1658" s="121" t="n"/>
      <c r="P1658" s="121" t="n"/>
      <c r="Q1658" s="166">
        <f>TODAY()</f>
        <v/>
      </c>
      <c r="R1658" s="165">
        <f>ElencoProdotti[[#This Row],[PRODUZIONE]]+20</f>
        <v/>
      </c>
      <c r="S1658" s="165">
        <f>TODAY()</f>
        <v/>
      </c>
      <c r="T1658" s="133">
        <f>CONCATENATE(A1658," - contiene allergni - prodotto il giorno ",TEXT(Q1658,"gg/mm/aaaa"),"")</f>
        <v/>
      </c>
    </row>
    <row r="1659" ht="15" customHeight="1" s="155">
      <c r="A1659" s="134">
        <f>ric!B1659</f>
        <v/>
      </c>
      <c r="B1659" s="118">
        <f>ric!C1659</f>
        <v/>
      </c>
      <c r="C1659" s="125">
        <f>ric!D1659</f>
        <v/>
      </c>
      <c r="D1659" s="125" t="n"/>
      <c r="E1659" s="125" t="n"/>
      <c r="F1659" s="125" t="n"/>
      <c r="G1659" s="118">
        <f>CONCATENATE(A1659, " ",#REF!, " / ",H1659)</f>
        <v/>
      </c>
      <c r="H1659" s="118" t="n"/>
      <c r="I1659" s="119">
        <f>CONCATENATE(M1659," - ",J1659," - Lotto N° ",K1659,"")</f>
        <v/>
      </c>
      <c r="J1659" s="118" t="n"/>
      <c r="K1659" s="118">
        <f>VLOOKUP(#REF!,Produzione,7,FALSE)</f>
        <v/>
      </c>
      <c r="L1659" s="120" t="n"/>
      <c r="M1659" s="120" t="n"/>
      <c r="N1659" s="118" t="n"/>
      <c r="O1659" s="121" t="n"/>
      <c r="P1659" s="121" t="n"/>
      <c r="Q1659" s="166">
        <f>TODAY()</f>
        <v/>
      </c>
      <c r="R1659" s="165">
        <f>ElencoProdotti[[#This Row],[PRODUZIONE]]+20</f>
        <v/>
      </c>
      <c r="S1659" s="165">
        <f>TODAY()</f>
        <v/>
      </c>
      <c r="T1659" s="133">
        <f>CONCATENATE(A1659," - contiene allergni - prodotto il giorno ",TEXT(Q1659,"gg/mm/aaaa"),"")</f>
        <v/>
      </c>
    </row>
    <row r="1660" ht="15" customHeight="1" s="155">
      <c r="A1660" s="134">
        <f>ric!B1660</f>
        <v/>
      </c>
      <c r="B1660" s="118">
        <f>ric!C1660</f>
        <v/>
      </c>
      <c r="C1660" s="125">
        <f>ric!D1660</f>
        <v/>
      </c>
      <c r="D1660" s="125" t="n"/>
      <c r="E1660" s="125" t="n"/>
      <c r="F1660" s="125" t="n"/>
      <c r="G1660" s="118">
        <f>CONCATENATE(A1660, " ",#REF!, " / ",H1660)</f>
        <v/>
      </c>
      <c r="H1660" s="118" t="n"/>
      <c r="I1660" s="119">
        <f>CONCATENATE(M1660," - ",J1660," - Lotto N° ",K1660,"")</f>
        <v/>
      </c>
      <c r="J1660" s="118" t="n"/>
      <c r="K1660" s="118">
        <f>VLOOKUP(#REF!,Produzione,7,FALSE)</f>
        <v/>
      </c>
      <c r="L1660" s="120" t="n"/>
      <c r="M1660" s="120" t="n"/>
      <c r="N1660" s="118" t="n"/>
      <c r="O1660" s="121" t="n"/>
      <c r="P1660" s="121" t="n"/>
      <c r="Q1660" s="166">
        <f>TODAY()</f>
        <v/>
      </c>
      <c r="R1660" s="165">
        <f>ElencoProdotti[[#This Row],[PRODUZIONE]]+20</f>
        <v/>
      </c>
      <c r="S1660" s="165">
        <f>TODAY()</f>
        <v/>
      </c>
      <c r="T1660" s="133">
        <f>CONCATENATE(A1660," - contiene allergni - prodotto il giorno ",TEXT(Q1660,"gg/mm/aaaa"),"")</f>
        <v/>
      </c>
    </row>
    <row r="1661" ht="15" customHeight="1" s="155">
      <c r="A1661" s="134">
        <f>ric!B1661</f>
        <v/>
      </c>
      <c r="B1661" s="118">
        <f>ric!C1661</f>
        <v/>
      </c>
      <c r="C1661" s="125">
        <f>ric!D1661</f>
        <v/>
      </c>
      <c r="D1661" s="125" t="n"/>
      <c r="E1661" s="125" t="n"/>
      <c r="F1661" s="125" t="n"/>
      <c r="G1661" s="118">
        <f>CONCATENATE(A1661, " ",#REF!, " / ",H1661)</f>
        <v/>
      </c>
      <c r="H1661" s="118" t="n"/>
      <c r="I1661" s="119">
        <f>CONCATENATE(M1661," - ",J1661," - Lotto N° ",K1661,"")</f>
        <v/>
      </c>
      <c r="J1661" s="118" t="n"/>
      <c r="K1661" s="118">
        <f>VLOOKUP(#REF!,Produzione,7,FALSE)</f>
        <v/>
      </c>
      <c r="L1661" s="120" t="n"/>
      <c r="M1661" s="120" t="n"/>
      <c r="N1661" s="118" t="n"/>
      <c r="O1661" s="121" t="n"/>
      <c r="P1661" s="121" t="n"/>
      <c r="Q1661" s="166">
        <f>TODAY()</f>
        <v/>
      </c>
      <c r="R1661" s="165">
        <f>ElencoProdotti[[#This Row],[PRODUZIONE]]+20</f>
        <v/>
      </c>
      <c r="S1661" s="165">
        <f>TODAY()</f>
        <v/>
      </c>
      <c r="T1661" s="133">
        <f>CONCATENATE(A1661," - contiene allergni - prodotto il giorno ",TEXT(Q1661,"gg/mm/aaaa"),"")</f>
        <v/>
      </c>
    </row>
    <row r="1662" ht="15" customHeight="1" s="155">
      <c r="A1662" s="134">
        <f>ric!B1662</f>
        <v/>
      </c>
      <c r="B1662" s="118">
        <f>ric!C1662</f>
        <v/>
      </c>
      <c r="C1662" s="125">
        <f>ric!D1662</f>
        <v/>
      </c>
      <c r="D1662" s="125" t="n"/>
      <c r="E1662" s="125" t="n"/>
      <c r="F1662" s="125" t="n"/>
      <c r="G1662" s="118">
        <f>CONCATENATE(A1662, " ",#REF!, " / ",H1662)</f>
        <v/>
      </c>
      <c r="H1662" s="118" t="n"/>
      <c r="I1662" s="119">
        <f>CONCATENATE(M1662," - ",J1662," - Lotto N° ",K1662,"")</f>
        <v/>
      </c>
      <c r="J1662" s="118" t="n"/>
      <c r="K1662" s="118">
        <f>VLOOKUP(#REF!,Produzione,7,FALSE)</f>
        <v/>
      </c>
      <c r="L1662" s="120" t="n"/>
      <c r="M1662" s="120" t="n"/>
      <c r="N1662" s="118" t="n"/>
      <c r="O1662" s="121" t="n"/>
      <c r="P1662" s="121" t="n"/>
      <c r="Q1662" s="166">
        <f>TODAY()</f>
        <v/>
      </c>
      <c r="R1662" s="165">
        <f>ElencoProdotti[[#This Row],[PRODUZIONE]]+20</f>
        <v/>
      </c>
      <c r="S1662" s="165">
        <f>TODAY()</f>
        <v/>
      </c>
      <c r="T1662" s="133">
        <f>CONCATENATE(A1662," - contiene allergni - prodotto il giorno ",TEXT(Q1662,"gg/mm/aaaa"),"")</f>
        <v/>
      </c>
    </row>
    <row r="1663" ht="15" customHeight="1" s="155">
      <c r="A1663" s="134">
        <f>ric!B1663</f>
        <v/>
      </c>
      <c r="B1663" s="118">
        <f>ric!C1663</f>
        <v/>
      </c>
      <c r="C1663" s="125">
        <f>ric!D1663</f>
        <v/>
      </c>
      <c r="D1663" s="125" t="n"/>
      <c r="E1663" s="125" t="n"/>
      <c r="F1663" s="125" t="n"/>
      <c r="G1663" s="118">
        <f>CONCATENATE(A1663, " ",#REF!, " / ",H1663)</f>
        <v/>
      </c>
      <c r="H1663" s="118" t="n"/>
      <c r="I1663" s="119">
        <f>CONCATENATE(M1663," - ",J1663," - Lotto N° ",K1663,"")</f>
        <v/>
      </c>
      <c r="J1663" s="118" t="n"/>
      <c r="K1663" s="118">
        <f>VLOOKUP(#REF!,Produzione,7,FALSE)</f>
        <v/>
      </c>
      <c r="L1663" s="120" t="n"/>
      <c r="M1663" s="120" t="n"/>
      <c r="N1663" s="118" t="n"/>
      <c r="O1663" s="121" t="n"/>
      <c r="P1663" s="121" t="n"/>
      <c r="Q1663" s="166">
        <f>TODAY()</f>
        <v/>
      </c>
      <c r="R1663" s="165">
        <f>ElencoProdotti[[#This Row],[PRODUZIONE]]+20</f>
        <v/>
      </c>
      <c r="S1663" s="165">
        <f>TODAY()</f>
        <v/>
      </c>
      <c r="T1663" s="133">
        <f>CONCATENATE(A1663," - contiene allergni - prodotto il giorno ",TEXT(Q1663,"gg/mm/aaaa"),"")</f>
        <v/>
      </c>
    </row>
    <row r="1664" ht="15" customHeight="1" s="155">
      <c r="A1664" s="134">
        <f>ric!B1664</f>
        <v/>
      </c>
      <c r="B1664" s="118">
        <f>ric!C1664</f>
        <v/>
      </c>
      <c r="C1664" s="125">
        <f>ric!D1664</f>
        <v/>
      </c>
      <c r="D1664" s="125" t="n"/>
      <c r="E1664" s="125" t="n"/>
      <c r="F1664" s="125" t="n"/>
      <c r="G1664" s="118">
        <f>CONCATENATE(A1664, " ",#REF!, " / ",H1664)</f>
        <v/>
      </c>
      <c r="H1664" s="118" t="n"/>
      <c r="I1664" s="119">
        <f>CONCATENATE(M1664," - ",J1664," - Lotto N° ",K1664,"")</f>
        <v/>
      </c>
      <c r="J1664" s="118" t="n"/>
      <c r="K1664" s="118">
        <f>VLOOKUP(#REF!,Produzione,7,FALSE)</f>
        <v/>
      </c>
      <c r="L1664" s="120" t="n"/>
      <c r="M1664" s="120" t="n"/>
      <c r="N1664" s="118" t="n"/>
      <c r="O1664" s="121" t="n"/>
      <c r="P1664" s="121" t="n"/>
      <c r="Q1664" s="166">
        <f>TODAY()</f>
        <v/>
      </c>
      <c r="R1664" s="165">
        <f>ElencoProdotti[[#This Row],[PRODUZIONE]]+20</f>
        <v/>
      </c>
      <c r="S1664" s="165">
        <f>TODAY()</f>
        <v/>
      </c>
      <c r="T1664" s="133">
        <f>CONCATENATE(A1664," - contiene allergni - prodotto il giorno ",TEXT(Q1664,"gg/mm/aaaa"),"")</f>
        <v/>
      </c>
    </row>
    <row r="1665" ht="15" customHeight="1" s="155">
      <c r="A1665" s="134">
        <f>ric!B1665</f>
        <v/>
      </c>
      <c r="B1665" s="118">
        <f>ric!C1665</f>
        <v/>
      </c>
      <c r="C1665" s="125">
        <f>ric!D1665</f>
        <v/>
      </c>
      <c r="D1665" s="125" t="n"/>
      <c r="E1665" s="125" t="n"/>
      <c r="F1665" s="125" t="n"/>
      <c r="G1665" s="118">
        <f>CONCATENATE(A1665, " ",#REF!, " / ",H1665)</f>
        <v/>
      </c>
      <c r="H1665" s="118" t="n"/>
      <c r="I1665" s="119">
        <f>CONCATENATE(M1665," - ",J1665," - Lotto N° ",K1665,"")</f>
        <v/>
      </c>
      <c r="J1665" s="118" t="n"/>
      <c r="K1665" s="118">
        <f>VLOOKUP(#REF!,Produzione,7,FALSE)</f>
        <v/>
      </c>
      <c r="L1665" s="120" t="n"/>
      <c r="M1665" s="120" t="n"/>
      <c r="N1665" s="118" t="n"/>
      <c r="O1665" s="121" t="n"/>
      <c r="P1665" s="121" t="n"/>
      <c r="Q1665" s="166">
        <f>TODAY()</f>
        <v/>
      </c>
      <c r="R1665" s="165">
        <f>ElencoProdotti[[#This Row],[PRODUZIONE]]+20</f>
        <v/>
      </c>
      <c r="S1665" s="165">
        <f>TODAY()</f>
        <v/>
      </c>
      <c r="T1665" s="133">
        <f>CONCATENATE(A1665," - contiene allergni - prodotto il giorno ",TEXT(Q1665,"gg/mm/aaaa"),"")</f>
        <v/>
      </c>
    </row>
    <row r="1666" ht="15" customHeight="1" s="155">
      <c r="A1666" s="134">
        <f>ric!B1666</f>
        <v/>
      </c>
      <c r="B1666" s="118">
        <f>ric!C1666</f>
        <v/>
      </c>
      <c r="C1666" s="125">
        <f>ric!D1666</f>
        <v/>
      </c>
      <c r="D1666" s="125" t="n"/>
      <c r="E1666" s="125" t="n"/>
      <c r="F1666" s="125" t="n"/>
      <c r="G1666" s="118">
        <f>CONCATENATE(A1666, " ",#REF!, " / ",H1666)</f>
        <v/>
      </c>
      <c r="H1666" s="118" t="n"/>
      <c r="I1666" s="119">
        <f>CONCATENATE(M1666," - ",J1666," - Lotto N° ",K1666,"")</f>
        <v/>
      </c>
      <c r="J1666" s="118" t="n"/>
      <c r="K1666" s="118">
        <f>VLOOKUP(#REF!,Produzione,7,FALSE)</f>
        <v/>
      </c>
      <c r="L1666" s="120" t="n"/>
      <c r="M1666" s="120" t="n"/>
      <c r="N1666" s="118" t="n"/>
      <c r="O1666" s="121" t="n"/>
      <c r="P1666" s="121" t="n"/>
      <c r="Q1666" s="166">
        <f>TODAY()</f>
        <v/>
      </c>
      <c r="R1666" s="165">
        <f>ElencoProdotti[[#This Row],[PRODUZIONE]]+20</f>
        <v/>
      </c>
      <c r="S1666" s="165">
        <f>TODAY()</f>
        <v/>
      </c>
      <c r="T1666" s="133">
        <f>CONCATENATE(A1666," - contiene allergni - prodotto il giorno ",TEXT(Q1666,"gg/mm/aaaa"),"")</f>
        <v/>
      </c>
    </row>
    <row r="1667" ht="15" customHeight="1" s="155">
      <c r="A1667" s="134">
        <f>ric!B1667</f>
        <v/>
      </c>
      <c r="B1667" s="118">
        <f>ric!C1667</f>
        <v/>
      </c>
      <c r="C1667" s="125">
        <f>ric!D1667</f>
        <v/>
      </c>
      <c r="D1667" s="125" t="n"/>
      <c r="E1667" s="125" t="n"/>
      <c r="F1667" s="125" t="n"/>
      <c r="G1667" s="118">
        <f>CONCATENATE(A1667, " ",#REF!, " / ",H1667)</f>
        <v/>
      </c>
      <c r="H1667" s="118" t="n"/>
      <c r="I1667" s="119">
        <f>CONCATENATE(M1667," - ",J1667," - Lotto N° ",K1667,"")</f>
        <v/>
      </c>
      <c r="J1667" s="118" t="n"/>
      <c r="K1667" s="118">
        <f>VLOOKUP(#REF!,Produzione,7,FALSE)</f>
        <v/>
      </c>
      <c r="L1667" s="120" t="n"/>
      <c r="M1667" s="120" t="n"/>
      <c r="N1667" s="118" t="n"/>
      <c r="O1667" s="121" t="n"/>
      <c r="P1667" s="121" t="n"/>
      <c r="Q1667" s="166">
        <f>TODAY()</f>
        <v/>
      </c>
      <c r="R1667" s="165">
        <f>ElencoProdotti[[#This Row],[PRODUZIONE]]+20</f>
        <v/>
      </c>
      <c r="S1667" s="165">
        <f>TODAY()</f>
        <v/>
      </c>
      <c r="T1667" s="133">
        <f>CONCATENATE(A1667," - contiene allergni - prodotto il giorno ",TEXT(Q1667,"gg/mm/aaaa"),"")</f>
        <v/>
      </c>
    </row>
    <row r="1668" ht="15" customHeight="1" s="155">
      <c r="A1668" s="134">
        <f>ric!B1668</f>
        <v/>
      </c>
      <c r="B1668" s="118">
        <f>ric!C1668</f>
        <v/>
      </c>
      <c r="C1668" s="125">
        <f>ric!D1668</f>
        <v/>
      </c>
      <c r="D1668" s="125" t="n"/>
      <c r="E1668" s="125" t="n"/>
      <c r="F1668" s="125" t="n"/>
      <c r="G1668" s="118">
        <f>CONCATENATE(A1668, " ",#REF!, " / ",H1668)</f>
        <v/>
      </c>
      <c r="H1668" s="118" t="n"/>
      <c r="I1668" s="119">
        <f>CONCATENATE(M1668," - ",J1668," - Lotto N° ",K1668,"")</f>
        <v/>
      </c>
      <c r="J1668" s="118" t="n"/>
      <c r="K1668" s="118">
        <f>VLOOKUP(#REF!,Produzione,7,FALSE)</f>
        <v/>
      </c>
      <c r="L1668" s="120" t="n"/>
      <c r="M1668" s="120" t="n"/>
      <c r="N1668" s="118" t="n"/>
      <c r="O1668" s="121" t="n"/>
      <c r="P1668" s="121" t="n"/>
      <c r="Q1668" s="166">
        <f>TODAY()</f>
        <v/>
      </c>
      <c r="R1668" s="165">
        <f>ElencoProdotti[[#This Row],[PRODUZIONE]]+20</f>
        <v/>
      </c>
      <c r="S1668" s="165">
        <f>TODAY()</f>
        <v/>
      </c>
      <c r="T1668" s="133">
        <f>CONCATENATE(A1668," - contiene allergni - prodotto il giorno ",TEXT(Q1668,"gg/mm/aaaa"),"")</f>
        <v/>
      </c>
    </row>
    <row r="1669" ht="15" customHeight="1" s="155">
      <c r="A1669" s="134">
        <f>ric!B1669</f>
        <v/>
      </c>
      <c r="B1669" s="118">
        <f>ric!C1669</f>
        <v/>
      </c>
      <c r="C1669" s="125">
        <f>ric!D1669</f>
        <v/>
      </c>
      <c r="D1669" s="125" t="n"/>
      <c r="E1669" s="125" t="n"/>
      <c r="F1669" s="125" t="n"/>
      <c r="G1669" s="118">
        <f>CONCATENATE(A1669, " ",#REF!, " / ",H1669)</f>
        <v/>
      </c>
      <c r="H1669" s="118" t="n"/>
      <c r="I1669" s="119">
        <f>CONCATENATE(M1669," - ",J1669," - Lotto N° ",K1669,"")</f>
        <v/>
      </c>
      <c r="J1669" s="118" t="n"/>
      <c r="K1669" s="118">
        <f>VLOOKUP(#REF!,Produzione,7,FALSE)</f>
        <v/>
      </c>
      <c r="L1669" s="120" t="n"/>
      <c r="M1669" s="120" t="n"/>
      <c r="N1669" s="118" t="n"/>
      <c r="O1669" s="121" t="n"/>
      <c r="P1669" s="121" t="n"/>
      <c r="Q1669" s="166">
        <f>TODAY()</f>
        <v/>
      </c>
      <c r="R1669" s="165">
        <f>ElencoProdotti[[#This Row],[PRODUZIONE]]+20</f>
        <v/>
      </c>
      <c r="S1669" s="165">
        <f>TODAY()</f>
        <v/>
      </c>
      <c r="T1669" s="133">
        <f>CONCATENATE(A1669," - contiene allergni - prodotto il giorno ",TEXT(Q1669,"gg/mm/aaaa"),"")</f>
        <v/>
      </c>
    </row>
    <row r="1670" ht="15" customHeight="1" s="155">
      <c r="A1670" s="134">
        <f>ric!B1670</f>
        <v/>
      </c>
      <c r="B1670" s="118">
        <f>ric!C1670</f>
        <v/>
      </c>
      <c r="C1670" s="125">
        <f>ric!D1670</f>
        <v/>
      </c>
      <c r="D1670" s="125" t="n"/>
      <c r="E1670" s="125" t="n"/>
      <c r="F1670" s="125" t="n"/>
      <c r="G1670" s="118">
        <f>CONCATENATE(A1670, " ",#REF!, " / ",H1670)</f>
        <v/>
      </c>
      <c r="H1670" s="118" t="n"/>
      <c r="I1670" s="119">
        <f>CONCATENATE(M1670," - ",J1670," - Lotto N° ",K1670,"")</f>
        <v/>
      </c>
      <c r="J1670" s="118" t="n"/>
      <c r="K1670" s="118">
        <f>VLOOKUP(#REF!,Produzione,7,FALSE)</f>
        <v/>
      </c>
      <c r="L1670" s="120" t="n"/>
      <c r="M1670" s="120" t="n"/>
      <c r="N1670" s="118" t="n"/>
      <c r="O1670" s="121" t="n"/>
      <c r="P1670" s="121" t="n"/>
      <c r="Q1670" s="166">
        <f>TODAY()</f>
        <v/>
      </c>
      <c r="R1670" s="165">
        <f>ElencoProdotti[[#This Row],[PRODUZIONE]]+20</f>
        <v/>
      </c>
      <c r="S1670" s="165">
        <f>TODAY()</f>
        <v/>
      </c>
      <c r="T1670" s="133">
        <f>CONCATENATE(A1670," - contiene allergni - prodotto il giorno ",TEXT(Q1670,"gg/mm/aaaa"),"")</f>
        <v/>
      </c>
    </row>
    <row r="1671" ht="15" customHeight="1" s="155">
      <c r="A1671" s="134">
        <f>ric!B1671</f>
        <v/>
      </c>
      <c r="B1671" s="118">
        <f>ric!C1671</f>
        <v/>
      </c>
      <c r="C1671" s="125">
        <f>ric!D1671</f>
        <v/>
      </c>
      <c r="D1671" s="125" t="n"/>
      <c r="E1671" s="125" t="n"/>
      <c r="F1671" s="125" t="n"/>
      <c r="G1671" s="118">
        <f>CONCATENATE(A1671, " ",#REF!, " / ",H1671)</f>
        <v/>
      </c>
      <c r="H1671" s="118" t="n"/>
      <c r="I1671" s="119">
        <f>CONCATENATE(M1671," - ",J1671," - Lotto N° ",K1671,"")</f>
        <v/>
      </c>
      <c r="J1671" s="118" t="n"/>
      <c r="K1671" s="118">
        <f>VLOOKUP(#REF!,Produzione,7,FALSE)</f>
        <v/>
      </c>
      <c r="L1671" s="120" t="n"/>
      <c r="M1671" s="120" t="n"/>
      <c r="N1671" s="118" t="n"/>
      <c r="O1671" s="121" t="n"/>
      <c r="P1671" s="121" t="n"/>
      <c r="Q1671" s="166">
        <f>TODAY()</f>
        <v/>
      </c>
      <c r="R1671" s="165">
        <f>ElencoProdotti[[#This Row],[PRODUZIONE]]+20</f>
        <v/>
      </c>
      <c r="S1671" s="165">
        <f>TODAY()</f>
        <v/>
      </c>
      <c r="T1671" s="133">
        <f>CONCATENATE(A1671," - contiene allergni - prodotto il giorno ",TEXT(Q1671,"gg/mm/aaaa"),"")</f>
        <v/>
      </c>
    </row>
    <row r="1672" ht="15" customHeight="1" s="155">
      <c r="A1672" s="134">
        <f>ric!B1672</f>
        <v/>
      </c>
      <c r="B1672" s="118">
        <f>ric!C1672</f>
        <v/>
      </c>
      <c r="C1672" s="125">
        <f>ric!D1672</f>
        <v/>
      </c>
      <c r="D1672" s="125" t="n"/>
      <c r="E1672" s="125" t="n"/>
      <c r="F1672" s="125" t="n"/>
      <c r="G1672" s="118">
        <f>CONCATENATE(A1672, " ",#REF!, " / ",H1672)</f>
        <v/>
      </c>
      <c r="H1672" s="118" t="n"/>
      <c r="I1672" s="119">
        <f>CONCATENATE(M1672," - ",J1672," - Lotto N° ",K1672,"")</f>
        <v/>
      </c>
      <c r="J1672" s="118" t="n"/>
      <c r="K1672" s="118">
        <f>VLOOKUP(#REF!,Produzione,7,FALSE)</f>
        <v/>
      </c>
      <c r="L1672" s="120" t="n"/>
      <c r="M1672" s="120" t="n"/>
      <c r="N1672" s="118" t="n"/>
      <c r="O1672" s="121" t="n"/>
      <c r="P1672" s="121" t="n"/>
      <c r="Q1672" s="166">
        <f>TODAY()</f>
        <v/>
      </c>
      <c r="R1672" s="165">
        <f>ElencoProdotti[[#This Row],[PRODUZIONE]]+20</f>
        <v/>
      </c>
      <c r="S1672" s="165">
        <f>TODAY()</f>
        <v/>
      </c>
      <c r="T1672" s="133">
        <f>CONCATENATE(A1672," - contiene allergni - prodotto il giorno ",TEXT(Q1672,"gg/mm/aaaa"),"")</f>
        <v/>
      </c>
    </row>
    <row r="1673" ht="15" customHeight="1" s="155">
      <c r="A1673" s="134">
        <f>ric!B1673</f>
        <v/>
      </c>
      <c r="B1673" s="118">
        <f>ric!C1673</f>
        <v/>
      </c>
      <c r="C1673" s="125">
        <f>ric!D1673</f>
        <v/>
      </c>
      <c r="D1673" s="125" t="n"/>
      <c r="E1673" s="125" t="n"/>
      <c r="F1673" s="125" t="n"/>
      <c r="G1673" s="118">
        <f>CONCATENATE(A1673, " ",#REF!, " / ",H1673)</f>
        <v/>
      </c>
      <c r="H1673" s="118" t="n"/>
      <c r="I1673" s="119">
        <f>CONCATENATE(M1673," - ",J1673," - Lotto N° ",K1673,"")</f>
        <v/>
      </c>
      <c r="J1673" s="118" t="n"/>
      <c r="K1673" s="118">
        <f>VLOOKUP(#REF!,Produzione,7,FALSE)</f>
        <v/>
      </c>
      <c r="L1673" s="120" t="n"/>
      <c r="M1673" s="120" t="n"/>
      <c r="N1673" s="118" t="n"/>
      <c r="O1673" s="121" t="n"/>
      <c r="P1673" s="121" t="n"/>
      <c r="Q1673" s="166">
        <f>TODAY()</f>
        <v/>
      </c>
      <c r="R1673" s="165">
        <f>ElencoProdotti[[#This Row],[PRODUZIONE]]+20</f>
        <v/>
      </c>
      <c r="S1673" s="165">
        <f>TODAY()</f>
        <v/>
      </c>
      <c r="T1673" s="133">
        <f>CONCATENATE(A1673," - contiene allergni - prodotto il giorno ",TEXT(Q1673,"gg/mm/aaaa"),"")</f>
        <v/>
      </c>
    </row>
    <row r="1674" ht="15" customHeight="1" s="155">
      <c r="A1674" s="134">
        <f>ric!B1674</f>
        <v/>
      </c>
      <c r="B1674" s="118">
        <f>ric!C1674</f>
        <v/>
      </c>
      <c r="C1674" s="125">
        <f>ric!D1674</f>
        <v/>
      </c>
      <c r="D1674" s="125" t="n"/>
      <c r="E1674" s="125" t="n"/>
      <c r="F1674" s="125" t="n"/>
      <c r="G1674" s="118">
        <f>CONCATENATE(A1674, " ",#REF!, " / ",H1674)</f>
        <v/>
      </c>
      <c r="H1674" s="118" t="n"/>
      <c r="I1674" s="119">
        <f>CONCATENATE(M1674," - ",J1674," - Lotto N° ",K1674,"")</f>
        <v/>
      </c>
      <c r="J1674" s="118" t="n"/>
      <c r="K1674" s="118">
        <f>VLOOKUP(#REF!,Produzione,7,FALSE)</f>
        <v/>
      </c>
      <c r="L1674" s="120" t="n"/>
      <c r="M1674" s="120" t="n"/>
      <c r="N1674" s="118" t="n"/>
      <c r="O1674" s="121" t="n"/>
      <c r="P1674" s="121" t="n"/>
      <c r="Q1674" s="166">
        <f>TODAY()</f>
        <v/>
      </c>
      <c r="R1674" s="165">
        <f>ElencoProdotti[[#This Row],[PRODUZIONE]]+20</f>
        <v/>
      </c>
      <c r="S1674" s="165">
        <f>TODAY()</f>
        <v/>
      </c>
      <c r="T1674" s="133">
        <f>CONCATENATE(A1674," - contiene allergni - prodotto il giorno ",TEXT(Q1674,"gg/mm/aaaa"),"")</f>
        <v/>
      </c>
    </row>
    <row r="1675" ht="15" customHeight="1" s="155">
      <c r="A1675" s="134">
        <f>ric!B1675</f>
        <v/>
      </c>
      <c r="B1675" s="118">
        <f>ric!C1675</f>
        <v/>
      </c>
      <c r="C1675" s="125">
        <f>ric!D1675</f>
        <v/>
      </c>
      <c r="D1675" s="125" t="n"/>
      <c r="E1675" s="125" t="n"/>
      <c r="F1675" s="125" t="n"/>
      <c r="G1675" s="118">
        <f>CONCATENATE(A1675, " ",#REF!, " / ",H1675)</f>
        <v/>
      </c>
      <c r="H1675" s="118" t="n"/>
      <c r="I1675" s="119">
        <f>CONCATENATE(M1675," - ",J1675," - Lotto N° ",K1675,"")</f>
        <v/>
      </c>
      <c r="J1675" s="118" t="n"/>
      <c r="K1675" s="118">
        <f>VLOOKUP(#REF!,Produzione,7,FALSE)</f>
        <v/>
      </c>
      <c r="L1675" s="120" t="n"/>
      <c r="M1675" s="120" t="n"/>
      <c r="N1675" s="118" t="n"/>
      <c r="O1675" s="121" t="n"/>
      <c r="P1675" s="121" t="n"/>
      <c r="Q1675" s="166">
        <f>TODAY()</f>
        <v/>
      </c>
      <c r="R1675" s="165">
        <f>ElencoProdotti[[#This Row],[PRODUZIONE]]+20</f>
        <v/>
      </c>
      <c r="S1675" s="165">
        <f>TODAY()</f>
        <v/>
      </c>
      <c r="T1675" s="133">
        <f>CONCATENATE(A1675," - contiene allergni - prodotto il giorno ",TEXT(Q1675,"gg/mm/aaaa"),"")</f>
        <v/>
      </c>
    </row>
    <row r="1676" ht="15" customHeight="1" s="155">
      <c r="A1676" s="134">
        <f>ric!B1676</f>
        <v/>
      </c>
      <c r="B1676" s="118">
        <f>ric!C1676</f>
        <v/>
      </c>
      <c r="C1676" s="125">
        <f>ric!D1676</f>
        <v/>
      </c>
      <c r="D1676" s="125" t="n"/>
      <c r="E1676" s="125" t="n"/>
      <c r="F1676" s="125" t="n"/>
      <c r="G1676" s="118">
        <f>CONCATENATE(A1676, " ",#REF!, " / ",H1676)</f>
        <v/>
      </c>
      <c r="H1676" s="118" t="n"/>
      <c r="I1676" s="119">
        <f>CONCATENATE(M1676," - ",J1676," - Lotto N° ",K1676,"")</f>
        <v/>
      </c>
      <c r="J1676" s="118" t="n"/>
      <c r="K1676" s="118">
        <f>VLOOKUP(#REF!,Produzione,7,FALSE)</f>
        <v/>
      </c>
      <c r="L1676" s="120" t="n"/>
      <c r="M1676" s="120" t="n"/>
      <c r="N1676" s="118" t="n"/>
      <c r="O1676" s="121" t="n"/>
      <c r="P1676" s="121" t="n"/>
      <c r="Q1676" s="166">
        <f>TODAY()</f>
        <v/>
      </c>
      <c r="R1676" s="165">
        <f>ElencoProdotti[[#This Row],[PRODUZIONE]]+20</f>
        <v/>
      </c>
      <c r="S1676" s="165">
        <f>TODAY()</f>
        <v/>
      </c>
      <c r="T1676" s="133">
        <f>CONCATENATE(A1676," - contiene allergni - prodotto il giorno ",TEXT(Q1676,"gg/mm/aaaa"),"")</f>
        <v/>
      </c>
    </row>
    <row r="1677" ht="15" customHeight="1" s="155">
      <c r="A1677" s="134">
        <f>ric!B1677</f>
        <v/>
      </c>
      <c r="B1677" s="118">
        <f>ric!C1677</f>
        <v/>
      </c>
      <c r="C1677" s="125">
        <f>ric!D1677</f>
        <v/>
      </c>
      <c r="D1677" s="125" t="n"/>
      <c r="E1677" s="125" t="n"/>
      <c r="F1677" s="125" t="n"/>
      <c r="G1677" s="118">
        <f>CONCATENATE(A1677, " ",#REF!, " / ",H1677)</f>
        <v/>
      </c>
      <c r="H1677" s="118" t="n"/>
      <c r="I1677" s="119">
        <f>CONCATENATE(M1677," - ",J1677," - Lotto N° ",K1677,"")</f>
        <v/>
      </c>
      <c r="J1677" s="118" t="n"/>
      <c r="K1677" s="118">
        <f>VLOOKUP(#REF!,Produzione,7,FALSE)</f>
        <v/>
      </c>
      <c r="L1677" s="120" t="n"/>
      <c r="M1677" s="120" t="n"/>
      <c r="N1677" s="118" t="n"/>
      <c r="O1677" s="121" t="n"/>
      <c r="P1677" s="121" t="n"/>
      <c r="Q1677" s="166">
        <f>TODAY()</f>
        <v/>
      </c>
      <c r="R1677" s="165">
        <f>ElencoProdotti[[#This Row],[PRODUZIONE]]+20</f>
        <v/>
      </c>
      <c r="S1677" s="165">
        <f>TODAY()</f>
        <v/>
      </c>
      <c r="T1677" s="133">
        <f>CONCATENATE(A1677," - contiene allergni - prodotto il giorno ",TEXT(Q1677,"gg/mm/aaaa"),"")</f>
        <v/>
      </c>
    </row>
    <row r="1678" ht="15" customHeight="1" s="155">
      <c r="A1678" s="134">
        <f>ric!B1678</f>
        <v/>
      </c>
      <c r="B1678" s="118">
        <f>ric!C1678</f>
        <v/>
      </c>
      <c r="C1678" s="125">
        <f>ric!D1678</f>
        <v/>
      </c>
      <c r="D1678" s="125" t="n"/>
      <c r="E1678" s="125" t="n"/>
      <c r="F1678" s="125" t="n"/>
      <c r="G1678" s="118">
        <f>CONCATENATE(A1678, " ",#REF!, " / ",H1678)</f>
        <v/>
      </c>
      <c r="H1678" s="118" t="n"/>
      <c r="I1678" s="119">
        <f>CONCATENATE(M1678," - ",J1678," - Lotto N° ",K1678,"")</f>
        <v/>
      </c>
      <c r="J1678" s="118" t="n"/>
      <c r="K1678" s="118">
        <f>VLOOKUP(#REF!,Produzione,7,FALSE)</f>
        <v/>
      </c>
      <c r="L1678" s="120" t="n"/>
      <c r="M1678" s="120" t="n"/>
      <c r="N1678" s="118" t="n"/>
      <c r="O1678" s="121" t="n"/>
      <c r="P1678" s="121" t="n"/>
      <c r="Q1678" s="166">
        <f>TODAY()</f>
        <v/>
      </c>
      <c r="R1678" s="165">
        <f>ElencoProdotti[[#This Row],[PRODUZIONE]]+20</f>
        <v/>
      </c>
      <c r="S1678" s="165">
        <f>TODAY()</f>
        <v/>
      </c>
      <c r="T1678" s="133">
        <f>CONCATENATE(A1678," - contiene allergni - prodotto il giorno ",TEXT(Q1678,"gg/mm/aaaa"),"")</f>
        <v/>
      </c>
    </row>
    <row r="1679" ht="15" customHeight="1" s="155">
      <c r="A1679" s="134">
        <f>ric!B1679</f>
        <v/>
      </c>
      <c r="B1679" s="118">
        <f>ric!C1679</f>
        <v/>
      </c>
      <c r="C1679" s="125">
        <f>ric!D1679</f>
        <v/>
      </c>
      <c r="D1679" s="125" t="n"/>
      <c r="E1679" s="125" t="n"/>
      <c r="F1679" s="125" t="n"/>
      <c r="G1679" s="118">
        <f>CONCATENATE(A1679, " ",#REF!, " / ",H1679)</f>
        <v/>
      </c>
      <c r="H1679" s="118" t="n"/>
      <c r="I1679" s="119">
        <f>CONCATENATE(M1679," - ",J1679," - Lotto N° ",K1679,"")</f>
        <v/>
      </c>
      <c r="J1679" s="118" t="n"/>
      <c r="K1679" s="118">
        <f>VLOOKUP(#REF!,Produzione,7,FALSE)</f>
        <v/>
      </c>
      <c r="L1679" s="120" t="n"/>
      <c r="M1679" s="120" t="n"/>
      <c r="N1679" s="118" t="n"/>
      <c r="O1679" s="121" t="n"/>
      <c r="P1679" s="121" t="n"/>
      <c r="Q1679" s="166">
        <f>TODAY()</f>
        <v/>
      </c>
      <c r="R1679" s="165">
        <f>ElencoProdotti[[#This Row],[PRODUZIONE]]+20</f>
        <v/>
      </c>
      <c r="S1679" s="165">
        <f>TODAY()</f>
        <v/>
      </c>
      <c r="T1679" s="133">
        <f>CONCATENATE(A1679," - contiene allergni - prodotto il giorno ",TEXT(Q1679,"gg/mm/aaaa"),"")</f>
        <v/>
      </c>
    </row>
    <row r="1680" ht="15" customHeight="1" s="155">
      <c r="A1680" s="134">
        <f>ric!B1680</f>
        <v/>
      </c>
      <c r="B1680" s="118">
        <f>ric!C1680</f>
        <v/>
      </c>
      <c r="C1680" s="125">
        <f>ric!D1680</f>
        <v/>
      </c>
      <c r="D1680" s="125" t="n"/>
      <c r="E1680" s="125" t="n"/>
      <c r="F1680" s="125" t="n"/>
      <c r="G1680" s="118">
        <f>CONCATENATE(A1680, " ",#REF!, " / ",H1680)</f>
        <v/>
      </c>
      <c r="H1680" s="118" t="n"/>
      <c r="I1680" s="119">
        <f>CONCATENATE(M1680," - ",J1680," - Lotto N° ",K1680,"")</f>
        <v/>
      </c>
      <c r="J1680" s="118" t="n"/>
      <c r="K1680" s="118">
        <f>VLOOKUP(#REF!,Produzione,7,FALSE)</f>
        <v/>
      </c>
      <c r="L1680" s="120" t="n"/>
      <c r="M1680" s="120" t="n"/>
      <c r="N1680" s="118" t="n"/>
      <c r="O1680" s="121" t="n"/>
      <c r="P1680" s="121" t="n"/>
      <c r="Q1680" s="166">
        <f>TODAY()</f>
        <v/>
      </c>
      <c r="R1680" s="165">
        <f>ElencoProdotti[[#This Row],[PRODUZIONE]]+20</f>
        <v/>
      </c>
      <c r="S1680" s="165">
        <f>TODAY()</f>
        <v/>
      </c>
      <c r="T1680" s="133">
        <f>CONCATENATE(A1680," - contiene allergni - prodotto il giorno ",TEXT(Q1680,"gg/mm/aaaa"),"")</f>
        <v/>
      </c>
    </row>
    <row r="1681" ht="15" customHeight="1" s="155">
      <c r="A1681" s="134">
        <f>ric!B1681</f>
        <v/>
      </c>
      <c r="B1681" s="118">
        <f>ric!C1681</f>
        <v/>
      </c>
      <c r="C1681" s="125">
        <f>ric!D1681</f>
        <v/>
      </c>
      <c r="D1681" s="125" t="n"/>
      <c r="E1681" s="125" t="n"/>
      <c r="F1681" s="125" t="n"/>
      <c r="G1681" s="118">
        <f>CONCATENATE(A1681, " ",#REF!, " / ",H1681)</f>
        <v/>
      </c>
      <c r="H1681" s="118" t="n"/>
      <c r="I1681" s="119">
        <f>CONCATENATE(M1681," - ",J1681," - Lotto N° ",K1681,"")</f>
        <v/>
      </c>
      <c r="J1681" s="118" t="n"/>
      <c r="K1681" s="118">
        <f>VLOOKUP(#REF!,Produzione,7,FALSE)</f>
        <v/>
      </c>
      <c r="L1681" s="120" t="n"/>
      <c r="M1681" s="120" t="n"/>
      <c r="N1681" s="118" t="n"/>
      <c r="O1681" s="121" t="n"/>
      <c r="P1681" s="121" t="n"/>
      <c r="Q1681" s="166">
        <f>TODAY()</f>
        <v/>
      </c>
      <c r="R1681" s="165">
        <f>ElencoProdotti[[#This Row],[PRODUZIONE]]+20</f>
        <v/>
      </c>
      <c r="S1681" s="165">
        <f>TODAY()</f>
        <v/>
      </c>
      <c r="T1681" s="133">
        <f>CONCATENATE(A1681," - contiene allergni - prodotto il giorno ",TEXT(Q1681,"gg/mm/aaaa"),"")</f>
        <v/>
      </c>
    </row>
    <row r="1682" ht="15" customHeight="1" s="155">
      <c r="A1682" s="134">
        <f>ric!B1682</f>
        <v/>
      </c>
      <c r="B1682" s="118">
        <f>ric!C1682</f>
        <v/>
      </c>
      <c r="C1682" s="125">
        <f>ric!D1682</f>
        <v/>
      </c>
      <c r="D1682" s="125" t="n"/>
      <c r="E1682" s="125" t="n"/>
      <c r="F1682" s="125" t="n"/>
      <c r="G1682" s="118">
        <f>CONCATENATE(A1682, " ",#REF!, " / ",H1682)</f>
        <v/>
      </c>
      <c r="H1682" s="118" t="n"/>
      <c r="I1682" s="119">
        <f>CONCATENATE(M1682," - ",J1682," - Lotto N° ",K1682,"")</f>
        <v/>
      </c>
      <c r="J1682" s="118" t="n"/>
      <c r="K1682" s="118">
        <f>VLOOKUP(#REF!,Produzione,7,FALSE)</f>
        <v/>
      </c>
      <c r="L1682" s="120" t="n"/>
      <c r="M1682" s="120" t="n"/>
      <c r="N1682" s="118" t="n"/>
      <c r="O1682" s="121" t="n"/>
      <c r="P1682" s="121" t="n"/>
      <c r="Q1682" s="166">
        <f>TODAY()</f>
        <v/>
      </c>
      <c r="R1682" s="165">
        <f>ElencoProdotti[[#This Row],[PRODUZIONE]]+20</f>
        <v/>
      </c>
      <c r="S1682" s="165">
        <f>TODAY()</f>
        <v/>
      </c>
      <c r="T1682" s="133">
        <f>CONCATENATE(A1682," - contiene allergni - prodotto il giorno ",TEXT(Q1682,"gg/mm/aaaa"),"")</f>
        <v/>
      </c>
    </row>
    <row r="1683" ht="15" customHeight="1" s="155">
      <c r="A1683" s="134">
        <f>ric!B1683</f>
        <v/>
      </c>
      <c r="B1683" s="118">
        <f>ric!C1683</f>
        <v/>
      </c>
      <c r="C1683" s="125">
        <f>ric!D1683</f>
        <v/>
      </c>
      <c r="D1683" s="125" t="n"/>
      <c r="E1683" s="125" t="n"/>
      <c r="F1683" s="125" t="n"/>
      <c r="G1683" s="118">
        <f>CONCATENATE(A1683, " ",#REF!, " / ",H1683)</f>
        <v/>
      </c>
      <c r="H1683" s="118" t="n"/>
      <c r="I1683" s="119">
        <f>CONCATENATE(M1683," - ",J1683," - Lotto N° ",K1683,"")</f>
        <v/>
      </c>
      <c r="J1683" s="118" t="n"/>
      <c r="K1683" s="118">
        <f>VLOOKUP(#REF!,Produzione,7,FALSE)</f>
        <v/>
      </c>
      <c r="L1683" s="120" t="n"/>
      <c r="M1683" s="120" t="n"/>
      <c r="N1683" s="118" t="n"/>
      <c r="O1683" s="121" t="n"/>
      <c r="P1683" s="121" t="n"/>
      <c r="Q1683" s="166">
        <f>TODAY()</f>
        <v/>
      </c>
      <c r="R1683" s="165">
        <f>ElencoProdotti[[#This Row],[PRODUZIONE]]+20</f>
        <v/>
      </c>
      <c r="S1683" s="165">
        <f>TODAY()</f>
        <v/>
      </c>
      <c r="T1683" s="133">
        <f>CONCATENATE(A1683," - contiene allergni - prodotto il giorno ",TEXT(Q1683,"gg/mm/aaaa"),"")</f>
        <v/>
      </c>
    </row>
    <row r="1684" ht="15" customHeight="1" s="155">
      <c r="A1684" s="134">
        <f>ric!B1684</f>
        <v/>
      </c>
      <c r="B1684" s="118">
        <f>ric!C1684</f>
        <v/>
      </c>
      <c r="C1684" s="125">
        <f>ric!D1684</f>
        <v/>
      </c>
      <c r="D1684" s="125" t="n"/>
      <c r="E1684" s="125" t="n"/>
      <c r="F1684" s="125" t="n"/>
      <c r="G1684" s="118">
        <f>CONCATENATE(A1684, " ",#REF!, " / ",H1684)</f>
        <v/>
      </c>
      <c r="H1684" s="118" t="n"/>
      <c r="I1684" s="119">
        <f>CONCATENATE(M1684," - ",J1684," - Lotto N° ",K1684,"")</f>
        <v/>
      </c>
      <c r="J1684" s="118" t="n"/>
      <c r="K1684" s="118">
        <f>VLOOKUP(#REF!,Produzione,7,FALSE)</f>
        <v/>
      </c>
      <c r="L1684" s="120" t="n"/>
      <c r="M1684" s="120" t="n"/>
      <c r="N1684" s="118" t="n"/>
      <c r="O1684" s="121" t="n"/>
      <c r="P1684" s="121" t="n"/>
      <c r="Q1684" s="166">
        <f>TODAY()</f>
        <v/>
      </c>
      <c r="R1684" s="165">
        <f>ElencoProdotti[[#This Row],[PRODUZIONE]]+20</f>
        <v/>
      </c>
      <c r="S1684" s="165">
        <f>TODAY()</f>
        <v/>
      </c>
      <c r="T1684" s="133">
        <f>CONCATENATE(A1684," - contiene allergni - prodotto il giorno ",TEXT(Q1684,"gg/mm/aaaa"),"")</f>
        <v/>
      </c>
    </row>
    <row r="1685" ht="15" customHeight="1" s="155">
      <c r="A1685" s="134">
        <f>ric!B1685</f>
        <v/>
      </c>
      <c r="B1685" s="118">
        <f>ric!C1685</f>
        <v/>
      </c>
      <c r="C1685" s="125">
        <f>ric!D1685</f>
        <v/>
      </c>
      <c r="D1685" s="125" t="n"/>
      <c r="E1685" s="125" t="n"/>
      <c r="F1685" s="125" t="n"/>
      <c r="G1685" s="118">
        <f>CONCATENATE(A1685, " ",#REF!, " / ",H1685)</f>
        <v/>
      </c>
      <c r="H1685" s="118" t="n"/>
      <c r="I1685" s="119">
        <f>CONCATENATE(M1685," - ",J1685," - Lotto N° ",K1685,"")</f>
        <v/>
      </c>
      <c r="J1685" s="118" t="n"/>
      <c r="K1685" s="118">
        <f>VLOOKUP(#REF!,Produzione,7,FALSE)</f>
        <v/>
      </c>
      <c r="L1685" s="120" t="n"/>
      <c r="M1685" s="120" t="n"/>
      <c r="N1685" s="118" t="n"/>
      <c r="O1685" s="121" t="n"/>
      <c r="P1685" s="121" t="n"/>
      <c r="Q1685" s="166">
        <f>TODAY()</f>
        <v/>
      </c>
      <c r="R1685" s="165">
        <f>ElencoProdotti[[#This Row],[PRODUZIONE]]+20</f>
        <v/>
      </c>
      <c r="S1685" s="165">
        <f>TODAY()</f>
        <v/>
      </c>
      <c r="T1685" s="133">
        <f>CONCATENATE(A1685," - contiene allergni - prodotto il giorno ",TEXT(Q1685,"gg/mm/aaaa"),"")</f>
        <v/>
      </c>
    </row>
    <row r="1686" ht="15" customHeight="1" s="155">
      <c r="A1686" s="134">
        <f>ric!B1686</f>
        <v/>
      </c>
      <c r="B1686" s="118">
        <f>ric!C1686</f>
        <v/>
      </c>
      <c r="C1686" s="125">
        <f>ric!D1686</f>
        <v/>
      </c>
      <c r="D1686" s="125" t="n"/>
      <c r="E1686" s="125" t="n"/>
      <c r="F1686" s="125" t="n"/>
      <c r="G1686" s="118">
        <f>CONCATENATE(A1686, " ",#REF!, " / ",H1686)</f>
        <v/>
      </c>
      <c r="H1686" s="118" t="n"/>
      <c r="I1686" s="119">
        <f>CONCATENATE(M1686," - ",J1686," - Lotto N° ",K1686,"")</f>
        <v/>
      </c>
      <c r="J1686" s="118" t="n"/>
      <c r="K1686" s="118">
        <f>VLOOKUP(#REF!,Produzione,7,FALSE)</f>
        <v/>
      </c>
      <c r="L1686" s="120" t="n"/>
      <c r="M1686" s="120" t="n"/>
      <c r="N1686" s="118" t="n"/>
      <c r="O1686" s="121" t="n"/>
      <c r="P1686" s="121" t="n"/>
      <c r="Q1686" s="166">
        <f>TODAY()</f>
        <v/>
      </c>
      <c r="R1686" s="165">
        <f>ElencoProdotti[[#This Row],[PRODUZIONE]]+20</f>
        <v/>
      </c>
      <c r="S1686" s="165">
        <f>TODAY()</f>
        <v/>
      </c>
      <c r="T1686" s="133">
        <f>CONCATENATE(A1686," - contiene allergni - prodotto il giorno ",TEXT(Q1686,"gg/mm/aaaa"),"")</f>
        <v/>
      </c>
    </row>
    <row r="1687" ht="15" customHeight="1" s="155">
      <c r="A1687" s="134">
        <f>ric!B1687</f>
        <v/>
      </c>
      <c r="B1687" s="118">
        <f>ric!C1687</f>
        <v/>
      </c>
      <c r="C1687" s="125">
        <f>ric!D1687</f>
        <v/>
      </c>
      <c r="D1687" s="125" t="n"/>
      <c r="E1687" s="125" t="n"/>
      <c r="F1687" s="125" t="n"/>
      <c r="G1687" s="118">
        <f>CONCATENATE(A1687, " ",#REF!, " / ",H1687)</f>
        <v/>
      </c>
      <c r="H1687" s="118" t="n"/>
      <c r="I1687" s="119">
        <f>CONCATENATE(M1687," - ",J1687," - Lotto N° ",K1687,"")</f>
        <v/>
      </c>
      <c r="J1687" s="118" t="n"/>
      <c r="K1687" s="118">
        <f>VLOOKUP(#REF!,Produzione,7,FALSE)</f>
        <v/>
      </c>
      <c r="L1687" s="120" t="n"/>
      <c r="M1687" s="120" t="n"/>
      <c r="N1687" s="118" t="n"/>
      <c r="O1687" s="121" t="n"/>
      <c r="P1687" s="121" t="n"/>
      <c r="Q1687" s="166">
        <f>TODAY()</f>
        <v/>
      </c>
      <c r="R1687" s="165">
        <f>ElencoProdotti[[#This Row],[PRODUZIONE]]+20</f>
        <v/>
      </c>
      <c r="S1687" s="165">
        <f>TODAY()</f>
        <v/>
      </c>
      <c r="T1687" s="133">
        <f>CONCATENATE(A1687," - contiene allergni - prodotto il giorno ",TEXT(Q1687,"gg/mm/aaaa"),"")</f>
        <v/>
      </c>
    </row>
    <row r="1688" ht="15" customHeight="1" s="155">
      <c r="A1688" s="134">
        <f>ric!B1688</f>
        <v/>
      </c>
      <c r="B1688" s="118">
        <f>ric!C1688</f>
        <v/>
      </c>
      <c r="C1688" s="125">
        <f>ric!D1688</f>
        <v/>
      </c>
      <c r="D1688" s="125" t="n"/>
      <c r="E1688" s="125" t="n"/>
      <c r="F1688" s="125" t="n"/>
      <c r="G1688" s="118">
        <f>CONCATENATE(A1688, " ",#REF!, " / ",H1688)</f>
        <v/>
      </c>
      <c r="H1688" s="118" t="n"/>
      <c r="I1688" s="119">
        <f>CONCATENATE(M1688," - ",J1688," - Lotto N° ",K1688,"")</f>
        <v/>
      </c>
      <c r="J1688" s="118" t="n"/>
      <c r="K1688" s="118">
        <f>VLOOKUP(#REF!,Produzione,7,FALSE)</f>
        <v/>
      </c>
      <c r="L1688" s="120" t="n"/>
      <c r="M1688" s="120" t="n"/>
      <c r="N1688" s="118" t="n"/>
      <c r="O1688" s="121" t="n"/>
      <c r="P1688" s="121" t="n"/>
      <c r="Q1688" s="166">
        <f>TODAY()</f>
        <v/>
      </c>
      <c r="R1688" s="165">
        <f>ElencoProdotti[[#This Row],[PRODUZIONE]]+20</f>
        <v/>
      </c>
      <c r="S1688" s="165">
        <f>TODAY()</f>
        <v/>
      </c>
      <c r="T1688" s="133">
        <f>CONCATENATE(A1688," - contiene allergni - prodotto il giorno ",TEXT(Q1688,"gg/mm/aaaa"),"")</f>
        <v/>
      </c>
    </row>
    <row r="1689" ht="15" customHeight="1" s="155">
      <c r="A1689" s="134">
        <f>ric!B1689</f>
        <v/>
      </c>
      <c r="B1689" s="118">
        <f>ric!C1689</f>
        <v/>
      </c>
      <c r="C1689" s="125">
        <f>ric!D1689</f>
        <v/>
      </c>
      <c r="D1689" s="125" t="n"/>
      <c r="E1689" s="125" t="n"/>
      <c r="F1689" s="125" t="n"/>
      <c r="G1689" s="118">
        <f>CONCATENATE(A1689, " ",#REF!, " / ",H1689)</f>
        <v/>
      </c>
      <c r="H1689" s="118" t="n"/>
      <c r="I1689" s="119">
        <f>CONCATENATE(M1689," - ",J1689," - Lotto N° ",K1689,"")</f>
        <v/>
      </c>
      <c r="J1689" s="118" t="n"/>
      <c r="K1689" s="118">
        <f>VLOOKUP(#REF!,Produzione,7,FALSE)</f>
        <v/>
      </c>
      <c r="L1689" s="120" t="n"/>
      <c r="M1689" s="120" t="n"/>
      <c r="N1689" s="118" t="n"/>
      <c r="O1689" s="121" t="n"/>
      <c r="P1689" s="121" t="n"/>
      <c r="Q1689" s="166">
        <f>TODAY()</f>
        <v/>
      </c>
      <c r="R1689" s="165">
        <f>ElencoProdotti[[#This Row],[PRODUZIONE]]+20</f>
        <v/>
      </c>
      <c r="S1689" s="165">
        <f>TODAY()</f>
        <v/>
      </c>
      <c r="T1689" s="133">
        <f>CONCATENATE(A1689," - contiene allergni - prodotto il giorno ",TEXT(Q1689,"gg/mm/aaaa"),"")</f>
        <v/>
      </c>
    </row>
    <row r="1690" ht="15" customHeight="1" s="155">
      <c r="A1690" s="134">
        <f>ric!B1690</f>
        <v/>
      </c>
      <c r="B1690" s="118">
        <f>ric!C1690</f>
        <v/>
      </c>
      <c r="C1690" s="125">
        <f>ric!D1690</f>
        <v/>
      </c>
      <c r="D1690" s="125" t="n"/>
      <c r="E1690" s="125" t="n"/>
      <c r="F1690" s="125" t="n"/>
      <c r="G1690" s="118">
        <f>CONCATENATE(A1690, " ",#REF!, " / ",H1690)</f>
        <v/>
      </c>
      <c r="H1690" s="118" t="n"/>
      <c r="I1690" s="119">
        <f>CONCATENATE(M1690," - ",J1690," - Lotto N° ",K1690,"")</f>
        <v/>
      </c>
      <c r="J1690" s="118" t="n"/>
      <c r="K1690" s="118">
        <f>VLOOKUP(#REF!,Produzione,7,FALSE)</f>
        <v/>
      </c>
      <c r="L1690" s="120" t="n"/>
      <c r="M1690" s="120" t="n"/>
      <c r="N1690" s="118" t="n"/>
      <c r="O1690" s="121" t="n"/>
      <c r="P1690" s="121" t="n"/>
      <c r="Q1690" s="166">
        <f>TODAY()</f>
        <v/>
      </c>
      <c r="R1690" s="165">
        <f>ElencoProdotti[[#This Row],[PRODUZIONE]]+20</f>
        <v/>
      </c>
      <c r="S1690" s="165">
        <f>TODAY()</f>
        <v/>
      </c>
      <c r="T1690" s="133">
        <f>CONCATENATE(A1690," - contiene allergni - prodotto il giorno ",TEXT(Q1690,"gg/mm/aaaa"),"")</f>
        <v/>
      </c>
    </row>
    <row r="1691" ht="15" customHeight="1" s="155">
      <c r="A1691" s="134">
        <f>ric!B1691</f>
        <v/>
      </c>
      <c r="B1691" s="118">
        <f>ric!C1691</f>
        <v/>
      </c>
      <c r="C1691" s="125">
        <f>ric!D1691</f>
        <v/>
      </c>
      <c r="D1691" s="125" t="n"/>
      <c r="E1691" s="125" t="n"/>
      <c r="F1691" s="125" t="n"/>
      <c r="G1691" s="118">
        <f>CONCATENATE(A1691, " ",#REF!, " / ",H1691)</f>
        <v/>
      </c>
      <c r="H1691" s="118" t="n"/>
      <c r="I1691" s="119">
        <f>CONCATENATE(M1691," - ",J1691," - Lotto N° ",K1691,"")</f>
        <v/>
      </c>
      <c r="J1691" s="118" t="n"/>
      <c r="K1691" s="118">
        <f>VLOOKUP(#REF!,Produzione,7,FALSE)</f>
        <v/>
      </c>
      <c r="L1691" s="120" t="n"/>
      <c r="M1691" s="120" t="n"/>
      <c r="N1691" s="118" t="n"/>
      <c r="O1691" s="121" t="n"/>
      <c r="P1691" s="121" t="n"/>
      <c r="Q1691" s="166">
        <f>TODAY()</f>
        <v/>
      </c>
      <c r="R1691" s="165">
        <f>ElencoProdotti[[#This Row],[PRODUZIONE]]+20</f>
        <v/>
      </c>
      <c r="S1691" s="165">
        <f>TODAY()</f>
        <v/>
      </c>
      <c r="T1691" s="133">
        <f>CONCATENATE(A1691," - contiene allergni - prodotto il giorno ",TEXT(Q1691,"gg/mm/aaaa"),"")</f>
        <v/>
      </c>
    </row>
    <row r="1692" ht="15" customHeight="1" s="155">
      <c r="A1692" s="134">
        <f>ric!B1692</f>
        <v/>
      </c>
      <c r="B1692" s="118">
        <f>ric!C1692</f>
        <v/>
      </c>
      <c r="C1692" s="125">
        <f>ric!D1692</f>
        <v/>
      </c>
      <c r="D1692" s="125" t="n"/>
      <c r="E1692" s="125" t="n"/>
      <c r="F1692" s="125" t="n"/>
      <c r="G1692" s="118">
        <f>CONCATENATE(A1692, " ",#REF!, " / ",H1692)</f>
        <v/>
      </c>
      <c r="H1692" s="118" t="n"/>
      <c r="I1692" s="119">
        <f>CONCATENATE(M1692," - ",J1692," - Lotto N° ",K1692,"")</f>
        <v/>
      </c>
      <c r="J1692" s="118" t="n"/>
      <c r="K1692" s="118">
        <f>VLOOKUP(#REF!,Produzione,7,FALSE)</f>
        <v/>
      </c>
      <c r="L1692" s="120" t="n"/>
      <c r="M1692" s="120" t="n"/>
      <c r="N1692" s="118" t="n"/>
      <c r="O1692" s="121" t="n"/>
      <c r="P1692" s="121" t="n"/>
      <c r="Q1692" s="166">
        <f>TODAY()</f>
        <v/>
      </c>
      <c r="R1692" s="165">
        <f>ElencoProdotti[[#This Row],[PRODUZIONE]]+20</f>
        <v/>
      </c>
      <c r="S1692" s="165">
        <f>TODAY()</f>
        <v/>
      </c>
      <c r="T1692" s="133">
        <f>CONCATENATE(A1692," - contiene allergni - prodotto il giorno ",TEXT(Q1692,"gg/mm/aaaa"),"")</f>
        <v/>
      </c>
    </row>
    <row r="1693" ht="15" customHeight="1" s="155">
      <c r="A1693" s="134">
        <f>ric!B1693</f>
        <v/>
      </c>
      <c r="B1693" s="118">
        <f>ric!C1693</f>
        <v/>
      </c>
      <c r="C1693" s="125">
        <f>ric!D1693</f>
        <v/>
      </c>
      <c r="D1693" s="125" t="n"/>
      <c r="E1693" s="125" t="n"/>
      <c r="F1693" s="125" t="n"/>
      <c r="G1693" s="118">
        <f>CONCATENATE(A1693, " ",#REF!, " / ",H1693)</f>
        <v/>
      </c>
      <c r="H1693" s="118" t="n"/>
      <c r="I1693" s="119">
        <f>CONCATENATE(M1693," - ",J1693," - Lotto N° ",K1693,"")</f>
        <v/>
      </c>
      <c r="J1693" s="118" t="n"/>
      <c r="K1693" s="118">
        <f>VLOOKUP(#REF!,Produzione,7,FALSE)</f>
        <v/>
      </c>
      <c r="L1693" s="120" t="n"/>
      <c r="M1693" s="120" t="n"/>
      <c r="N1693" s="118" t="n"/>
      <c r="O1693" s="121" t="n"/>
      <c r="P1693" s="121" t="n"/>
      <c r="Q1693" s="166">
        <f>TODAY()</f>
        <v/>
      </c>
      <c r="R1693" s="165">
        <f>ElencoProdotti[[#This Row],[PRODUZIONE]]+20</f>
        <v/>
      </c>
      <c r="S1693" s="165">
        <f>TODAY()</f>
        <v/>
      </c>
      <c r="T1693" s="133">
        <f>CONCATENATE(A1693," - contiene allergni - prodotto il giorno ",TEXT(Q1693,"gg/mm/aaaa"),"")</f>
        <v/>
      </c>
    </row>
    <row r="1694" ht="15" customHeight="1" s="155">
      <c r="A1694" s="134">
        <f>ric!B1694</f>
        <v/>
      </c>
      <c r="B1694" s="118">
        <f>ric!C1694</f>
        <v/>
      </c>
      <c r="C1694" s="125">
        <f>ric!D1694</f>
        <v/>
      </c>
      <c r="D1694" s="125" t="n"/>
      <c r="E1694" s="125" t="n"/>
      <c r="F1694" s="125" t="n"/>
      <c r="G1694" s="118">
        <f>CONCATENATE(A1694, " ",#REF!, " / ",H1694)</f>
        <v/>
      </c>
      <c r="H1694" s="118" t="n"/>
      <c r="I1694" s="119">
        <f>CONCATENATE(M1694," - ",J1694," - Lotto N° ",K1694,"")</f>
        <v/>
      </c>
      <c r="J1694" s="118" t="n"/>
      <c r="K1694" s="118">
        <f>VLOOKUP(#REF!,Produzione,7,FALSE)</f>
        <v/>
      </c>
      <c r="L1694" s="120" t="n"/>
      <c r="M1694" s="120" t="n"/>
      <c r="N1694" s="118" t="n"/>
      <c r="O1694" s="121" t="n"/>
      <c r="P1694" s="121" t="n"/>
      <c r="Q1694" s="166">
        <f>TODAY()</f>
        <v/>
      </c>
      <c r="R1694" s="165">
        <f>ElencoProdotti[[#This Row],[PRODUZIONE]]+20</f>
        <v/>
      </c>
      <c r="S1694" s="165">
        <f>TODAY()</f>
        <v/>
      </c>
      <c r="T1694" s="133">
        <f>CONCATENATE(A1694," - contiene allergni - prodotto il giorno ",TEXT(Q1694,"gg/mm/aaaa"),"")</f>
        <v/>
      </c>
    </row>
    <row r="1695" ht="15" customHeight="1" s="155">
      <c r="A1695" s="134">
        <f>ric!B1695</f>
        <v/>
      </c>
      <c r="B1695" s="118">
        <f>ric!C1695</f>
        <v/>
      </c>
      <c r="C1695" s="125">
        <f>ric!D1695</f>
        <v/>
      </c>
      <c r="D1695" s="125" t="n"/>
      <c r="E1695" s="125" t="n"/>
      <c r="F1695" s="125" t="n"/>
      <c r="G1695" s="118">
        <f>CONCATENATE(A1695, " ",#REF!, " / ",H1695)</f>
        <v/>
      </c>
      <c r="H1695" s="118" t="n"/>
      <c r="I1695" s="119">
        <f>CONCATENATE(M1695," - ",J1695," - Lotto N° ",K1695,"")</f>
        <v/>
      </c>
      <c r="J1695" s="118" t="n"/>
      <c r="K1695" s="118">
        <f>VLOOKUP(#REF!,Produzione,7,FALSE)</f>
        <v/>
      </c>
      <c r="L1695" s="120" t="n"/>
      <c r="M1695" s="120" t="n"/>
      <c r="N1695" s="118" t="n"/>
      <c r="O1695" s="121" t="n"/>
      <c r="P1695" s="121" t="n"/>
      <c r="Q1695" s="166">
        <f>TODAY()</f>
        <v/>
      </c>
      <c r="R1695" s="165">
        <f>ElencoProdotti[[#This Row],[PRODUZIONE]]+20</f>
        <v/>
      </c>
      <c r="S1695" s="165">
        <f>TODAY()</f>
        <v/>
      </c>
      <c r="T1695" s="133">
        <f>CONCATENATE(A1695," - contiene allergni - prodotto il giorno ",TEXT(Q1695,"gg/mm/aaaa"),"")</f>
        <v/>
      </c>
    </row>
    <row r="1696" ht="15" customHeight="1" s="155">
      <c r="A1696" s="134">
        <f>ric!B1696</f>
        <v/>
      </c>
      <c r="B1696" s="118">
        <f>ric!C1696</f>
        <v/>
      </c>
      <c r="C1696" s="125">
        <f>ric!D1696</f>
        <v/>
      </c>
      <c r="D1696" s="125" t="n"/>
      <c r="E1696" s="125" t="n"/>
      <c r="F1696" s="125" t="n"/>
      <c r="G1696" s="118">
        <f>CONCATENATE(A1696, " ",#REF!, " / ",H1696)</f>
        <v/>
      </c>
      <c r="H1696" s="118" t="n"/>
      <c r="I1696" s="119">
        <f>CONCATENATE(M1696," - ",J1696," - Lotto N° ",K1696,"")</f>
        <v/>
      </c>
      <c r="J1696" s="118" t="n"/>
      <c r="K1696" s="118">
        <f>VLOOKUP(#REF!,Produzione,7,FALSE)</f>
        <v/>
      </c>
      <c r="L1696" s="120" t="n"/>
      <c r="M1696" s="120" t="n"/>
      <c r="N1696" s="118" t="n"/>
      <c r="O1696" s="121" t="n"/>
      <c r="P1696" s="121" t="n"/>
      <c r="Q1696" s="166">
        <f>TODAY()</f>
        <v/>
      </c>
      <c r="R1696" s="165">
        <f>ElencoProdotti[[#This Row],[PRODUZIONE]]+20</f>
        <v/>
      </c>
      <c r="S1696" s="165">
        <f>TODAY()</f>
        <v/>
      </c>
      <c r="T1696" s="133">
        <f>CONCATENATE(A1696," - contiene allergni - prodotto il giorno ",TEXT(Q1696,"gg/mm/aaaa"),"")</f>
        <v/>
      </c>
    </row>
    <row r="1697" ht="15" customHeight="1" s="155">
      <c r="A1697" s="134">
        <f>ric!B1697</f>
        <v/>
      </c>
      <c r="B1697" s="118">
        <f>ric!C1697</f>
        <v/>
      </c>
      <c r="C1697" s="125">
        <f>ric!D1697</f>
        <v/>
      </c>
      <c r="D1697" s="125" t="n"/>
      <c r="E1697" s="125" t="n"/>
      <c r="F1697" s="125" t="n"/>
      <c r="G1697" s="118">
        <f>CONCATENATE(A1697, " ",#REF!, " / ",H1697)</f>
        <v/>
      </c>
      <c r="H1697" s="118" t="n"/>
      <c r="I1697" s="119">
        <f>CONCATENATE(M1697," - ",J1697," - Lotto N° ",K1697,"")</f>
        <v/>
      </c>
      <c r="J1697" s="118" t="n"/>
      <c r="K1697" s="118">
        <f>VLOOKUP(#REF!,Produzione,7,FALSE)</f>
        <v/>
      </c>
      <c r="L1697" s="120" t="n"/>
      <c r="M1697" s="120" t="n"/>
      <c r="N1697" s="118" t="n"/>
      <c r="O1697" s="121" t="n"/>
      <c r="P1697" s="121" t="n"/>
      <c r="Q1697" s="166">
        <f>TODAY()</f>
        <v/>
      </c>
      <c r="R1697" s="165">
        <f>ElencoProdotti[[#This Row],[PRODUZIONE]]+20</f>
        <v/>
      </c>
      <c r="S1697" s="165">
        <f>TODAY()</f>
        <v/>
      </c>
      <c r="T1697" s="133">
        <f>CONCATENATE(A1697," - contiene allergni - prodotto il giorno ",TEXT(Q1697,"gg/mm/aaaa"),"")</f>
        <v/>
      </c>
    </row>
    <row r="1698" ht="15" customHeight="1" s="155">
      <c r="A1698" s="134">
        <f>ric!B1698</f>
        <v/>
      </c>
      <c r="B1698" s="118">
        <f>ric!C1698</f>
        <v/>
      </c>
      <c r="C1698" s="125">
        <f>ric!D1698</f>
        <v/>
      </c>
      <c r="D1698" s="125" t="n"/>
      <c r="E1698" s="125" t="n"/>
      <c r="F1698" s="125" t="n"/>
      <c r="G1698" s="118">
        <f>CONCATENATE(A1698, " ",#REF!, " / ",H1698)</f>
        <v/>
      </c>
      <c r="H1698" s="118" t="n"/>
      <c r="I1698" s="119">
        <f>CONCATENATE(M1698," - ",J1698," - Lotto N° ",K1698,"")</f>
        <v/>
      </c>
      <c r="J1698" s="118" t="n"/>
      <c r="K1698" s="118">
        <f>VLOOKUP(#REF!,Produzione,7,FALSE)</f>
        <v/>
      </c>
      <c r="L1698" s="120" t="n"/>
      <c r="M1698" s="120" t="n"/>
      <c r="N1698" s="118" t="n"/>
      <c r="O1698" s="121" t="n"/>
      <c r="P1698" s="121" t="n"/>
      <c r="Q1698" s="166">
        <f>TODAY()</f>
        <v/>
      </c>
      <c r="R1698" s="165">
        <f>ElencoProdotti[[#This Row],[PRODUZIONE]]+20</f>
        <v/>
      </c>
      <c r="S1698" s="165">
        <f>TODAY()</f>
        <v/>
      </c>
      <c r="T1698" s="133">
        <f>CONCATENATE(A1698," - contiene allergni - prodotto il giorno ",TEXT(Q1698,"gg/mm/aaaa"),"")</f>
        <v/>
      </c>
    </row>
    <row r="1699" ht="15" customHeight="1" s="155">
      <c r="A1699" s="134">
        <f>ric!B1699</f>
        <v/>
      </c>
      <c r="B1699" s="118">
        <f>ric!C1699</f>
        <v/>
      </c>
      <c r="C1699" s="125">
        <f>ric!D1699</f>
        <v/>
      </c>
      <c r="D1699" s="125" t="n"/>
      <c r="E1699" s="125" t="n"/>
      <c r="F1699" s="125" t="n"/>
      <c r="G1699" s="118">
        <f>CONCATENATE(A1699, " ",#REF!, " / ",H1699)</f>
        <v/>
      </c>
      <c r="H1699" s="118" t="n"/>
      <c r="I1699" s="119">
        <f>CONCATENATE(M1699," - ",J1699," - Lotto N° ",K1699,"")</f>
        <v/>
      </c>
      <c r="J1699" s="118" t="n"/>
      <c r="K1699" s="118">
        <f>VLOOKUP(#REF!,Produzione,7,FALSE)</f>
        <v/>
      </c>
      <c r="L1699" s="120" t="n"/>
      <c r="M1699" s="120" t="n"/>
      <c r="N1699" s="118" t="n"/>
      <c r="O1699" s="121" t="n"/>
      <c r="P1699" s="121" t="n"/>
      <c r="Q1699" s="166">
        <f>TODAY()</f>
        <v/>
      </c>
      <c r="R1699" s="165">
        <f>ElencoProdotti[[#This Row],[PRODUZIONE]]+20</f>
        <v/>
      </c>
      <c r="S1699" s="165">
        <f>TODAY()</f>
        <v/>
      </c>
      <c r="T1699" s="133">
        <f>CONCATENATE(A1699," - contiene allergni - prodotto il giorno ",TEXT(Q1699,"gg/mm/aaaa"),"")</f>
        <v/>
      </c>
    </row>
    <row r="1700" ht="15" customHeight="1" s="155">
      <c r="A1700" s="134">
        <f>ric!B1700</f>
        <v/>
      </c>
      <c r="B1700" s="118">
        <f>ric!C1700</f>
        <v/>
      </c>
      <c r="C1700" s="125">
        <f>ric!D1700</f>
        <v/>
      </c>
      <c r="D1700" s="125" t="n"/>
      <c r="E1700" s="125" t="n"/>
      <c r="F1700" s="125" t="n"/>
      <c r="G1700" s="118">
        <f>CONCATENATE(A1700, " ",#REF!, " / ",H1700)</f>
        <v/>
      </c>
      <c r="H1700" s="118" t="n"/>
      <c r="I1700" s="119">
        <f>CONCATENATE(M1700," - ",J1700," - Lotto N° ",K1700,"")</f>
        <v/>
      </c>
      <c r="J1700" s="118" t="n"/>
      <c r="K1700" s="118">
        <f>VLOOKUP(#REF!,Produzione,7,FALSE)</f>
        <v/>
      </c>
      <c r="L1700" s="120" t="n"/>
      <c r="M1700" s="120" t="n"/>
      <c r="N1700" s="118" t="n"/>
      <c r="O1700" s="121" t="n"/>
      <c r="P1700" s="121" t="n"/>
      <c r="Q1700" s="166">
        <f>TODAY()</f>
        <v/>
      </c>
      <c r="R1700" s="165">
        <f>ElencoProdotti[[#This Row],[PRODUZIONE]]+20</f>
        <v/>
      </c>
      <c r="S1700" s="165">
        <f>TODAY()</f>
        <v/>
      </c>
      <c r="T1700" s="133">
        <f>CONCATENATE(A1700," - contiene allergni - prodotto il giorno ",TEXT(Q1700,"gg/mm/aaaa"),"")</f>
        <v/>
      </c>
    </row>
    <row r="1701" ht="15" customHeight="1" s="155">
      <c r="A1701" s="134">
        <f>ric!B1701</f>
        <v/>
      </c>
      <c r="B1701" s="118">
        <f>ric!C1701</f>
        <v/>
      </c>
      <c r="C1701" s="125">
        <f>ric!D1701</f>
        <v/>
      </c>
      <c r="D1701" s="125" t="n"/>
      <c r="E1701" s="125" t="n"/>
      <c r="F1701" s="125" t="n"/>
      <c r="G1701" s="118">
        <f>CONCATENATE(A1701, " ",#REF!, " / ",H1701)</f>
        <v/>
      </c>
      <c r="H1701" s="118" t="n"/>
      <c r="I1701" s="119">
        <f>CONCATENATE(M1701," - ",J1701," - Lotto N° ",K1701,"")</f>
        <v/>
      </c>
      <c r="J1701" s="118" t="n"/>
      <c r="K1701" s="118">
        <f>VLOOKUP(#REF!,Produzione,7,FALSE)</f>
        <v/>
      </c>
      <c r="L1701" s="120" t="n"/>
      <c r="M1701" s="120" t="n"/>
      <c r="N1701" s="118" t="n"/>
      <c r="O1701" s="121" t="n"/>
      <c r="P1701" s="121" t="n"/>
      <c r="Q1701" s="166">
        <f>TODAY()</f>
        <v/>
      </c>
      <c r="R1701" s="165">
        <f>ElencoProdotti[[#This Row],[PRODUZIONE]]+20</f>
        <v/>
      </c>
      <c r="S1701" s="165">
        <f>TODAY()</f>
        <v/>
      </c>
      <c r="T1701" s="133">
        <f>CONCATENATE(A1701," - contiene allergni - prodotto il giorno ",TEXT(Q1701,"gg/mm/aaaa"),"")</f>
        <v/>
      </c>
    </row>
    <row r="1702" ht="15" customHeight="1" s="155">
      <c r="A1702" s="134">
        <f>ric!B1702</f>
        <v/>
      </c>
      <c r="B1702" s="118">
        <f>ric!C1702</f>
        <v/>
      </c>
      <c r="C1702" s="125">
        <f>ric!D1702</f>
        <v/>
      </c>
      <c r="D1702" s="125" t="n"/>
      <c r="E1702" s="125" t="n"/>
      <c r="F1702" s="125" t="n"/>
      <c r="G1702" s="118">
        <f>CONCATENATE(A1702, " ",#REF!, " / ",H1702)</f>
        <v/>
      </c>
      <c r="H1702" s="118" t="n"/>
      <c r="I1702" s="119">
        <f>CONCATENATE(M1702," - ",J1702," - Lotto N° ",K1702,"")</f>
        <v/>
      </c>
      <c r="J1702" s="118" t="n"/>
      <c r="K1702" s="118">
        <f>VLOOKUP(#REF!,Produzione,7,FALSE)</f>
        <v/>
      </c>
      <c r="L1702" s="120" t="n"/>
      <c r="M1702" s="120" t="n"/>
      <c r="N1702" s="118" t="n"/>
      <c r="O1702" s="121" t="n"/>
      <c r="P1702" s="121" t="n"/>
      <c r="Q1702" s="166">
        <f>TODAY()</f>
        <v/>
      </c>
      <c r="R1702" s="165">
        <f>ElencoProdotti[[#This Row],[PRODUZIONE]]+20</f>
        <v/>
      </c>
      <c r="S1702" s="165">
        <f>TODAY()</f>
        <v/>
      </c>
      <c r="T1702" s="133">
        <f>CONCATENATE(A1702," - contiene allergni - prodotto il giorno ",TEXT(Q1702,"gg/mm/aaaa"),"")</f>
        <v/>
      </c>
    </row>
    <row r="1703" ht="15" customHeight="1" s="155">
      <c r="A1703" s="134">
        <f>ric!B1703</f>
        <v/>
      </c>
      <c r="B1703" s="118">
        <f>ric!C1703</f>
        <v/>
      </c>
      <c r="C1703" s="125">
        <f>ric!D1703</f>
        <v/>
      </c>
      <c r="D1703" s="125" t="n"/>
      <c r="E1703" s="125" t="n"/>
      <c r="F1703" s="125" t="n"/>
      <c r="G1703" s="118">
        <f>CONCATENATE(A1703, " ",#REF!, " / ",H1703)</f>
        <v/>
      </c>
      <c r="H1703" s="118" t="n"/>
      <c r="I1703" s="119">
        <f>CONCATENATE(M1703," - ",J1703," - Lotto N° ",K1703,"")</f>
        <v/>
      </c>
      <c r="J1703" s="118" t="n"/>
      <c r="K1703" s="118">
        <f>VLOOKUP(#REF!,Produzione,7,FALSE)</f>
        <v/>
      </c>
      <c r="L1703" s="120" t="n"/>
      <c r="M1703" s="120" t="n"/>
      <c r="N1703" s="118" t="n"/>
      <c r="O1703" s="121" t="n"/>
      <c r="P1703" s="121" t="n"/>
      <c r="Q1703" s="166">
        <f>TODAY()</f>
        <v/>
      </c>
      <c r="R1703" s="165">
        <f>ElencoProdotti[[#This Row],[PRODUZIONE]]+20</f>
        <v/>
      </c>
      <c r="S1703" s="165">
        <f>TODAY()</f>
        <v/>
      </c>
      <c r="T1703" s="133">
        <f>CONCATENATE(A1703," - contiene allergni - prodotto il giorno ",TEXT(Q1703,"gg/mm/aaaa"),"")</f>
        <v/>
      </c>
    </row>
    <row r="1704" ht="15" customHeight="1" s="155">
      <c r="A1704" s="134">
        <f>ric!B1704</f>
        <v/>
      </c>
      <c r="B1704" s="118">
        <f>ric!C1704</f>
        <v/>
      </c>
      <c r="C1704" s="125">
        <f>ric!D1704</f>
        <v/>
      </c>
      <c r="D1704" s="125" t="n"/>
      <c r="E1704" s="125" t="n"/>
      <c r="F1704" s="125" t="n"/>
      <c r="G1704" s="118">
        <f>CONCATENATE(A1704, " ",#REF!, " / ",H1704)</f>
        <v/>
      </c>
      <c r="H1704" s="118" t="n"/>
      <c r="I1704" s="119">
        <f>CONCATENATE(M1704," - ",J1704," - Lotto N° ",K1704,"")</f>
        <v/>
      </c>
      <c r="J1704" s="118" t="n"/>
      <c r="K1704" s="118">
        <f>VLOOKUP(#REF!,Produzione,7,FALSE)</f>
        <v/>
      </c>
      <c r="L1704" s="120" t="n"/>
      <c r="M1704" s="120" t="n"/>
      <c r="N1704" s="118" t="n"/>
      <c r="O1704" s="121" t="n"/>
      <c r="P1704" s="121" t="n"/>
      <c r="Q1704" s="166">
        <f>TODAY()</f>
        <v/>
      </c>
      <c r="R1704" s="165">
        <f>ElencoProdotti[[#This Row],[PRODUZIONE]]+20</f>
        <v/>
      </c>
      <c r="S1704" s="165">
        <f>TODAY()</f>
        <v/>
      </c>
      <c r="T1704" s="133">
        <f>CONCATENATE(A1704," - contiene allergni - prodotto il giorno ",TEXT(Q1704,"gg/mm/aaaa"),"")</f>
        <v/>
      </c>
    </row>
    <row r="1705" ht="15" customHeight="1" s="155">
      <c r="A1705" s="134">
        <f>ric!B1705</f>
        <v/>
      </c>
      <c r="B1705" s="118">
        <f>ric!C1705</f>
        <v/>
      </c>
      <c r="C1705" s="125">
        <f>ric!D1705</f>
        <v/>
      </c>
      <c r="D1705" s="125" t="n"/>
      <c r="E1705" s="125" t="n"/>
      <c r="F1705" s="125" t="n"/>
      <c r="G1705" s="118">
        <f>CONCATENATE(A1705, " ",#REF!, " / ",H1705)</f>
        <v/>
      </c>
      <c r="H1705" s="118" t="n"/>
      <c r="I1705" s="119">
        <f>CONCATENATE(M1705," - ",J1705," - Lotto N° ",K1705,"")</f>
        <v/>
      </c>
      <c r="J1705" s="118" t="n"/>
      <c r="K1705" s="118">
        <f>VLOOKUP(#REF!,Produzione,7,FALSE)</f>
        <v/>
      </c>
      <c r="L1705" s="120" t="n"/>
      <c r="M1705" s="120" t="n"/>
      <c r="N1705" s="118" t="n"/>
      <c r="O1705" s="121" t="n"/>
      <c r="P1705" s="121" t="n"/>
      <c r="Q1705" s="166">
        <f>TODAY()</f>
        <v/>
      </c>
      <c r="R1705" s="165">
        <f>ElencoProdotti[[#This Row],[PRODUZIONE]]+20</f>
        <v/>
      </c>
      <c r="S1705" s="165">
        <f>TODAY()</f>
        <v/>
      </c>
      <c r="T1705" s="133">
        <f>CONCATENATE(A1705," - contiene allergni - prodotto il giorno ",TEXT(Q1705,"gg/mm/aaaa"),"")</f>
        <v/>
      </c>
    </row>
    <row r="1706" ht="15" customHeight="1" s="155">
      <c r="A1706" s="134">
        <f>ric!B1706</f>
        <v/>
      </c>
      <c r="B1706" s="118">
        <f>ric!C1706</f>
        <v/>
      </c>
      <c r="C1706" s="125">
        <f>ric!D1706</f>
        <v/>
      </c>
      <c r="D1706" s="125" t="n"/>
      <c r="E1706" s="125" t="n"/>
      <c r="F1706" s="125" t="n"/>
      <c r="G1706" s="118">
        <f>CONCATENATE(A1706, " ",#REF!, " / ",H1706)</f>
        <v/>
      </c>
      <c r="H1706" s="118" t="n"/>
      <c r="I1706" s="119">
        <f>CONCATENATE(M1706," - ",J1706," - Lotto N° ",K1706,"")</f>
        <v/>
      </c>
      <c r="J1706" s="118" t="n"/>
      <c r="K1706" s="118">
        <f>VLOOKUP(#REF!,Produzione,7,FALSE)</f>
        <v/>
      </c>
      <c r="L1706" s="120" t="n"/>
      <c r="M1706" s="120" t="n"/>
      <c r="N1706" s="118" t="n"/>
      <c r="O1706" s="121" t="n"/>
      <c r="P1706" s="121" t="n"/>
      <c r="Q1706" s="166">
        <f>TODAY()</f>
        <v/>
      </c>
      <c r="R1706" s="165">
        <f>ElencoProdotti[[#This Row],[PRODUZIONE]]+20</f>
        <v/>
      </c>
      <c r="S1706" s="165">
        <f>TODAY()</f>
        <v/>
      </c>
      <c r="T1706" s="133">
        <f>CONCATENATE(A1706," - contiene allergni - prodotto il giorno ",TEXT(Q1706,"gg/mm/aaaa"),"")</f>
        <v/>
      </c>
    </row>
    <row r="1707" ht="15" customHeight="1" s="155">
      <c r="A1707" s="134">
        <f>ric!B1707</f>
        <v/>
      </c>
      <c r="B1707" s="118">
        <f>ric!C1707</f>
        <v/>
      </c>
      <c r="C1707" s="125">
        <f>ric!D1707</f>
        <v/>
      </c>
      <c r="D1707" s="125" t="n"/>
      <c r="E1707" s="125" t="n"/>
      <c r="F1707" s="125" t="n"/>
      <c r="G1707" s="118">
        <f>CONCATENATE(A1707, " ",#REF!, " / ",H1707)</f>
        <v/>
      </c>
      <c r="H1707" s="118" t="n"/>
      <c r="I1707" s="119">
        <f>CONCATENATE(M1707," - ",J1707," - Lotto N° ",K1707,"")</f>
        <v/>
      </c>
      <c r="J1707" s="118" t="n"/>
      <c r="K1707" s="118">
        <f>VLOOKUP(#REF!,Produzione,7,FALSE)</f>
        <v/>
      </c>
      <c r="L1707" s="120" t="n"/>
      <c r="M1707" s="120" t="n"/>
      <c r="N1707" s="118" t="n"/>
      <c r="O1707" s="121" t="n"/>
      <c r="P1707" s="121" t="n"/>
      <c r="Q1707" s="166">
        <f>TODAY()</f>
        <v/>
      </c>
      <c r="R1707" s="165">
        <f>ElencoProdotti[[#This Row],[PRODUZIONE]]+20</f>
        <v/>
      </c>
      <c r="S1707" s="165">
        <f>TODAY()</f>
        <v/>
      </c>
      <c r="T1707" s="133">
        <f>CONCATENATE(A1707," - contiene allergni - prodotto il giorno ",TEXT(Q1707,"gg/mm/aaaa"),"")</f>
        <v/>
      </c>
    </row>
    <row r="1708" ht="15" customHeight="1" s="155">
      <c r="A1708" s="134">
        <f>ric!B1708</f>
        <v/>
      </c>
      <c r="B1708" s="118">
        <f>ric!C1708</f>
        <v/>
      </c>
      <c r="C1708" s="125">
        <f>ric!D1708</f>
        <v/>
      </c>
      <c r="D1708" s="125" t="n"/>
      <c r="E1708" s="125" t="n"/>
      <c r="F1708" s="125" t="n"/>
      <c r="G1708" s="118">
        <f>CONCATENATE(A1708, " ",#REF!, " / ",H1708)</f>
        <v/>
      </c>
      <c r="H1708" s="118" t="n"/>
      <c r="I1708" s="119">
        <f>CONCATENATE(M1708," - ",J1708," - Lotto N° ",K1708,"")</f>
        <v/>
      </c>
      <c r="J1708" s="118" t="n"/>
      <c r="K1708" s="118">
        <f>VLOOKUP(#REF!,Produzione,7,FALSE)</f>
        <v/>
      </c>
      <c r="L1708" s="120" t="n"/>
      <c r="M1708" s="120" t="n"/>
      <c r="N1708" s="118" t="n"/>
      <c r="O1708" s="121" t="n"/>
      <c r="P1708" s="121" t="n"/>
      <c r="Q1708" s="166">
        <f>TODAY()</f>
        <v/>
      </c>
      <c r="R1708" s="165">
        <f>ElencoProdotti[[#This Row],[PRODUZIONE]]+20</f>
        <v/>
      </c>
      <c r="S1708" s="165">
        <f>TODAY()</f>
        <v/>
      </c>
      <c r="T1708" s="133">
        <f>CONCATENATE(A1708," - contiene allergni - prodotto il giorno ",TEXT(Q1708,"gg/mm/aaaa"),"")</f>
        <v/>
      </c>
    </row>
    <row r="1709" ht="15" customHeight="1" s="155">
      <c r="A1709" s="135">
        <f>ric!B1709</f>
        <v/>
      </c>
      <c r="B1709" s="126">
        <f>ric!C1709</f>
        <v/>
      </c>
      <c r="C1709" s="125">
        <f>ric!D1709</f>
        <v/>
      </c>
      <c r="D1709" s="125" t="n"/>
      <c r="E1709" s="125" t="n"/>
      <c r="F1709" s="125" t="n"/>
      <c r="G1709" s="126">
        <f>CONCATENATE(A1709, " ",#REF!, " / ",H1709)</f>
        <v/>
      </c>
      <c r="H1709" s="126" t="n"/>
      <c r="I1709" s="127">
        <f>CONCATENATE(M1709," - ",J1709," - Lotto N° ",K1709,"")</f>
        <v/>
      </c>
      <c r="J1709" s="126" t="n"/>
      <c r="K1709" s="126">
        <f>VLOOKUP(#REF!,Produzione,7,FALSE)</f>
        <v/>
      </c>
      <c r="L1709" s="128" t="n"/>
      <c r="M1709" s="128" t="n"/>
      <c r="N1709" s="126" t="n"/>
      <c r="O1709" s="129" t="n"/>
      <c r="P1709" s="129" t="n"/>
      <c r="Q1709" s="167">
        <f>TODAY()</f>
        <v/>
      </c>
      <c r="R1709" s="168">
        <f>ElencoProdotti[[#This Row],[PRODUZIONE]]+20</f>
        <v/>
      </c>
      <c r="S1709" s="168">
        <f>TODAY()</f>
        <v/>
      </c>
      <c r="T1709" s="133">
        <f>CONCATENATE(A1709," - contiene allergni - prodotto il giorno ",TEXT(Q1709,"gg/mm/aaaa"),"")</f>
        <v/>
      </c>
    </row>
  </sheetData>
  <printOptions horizontalCentered="1"/>
  <pageMargins left="0.2362204724409449" right="0.2362204724409449" top="0.7480314960629921" bottom="0.7480314960629921" header="0.3149606299212598" footer="0.3149606299212598"/>
  <pageSetup orientation="landscape" paperSize="9" scale="30" fitToHeight="0"/>
  <headerFooter differentFirst="1">
    <oddHeader/>
    <oddFooter>&amp;L&amp;C&amp;R</oddFooter>
    <evenHeader/>
    <evenFooter/>
    <firstHeader/>
    <firstFooter/>
  </headerFooter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Foglio11">
    <outlinePr summaryBelow="1" summaryRight="1"/>
    <pageSetUpPr/>
  </sheetPr>
  <dimension ref="A1:R1379"/>
  <sheetViews>
    <sheetView topLeftCell="A1308" zoomScaleNormal="100" workbookViewId="0">
      <pane xSplit="2" topLeftCell="C1" activePane="topRight" state="frozen"/>
      <selection activeCell="A3" sqref="A3:A54"/>
      <selection pane="topRight" activeCell="C1330" sqref="C1330"/>
    </sheetView>
  </sheetViews>
  <sheetFormatPr baseColWidth="8" defaultColWidth="30.109375" defaultRowHeight="12"/>
  <cols>
    <col width="30.109375" customWidth="1" style="4" min="1" max="1"/>
    <col width="30.109375" customWidth="1" style="5" min="2" max="2"/>
    <col width="30.109375" customWidth="1" style="4" min="3" max="16384"/>
  </cols>
  <sheetData>
    <row r="1">
      <c r="A1" s="44" t="inlineStr">
        <is>
          <t>materie prime</t>
        </is>
      </c>
      <c r="B1" s="6" t="inlineStr">
        <is>
          <t>prodotto</t>
        </is>
      </c>
      <c r="C1" s="45" t="inlineStr">
        <is>
          <t>colonna</t>
        </is>
      </c>
      <c r="D1" s="7" t="n"/>
      <c r="E1" s="7" t="n"/>
      <c r="F1" s="7" t="n"/>
      <c r="G1" s="7" t="n"/>
      <c r="H1" s="7" t="n"/>
      <c r="I1" s="7" t="n"/>
      <c r="J1" s="7" t="n"/>
      <c r="K1" s="7" t="n"/>
      <c r="L1" s="7" t="n"/>
      <c r="M1" s="7" t="n"/>
      <c r="N1" s="7" t="n"/>
      <c r="O1" s="7" t="n"/>
      <c r="P1" s="7" t="n"/>
      <c r="Q1" s="8" t="n"/>
    </row>
    <row r="2" ht="36" customHeight="1" s="155">
      <c r="A2" s="4" t="inlineStr">
        <is>
          <t>-</t>
        </is>
      </c>
      <c r="B2" s="9" t="inlineStr">
        <is>
          <t>arancini</t>
        </is>
      </c>
      <c r="C2" s="49">
        <f>_xlfn.XLOOKUP(A3,Magazzino!$D$1:$D$1500,Magazzino!$F$1:$F$1500,"",0,1)</f>
        <v/>
      </c>
      <c r="D2" s="50">
        <f>_xlfn.XLOOKUP(A4,Magazzino!$D$1:$D$1500,Magazzino!$F$1:$F$1500,"",0,1)</f>
        <v/>
      </c>
      <c r="E2" s="50">
        <f>_xlfn.XLOOKUP(A5,Magazzino!$D$1:$D$1500,Magazzino!$F$1:$F$1500,"",0,1)</f>
        <v/>
      </c>
      <c r="F2" s="50">
        <f>_xlfn.XLOOKUP(A6,Magazzino!$D$1:$D$1500,Magazzino!$F$1:$F$1500,"",0,1)</f>
        <v/>
      </c>
      <c r="G2" s="50">
        <f>_xlfn.XLOOKUP(A7,Magazzino!$D$1:$D$1500,Magazzino!$F$1:$F$1500,"",0,1)</f>
        <v/>
      </c>
      <c r="H2" s="50">
        <f>_xlfn.XLOOKUP(A8,Magazzino!$D$1:$D$1500,Magazzino!$F$1:$F$1500,"",0,1)</f>
        <v/>
      </c>
      <c r="I2" s="50">
        <f>_xlfn.XLOOKUP(A9,Magazzino!$D$1:$D$1500,Magazzino!$F$1:$F$1500,"",0,1)</f>
        <v/>
      </c>
      <c r="J2" s="50">
        <f>_xlfn.XLOOKUP(A10,Magazzino!$D$1:$D$1500,Magazzino!$F$1:$F$1500,"",0,1)</f>
        <v/>
      </c>
      <c r="K2" s="50">
        <f>_xlfn.XLOOKUP(A11,Magazzino!$D$1:$D$1500,Magazzino!$F$1:$F$1500,"",0,1)</f>
        <v/>
      </c>
      <c r="L2" s="50">
        <f>_xlfn.XLOOKUP(A12,Magazzino!$D$1:$D$1500,Magazzino!$F$1:$F$1500,"",0,1)</f>
        <v/>
      </c>
      <c r="M2" s="50">
        <f>_xlfn.XLOOKUP(A13,Magazzino!$D$1:$D$1500,Magazzino!$F$1:$F$1500,"",0,1)</f>
        <v/>
      </c>
      <c r="N2" s="50">
        <f>_xlfn.XLOOKUP(A14,Magazzino!$D$1:$D$1500,Magazzino!$F$1:$F$1500,"",0,1)</f>
        <v/>
      </c>
      <c r="O2" s="50">
        <f>_xlfn.XLOOKUP(A15,Magazzino!$D$1:$D$1500,Magazzino!$F$1:$F$1500,"",0,1)</f>
        <v/>
      </c>
      <c r="P2" s="50">
        <f>_xlfn.XLOOKUP(A16,Magazzino!$D$1:$D$1500,Magazzino!$F$1:$F$1500,"",0,1)</f>
        <v/>
      </c>
      <c r="Q2" s="51">
        <f>_xlfn.XLOOKUP(A17,Magazzino!$D$1:$D$1500,Magazzino!$F$1:$F$1500,"",0,1)</f>
        <v/>
      </c>
    </row>
    <row r="3">
      <c r="A3" s="47" t="inlineStr">
        <is>
          <t>riso</t>
        </is>
      </c>
      <c r="B3" s="10" t="inlineStr">
        <is>
          <t>-</t>
        </is>
      </c>
      <c r="C3" s="11" t="inlineStr">
        <is>
          <t>-</t>
        </is>
      </c>
      <c r="D3" s="11" t="inlineStr">
        <is>
          <t>-</t>
        </is>
      </c>
      <c r="E3" s="11" t="inlineStr">
        <is>
          <t>-</t>
        </is>
      </c>
      <c r="F3" s="11" t="inlineStr">
        <is>
          <t>-</t>
        </is>
      </c>
      <c r="G3" s="11" t="inlineStr">
        <is>
          <t>-</t>
        </is>
      </c>
      <c r="H3" s="11" t="inlineStr">
        <is>
          <t>-</t>
        </is>
      </c>
      <c r="I3" s="11" t="inlineStr">
        <is>
          <t>-</t>
        </is>
      </c>
      <c r="J3" s="11" t="inlineStr">
        <is>
          <t>-</t>
        </is>
      </c>
      <c r="K3" s="11" t="inlineStr">
        <is>
          <t>-</t>
        </is>
      </c>
      <c r="L3" s="11" t="inlineStr">
        <is>
          <t>-</t>
        </is>
      </c>
      <c r="M3" s="11" t="inlineStr">
        <is>
          <t>-</t>
        </is>
      </c>
      <c r="N3" s="11" t="inlineStr">
        <is>
          <t>-</t>
        </is>
      </c>
      <c r="O3" s="11" t="inlineStr">
        <is>
          <t>-</t>
        </is>
      </c>
      <c r="P3" s="11" t="inlineStr">
        <is>
          <t>-</t>
        </is>
      </c>
      <c r="Q3" s="12" t="inlineStr">
        <is>
          <t>-</t>
        </is>
      </c>
    </row>
    <row r="4">
      <c r="A4" s="48" t="inlineStr">
        <is>
          <t xml:space="preserve">SALE SACCHI SALTECHNO KG.25  </t>
        </is>
      </c>
      <c r="B4" s="13" t="inlineStr">
        <is>
          <t>-</t>
        </is>
      </c>
      <c r="C4" s="14" t="inlineStr">
        <is>
          <t>-</t>
        </is>
      </c>
      <c r="D4" s="14" t="inlineStr">
        <is>
          <t>-</t>
        </is>
      </c>
      <c r="E4" s="14" t="inlineStr">
        <is>
          <t>-</t>
        </is>
      </c>
      <c r="F4" s="14" t="inlineStr">
        <is>
          <t>-</t>
        </is>
      </c>
      <c r="G4" s="14" t="inlineStr">
        <is>
          <t>-</t>
        </is>
      </c>
      <c r="H4" s="14" t="inlineStr">
        <is>
          <t>-</t>
        </is>
      </c>
      <c r="I4" s="14" t="inlineStr">
        <is>
          <t>-</t>
        </is>
      </c>
      <c r="J4" s="14" t="inlineStr">
        <is>
          <t>-</t>
        </is>
      </c>
      <c r="K4" s="14" t="inlineStr">
        <is>
          <t>-</t>
        </is>
      </c>
      <c r="L4" s="14" t="inlineStr">
        <is>
          <t>-</t>
        </is>
      </c>
      <c r="M4" s="14" t="inlineStr">
        <is>
          <t>-</t>
        </is>
      </c>
      <c r="N4" s="14" t="inlineStr">
        <is>
          <t>-</t>
        </is>
      </c>
      <c r="O4" s="14" t="inlineStr">
        <is>
          <t>-</t>
        </is>
      </c>
      <c r="P4" s="14" t="inlineStr">
        <is>
          <t>-</t>
        </is>
      </c>
      <c r="Q4" s="15" t="inlineStr">
        <is>
          <t>-</t>
        </is>
      </c>
    </row>
    <row r="5">
      <c r="A5" s="47" t="inlineStr">
        <is>
          <t>Sedano L.F.183/A</t>
        </is>
      </c>
      <c r="B5" s="16" t="inlineStr">
        <is>
          <t>-</t>
        </is>
      </c>
      <c r="C5" s="11" t="inlineStr">
        <is>
          <t>-</t>
        </is>
      </c>
      <c r="D5" s="11" t="inlineStr">
        <is>
          <t>-</t>
        </is>
      </c>
      <c r="E5" s="11" t="inlineStr">
        <is>
          <t>-</t>
        </is>
      </c>
      <c r="F5" s="11" t="inlineStr">
        <is>
          <t>-</t>
        </is>
      </c>
      <c r="G5" s="11" t="inlineStr">
        <is>
          <t>-</t>
        </is>
      </c>
      <c r="H5" s="11" t="inlineStr">
        <is>
          <t>-</t>
        </is>
      </c>
      <c r="I5" s="11" t="inlineStr">
        <is>
          <t>-</t>
        </is>
      </c>
      <c r="J5" s="11" t="inlineStr">
        <is>
          <t>-</t>
        </is>
      </c>
      <c r="K5" s="11" t="inlineStr">
        <is>
          <t>-</t>
        </is>
      </c>
      <c r="L5" s="11" t="inlineStr">
        <is>
          <t>-</t>
        </is>
      </c>
      <c r="M5" s="11" t="inlineStr">
        <is>
          <t>-</t>
        </is>
      </c>
      <c r="N5" s="11" t="inlineStr">
        <is>
          <t>-</t>
        </is>
      </c>
      <c r="O5" s="11" t="inlineStr">
        <is>
          <t>-</t>
        </is>
      </c>
      <c r="P5" s="11" t="inlineStr">
        <is>
          <t>-</t>
        </is>
      </c>
      <c r="Q5" s="12" t="inlineStr">
        <is>
          <t>-</t>
        </is>
      </c>
    </row>
    <row r="6">
      <c r="A6" s="48" t="inlineStr">
        <is>
          <t>carote</t>
        </is>
      </c>
      <c r="B6" s="13" t="inlineStr">
        <is>
          <t>-</t>
        </is>
      </c>
      <c r="C6" s="14" t="inlineStr">
        <is>
          <t>-</t>
        </is>
      </c>
      <c r="D6" s="14" t="inlineStr">
        <is>
          <t>-</t>
        </is>
      </c>
      <c r="E6" s="14" t="inlineStr">
        <is>
          <t>-</t>
        </is>
      </c>
      <c r="F6" s="14" t="inlineStr">
        <is>
          <t>-</t>
        </is>
      </c>
      <c r="G6" s="14" t="inlineStr">
        <is>
          <t>-</t>
        </is>
      </c>
      <c r="H6" s="14" t="inlineStr">
        <is>
          <t>-</t>
        </is>
      </c>
      <c r="I6" s="14" t="inlineStr">
        <is>
          <t>-</t>
        </is>
      </c>
      <c r="J6" s="14" t="inlineStr">
        <is>
          <t>-</t>
        </is>
      </c>
      <c r="K6" s="14" t="inlineStr">
        <is>
          <t>-</t>
        </is>
      </c>
      <c r="L6" s="14" t="inlineStr">
        <is>
          <t>-</t>
        </is>
      </c>
      <c r="M6" s="14" t="inlineStr">
        <is>
          <t>-</t>
        </is>
      </c>
      <c r="N6" s="14" t="inlineStr">
        <is>
          <t>-</t>
        </is>
      </c>
      <c r="O6" s="14" t="inlineStr">
        <is>
          <t>-</t>
        </is>
      </c>
      <c r="P6" s="14" t="inlineStr">
        <is>
          <t>-</t>
        </is>
      </c>
      <c r="Q6" s="15" t="inlineStr">
        <is>
          <t>-</t>
        </is>
      </c>
    </row>
    <row r="7">
      <c r="A7" s="47" t="inlineStr">
        <is>
          <t>olio extravergine oliva</t>
        </is>
      </c>
      <c r="B7" s="16" t="inlineStr">
        <is>
          <t>-</t>
        </is>
      </c>
      <c r="C7" s="11" t="inlineStr">
        <is>
          <t>-</t>
        </is>
      </c>
      <c r="D7" s="11" t="inlineStr">
        <is>
          <t>-</t>
        </is>
      </c>
      <c r="E7" s="11" t="inlineStr">
        <is>
          <t>-</t>
        </is>
      </c>
      <c r="F7" s="11" t="inlineStr">
        <is>
          <t>-</t>
        </is>
      </c>
      <c r="G7" s="11" t="inlineStr">
        <is>
          <t>-</t>
        </is>
      </c>
      <c r="H7" s="11" t="inlineStr">
        <is>
          <t>-</t>
        </is>
      </c>
      <c r="I7" s="11" t="inlineStr">
        <is>
          <t>-</t>
        </is>
      </c>
      <c r="J7" s="11" t="inlineStr">
        <is>
          <t>-</t>
        </is>
      </c>
      <c r="K7" s="11" t="inlineStr">
        <is>
          <t>-</t>
        </is>
      </c>
      <c r="L7" s="11" t="inlineStr">
        <is>
          <t>-</t>
        </is>
      </c>
      <c r="M7" s="11" t="inlineStr">
        <is>
          <t>-</t>
        </is>
      </c>
      <c r="N7" s="11" t="inlineStr">
        <is>
          <t>-</t>
        </is>
      </c>
      <c r="O7" s="11" t="inlineStr">
        <is>
          <t>-</t>
        </is>
      </c>
      <c r="P7" s="11" t="inlineStr">
        <is>
          <t>-</t>
        </is>
      </c>
      <c r="Q7" s="12" t="inlineStr">
        <is>
          <t>-</t>
        </is>
      </c>
    </row>
    <row r="8">
      <c r="A8" s="4" t="inlineStr">
        <is>
          <t>-</t>
        </is>
      </c>
      <c r="B8" s="13" t="inlineStr">
        <is>
          <t>-</t>
        </is>
      </c>
      <c r="C8" s="14" t="inlineStr">
        <is>
          <t>-</t>
        </is>
      </c>
      <c r="D8" s="14" t="inlineStr">
        <is>
          <t>-</t>
        </is>
      </c>
      <c r="E8" s="14" t="inlineStr">
        <is>
          <t>-</t>
        </is>
      </c>
      <c r="F8" s="14" t="inlineStr">
        <is>
          <t>-</t>
        </is>
      </c>
      <c r="G8" s="14" t="inlineStr">
        <is>
          <t>-</t>
        </is>
      </c>
      <c r="H8" s="14" t="inlineStr">
        <is>
          <t>-</t>
        </is>
      </c>
      <c r="I8" s="14" t="inlineStr">
        <is>
          <t>-</t>
        </is>
      </c>
      <c r="J8" s="14" t="inlineStr">
        <is>
          <t>-</t>
        </is>
      </c>
      <c r="K8" s="14" t="inlineStr">
        <is>
          <t>-</t>
        </is>
      </c>
      <c r="L8" s="14" t="inlineStr">
        <is>
          <t>-</t>
        </is>
      </c>
      <c r="M8" s="14" t="inlineStr">
        <is>
          <t>-</t>
        </is>
      </c>
      <c r="N8" s="14" t="inlineStr">
        <is>
          <t>-</t>
        </is>
      </c>
      <c r="O8" s="14" t="inlineStr">
        <is>
          <t>-</t>
        </is>
      </c>
      <c r="P8" s="14" t="inlineStr">
        <is>
          <t>-</t>
        </is>
      </c>
      <c r="Q8" s="15" t="inlineStr">
        <is>
          <t>-</t>
        </is>
      </c>
    </row>
    <row r="9">
      <c r="A9" s="4" t="inlineStr">
        <is>
          <t>-</t>
        </is>
      </c>
      <c r="B9" s="16" t="inlineStr">
        <is>
          <t>-</t>
        </is>
      </c>
      <c r="C9" s="11" t="inlineStr">
        <is>
          <t>-</t>
        </is>
      </c>
      <c r="D9" s="11" t="inlineStr">
        <is>
          <t>-</t>
        </is>
      </c>
      <c r="E9" s="11" t="inlineStr">
        <is>
          <t>-</t>
        </is>
      </c>
      <c r="F9" s="11" t="inlineStr">
        <is>
          <t>-</t>
        </is>
      </c>
      <c r="G9" s="11" t="inlineStr">
        <is>
          <t>-</t>
        </is>
      </c>
      <c r="H9" s="11" t="inlineStr">
        <is>
          <t>-</t>
        </is>
      </c>
      <c r="I9" s="11" t="inlineStr">
        <is>
          <t>-</t>
        </is>
      </c>
      <c r="J9" s="11" t="inlineStr">
        <is>
          <t>-</t>
        </is>
      </c>
      <c r="K9" s="11" t="inlineStr">
        <is>
          <t>-</t>
        </is>
      </c>
      <c r="L9" s="11" t="inlineStr">
        <is>
          <t>-</t>
        </is>
      </c>
      <c r="M9" s="11" t="inlineStr">
        <is>
          <t>-</t>
        </is>
      </c>
      <c r="N9" s="11" t="inlineStr">
        <is>
          <t>-</t>
        </is>
      </c>
      <c r="O9" s="11" t="inlineStr">
        <is>
          <t>-</t>
        </is>
      </c>
      <c r="P9" s="11" t="inlineStr">
        <is>
          <t>-</t>
        </is>
      </c>
      <c r="Q9" s="12" t="inlineStr">
        <is>
          <t>-</t>
        </is>
      </c>
    </row>
    <row r="10">
      <c r="A10" s="4" t="inlineStr">
        <is>
          <t>-</t>
        </is>
      </c>
      <c r="B10" s="13" t="inlineStr">
        <is>
          <t>-</t>
        </is>
      </c>
      <c r="C10" s="14" t="inlineStr">
        <is>
          <t>-</t>
        </is>
      </c>
      <c r="D10" s="14" t="inlineStr">
        <is>
          <t>-</t>
        </is>
      </c>
      <c r="E10" s="14" t="inlineStr">
        <is>
          <t>-</t>
        </is>
      </c>
      <c r="F10" s="14" t="inlineStr">
        <is>
          <t>-</t>
        </is>
      </c>
      <c r="G10" s="14" t="inlineStr">
        <is>
          <t>-</t>
        </is>
      </c>
      <c r="H10" s="14" t="inlineStr">
        <is>
          <t>-</t>
        </is>
      </c>
      <c r="I10" s="14" t="inlineStr">
        <is>
          <t>-</t>
        </is>
      </c>
      <c r="J10" s="14" t="inlineStr">
        <is>
          <t>-</t>
        </is>
      </c>
      <c r="K10" s="14" t="inlineStr">
        <is>
          <t>-</t>
        </is>
      </c>
      <c r="L10" s="14" t="inlineStr">
        <is>
          <t>-</t>
        </is>
      </c>
      <c r="M10" s="14" t="inlineStr">
        <is>
          <t>-</t>
        </is>
      </c>
      <c r="N10" s="14" t="inlineStr">
        <is>
          <t>-</t>
        </is>
      </c>
      <c r="O10" s="14" t="inlineStr">
        <is>
          <t>-</t>
        </is>
      </c>
      <c r="P10" s="14" t="inlineStr">
        <is>
          <t>-</t>
        </is>
      </c>
      <c r="Q10" s="15" t="inlineStr">
        <is>
          <t>-</t>
        </is>
      </c>
    </row>
    <row r="11">
      <c r="A11" s="4" t="inlineStr">
        <is>
          <t>-</t>
        </is>
      </c>
      <c r="B11" s="16" t="inlineStr">
        <is>
          <t>-</t>
        </is>
      </c>
      <c r="C11" s="11" t="inlineStr">
        <is>
          <t>-</t>
        </is>
      </c>
      <c r="D11" s="11" t="inlineStr">
        <is>
          <t>-</t>
        </is>
      </c>
      <c r="E11" s="11" t="inlineStr">
        <is>
          <t>-</t>
        </is>
      </c>
      <c r="F11" s="11" t="inlineStr">
        <is>
          <t>-</t>
        </is>
      </c>
      <c r="G11" s="11" t="inlineStr">
        <is>
          <t>-</t>
        </is>
      </c>
      <c r="H11" s="11" t="inlineStr">
        <is>
          <t>-</t>
        </is>
      </c>
      <c r="I11" s="11" t="inlineStr">
        <is>
          <t>-</t>
        </is>
      </c>
      <c r="J11" s="11" t="inlineStr">
        <is>
          <t>-</t>
        </is>
      </c>
      <c r="K11" s="11" t="inlineStr">
        <is>
          <t>-</t>
        </is>
      </c>
      <c r="L11" s="11" t="inlineStr">
        <is>
          <t>-</t>
        </is>
      </c>
      <c r="M11" s="11" t="inlineStr">
        <is>
          <t>-</t>
        </is>
      </c>
      <c r="N11" s="11" t="inlineStr">
        <is>
          <t>-</t>
        </is>
      </c>
      <c r="O11" s="11" t="inlineStr">
        <is>
          <t>-</t>
        </is>
      </c>
      <c r="P11" s="11" t="inlineStr">
        <is>
          <t>-</t>
        </is>
      </c>
      <c r="Q11" s="12" t="inlineStr">
        <is>
          <t>-</t>
        </is>
      </c>
    </row>
    <row r="12">
      <c r="A12" s="4" t="inlineStr">
        <is>
          <t>-</t>
        </is>
      </c>
      <c r="B12" s="13" t="inlineStr">
        <is>
          <t>-</t>
        </is>
      </c>
      <c r="C12" s="14" t="inlineStr">
        <is>
          <t>-</t>
        </is>
      </c>
      <c r="D12" s="14" t="inlineStr">
        <is>
          <t>-</t>
        </is>
      </c>
      <c r="E12" s="14" t="inlineStr">
        <is>
          <t>-</t>
        </is>
      </c>
      <c r="F12" s="14" t="inlineStr">
        <is>
          <t>-</t>
        </is>
      </c>
      <c r="G12" s="14" t="inlineStr">
        <is>
          <t>-</t>
        </is>
      </c>
      <c r="H12" s="14" t="inlineStr">
        <is>
          <t>-</t>
        </is>
      </c>
      <c r="I12" s="14" t="inlineStr">
        <is>
          <t>-</t>
        </is>
      </c>
      <c r="J12" s="14" t="inlineStr">
        <is>
          <t>-</t>
        </is>
      </c>
      <c r="K12" s="14" t="inlineStr">
        <is>
          <t>-</t>
        </is>
      </c>
      <c r="L12" s="14" t="inlineStr">
        <is>
          <t>-</t>
        </is>
      </c>
      <c r="M12" s="14" t="inlineStr">
        <is>
          <t>-</t>
        </is>
      </c>
      <c r="N12" s="14" t="inlineStr">
        <is>
          <t>-</t>
        </is>
      </c>
      <c r="O12" s="14" t="inlineStr">
        <is>
          <t>-</t>
        </is>
      </c>
      <c r="P12" s="14" t="inlineStr">
        <is>
          <t>-</t>
        </is>
      </c>
      <c r="Q12" s="15" t="inlineStr">
        <is>
          <t>-</t>
        </is>
      </c>
    </row>
    <row r="13">
      <c r="A13" s="4" t="inlineStr">
        <is>
          <t>-</t>
        </is>
      </c>
      <c r="B13" s="16" t="inlineStr">
        <is>
          <t>-</t>
        </is>
      </c>
      <c r="C13" s="11" t="inlineStr">
        <is>
          <t>-</t>
        </is>
      </c>
      <c r="D13" s="11" t="inlineStr">
        <is>
          <t>-</t>
        </is>
      </c>
      <c r="E13" s="11" t="inlineStr">
        <is>
          <t>-</t>
        </is>
      </c>
      <c r="F13" s="11" t="inlineStr">
        <is>
          <t>-</t>
        </is>
      </c>
      <c r="G13" s="11" t="inlineStr">
        <is>
          <t>-</t>
        </is>
      </c>
      <c r="H13" s="11" t="inlineStr">
        <is>
          <t>-</t>
        </is>
      </c>
      <c r="I13" s="11" t="inlineStr">
        <is>
          <t>-</t>
        </is>
      </c>
      <c r="J13" s="11" t="inlineStr">
        <is>
          <t>-</t>
        </is>
      </c>
      <c r="K13" s="11" t="inlineStr">
        <is>
          <t>-</t>
        </is>
      </c>
      <c r="L13" s="11" t="inlineStr">
        <is>
          <t>-</t>
        </is>
      </c>
      <c r="M13" s="11" t="inlineStr">
        <is>
          <t>-</t>
        </is>
      </c>
      <c r="N13" s="11" t="inlineStr">
        <is>
          <t>-</t>
        </is>
      </c>
      <c r="O13" s="11" t="inlineStr">
        <is>
          <t>-</t>
        </is>
      </c>
      <c r="P13" s="11" t="inlineStr">
        <is>
          <t>-</t>
        </is>
      </c>
      <c r="Q13" s="12" t="inlineStr">
        <is>
          <t>-</t>
        </is>
      </c>
    </row>
    <row r="14">
      <c r="A14" s="4" t="inlineStr">
        <is>
          <t>-</t>
        </is>
      </c>
      <c r="B14" s="13" t="inlineStr">
        <is>
          <t>-</t>
        </is>
      </c>
      <c r="C14" s="14" t="inlineStr">
        <is>
          <t>-</t>
        </is>
      </c>
      <c r="D14" s="14" t="inlineStr">
        <is>
          <t>-</t>
        </is>
      </c>
      <c r="E14" s="14" t="inlineStr">
        <is>
          <t>-</t>
        </is>
      </c>
      <c r="F14" s="14" t="inlineStr">
        <is>
          <t>-</t>
        </is>
      </c>
      <c r="G14" s="14" t="inlineStr">
        <is>
          <t>-</t>
        </is>
      </c>
      <c r="H14" s="14" t="inlineStr">
        <is>
          <t>-</t>
        </is>
      </c>
      <c r="I14" s="14" t="inlineStr">
        <is>
          <t>-</t>
        </is>
      </c>
      <c r="J14" s="14" t="inlineStr">
        <is>
          <t>-</t>
        </is>
      </c>
      <c r="K14" s="14" t="inlineStr">
        <is>
          <t>-</t>
        </is>
      </c>
      <c r="L14" s="14" t="inlineStr">
        <is>
          <t>-</t>
        </is>
      </c>
      <c r="M14" s="14" t="inlineStr">
        <is>
          <t>-</t>
        </is>
      </c>
      <c r="N14" s="14" t="inlineStr">
        <is>
          <t>-</t>
        </is>
      </c>
      <c r="O14" s="14" t="inlineStr">
        <is>
          <t>-</t>
        </is>
      </c>
      <c r="P14" s="14" t="inlineStr">
        <is>
          <t>-</t>
        </is>
      </c>
      <c r="Q14" s="15" t="inlineStr">
        <is>
          <t>-</t>
        </is>
      </c>
    </row>
    <row r="15">
      <c r="A15" s="4" t="inlineStr">
        <is>
          <t>-</t>
        </is>
      </c>
      <c r="B15" s="16" t="inlineStr">
        <is>
          <t>-</t>
        </is>
      </c>
      <c r="C15" s="11" t="inlineStr">
        <is>
          <t>-</t>
        </is>
      </c>
      <c r="D15" s="11" t="inlineStr">
        <is>
          <t>-</t>
        </is>
      </c>
      <c r="E15" s="11" t="inlineStr">
        <is>
          <t>-</t>
        </is>
      </c>
      <c r="F15" s="11" t="inlineStr">
        <is>
          <t>-</t>
        </is>
      </c>
      <c r="G15" s="11" t="inlineStr">
        <is>
          <t>-</t>
        </is>
      </c>
      <c r="H15" s="11" t="inlineStr">
        <is>
          <t>-</t>
        </is>
      </c>
      <c r="I15" s="11" t="inlineStr">
        <is>
          <t>-</t>
        </is>
      </c>
      <c r="J15" s="11" t="inlineStr">
        <is>
          <t>-</t>
        </is>
      </c>
      <c r="K15" s="11" t="inlineStr">
        <is>
          <t>-</t>
        </is>
      </c>
      <c r="L15" s="11" t="inlineStr">
        <is>
          <t>-</t>
        </is>
      </c>
      <c r="M15" s="11" t="inlineStr">
        <is>
          <t>-</t>
        </is>
      </c>
      <c r="N15" s="11" t="inlineStr">
        <is>
          <t>-</t>
        </is>
      </c>
      <c r="O15" s="11" t="inlineStr">
        <is>
          <t>-</t>
        </is>
      </c>
      <c r="P15" s="11" t="inlineStr">
        <is>
          <t>-</t>
        </is>
      </c>
      <c r="Q15" s="12" t="inlineStr">
        <is>
          <t>-</t>
        </is>
      </c>
    </row>
    <row r="16">
      <c r="A16" s="4" t="inlineStr">
        <is>
          <t>-</t>
        </is>
      </c>
      <c r="B16" s="13" t="inlineStr">
        <is>
          <t>-</t>
        </is>
      </c>
      <c r="C16" s="14" t="inlineStr">
        <is>
          <t>-</t>
        </is>
      </c>
      <c r="D16" s="14" t="inlineStr">
        <is>
          <t>-</t>
        </is>
      </c>
      <c r="E16" s="14" t="inlineStr">
        <is>
          <t>-</t>
        </is>
      </c>
      <c r="F16" s="14" t="inlineStr">
        <is>
          <t>-</t>
        </is>
      </c>
      <c r="G16" s="14" t="inlineStr">
        <is>
          <t>-</t>
        </is>
      </c>
      <c r="H16" s="14" t="inlineStr">
        <is>
          <t>-</t>
        </is>
      </c>
      <c r="I16" s="14" t="inlineStr">
        <is>
          <t>-</t>
        </is>
      </c>
      <c r="J16" s="14" t="inlineStr">
        <is>
          <t>-</t>
        </is>
      </c>
      <c r="K16" s="14" t="inlineStr">
        <is>
          <t>-</t>
        </is>
      </c>
      <c r="L16" s="14" t="inlineStr">
        <is>
          <t>-</t>
        </is>
      </c>
      <c r="M16" s="14" t="inlineStr">
        <is>
          <t>-</t>
        </is>
      </c>
      <c r="N16" s="14" t="inlineStr">
        <is>
          <t>-</t>
        </is>
      </c>
      <c r="O16" s="14" t="inlineStr">
        <is>
          <t>-</t>
        </is>
      </c>
      <c r="P16" s="14" t="inlineStr">
        <is>
          <t>-</t>
        </is>
      </c>
      <c r="Q16" s="15" t="inlineStr">
        <is>
          <t>-</t>
        </is>
      </c>
    </row>
    <row r="17">
      <c r="A17" s="4" t="inlineStr">
        <is>
          <t>-</t>
        </is>
      </c>
      <c r="B17" s="16" t="inlineStr">
        <is>
          <t>-</t>
        </is>
      </c>
      <c r="C17" s="11" t="inlineStr">
        <is>
          <t>-</t>
        </is>
      </c>
      <c r="D17" s="11" t="inlineStr">
        <is>
          <t>-</t>
        </is>
      </c>
      <c r="E17" s="11" t="inlineStr">
        <is>
          <t>-</t>
        </is>
      </c>
      <c r="F17" s="11" t="inlineStr">
        <is>
          <t>-</t>
        </is>
      </c>
      <c r="G17" s="11" t="inlineStr">
        <is>
          <t>-</t>
        </is>
      </c>
      <c r="H17" s="11" t="inlineStr">
        <is>
          <t>-</t>
        </is>
      </c>
      <c r="I17" s="11" t="inlineStr">
        <is>
          <t>-</t>
        </is>
      </c>
      <c r="J17" s="11" t="inlineStr">
        <is>
          <t>-</t>
        </is>
      </c>
      <c r="K17" s="11" t="inlineStr">
        <is>
          <t>-</t>
        </is>
      </c>
      <c r="L17" s="11" t="inlineStr">
        <is>
          <t>-</t>
        </is>
      </c>
      <c r="M17" s="11" t="inlineStr">
        <is>
          <t>-</t>
        </is>
      </c>
      <c r="N17" s="11" t="inlineStr">
        <is>
          <t>-</t>
        </is>
      </c>
      <c r="O17" s="11" t="inlineStr">
        <is>
          <t>-</t>
        </is>
      </c>
      <c r="P17" s="11" t="inlineStr">
        <is>
          <t>-</t>
        </is>
      </c>
      <c r="Q17" s="12" t="inlineStr">
        <is>
          <t>-</t>
        </is>
      </c>
    </row>
    <row r="18" ht="36" customHeight="1" s="155">
      <c r="B18" s="9" t="inlineStr">
        <is>
          <t>crocche</t>
        </is>
      </c>
      <c r="C18" s="49">
        <f>_xlfn.XLOOKUP(A19,Magazzino!$D$1:$D$1500,Magazzino!$F$1:$F$1500,"",0,1)</f>
        <v/>
      </c>
      <c r="D18" s="50">
        <f>_xlfn.XLOOKUP(A20,Magazzino!$D$1:$D$1500,Magazzino!$F$1:$F$1500,"",0,1)</f>
        <v/>
      </c>
      <c r="E18" s="50">
        <f>_xlfn.XLOOKUP(A21,Magazzino!$D$1:$D$1500,Magazzino!$F$1:$F$1500,"",0,1)</f>
        <v/>
      </c>
      <c r="F18" s="50">
        <f>_xlfn.XLOOKUP(A22,Magazzino!$D$1:$D$1500,Magazzino!$F$1:$F$1500,"",0,1)</f>
        <v/>
      </c>
      <c r="G18" s="50">
        <f>_xlfn.XLOOKUP(A23,Magazzino!$D$1:$D$1500,Magazzino!$F$1:$F$1500,"",0,1)</f>
        <v/>
      </c>
      <c r="H18" s="50">
        <f>_xlfn.XLOOKUP(A24,Magazzino!$D$1:$D$1500,Magazzino!$F$1:$F$1500,"",0,1)</f>
        <v/>
      </c>
      <c r="I18" s="50">
        <f>_xlfn.XLOOKUP(A25,Magazzino!$D$1:$D$1500,Magazzino!$F$1:$F$1500,"",0,1)</f>
        <v/>
      </c>
      <c r="J18" s="50">
        <f>_xlfn.XLOOKUP(A26,Magazzino!$D$1:$D$1500,Magazzino!$F$1:$F$1500,"",0,1)</f>
        <v/>
      </c>
      <c r="K18" s="50">
        <f>_xlfn.XLOOKUP(A27,Magazzino!$D$1:$D$1500,Magazzino!$F$1:$F$1500,"",0,1)</f>
        <v/>
      </c>
      <c r="L18" s="50">
        <f>_xlfn.XLOOKUP(A28,Magazzino!$D$1:$D$1500,Magazzino!$F$1:$F$1500,"",0,1)</f>
        <v/>
      </c>
      <c r="M18" s="50">
        <f>_xlfn.XLOOKUP(A29,Magazzino!$D$1:$D$1500,Magazzino!$F$1:$F$1500,"",0,1)</f>
        <v/>
      </c>
      <c r="N18" s="50">
        <f>_xlfn.XLOOKUP(A30,Magazzino!$D$1:$D$1500,Magazzino!$F$1:$F$1500,"",0,1)</f>
        <v/>
      </c>
      <c r="O18" s="50">
        <f>_xlfn.XLOOKUP(A31,Magazzino!$D$1:$D$1500,Magazzino!$F$1:$F$1500,"",0,1)</f>
        <v/>
      </c>
      <c r="P18" s="50">
        <f>_xlfn.XLOOKUP(A32,Magazzino!$D$1:$D$1500,Magazzino!$F$1:$F$1500,"",0,1)</f>
        <v/>
      </c>
      <c r="Q18" s="51">
        <f>_xlfn.XLOOKUP(A33,Magazzino!$D$1:$D$1500,Magazzino!$F$1:$F$1500,"",0,1)</f>
        <v/>
      </c>
      <c r="R18" s="4">
        <f>_xlfn.XLOOKUP(B33,Magazzino!$D$1:$D$1500,Magazzino!$F$1:$F$1500,"",0,1)</f>
        <v/>
      </c>
    </row>
    <row r="19">
      <c r="A19" s="47" t="inlineStr">
        <is>
          <t>patata da consumo l.469/93</t>
        </is>
      </c>
      <c r="B19" s="10" t="inlineStr">
        <is>
          <t>-</t>
        </is>
      </c>
      <c r="C19" s="11" t="inlineStr">
        <is>
          <t>-</t>
        </is>
      </c>
      <c r="D19" s="11" t="inlineStr">
        <is>
          <t>-</t>
        </is>
      </c>
      <c r="E19" s="11" t="inlineStr">
        <is>
          <t>-</t>
        </is>
      </c>
      <c r="F19" s="11" t="inlineStr">
        <is>
          <t>-</t>
        </is>
      </c>
      <c r="G19" s="11" t="inlineStr">
        <is>
          <t>-</t>
        </is>
      </c>
      <c r="H19" s="11" t="inlineStr">
        <is>
          <t>-</t>
        </is>
      </c>
      <c r="I19" s="11" t="inlineStr">
        <is>
          <t>-</t>
        </is>
      </c>
      <c r="J19" s="11" t="inlineStr">
        <is>
          <t>-</t>
        </is>
      </c>
      <c r="K19" s="11" t="inlineStr">
        <is>
          <t>-</t>
        </is>
      </c>
      <c r="L19" s="11" t="inlineStr">
        <is>
          <t>-</t>
        </is>
      </c>
      <c r="M19" s="11" t="inlineStr">
        <is>
          <t>-</t>
        </is>
      </c>
      <c r="N19" s="11" t="inlineStr">
        <is>
          <t>-</t>
        </is>
      </c>
      <c r="O19" s="11" t="inlineStr">
        <is>
          <t>-</t>
        </is>
      </c>
      <c r="P19" s="11" t="inlineStr">
        <is>
          <t>-</t>
        </is>
      </c>
      <c r="Q19" s="12" t="inlineStr">
        <is>
          <t>-</t>
        </is>
      </c>
      <c r="R19" s="4">
        <f>_xlfn.XLOOKUP(B34,Magazzino!$D$1:$D$1500,Magazzino!$F$1:$F$1500,"",0,1)</f>
        <v/>
      </c>
    </row>
    <row r="20">
      <c r="A20" s="48" t="inlineStr">
        <is>
          <t xml:space="preserve">SALE SACCHI SALTECHNO KG.25  </t>
        </is>
      </c>
      <c r="B20" s="13" t="inlineStr">
        <is>
          <t>-</t>
        </is>
      </c>
      <c r="C20" s="14" t="inlineStr">
        <is>
          <t>-</t>
        </is>
      </c>
      <c r="D20" s="14" t="inlineStr">
        <is>
          <t>-</t>
        </is>
      </c>
      <c r="E20" s="14" t="inlineStr">
        <is>
          <t>-</t>
        </is>
      </c>
      <c r="F20" s="14" t="inlineStr">
        <is>
          <t>-</t>
        </is>
      </c>
      <c r="G20" s="14" t="inlineStr">
        <is>
          <t>-</t>
        </is>
      </c>
      <c r="H20" s="14" t="inlineStr">
        <is>
          <t>-</t>
        </is>
      </c>
      <c r="I20" s="14" t="inlineStr">
        <is>
          <t>-</t>
        </is>
      </c>
      <c r="J20" s="14" t="inlineStr">
        <is>
          <t>-</t>
        </is>
      </c>
      <c r="K20" s="14" t="inlineStr">
        <is>
          <t>-</t>
        </is>
      </c>
      <c r="L20" s="14" t="inlineStr">
        <is>
          <t>-</t>
        </is>
      </c>
      <c r="M20" s="14" t="inlineStr">
        <is>
          <t>-</t>
        </is>
      </c>
      <c r="N20" s="14" t="inlineStr">
        <is>
          <t>-</t>
        </is>
      </c>
      <c r="O20" s="14" t="inlineStr">
        <is>
          <t>-</t>
        </is>
      </c>
      <c r="P20" s="14" t="inlineStr">
        <is>
          <t>-</t>
        </is>
      </c>
      <c r="Q20" s="15" t="inlineStr">
        <is>
          <t>-</t>
        </is>
      </c>
    </row>
    <row r="21">
      <c r="A21" s="47" t="inlineStr">
        <is>
          <t>olio extravergine oliva</t>
        </is>
      </c>
      <c r="B21" s="16" t="inlineStr">
        <is>
          <t>-</t>
        </is>
      </c>
      <c r="C21" s="11" t="inlineStr">
        <is>
          <t>-</t>
        </is>
      </c>
      <c r="D21" s="11" t="inlineStr">
        <is>
          <t>-</t>
        </is>
      </c>
      <c r="E21" s="11" t="inlineStr">
        <is>
          <t>-</t>
        </is>
      </c>
      <c r="F21" s="11" t="inlineStr">
        <is>
          <t>-</t>
        </is>
      </c>
      <c r="G21" s="11" t="inlineStr">
        <is>
          <t>-</t>
        </is>
      </c>
      <c r="H21" s="11" t="inlineStr">
        <is>
          <t>-</t>
        </is>
      </c>
      <c r="I21" s="11" t="inlineStr">
        <is>
          <t>-</t>
        </is>
      </c>
      <c r="J21" s="11" t="inlineStr">
        <is>
          <t>-</t>
        </is>
      </c>
      <c r="K21" s="11" t="inlineStr">
        <is>
          <t>-</t>
        </is>
      </c>
      <c r="L21" s="11" t="inlineStr">
        <is>
          <t>-</t>
        </is>
      </c>
      <c r="M21" s="11" t="inlineStr">
        <is>
          <t>-</t>
        </is>
      </c>
      <c r="N21" s="11" t="inlineStr">
        <is>
          <t>-</t>
        </is>
      </c>
      <c r="O21" s="11" t="inlineStr">
        <is>
          <t>-</t>
        </is>
      </c>
      <c r="P21" s="11" t="inlineStr">
        <is>
          <t>-</t>
        </is>
      </c>
      <c r="Q21" s="12" t="inlineStr">
        <is>
          <t>-</t>
        </is>
      </c>
    </row>
    <row r="22">
      <c r="A22" s="47" t="n"/>
      <c r="B22" s="13" t="inlineStr">
        <is>
          <t>-</t>
        </is>
      </c>
      <c r="C22" s="14" t="inlineStr">
        <is>
          <t>-</t>
        </is>
      </c>
      <c r="D22" s="14" t="inlineStr">
        <is>
          <t>-</t>
        </is>
      </c>
      <c r="E22" s="14" t="inlineStr">
        <is>
          <t>-</t>
        </is>
      </c>
      <c r="F22" s="14" t="inlineStr">
        <is>
          <t>-</t>
        </is>
      </c>
      <c r="G22" s="14" t="inlineStr">
        <is>
          <t>-</t>
        </is>
      </c>
      <c r="H22" s="14" t="inlineStr">
        <is>
          <t>-</t>
        </is>
      </c>
      <c r="I22" s="14" t="inlineStr">
        <is>
          <t>-</t>
        </is>
      </c>
      <c r="J22" s="14" t="inlineStr">
        <is>
          <t>-</t>
        </is>
      </c>
      <c r="K22" s="14" t="inlineStr">
        <is>
          <t>-</t>
        </is>
      </c>
      <c r="L22" s="14" t="inlineStr">
        <is>
          <t>-</t>
        </is>
      </c>
      <c r="M22" s="14" t="inlineStr">
        <is>
          <t>-</t>
        </is>
      </c>
      <c r="N22" s="14" t="inlineStr">
        <is>
          <t>-</t>
        </is>
      </c>
      <c r="O22" s="14" t="inlineStr">
        <is>
          <t>-</t>
        </is>
      </c>
      <c r="P22" s="14" t="inlineStr">
        <is>
          <t>-</t>
        </is>
      </c>
      <c r="Q22" s="15" t="inlineStr">
        <is>
          <t>-</t>
        </is>
      </c>
    </row>
    <row r="23">
      <c r="A23" s="47" t="n"/>
      <c r="B23" s="16" t="inlineStr">
        <is>
          <t>-</t>
        </is>
      </c>
      <c r="C23" s="11" t="inlineStr">
        <is>
          <t>-</t>
        </is>
      </c>
      <c r="D23" s="11" t="inlineStr">
        <is>
          <t>-</t>
        </is>
      </c>
      <c r="E23" s="11" t="inlineStr">
        <is>
          <t>-</t>
        </is>
      </c>
      <c r="F23" s="11" t="inlineStr">
        <is>
          <t>-</t>
        </is>
      </c>
      <c r="G23" s="11" t="inlineStr">
        <is>
          <t>-</t>
        </is>
      </c>
      <c r="H23" s="11" t="inlineStr">
        <is>
          <t>-</t>
        </is>
      </c>
      <c r="I23" s="11" t="inlineStr">
        <is>
          <t>-</t>
        </is>
      </c>
      <c r="J23" s="11" t="inlineStr">
        <is>
          <t>-</t>
        </is>
      </c>
      <c r="K23" s="11" t="inlineStr">
        <is>
          <t>-</t>
        </is>
      </c>
      <c r="L23" s="11" t="inlineStr">
        <is>
          <t>-</t>
        </is>
      </c>
      <c r="M23" s="11" t="inlineStr">
        <is>
          <t>-</t>
        </is>
      </c>
      <c r="N23" s="11" t="inlineStr">
        <is>
          <t>-</t>
        </is>
      </c>
      <c r="O23" s="11" t="inlineStr">
        <is>
          <t>-</t>
        </is>
      </c>
      <c r="P23" s="11" t="inlineStr">
        <is>
          <t>-</t>
        </is>
      </c>
      <c r="Q23" s="12" t="inlineStr">
        <is>
          <t>-</t>
        </is>
      </c>
    </row>
    <row r="24">
      <c r="A24" s="47" t="n"/>
      <c r="B24" s="13" t="inlineStr">
        <is>
          <t>-</t>
        </is>
      </c>
      <c r="C24" s="14" t="inlineStr">
        <is>
          <t>-</t>
        </is>
      </c>
      <c r="D24" s="14" t="inlineStr">
        <is>
          <t>-</t>
        </is>
      </c>
      <c r="E24" s="14" t="inlineStr">
        <is>
          <t>-</t>
        </is>
      </c>
      <c r="F24" s="14" t="inlineStr">
        <is>
          <t>-</t>
        </is>
      </c>
      <c r="G24" s="14" t="inlineStr">
        <is>
          <t>-</t>
        </is>
      </c>
      <c r="H24" s="14" t="inlineStr">
        <is>
          <t>-</t>
        </is>
      </c>
      <c r="I24" s="14" t="inlineStr">
        <is>
          <t>-</t>
        </is>
      </c>
      <c r="J24" s="14" t="inlineStr">
        <is>
          <t>-</t>
        </is>
      </c>
      <c r="K24" s="14" t="inlineStr">
        <is>
          <t>-</t>
        </is>
      </c>
      <c r="L24" s="14" t="inlineStr">
        <is>
          <t>-</t>
        </is>
      </c>
      <c r="M24" s="14" t="inlineStr">
        <is>
          <t>-</t>
        </is>
      </c>
      <c r="N24" s="14" t="inlineStr">
        <is>
          <t>-</t>
        </is>
      </c>
      <c r="O24" s="14" t="inlineStr">
        <is>
          <t>-</t>
        </is>
      </c>
      <c r="P24" s="14" t="inlineStr">
        <is>
          <t>-</t>
        </is>
      </c>
      <c r="Q24" s="15" t="inlineStr">
        <is>
          <t>-</t>
        </is>
      </c>
    </row>
    <row r="25">
      <c r="A25" s="47" t="n"/>
      <c r="B25" s="16" t="inlineStr">
        <is>
          <t>-</t>
        </is>
      </c>
      <c r="C25" s="11" t="inlineStr">
        <is>
          <t>-</t>
        </is>
      </c>
      <c r="D25" s="11" t="inlineStr">
        <is>
          <t>-</t>
        </is>
      </c>
      <c r="E25" s="11" t="inlineStr">
        <is>
          <t>-</t>
        </is>
      </c>
      <c r="F25" s="11" t="inlineStr">
        <is>
          <t>-</t>
        </is>
      </c>
      <c r="G25" s="11" t="inlineStr">
        <is>
          <t>-</t>
        </is>
      </c>
      <c r="H25" s="11" t="inlineStr">
        <is>
          <t>-</t>
        </is>
      </c>
      <c r="I25" s="11" t="inlineStr">
        <is>
          <t>-</t>
        </is>
      </c>
      <c r="J25" s="11" t="inlineStr">
        <is>
          <t>-</t>
        </is>
      </c>
      <c r="K25" s="11" t="inlineStr">
        <is>
          <t>-</t>
        </is>
      </c>
      <c r="L25" s="11" t="inlineStr">
        <is>
          <t>-</t>
        </is>
      </c>
      <c r="M25" s="11" t="inlineStr">
        <is>
          <t>-</t>
        </is>
      </c>
      <c r="N25" s="11" t="inlineStr">
        <is>
          <t>-</t>
        </is>
      </c>
      <c r="O25" s="11" t="inlineStr">
        <is>
          <t>-</t>
        </is>
      </c>
      <c r="P25" s="11" t="inlineStr">
        <is>
          <t>-</t>
        </is>
      </c>
      <c r="Q25" s="12" t="inlineStr">
        <is>
          <t>-</t>
        </is>
      </c>
    </row>
    <row r="26">
      <c r="A26" s="47" t="n"/>
      <c r="B26" s="13" t="inlineStr">
        <is>
          <t>-</t>
        </is>
      </c>
      <c r="C26" s="14" t="inlineStr">
        <is>
          <t>-</t>
        </is>
      </c>
      <c r="D26" s="14" t="inlineStr">
        <is>
          <t>-</t>
        </is>
      </c>
      <c r="E26" s="14" t="inlineStr">
        <is>
          <t>-</t>
        </is>
      </c>
      <c r="F26" s="14" t="inlineStr">
        <is>
          <t>-</t>
        </is>
      </c>
      <c r="G26" s="14" t="inlineStr">
        <is>
          <t>-</t>
        </is>
      </c>
      <c r="H26" s="14" t="inlineStr">
        <is>
          <t>-</t>
        </is>
      </c>
      <c r="I26" s="14" t="inlineStr">
        <is>
          <t>-</t>
        </is>
      </c>
      <c r="J26" s="14" t="inlineStr">
        <is>
          <t>-</t>
        </is>
      </c>
      <c r="K26" s="14" t="inlineStr">
        <is>
          <t>-</t>
        </is>
      </c>
      <c r="L26" s="14" t="inlineStr">
        <is>
          <t>-</t>
        </is>
      </c>
      <c r="M26" s="14" t="inlineStr">
        <is>
          <t>-</t>
        </is>
      </c>
      <c r="N26" s="14" t="inlineStr">
        <is>
          <t>-</t>
        </is>
      </c>
      <c r="O26" s="14" t="inlineStr">
        <is>
          <t>-</t>
        </is>
      </c>
      <c r="P26" s="14" t="inlineStr">
        <is>
          <t>-</t>
        </is>
      </c>
      <c r="Q26" s="15" t="inlineStr">
        <is>
          <t>-</t>
        </is>
      </c>
    </row>
    <row r="27">
      <c r="A27" s="47" t="n"/>
      <c r="B27" s="16" t="inlineStr">
        <is>
          <t>-</t>
        </is>
      </c>
      <c r="C27" s="11" t="inlineStr">
        <is>
          <t>-</t>
        </is>
      </c>
      <c r="D27" s="11" t="inlineStr">
        <is>
          <t>-</t>
        </is>
      </c>
      <c r="E27" s="11" t="inlineStr">
        <is>
          <t>-</t>
        </is>
      </c>
      <c r="F27" s="11" t="inlineStr">
        <is>
          <t>-</t>
        </is>
      </c>
      <c r="G27" s="11" t="inlineStr">
        <is>
          <t>-</t>
        </is>
      </c>
      <c r="H27" s="11" t="inlineStr">
        <is>
          <t>-</t>
        </is>
      </c>
      <c r="I27" s="11" t="inlineStr">
        <is>
          <t>-</t>
        </is>
      </c>
      <c r="J27" s="11" t="inlineStr">
        <is>
          <t>-</t>
        </is>
      </c>
      <c r="K27" s="11" t="inlineStr">
        <is>
          <t>-</t>
        </is>
      </c>
      <c r="L27" s="11" t="inlineStr">
        <is>
          <t>-</t>
        </is>
      </c>
      <c r="M27" s="11" t="inlineStr">
        <is>
          <t>-</t>
        </is>
      </c>
      <c r="N27" s="11" t="inlineStr">
        <is>
          <t>-</t>
        </is>
      </c>
      <c r="O27" s="11" t="inlineStr">
        <is>
          <t>-</t>
        </is>
      </c>
      <c r="P27" s="11" t="inlineStr">
        <is>
          <t>-</t>
        </is>
      </c>
      <c r="Q27" s="12" t="inlineStr">
        <is>
          <t>-</t>
        </is>
      </c>
    </row>
    <row r="28">
      <c r="A28" s="47" t="n"/>
      <c r="B28" s="13" t="inlineStr">
        <is>
          <t>-</t>
        </is>
      </c>
      <c r="C28" s="14" t="inlineStr">
        <is>
          <t>-</t>
        </is>
      </c>
      <c r="D28" s="14" t="inlineStr">
        <is>
          <t>-</t>
        </is>
      </c>
      <c r="E28" s="14" t="inlineStr">
        <is>
          <t>-</t>
        </is>
      </c>
      <c r="F28" s="14" t="inlineStr">
        <is>
          <t>-</t>
        </is>
      </c>
      <c r="G28" s="14" t="inlineStr">
        <is>
          <t>-</t>
        </is>
      </c>
      <c r="H28" s="14" t="inlineStr">
        <is>
          <t>-</t>
        </is>
      </c>
      <c r="I28" s="14" t="inlineStr">
        <is>
          <t>-</t>
        </is>
      </c>
      <c r="J28" s="14" t="inlineStr">
        <is>
          <t>-</t>
        </is>
      </c>
      <c r="K28" s="14" t="inlineStr">
        <is>
          <t>-</t>
        </is>
      </c>
      <c r="L28" s="14" t="inlineStr">
        <is>
          <t>-</t>
        </is>
      </c>
      <c r="M28" s="14" t="inlineStr">
        <is>
          <t>-</t>
        </is>
      </c>
      <c r="N28" s="14" t="inlineStr">
        <is>
          <t>-</t>
        </is>
      </c>
      <c r="O28" s="14" t="inlineStr">
        <is>
          <t>-</t>
        </is>
      </c>
      <c r="P28" s="14" t="inlineStr">
        <is>
          <t>-</t>
        </is>
      </c>
      <c r="Q28" s="15" t="inlineStr">
        <is>
          <t>-</t>
        </is>
      </c>
    </row>
    <row r="29">
      <c r="A29" s="47" t="n"/>
      <c r="B29" s="16" t="inlineStr">
        <is>
          <t>-</t>
        </is>
      </c>
      <c r="C29" s="11" t="inlineStr">
        <is>
          <t>-</t>
        </is>
      </c>
      <c r="D29" s="11" t="inlineStr">
        <is>
          <t>-</t>
        </is>
      </c>
      <c r="E29" s="11" t="inlineStr">
        <is>
          <t>-</t>
        </is>
      </c>
      <c r="F29" s="11" t="inlineStr">
        <is>
          <t>-</t>
        </is>
      </c>
      <c r="G29" s="11" t="inlineStr">
        <is>
          <t>-</t>
        </is>
      </c>
      <c r="H29" s="11" t="inlineStr">
        <is>
          <t>-</t>
        </is>
      </c>
      <c r="I29" s="11" t="inlineStr">
        <is>
          <t>-</t>
        </is>
      </c>
      <c r="J29" s="11" t="inlineStr">
        <is>
          <t>-</t>
        </is>
      </c>
      <c r="K29" s="11" t="inlineStr">
        <is>
          <t>-</t>
        </is>
      </c>
      <c r="L29" s="11" t="inlineStr">
        <is>
          <t>-</t>
        </is>
      </c>
      <c r="M29" s="11" t="inlineStr">
        <is>
          <t>-</t>
        </is>
      </c>
      <c r="N29" s="11" t="inlineStr">
        <is>
          <t>-</t>
        </is>
      </c>
      <c r="O29" s="11" t="inlineStr">
        <is>
          <t>-</t>
        </is>
      </c>
      <c r="P29" s="11" t="inlineStr">
        <is>
          <t>-</t>
        </is>
      </c>
      <c r="Q29" s="12" t="inlineStr">
        <is>
          <t>-</t>
        </is>
      </c>
    </row>
    <row r="30">
      <c r="A30" s="47" t="n"/>
      <c r="B30" s="13" t="inlineStr">
        <is>
          <t>-</t>
        </is>
      </c>
      <c r="C30" s="14" t="inlineStr">
        <is>
          <t>-</t>
        </is>
      </c>
      <c r="D30" s="14" t="inlineStr">
        <is>
          <t>-</t>
        </is>
      </c>
      <c r="E30" s="14" t="inlineStr">
        <is>
          <t>-</t>
        </is>
      </c>
      <c r="F30" s="14" t="inlineStr">
        <is>
          <t>-</t>
        </is>
      </c>
      <c r="G30" s="14" t="inlineStr">
        <is>
          <t>-</t>
        </is>
      </c>
      <c r="H30" s="14" t="inlineStr">
        <is>
          <t>-</t>
        </is>
      </c>
      <c r="I30" s="14" t="inlineStr">
        <is>
          <t>-</t>
        </is>
      </c>
      <c r="J30" s="14" t="inlineStr">
        <is>
          <t>-</t>
        </is>
      </c>
      <c r="K30" s="14" t="inlineStr">
        <is>
          <t>-</t>
        </is>
      </c>
      <c r="L30" s="14" t="inlineStr">
        <is>
          <t>-</t>
        </is>
      </c>
      <c r="M30" s="14" t="inlineStr">
        <is>
          <t>-</t>
        </is>
      </c>
      <c r="N30" s="14" t="inlineStr">
        <is>
          <t>-</t>
        </is>
      </c>
      <c r="O30" s="14" t="inlineStr">
        <is>
          <t>-</t>
        </is>
      </c>
      <c r="P30" s="14" t="inlineStr">
        <is>
          <t>-</t>
        </is>
      </c>
      <c r="Q30" s="15" t="inlineStr">
        <is>
          <t>-</t>
        </is>
      </c>
    </row>
    <row r="31">
      <c r="A31" s="47" t="n"/>
      <c r="B31" s="16" t="inlineStr">
        <is>
          <t>-</t>
        </is>
      </c>
      <c r="C31" s="11" t="inlineStr">
        <is>
          <t>-</t>
        </is>
      </c>
      <c r="D31" s="11" t="inlineStr">
        <is>
          <t>-</t>
        </is>
      </c>
      <c r="E31" s="11" t="inlineStr">
        <is>
          <t>-</t>
        </is>
      </c>
      <c r="F31" s="11" t="inlineStr">
        <is>
          <t>-</t>
        </is>
      </c>
      <c r="G31" s="11" t="inlineStr">
        <is>
          <t>-</t>
        </is>
      </c>
      <c r="H31" s="11" t="inlineStr">
        <is>
          <t>-</t>
        </is>
      </c>
      <c r="I31" s="11" t="inlineStr">
        <is>
          <t>-</t>
        </is>
      </c>
      <c r="J31" s="11" t="inlineStr">
        <is>
          <t>-</t>
        </is>
      </c>
      <c r="K31" s="11" t="inlineStr">
        <is>
          <t>-</t>
        </is>
      </c>
      <c r="L31" s="11" t="inlineStr">
        <is>
          <t>-</t>
        </is>
      </c>
      <c r="M31" s="11" t="inlineStr">
        <is>
          <t>-</t>
        </is>
      </c>
      <c r="N31" s="11" t="inlineStr">
        <is>
          <t>-</t>
        </is>
      </c>
      <c r="O31" s="11" t="inlineStr">
        <is>
          <t>-</t>
        </is>
      </c>
      <c r="P31" s="11" t="inlineStr">
        <is>
          <t>-</t>
        </is>
      </c>
      <c r="Q31" s="12" t="inlineStr">
        <is>
          <t>-</t>
        </is>
      </c>
    </row>
    <row r="32">
      <c r="A32" s="47" t="n"/>
      <c r="B32" s="13" t="inlineStr">
        <is>
          <t>-</t>
        </is>
      </c>
      <c r="C32" s="14" t="inlineStr">
        <is>
          <t>-</t>
        </is>
      </c>
      <c r="D32" s="14" t="inlineStr">
        <is>
          <t>-</t>
        </is>
      </c>
      <c r="E32" s="14" t="inlineStr">
        <is>
          <t>-</t>
        </is>
      </c>
      <c r="F32" s="14" t="inlineStr">
        <is>
          <t>-</t>
        </is>
      </c>
      <c r="G32" s="14" t="inlineStr">
        <is>
          <t>-</t>
        </is>
      </c>
      <c r="H32" s="14" t="inlineStr">
        <is>
          <t>-</t>
        </is>
      </c>
      <c r="I32" s="14" t="inlineStr">
        <is>
          <t>-</t>
        </is>
      </c>
      <c r="J32" s="14" t="inlineStr">
        <is>
          <t>-</t>
        </is>
      </c>
      <c r="K32" s="14" t="inlineStr">
        <is>
          <t>-</t>
        </is>
      </c>
      <c r="L32" s="14" t="inlineStr">
        <is>
          <t>-</t>
        </is>
      </c>
      <c r="M32" s="14" t="inlineStr">
        <is>
          <t>-</t>
        </is>
      </c>
      <c r="N32" s="14" t="inlineStr">
        <is>
          <t>-</t>
        </is>
      </c>
      <c r="O32" s="14" t="inlineStr">
        <is>
          <t>-</t>
        </is>
      </c>
      <c r="P32" s="14" t="inlineStr">
        <is>
          <t>-</t>
        </is>
      </c>
      <c r="Q32" s="15" t="inlineStr">
        <is>
          <t>-</t>
        </is>
      </c>
    </row>
    <row r="33">
      <c r="A33" s="47" t="n"/>
      <c r="B33" s="16" t="inlineStr">
        <is>
          <t>-</t>
        </is>
      </c>
      <c r="C33" s="11" t="inlineStr">
        <is>
          <t>-</t>
        </is>
      </c>
      <c r="D33" s="11" t="inlineStr">
        <is>
          <t>-</t>
        </is>
      </c>
      <c r="E33" s="11" t="inlineStr">
        <is>
          <t>-</t>
        </is>
      </c>
      <c r="F33" s="11" t="inlineStr">
        <is>
          <t>-</t>
        </is>
      </c>
      <c r="G33" s="11" t="inlineStr">
        <is>
          <t>-</t>
        </is>
      </c>
      <c r="H33" s="11" t="inlineStr">
        <is>
          <t>-</t>
        </is>
      </c>
      <c r="I33" s="11" t="inlineStr">
        <is>
          <t>-</t>
        </is>
      </c>
      <c r="J33" s="11" t="inlineStr">
        <is>
          <t>-</t>
        </is>
      </c>
      <c r="K33" s="11" t="inlineStr">
        <is>
          <t>-</t>
        </is>
      </c>
      <c r="L33" s="11" t="inlineStr">
        <is>
          <t>-</t>
        </is>
      </c>
      <c r="M33" s="11" t="inlineStr">
        <is>
          <t>-</t>
        </is>
      </c>
      <c r="N33" s="11" t="inlineStr">
        <is>
          <t>-</t>
        </is>
      </c>
      <c r="O33" s="11" t="inlineStr">
        <is>
          <t>-</t>
        </is>
      </c>
      <c r="P33" s="11" t="inlineStr">
        <is>
          <t>-</t>
        </is>
      </c>
      <c r="Q33" s="12" t="inlineStr">
        <is>
          <t>-</t>
        </is>
      </c>
    </row>
    <row r="34" ht="36" customHeight="1" s="155">
      <c r="B34" s="9" t="inlineStr">
        <is>
          <t>frittatina</t>
        </is>
      </c>
      <c r="C34" s="49">
        <f>_xlfn.XLOOKUP(A35,Magazzino!$D$1:$D$1500,Magazzino!$F$1:$F$1500,"",0,1)</f>
        <v/>
      </c>
      <c r="D34" s="50">
        <f>_xlfn.XLOOKUP(A36,Magazzino!$D$1:$D$1500,Magazzino!$F$1:$F$1500,"",0,1)</f>
        <v/>
      </c>
      <c r="E34" s="50">
        <f>_xlfn.XLOOKUP(A37,Magazzino!$D$1:$D$1500,Magazzino!$F$1:$F$1500,"",0,1)</f>
        <v/>
      </c>
      <c r="F34" s="50">
        <f>_xlfn.XLOOKUP(A38,Magazzino!$D$1:$D$1500,Magazzino!$F$1:$F$1500,"",0,1)</f>
        <v/>
      </c>
      <c r="G34" s="50">
        <f>_xlfn.XLOOKUP(A39,Magazzino!$D$1:$D$1500,Magazzino!$F$1:$F$1500,"",0,1)</f>
        <v/>
      </c>
      <c r="H34" s="50">
        <f>_xlfn.XLOOKUP(A40,Magazzino!$D$1:$D$1500,Magazzino!$F$1:$F$1500,"",0,1)</f>
        <v/>
      </c>
      <c r="I34" s="50">
        <f>_xlfn.XLOOKUP(A41,Magazzino!$D$1:$D$1500,Magazzino!$F$1:$F$1500,"",0,1)</f>
        <v/>
      </c>
      <c r="J34" s="50">
        <f>_xlfn.XLOOKUP(A42,Magazzino!$D$1:$D$1500,Magazzino!$F$1:$F$1500,"",0,1)</f>
        <v/>
      </c>
      <c r="K34" s="50">
        <f>_xlfn.XLOOKUP(A43,Magazzino!$D$1:$D$1500,Magazzino!$F$1:$F$1500,"",0,1)</f>
        <v/>
      </c>
      <c r="L34" s="50">
        <f>_xlfn.XLOOKUP(A44,Magazzino!$D$1:$D$1500,Magazzino!$F$1:$F$1500,"",0,1)</f>
        <v/>
      </c>
      <c r="M34" s="50">
        <f>_xlfn.XLOOKUP(A45,Magazzino!$D$1:$D$1500,Magazzino!$F$1:$F$1500,"",0,1)</f>
        <v/>
      </c>
      <c r="N34" s="50">
        <f>_xlfn.XLOOKUP(A46,Magazzino!$D$1:$D$1500,Magazzino!$F$1:$F$1500,"",0,1)</f>
        <v/>
      </c>
      <c r="O34" s="50">
        <f>_xlfn.XLOOKUP(A47,Magazzino!$D$1:$D$1500,Magazzino!$F$1:$F$1500,"",0,1)</f>
        <v/>
      </c>
      <c r="P34" s="50">
        <f>_xlfn.XLOOKUP(A48,Magazzino!$D$1:$D$1500,Magazzino!$F$1:$F$1500,"",0,1)</f>
        <v/>
      </c>
      <c r="Q34" s="51">
        <f>_xlfn.XLOOKUP(A49,Magazzino!$D$1:$D$1500,Magazzino!$F$1:$F$1500,"",0,1)</f>
        <v/>
      </c>
    </row>
    <row r="35">
      <c r="A35" s="47" t="inlineStr">
        <is>
          <t xml:space="preserve">PASTA DE CECCO Mafaldine  </t>
        </is>
      </c>
      <c r="B35" s="10" t="inlineStr">
        <is>
          <t>-</t>
        </is>
      </c>
      <c r="C35" s="11" t="inlineStr">
        <is>
          <t>-</t>
        </is>
      </c>
      <c r="D35" s="11" t="inlineStr">
        <is>
          <t>-</t>
        </is>
      </c>
      <c r="E35" s="11" t="inlineStr">
        <is>
          <t>-</t>
        </is>
      </c>
      <c r="F35" s="11" t="inlineStr">
        <is>
          <t>-</t>
        </is>
      </c>
      <c r="G35" s="11" t="inlineStr">
        <is>
          <t>-</t>
        </is>
      </c>
      <c r="H35" s="11" t="inlineStr">
        <is>
          <t>-</t>
        </is>
      </c>
      <c r="I35" s="11" t="inlineStr">
        <is>
          <t>-</t>
        </is>
      </c>
      <c r="J35" s="11" t="inlineStr">
        <is>
          <t>-</t>
        </is>
      </c>
      <c r="K35" s="11" t="inlineStr">
        <is>
          <t>-</t>
        </is>
      </c>
      <c r="L35" s="11" t="inlineStr">
        <is>
          <t>-</t>
        </is>
      </c>
      <c r="M35" s="11" t="inlineStr">
        <is>
          <t>-</t>
        </is>
      </c>
      <c r="N35" s="11" t="inlineStr">
        <is>
          <t>-</t>
        </is>
      </c>
      <c r="O35" s="11" t="inlineStr">
        <is>
          <t>-</t>
        </is>
      </c>
      <c r="P35" s="11" t="inlineStr">
        <is>
          <t>-</t>
        </is>
      </c>
      <c r="Q35" s="12" t="inlineStr">
        <is>
          <t>-</t>
        </is>
      </c>
    </row>
    <row r="36">
      <c r="A36" s="48" t="inlineStr">
        <is>
          <t xml:space="preserve">SALE SACCHI SALTECHNO KG.25  </t>
        </is>
      </c>
      <c r="B36" s="13" t="inlineStr">
        <is>
          <t>-</t>
        </is>
      </c>
      <c r="C36" s="14" t="inlineStr">
        <is>
          <t>-</t>
        </is>
      </c>
      <c r="D36" s="14" t="inlineStr">
        <is>
          <t>-</t>
        </is>
      </c>
      <c r="E36" s="14" t="inlineStr">
        <is>
          <t>-</t>
        </is>
      </c>
      <c r="F36" s="14" t="inlineStr">
        <is>
          <t>-</t>
        </is>
      </c>
      <c r="G36" s="14" t="inlineStr">
        <is>
          <t>-</t>
        </is>
      </c>
      <c r="H36" s="14" t="inlineStr">
        <is>
          <t>-</t>
        </is>
      </c>
      <c r="I36" s="14" t="inlineStr">
        <is>
          <t>-</t>
        </is>
      </c>
      <c r="J36" s="14" t="inlineStr">
        <is>
          <t>-</t>
        </is>
      </c>
      <c r="K36" s="14" t="inlineStr">
        <is>
          <t>-</t>
        </is>
      </c>
      <c r="L36" s="14" t="inlineStr">
        <is>
          <t>-</t>
        </is>
      </c>
      <c r="M36" s="14" t="inlineStr">
        <is>
          <t>-</t>
        </is>
      </c>
      <c r="N36" s="14" t="inlineStr">
        <is>
          <t>-</t>
        </is>
      </c>
      <c r="O36" s="14" t="inlineStr">
        <is>
          <t>-</t>
        </is>
      </c>
      <c r="P36" s="14" t="inlineStr">
        <is>
          <t>-</t>
        </is>
      </c>
      <c r="Q36" s="15" t="inlineStr">
        <is>
          <t>-</t>
        </is>
      </c>
    </row>
    <row r="37">
      <c r="A37" s="47" t="inlineStr">
        <is>
          <t>latte   1500 int.uht  yma</t>
        </is>
      </c>
      <c r="B37" s="16" t="inlineStr">
        <is>
          <t>-</t>
        </is>
      </c>
      <c r="C37" s="11" t="inlineStr">
        <is>
          <t>-</t>
        </is>
      </c>
      <c r="D37" s="11" t="inlineStr">
        <is>
          <t>-</t>
        </is>
      </c>
      <c r="E37" s="11" t="inlineStr">
        <is>
          <t>-</t>
        </is>
      </c>
      <c r="F37" s="11" t="inlineStr">
        <is>
          <t>-</t>
        </is>
      </c>
      <c r="G37" s="11" t="inlineStr">
        <is>
          <t>-</t>
        </is>
      </c>
      <c r="H37" s="11" t="inlineStr">
        <is>
          <t>-</t>
        </is>
      </c>
      <c r="I37" s="11" t="inlineStr">
        <is>
          <t>-</t>
        </is>
      </c>
      <c r="J37" s="11" t="inlineStr">
        <is>
          <t>-</t>
        </is>
      </c>
      <c r="K37" s="11" t="inlineStr">
        <is>
          <t>-</t>
        </is>
      </c>
      <c r="L37" s="11" t="inlineStr">
        <is>
          <t>-</t>
        </is>
      </c>
      <c r="M37" s="11" t="inlineStr">
        <is>
          <t>-</t>
        </is>
      </c>
      <c r="N37" s="11" t="inlineStr">
        <is>
          <t>-</t>
        </is>
      </c>
      <c r="O37" s="11" t="inlineStr">
        <is>
          <t>-</t>
        </is>
      </c>
      <c r="P37" s="11" t="inlineStr">
        <is>
          <t>-</t>
        </is>
      </c>
      <c r="Q37" s="12" t="inlineStr">
        <is>
          <t>-</t>
        </is>
      </c>
    </row>
    <row r="38">
      <c r="A38" s="47" t="inlineStr">
        <is>
          <t>margarina sfoglia</t>
        </is>
      </c>
      <c r="B38" s="13" t="inlineStr">
        <is>
          <t>-</t>
        </is>
      </c>
      <c r="C38" s="14" t="inlineStr">
        <is>
          <t>-</t>
        </is>
      </c>
      <c r="D38" s="14" t="inlineStr">
        <is>
          <t>-</t>
        </is>
      </c>
      <c r="E38" s="14" t="inlineStr">
        <is>
          <t>-</t>
        </is>
      </c>
      <c r="F38" s="14" t="inlineStr">
        <is>
          <t>-</t>
        </is>
      </c>
      <c r="G38" s="14" t="inlineStr">
        <is>
          <t>-</t>
        </is>
      </c>
      <c r="H38" s="14" t="inlineStr">
        <is>
          <t>-</t>
        </is>
      </c>
      <c r="I38" s="14" t="inlineStr">
        <is>
          <t>-</t>
        </is>
      </c>
      <c r="J38" s="14" t="inlineStr">
        <is>
          <t>-</t>
        </is>
      </c>
      <c r="K38" s="14" t="inlineStr">
        <is>
          <t>-</t>
        </is>
      </c>
      <c r="L38" s="14" t="inlineStr">
        <is>
          <t>-</t>
        </is>
      </c>
      <c r="M38" s="14" t="inlineStr">
        <is>
          <t>-</t>
        </is>
      </c>
      <c r="N38" s="14" t="inlineStr">
        <is>
          <t>-</t>
        </is>
      </c>
      <c r="O38" s="14" t="inlineStr">
        <is>
          <t>-</t>
        </is>
      </c>
      <c r="P38" s="14" t="inlineStr">
        <is>
          <t>-</t>
        </is>
      </c>
      <c r="Q38" s="15" t="inlineStr">
        <is>
          <t>-</t>
        </is>
      </c>
    </row>
    <row r="39">
      <c r="A39" s="47" t="inlineStr">
        <is>
          <t xml:space="preserve">FARINA 0/MAN. CAPUTO DA KG.25  </t>
        </is>
      </c>
      <c r="B39" s="16" t="inlineStr">
        <is>
          <t>-</t>
        </is>
      </c>
      <c r="C39" s="11" t="inlineStr">
        <is>
          <t>-</t>
        </is>
      </c>
      <c r="D39" s="11" t="inlineStr">
        <is>
          <t>-</t>
        </is>
      </c>
      <c r="E39" s="11" t="inlineStr">
        <is>
          <t>-</t>
        </is>
      </c>
      <c r="F39" s="11" t="inlineStr">
        <is>
          <t>-</t>
        </is>
      </c>
      <c r="G39" s="11" t="inlineStr">
        <is>
          <t>-</t>
        </is>
      </c>
      <c r="H39" s="11" t="inlineStr">
        <is>
          <t>-</t>
        </is>
      </c>
      <c r="I39" s="11" t="inlineStr">
        <is>
          <t>-</t>
        </is>
      </c>
      <c r="J39" s="11" t="inlineStr">
        <is>
          <t>-</t>
        </is>
      </c>
      <c r="K39" s="11" t="inlineStr">
        <is>
          <t>-</t>
        </is>
      </c>
      <c r="L39" s="11" t="inlineStr">
        <is>
          <t>-</t>
        </is>
      </c>
      <c r="M39" s="11" t="inlineStr">
        <is>
          <t>-</t>
        </is>
      </c>
      <c r="N39" s="11" t="inlineStr">
        <is>
          <t>-</t>
        </is>
      </c>
      <c r="O39" s="11" t="inlineStr">
        <is>
          <t>-</t>
        </is>
      </c>
      <c r="P39" s="11" t="inlineStr">
        <is>
          <t>-</t>
        </is>
      </c>
      <c r="Q39" s="12" t="inlineStr">
        <is>
          <t>-</t>
        </is>
      </c>
    </row>
    <row r="40">
      <c r="A40" s="47" t="inlineStr">
        <is>
          <t>carote</t>
        </is>
      </c>
      <c r="B40" s="13" t="inlineStr">
        <is>
          <t>-</t>
        </is>
      </c>
      <c r="C40" s="14" t="inlineStr">
        <is>
          <t>-</t>
        </is>
      </c>
      <c r="D40" s="14" t="inlineStr">
        <is>
          <t>-</t>
        </is>
      </c>
      <c r="E40" s="14" t="inlineStr">
        <is>
          <t>-</t>
        </is>
      </c>
      <c r="F40" s="14" t="inlineStr">
        <is>
          <t>-</t>
        </is>
      </c>
      <c r="G40" s="14" t="inlineStr">
        <is>
          <t>-</t>
        </is>
      </c>
      <c r="H40" s="14" t="inlineStr">
        <is>
          <t>-</t>
        </is>
      </c>
      <c r="I40" s="14" t="inlineStr">
        <is>
          <t>-</t>
        </is>
      </c>
      <c r="J40" s="14" t="inlineStr">
        <is>
          <t>-</t>
        </is>
      </c>
      <c r="K40" s="14" t="inlineStr">
        <is>
          <t>-</t>
        </is>
      </c>
      <c r="L40" s="14" t="inlineStr">
        <is>
          <t>-</t>
        </is>
      </c>
      <c r="M40" s="14" t="inlineStr">
        <is>
          <t>-</t>
        </is>
      </c>
      <c r="N40" s="14" t="inlineStr">
        <is>
          <t>-</t>
        </is>
      </c>
      <c r="O40" s="14" t="inlineStr">
        <is>
          <t>-</t>
        </is>
      </c>
      <c r="P40" s="14" t="inlineStr">
        <is>
          <t>-</t>
        </is>
      </c>
      <c r="Q40" s="15" t="inlineStr">
        <is>
          <t>-</t>
        </is>
      </c>
    </row>
    <row r="41">
      <c r="A41" s="47" t="inlineStr">
        <is>
          <t xml:space="preserve">PISELLI BONDUELLE GR.580X12  </t>
        </is>
      </c>
      <c r="B41" s="16" t="inlineStr">
        <is>
          <t>-</t>
        </is>
      </c>
      <c r="C41" s="11" t="inlineStr">
        <is>
          <t>-</t>
        </is>
      </c>
      <c r="D41" s="11" t="inlineStr">
        <is>
          <t>-</t>
        </is>
      </c>
      <c r="E41" s="11" t="inlineStr">
        <is>
          <t>-</t>
        </is>
      </c>
      <c r="F41" s="11" t="inlineStr">
        <is>
          <t>-</t>
        </is>
      </c>
      <c r="G41" s="11" t="inlineStr">
        <is>
          <t>-</t>
        </is>
      </c>
      <c r="H41" s="11" t="inlineStr">
        <is>
          <t>-</t>
        </is>
      </c>
      <c r="I41" s="11" t="inlineStr">
        <is>
          <t>-</t>
        </is>
      </c>
      <c r="J41" s="11" t="inlineStr">
        <is>
          <t>-</t>
        </is>
      </c>
      <c r="K41" s="11" t="inlineStr">
        <is>
          <t>-</t>
        </is>
      </c>
      <c r="L41" s="11" t="inlineStr">
        <is>
          <t>-</t>
        </is>
      </c>
      <c r="M41" s="11" t="inlineStr">
        <is>
          <t>-</t>
        </is>
      </c>
      <c r="N41" s="11" t="inlineStr">
        <is>
          <t>-</t>
        </is>
      </c>
      <c r="O41" s="11" t="inlineStr">
        <is>
          <t>-</t>
        </is>
      </c>
      <c r="P41" s="11" t="inlineStr">
        <is>
          <t>-</t>
        </is>
      </c>
      <c r="Q41" s="12" t="inlineStr">
        <is>
          <t>-</t>
        </is>
      </c>
    </row>
    <row r="42">
      <c r="A42" s="47" t="inlineStr">
        <is>
          <t>olio extravergine oliva</t>
        </is>
      </c>
      <c r="B42" s="13" t="inlineStr">
        <is>
          <t>-</t>
        </is>
      </c>
      <c r="C42" s="14" t="inlineStr">
        <is>
          <t>-</t>
        </is>
      </c>
      <c r="D42" s="14" t="inlineStr">
        <is>
          <t>-</t>
        </is>
      </c>
      <c r="E42" s="14" t="inlineStr">
        <is>
          <t>-</t>
        </is>
      </c>
      <c r="F42" s="14" t="inlineStr">
        <is>
          <t>-</t>
        </is>
      </c>
      <c r="G42" s="14" t="inlineStr">
        <is>
          <t>-</t>
        </is>
      </c>
      <c r="H42" s="14" t="inlineStr">
        <is>
          <t>-</t>
        </is>
      </c>
      <c r="I42" s="14" t="inlineStr">
        <is>
          <t>-</t>
        </is>
      </c>
      <c r="J42" s="14" t="inlineStr">
        <is>
          <t>-</t>
        </is>
      </c>
      <c r="K42" s="14" t="inlineStr">
        <is>
          <t>-</t>
        </is>
      </c>
      <c r="L42" s="14" t="inlineStr">
        <is>
          <t>-</t>
        </is>
      </c>
      <c r="M42" s="14" t="inlineStr">
        <is>
          <t>-</t>
        </is>
      </c>
      <c r="N42" s="14" t="inlineStr">
        <is>
          <t>-</t>
        </is>
      </c>
      <c r="O42" s="14" t="inlineStr">
        <is>
          <t>-</t>
        </is>
      </c>
      <c r="P42" s="14" t="inlineStr">
        <is>
          <t>-</t>
        </is>
      </c>
      <c r="Q42" s="15" t="inlineStr">
        <is>
          <t>-</t>
        </is>
      </c>
    </row>
    <row r="43">
      <c r="A43" s="47" t="inlineStr">
        <is>
          <t>basilico / rosmarino /prezzemolo</t>
        </is>
      </c>
      <c r="B43" s="16" t="inlineStr">
        <is>
          <t>-</t>
        </is>
      </c>
      <c r="C43" s="11" t="inlineStr">
        <is>
          <t>-</t>
        </is>
      </c>
      <c r="D43" s="11" t="inlineStr">
        <is>
          <t>-</t>
        </is>
      </c>
      <c r="E43" s="11" t="inlineStr">
        <is>
          <t>-</t>
        </is>
      </c>
      <c r="F43" s="11" t="inlineStr">
        <is>
          <t>-</t>
        </is>
      </c>
      <c r="G43" s="11" t="inlineStr">
        <is>
          <t>-</t>
        </is>
      </c>
      <c r="H43" s="11" t="inlineStr">
        <is>
          <t>-</t>
        </is>
      </c>
      <c r="I43" s="11" t="inlineStr">
        <is>
          <t>-</t>
        </is>
      </c>
      <c r="J43" s="11" t="inlineStr">
        <is>
          <t>-</t>
        </is>
      </c>
      <c r="K43" s="11" t="inlineStr">
        <is>
          <t>-</t>
        </is>
      </c>
      <c r="L43" s="11" t="inlineStr">
        <is>
          <t>-</t>
        </is>
      </c>
      <c r="M43" s="11" t="inlineStr">
        <is>
          <t>-</t>
        </is>
      </c>
      <c r="N43" s="11" t="inlineStr">
        <is>
          <t>-</t>
        </is>
      </c>
      <c r="O43" s="11" t="inlineStr">
        <is>
          <t>-</t>
        </is>
      </c>
      <c r="P43" s="11" t="inlineStr">
        <is>
          <t>-</t>
        </is>
      </c>
      <c r="Q43" s="12" t="inlineStr">
        <is>
          <t>-</t>
        </is>
      </c>
    </row>
    <row r="44">
      <c r="A44" s="4" t="inlineStr">
        <is>
          <t>-</t>
        </is>
      </c>
      <c r="B44" s="13" t="inlineStr">
        <is>
          <t>-</t>
        </is>
      </c>
      <c r="C44" s="14" t="inlineStr">
        <is>
          <t>-</t>
        </is>
      </c>
      <c r="D44" s="14" t="inlineStr">
        <is>
          <t>-</t>
        </is>
      </c>
      <c r="E44" s="14" t="inlineStr">
        <is>
          <t>-</t>
        </is>
      </c>
      <c r="F44" s="14" t="inlineStr">
        <is>
          <t>-</t>
        </is>
      </c>
      <c r="G44" s="14" t="inlineStr">
        <is>
          <t>-</t>
        </is>
      </c>
      <c r="H44" s="14" t="inlineStr">
        <is>
          <t>-</t>
        </is>
      </c>
      <c r="I44" s="14" t="inlineStr">
        <is>
          <t>-</t>
        </is>
      </c>
      <c r="J44" s="14" t="inlineStr">
        <is>
          <t>-</t>
        </is>
      </c>
      <c r="K44" s="14" t="inlineStr">
        <is>
          <t>-</t>
        </is>
      </c>
      <c r="L44" s="14" t="inlineStr">
        <is>
          <t>-</t>
        </is>
      </c>
      <c r="M44" s="14" t="inlineStr">
        <is>
          <t>-</t>
        </is>
      </c>
      <c r="N44" s="14" t="inlineStr">
        <is>
          <t>-</t>
        </is>
      </c>
      <c r="O44" s="14" t="inlineStr">
        <is>
          <t>-</t>
        </is>
      </c>
      <c r="P44" s="14" t="inlineStr">
        <is>
          <t>-</t>
        </is>
      </c>
      <c r="Q44" s="15" t="inlineStr">
        <is>
          <t>-</t>
        </is>
      </c>
    </row>
    <row r="45">
      <c r="A45" s="4" t="inlineStr">
        <is>
          <t>-</t>
        </is>
      </c>
      <c r="B45" s="16" t="inlineStr">
        <is>
          <t>-</t>
        </is>
      </c>
      <c r="C45" s="11" t="inlineStr">
        <is>
          <t>-</t>
        </is>
      </c>
      <c r="D45" s="11" t="inlineStr">
        <is>
          <t>-</t>
        </is>
      </c>
      <c r="E45" s="11" t="inlineStr">
        <is>
          <t>-</t>
        </is>
      </c>
      <c r="F45" s="11" t="inlineStr">
        <is>
          <t>-</t>
        </is>
      </c>
      <c r="G45" s="11" t="inlineStr">
        <is>
          <t>-</t>
        </is>
      </c>
      <c r="H45" s="11" t="inlineStr">
        <is>
          <t>-</t>
        </is>
      </c>
      <c r="I45" s="11" t="inlineStr">
        <is>
          <t>-</t>
        </is>
      </c>
      <c r="J45" s="11" t="inlineStr">
        <is>
          <t>-</t>
        </is>
      </c>
      <c r="K45" s="11" t="inlineStr">
        <is>
          <t>-</t>
        </is>
      </c>
      <c r="L45" s="11" t="inlineStr">
        <is>
          <t>-</t>
        </is>
      </c>
      <c r="M45" s="11" t="inlineStr">
        <is>
          <t>-</t>
        </is>
      </c>
      <c r="N45" s="11" t="inlineStr">
        <is>
          <t>-</t>
        </is>
      </c>
      <c r="O45" s="11" t="inlineStr">
        <is>
          <t>-</t>
        </is>
      </c>
      <c r="P45" s="11" t="inlineStr">
        <is>
          <t>-</t>
        </is>
      </c>
      <c r="Q45" s="12" t="inlineStr">
        <is>
          <t>-</t>
        </is>
      </c>
    </row>
    <row r="46">
      <c r="A46" s="4" t="inlineStr">
        <is>
          <t>-</t>
        </is>
      </c>
      <c r="B46" s="13" t="inlineStr">
        <is>
          <t>-</t>
        </is>
      </c>
      <c r="C46" s="14" t="inlineStr">
        <is>
          <t>-</t>
        </is>
      </c>
      <c r="D46" s="14" t="inlineStr">
        <is>
          <t>-</t>
        </is>
      </c>
      <c r="E46" s="14" t="inlineStr">
        <is>
          <t>-</t>
        </is>
      </c>
      <c r="F46" s="14" t="inlineStr">
        <is>
          <t>-</t>
        </is>
      </c>
      <c r="G46" s="14" t="inlineStr">
        <is>
          <t>-</t>
        </is>
      </c>
      <c r="H46" s="14" t="inlineStr">
        <is>
          <t>-</t>
        </is>
      </c>
      <c r="I46" s="14" t="inlineStr">
        <is>
          <t>-</t>
        </is>
      </c>
      <c r="J46" s="14" t="inlineStr">
        <is>
          <t>-</t>
        </is>
      </c>
      <c r="K46" s="14" t="inlineStr">
        <is>
          <t>-</t>
        </is>
      </c>
      <c r="L46" s="14" t="inlineStr">
        <is>
          <t>-</t>
        </is>
      </c>
      <c r="M46" s="14" t="inlineStr">
        <is>
          <t>-</t>
        </is>
      </c>
      <c r="N46" s="14" t="inlineStr">
        <is>
          <t>-</t>
        </is>
      </c>
      <c r="O46" s="14" t="inlineStr">
        <is>
          <t>-</t>
        </is>
      </c>
      <c r="P46" s="14" t="inlineStr">
        <is>
          <t>-</t>
        </is>
      </c>
      <c r="Q46" s="15" t="inlineStr">
        <is>
          <t>-</t>
        </is>
      </c>
    </row>
    <row r="47">
      <c r="A47" s="4" t="inlineStr">
        <is>
          <t>-</t>
        </is>
      </c>
      <c r="B47" s="16" t="inlineStr">
        <is>
          <t>-</t>
        </is>
      </c>
      <c r="C47" s="11" t="inlineStr">
        <is>
          <t>-</t>
        </is>
      </c>
      <c r="D47" s="11" t="inlineStr">
        <is>
          <t>-</t>
        </is>
      </c>
      <c r="E47" s="11" t="inlineStr">
        <is>
          <t>-</t>
        </is>
      </c>
      <c r="F47" s="11" t="inlineStr">
        <is>
          <t>-</t>
        </is>
      </c>
      <c r="G47" s="11" t="inlineStr">
        <is>
          <t>-</t>
        </is>
      </c>
      <c r="H47" s="11" t="inlineStr">
        <is>
          <t>-</t>
        </is>
      </c>
      <c r="I47" s="11" t="inlineStr">
        <is>
          <t>-</t>
        </is>
      </c>
      <c r="J47" s="11" t="inlineStr">
        <is>
          <t>-</t>
        </is>
      </c>
      <c r="K47" s="11" t="inlineStr">
        <is>
          <t>-</t>
        </is>
      </c>
      <c r="L47" s="11" t="inlineStr">
        <is>
          <t>-</t>
        </is>
      </c>
      <c r="M47" s="11" t="inlineStr">
        <is>
          <t>-</t>
        </is>
      </c>
      <c r="N47" s="11" t="inlineStr">
        <is>
          <t>-</t>
        </is>
      </c>
      <c r="O47" s="11" t="inlineStr">
        <is>
          <t>-</t>
        </is>
      </c>
      <c r="P47" s="11" t="inlineStr">
        <is>
          <t>-</t>
        </is>
      </c>
      <c r="Q47" s="12" t="inlineStr">
        <is>
          <t>-</t>
        </is>
      </c>
    </row>
    <row r="48">
      <c r="A48" s="4" t="inlineStr">
        <is>
          <t>-</t>
        </is>
      </c>
      <c r="B48" s="13" t="inlineStr">
        <is>
          <t>-</t>
        </is>
      </c>
      <c r="C48" s="14" t="inlineStr">
        <is>
          <t>-</t>
        </is>
      </c>
      <c r="D48" s="14" t="inlineStr">
        <is>
          <t>-</t>
        </is>
      </c>
      <c r="E48" s="14" t="inlineStr">
        <is>
          <t>-</t>
        </is>
      </c>
      <c r="F48" s="14" t="inlineStr">
        <is>
          <t>-</t>
        </is>
      </c>
      <c r="G48" s="14" t="inlineStr">
        <is>
          <t>-</t>
        </is>
      </c>
      <c r="H48" s="14" t="inlineStr">
        <is>
          <t>-</t>
        </is>
      </c>
      <c r="I48" s="14" t="inlineStr">
        <is>
          <t>-</t>
        </is>
      </c>
      <c r="J48" s="14" t="inlineStr">
        <is>
          <t>-</t>
        </is>
      </c>
      <c r="K48" s="14" t="inlineStr">
        <is>
          <t>-</t>
        </is>
      </c>
      <c r="L48" s="14" t="inlineStr">
        <is>
          <t>-</t>
        </is>
      </c>
      <c r="M48" s="14" t="inlineStr">
        <is>
          <t>-</t>
        </is>
      </c>
      <c r="N48" s="14" t="inlineStr">
        <is>
          <t>-</t>
        </is>
      </c>
      <c r="O48" s="14" t="inlineStr">
        <is>
          <t>-</t>
        </is>
      </c>
      <c r="P48" s="14" t="inlineStr">
        <is>
          <t>-</t>
        </is>
      </c>
      <c r="Q48" s="15" t="inlineStr">
        <is>
          <t>-</t>
        </is>
      </c>
    </row>
    <row r="49">
      <c r="A49" s="4" t="inlineStr">
        <is>
          <t>-</t>
        </is>
      </c>
      <c r="B49" s="16" t="inlineStr">
        <is>
          <t>-</t>
        </is>
      </c>
      <c r="C49" s="11" t="inlineStr">
        <is>
          <t>-</t>
        </is>
      </c>
      <c r="D49" s="11" t="inlineStr">
        <is>
          <t>-</t>
        </is>
      </c>
      <c r="E49" s="11" t="inlineStr">
        <is>
          <t>-</t>
        </is>
      </c>
      <c r="F49" s="11" t="inlineStr">
        <is>
          <t>-</t>
        </is>
      </c>
      <c r="G49" s="11" t="inlineStr">
        <is>
          <t>-</t>
        </is>
      </c>
      <c r="H49" s="11" t="inlineStr">
        <is>
          <t>-</t>
        </is>
      </c>
      <c r="I49" s="11" t="inlineStr">
        <is>
          <t>-</t>
        </is>
      </c>
      <c r="J49" s="11" t="inlineStr">
        <is>
          <t>-</t>
        </is>
      </c>
      <c r="K49" s="11" t="inlineStr">
        <is>
          <t>-</t>
        </is>
      </c>
      <c r="L49" s="11" t="inlineStr">
        <is>
          <t>-</t>
        </is>
      </c>
      <c r="M49" s="11" t="inlineStr">
        <is>
          <t>-</t>
        </is>
      </c>
      <c r="N49" s="11" t="inlineStr">
        <is>
          <t>-</t>
        </is>
      </c>
      <c r="O49" s="11" t="inlineStr">
        <is>
          <t>-</t>
        </is>
      </c>
      <c r="P49" s="11" t="inlineStr">
        <is>
          <t>-</t>
        </is>
      </c>
      <c r="Q49" s="12" t="inlineStr">
        <is>
          <t>-</t>
        </is>
      </c>
    </row>
    <row r="50" ht="36" customHeight="1" s="155">
      <c r="B50" s="9" t="inlineStr">
        <is>
          <t>friarielli in padella</t>
        </is>
      </c>
      <c r="C50" s="49">
        <f>_xlfn.XLOOKUP(A51,Magazzino!$D$1:$D$1500,Magazzino!$F$1:$F$1500,"",0,1)</f>
        <v/>
      </c>
      <c r="D50" s="50">
        <f>_xlfn.XLOOKUP(A52,Magazzino!$D$1:$D$1500,Magazzino!$F$1:$F$1500,"",0,1)</f>
        <v/>
      </c>
      <c r="E50" s="50">
        <f>_xlfn.XLOOKUP(A53,Magazzino!$D$1:$D$1500,Magazzino!$F$1:$F$1500,"",0,1)</f>
        <v/>
      </c>
      <c r="F50" s="50">
        <f>_xlfn.XLOOKUP(A54,Magazzino!$D$1:$D$1500,Magazzino!$F$1:$F$1500,"",0,1)</f>
        <v/>
      </c>
      <c r="G50" s="50">
        <f>_xlfn.XLOOKUP(A55,Magazzino!$D$1:$D$1500,Magazzino!$F$1:$F$1500,"",0,1)</f>
        <v/>
      </c>
      <c r="H50" s="50">
        <f>_xlfn.XLOOKUP(A56,Magazzino!$D$1:$D$1500,Magazzino!$F$1:$F$1500,"",0,1)</f>
        <v/>
      </c>
      <c r="I50" s="50">
        <f>_xlfn.XLOOKUP(A57,Magazzino!$D$1:$D$1500,Magazzino!$F$1:$F$1500,"",0,1)</f>
        <v/>
      </c>
      <c r="J50" s="50">
        <f>_xlfn.XLOOKUP(A58,Magazzino!$D$1:$D$1500,Magazzino!$F$1:$F$1500,"",0,1)</f>
        <v/>
      </c>
      <c r="K50" s="50">
        <f>_xlfn.XLOOKUP(A59,Magazzino!$D$1:$D$1500,Magazzino!$F$1:$F$1500,"",0,1)</f>
        <v/>
      </c>
      <c r="L50" s="50">
        <f>_xlfn.XLOOKUP(A60,Magazzino!$D$1:$D$1500,Magazzino!$F$1:$F$1500,"",0,1)</f>
        <v/>
      </c>
      <c r="M50" s="50">
        <f>_xlfn.XLOOKUP(A61,Magazzino!$D$1:$D$1500,Magazzino!$F$1:$F$1500,"",0,1)</f>
        <v/>
      </c>
      <c r="N50" s="50">
        <f>_xlfn.XLOOKUP(A62,Magazzino!$D$1:$D$1500,Magazzino!$F$1:$F$1500,"",0,1)</f>
        <v/>
      </c>
      <c r="O50" s="50">
        <f>_xlfn.XLOOKUP(A63,Magazzino!$D$1:$D$1500,Magazzino!$F$1:$F$1500,"",0,1)</f>
        <v/>
      </c>
      <c r="P50" s="50">
        <f>_xlfn.XLOOKUP(A64,Magazzino!$D$1:$D$1500,Magazzino!$F$1:$F$1500,"",0,1)</f>
        <v/>
      </c>
      <c r="Q50" s="51">
        <f>_xlfn.XLOOKUP(A65,Magazzino!$D$1:$D$1500,Magazzino!$F$1:$F$1500,"",0,1)</f>
        <v/>
      </c>
    </row>
    <row r="51">
      <c r="A51" s="47" t="inlineStr">
        <is>
          <t>Friarielli Orig.Campania L.51/F FVI/49</t>
        </is>
      </c>
      <c r="B51" s="10" t="inlineStr">
        <is>
          <t>-</t>
        </is>
      </c>
      <c r="C51" s="11" t="inlineStr">
        <is>
          <t>-</t>
        </is>
      </c>
      <c r="D51" s="11" t="inlineStr">
        <is>
          <t>-</t>
        </is>
      </c>
      <c r="E51" s="11" t="inlineStr">
        <is>
          <t>-</t>
        </is>
      </c>
      <c r="F51" s="11" t="inlineStr">
        <is>
          <t>-</t>
        </is>
      </c>
      <c r="G51" s="11" t="inlineStr">
        <is>
          <t>-</t>
        </is>
      </c>
      <c r="H51" s="11" t="inlineStr">
        <is>
          <t>-</t>
        </is>
      </c>
      <c r="I51" s="11" t="inlineStr">
        <is>
          <t>-</t>
        </is>
      </c>
      <c r="J51" s="11" t="inlineStr">
        <is>
          <t>-</t>
        </is>
      </c>
      <c r="K51" s="11" t="inlineStr">
        <is>
          <t>-</t>
        </is>
      </c>
      <c r="L51" s="11" t="inlineStr">
        <is>
          <t>-</t>
        </is>
      </c>
      <c r="M51" s="11" t="inlineStr">
        <is>
          <t>-</t>
        </is>
      </c>
      <c r="N51" s="11" t="inlineStr">
        <is>
          <t>-</t>
        </is>
      </c>
      <c r="O51" s="11" t="inlineStr">
        <is>
          <t>-</t>
        </is>
      </c>
      <c r="P51" s="11" t="inlineStr">
        <is>
          <t>-</t>
        </is>
      </c>
      <c r="Q51" s="12" t="inlineStr">
        <is>
          <t>-</t>
        </is>
      </c>
    </row>
    <row r="52">
      <c r="A52" s="48" t="inlineStr">
        <is>
          <t xml:space="preserve">SALE SACCHI SALTECHNO KG.25  </t>
        </is>
      </c>
      <c r="B52" s="13" t="inlineStr">
        <is>
          <t>-</t>
        </is>
      </c>
      <c r="C52" s="14" t="inlineStr">
        <is>
          <t>-</t>
        </is>
      </c>
      <c r="D52" s="14" t="inlineStr">
        <is>
          <t>-</t>
        </is>
      </c>
      <c r="E52" s="14" t="inlineStr">
        <is>
          <t>-</t>
        </is>
      </c>
      <c r="F52" s="14" t="inlineStr">
        <is>
          <t>-</t>
        </is>
      </c>
      <c r="G52" s="14" t="inlineStr">
        <is>
          <t>-</t>
        </is>
      </c>
      <c r="H52" s="14" t="inlineStr">
        <is>
          <t>-</t>
        </is>
      </c>
      <c r="I52" s="14" t="inlineStr">
        <is>
          <t>-</t>
        </is>
      </c>
      <c r="J52" s="14" t="inlineStr">
        <is>
          <t>-</t>
        </is>
      </c>
      <c r="K52" s="14" t="inlineStr">
        <is>
          <t>-</t>
        </is>
      </c>
      <c r="L52" s="14" t="inlineStr">
        <is>
          <t>-</t>
        </is>
      </c>
      <c r="M52" s="14" t="inlineStr">
        <is>
          <t>-</t>
        </is>
      </c>
      <c r="N52" s="14" t="inlineStr">
        <is>
          <t>-</t>
        </is>
      </c>
      <c r="O52" s="14" t="inlineStr">
        <is>
          <t>-</t>
        </is>
      </c>
      <c r="P52" s="14" t="inlineStr">
        <is>
          <t>-</t>
        </is>
      </c>
      <c r="Q52" s="15" t="inlineStr">
        <is>
          <t>-</t>
        </is>
      </c>
    </row>
    <row r="53">
      <c r="A53" s="47" t="inlineStr">
        <is>
          <t>olio extravergine oliva</t>
        </is>
      </c>
      <c r="B53" s="16" t="inlineStr">
        <is>
          <t>-</t>
        </is>
      </c>
      <c r="C53" s="11" t="inlineStr">
        <is>
          <t>-</t>
        </is>
      </c>
      <c r="D53" s="11" t="inlineStr">
        <is>
          <t>-</t>
        </is>
      </c>
      <c r="E53" s="11" t="inlineStr">
        <is>
          <t>-</t>
        </is>
      </c>
      <c r="F53" s="11" t="inlineStr">
        <is>
          <t>-</t>
        </is>
      </c>
      <c r="G53" s="11" t="inlineStr">
        <is>
          <t>-</t>
        </is>
      </c>
      <c r="H53" s="11" t="inlineStr">
        <is>
          <t>-</t>
        </is>
      </c>
      <c r="I53" s="11" t="inlineStr">
        <is>
          <t>-</t>
        </is>
      </c>
      <c r="J53" s="11" t="inlineStr">
        <is>
          <t>-</t>
        </is>
      </c>
      <c r="K53" s="11" t="inlineStr">
        <is>
          <t>-</t>
        </is>
      </c>
      <c r="L53" s="11" t="inlineStr">
        <is>
          <t>-</t>
        </is>
      </c>
      <c r="M53" s="11" t="inlineStr">
        <is>
          <t>-</t>
        </is>
      </c>
      <c r="N53" s="11" t="inlineStr">
        <is>
          <t>-</t>
        </is>
      </c>
      <c r="O53" s="11" t="inlineStr">
        <is>
          <t>-</t>
        </is>
      </c>
      <c r="P53" s="11" t="inlineStr">
        <is>
          <t>-</t>
        </is>
      </c>
      <c r="Q53" s="12" t="inlineStr">
        <is>
          <t>-</t>
        </is>
      </c>
    </row>
    <row r="54">
      <c r="A54" s="47" t="n"/>
      <c r="B54" s="13" t="inlineStr">
        <is>
          <t>-</t>
        </is>
      </c>
      <c r="C54" s="14" t="inlineStr">
        <is>
          <t>-</t>
        </is>
      </c>
      <c r="D54" s="14" t="inlineStr">
        <is>
          <t>-</t>
        </is>
      </c>
      <c r="E54" s="14" t="inlineStr">
        <is>
          <t>-</t>
        </is>
      </c>
      <c r="F54" s="14" t="inlineStr">
        <is>
          <t>-</t>
        </is>
      </c>
      <c r="G54" s="14" t="inlineStr">
        <is>
          <t>-</t>
        </is>
      </c>
      <c r="H54" s="14" t="inlineStr">
        <is>
          <t>-</t>
        </is>
      </c>
      <c r="I54" s="14" t="inlineStr">
        <is>
          <t>-</t>
        </is>
      </c>
      <c r="J54" s="14" t="inlineStr">
        <is>
          <t>-</t>
        </is>
      </c>
      <c r="K54" s="14" t="inlineStr">
        <is>
          <t>-</t>
        </is>
      </c>
      <c r="L54" s="14" t="inlineStr">
        <is>
          <t>-</t>
        </is>
      </c>
      <c r="M54" s="14" t="inlineStr">
        <is>
          <t>-</t>
        </is>
      </c>
      <c r="N54" s="14" t="inlineStr">
        <is>
          <t>-</t>
        </is>
      </c>
      <c r="O54" s="14" t="inlineStr">
        <is>
          <t>-</t>
        </is>
      </c>
      <c r="P54" s="14" t="inlineStr">
        <is>
          <t>-</t>
        </is>
      </c>
      <c r="Q54" s="15" t="inlineStr">
        <is>
          <t>-</t>
        </is>
      </c>
    </row>
    <row r="55">
      <c r="A55" s="47" t="n"/>
      <c r="B55" s="16" t="inlineStr">
        <is>
          <t>-</t>
        </is>
      </c>
      <c r="C55" s="11" t="inlineStr">
        <is>
          <t>-</t>
        </is>
      </c>
      <c r="D55" s="11" t="inlineStr">
        <is>
          <t>-</t>
        </is>
      </c>
      <c r="E55" s="11" t="inlineStr">
        <is>
          <t>-</t>
        </is>
      </c>
      <c r="F55" s="11" t="inlineStr">
        <is>
          <t>-</t>
        </is>
      </c>
      <c r="G55" s="11" t="inlineStr">
        <is>
          <t>-</t>
        </is>
      </c>
      <c r="H55" s="11" t="inlineStr">
        <is>
          <t>-</t>
        </is>
      </c>
      <c r="I55" s="11" t="inlineStr">
        <is>
          <t>-</t>
        </is>
      </c>
      <c r="J55" s="11" t="inlineStr">
        <is>
          <t>-</t>
        </is>
      </c>
      <c r="K55" s="11" t="inlineStr">
        <is>
          <t>-</t>
        </is>
      </c>
      <c r="L55" s="11" t="inlineStr">
        <is>
          <t>-</t>
        </is>
      </c>
      <c r="M55" s="11" t="inlineStr">
        <is>
          <t>-</t>
        </is>
      </c>
      <c r="N55" s="11" t="inlineStr">
        <is>
          <t>-</t>
        </is>
      </c>
      <c r="O55" s="11" t="inlineStr">
        <is>
          <t>-</t>
        </is>
      </c>
      <c r="P55" s="11" t="inlineStr">
        <is>
          <t>-</t>
        </is>
      </c>
      <c r="Q55" s="12" t="inlineStr">
        <is>
          <t>-</t>
        </is>
      </c>
    </row>
    <row r="56">
      <c r="A56" s="47" t="n"/>
      <c r="B56" s="13" t="inlineStr">
        <is>
          <t>-</t>
        </is>
      </c>
      <c r="C56" s="14" t="inlineStr">
        <is>
          <t>-</t>
        </is>
      </c>
      <c r="D56" s="14" t="inlineStr">
        <is>
          <t>-</t>
        </is>
      </c>
      <c r="E56" s="14" t="inlineStr">
        <is>
          <t>-</t>
        </is>
      </c>
      <c r="F56" s="14" t="inlineStr">
        <is>
          <t>-</t>
        </is>
      </c>
      <c r="G56" s="14" t="inlineStr">
        <is>
          <t>-</t>
        </is>
      </c>
      <c r="H56" s="14" t="inlineStr">
        <is>
          <t>-</t>
        </is>
      </c>
      <c r="I56" s="14" t="inlineStr">
        <is>
          <t>-</t>
        </is>
      </c>
      <c r="J56" s="14" t="inlineStr">
        <is>
          <t>-</t>
        </is>
      </c>
      <c r="K56" s="14" t="inlineStr">
        <is>
          <t>-</t>
        </is>
      </c>
      <c r="L56" s="14" t="inlineStr">
        <is>
          <t>-</t>
        </is>
      </c>
      <c r="M56" s="14" t="inlineStr">
        <is>
          <t>-</t>
        </is>
      </c>
      <c r="N56" s="14" t="inlineStr">
        <is>
          <t>-</t>
        </is>
      </c>
      <c r="O56" s="14" t="inlineStr">
        <is>
          <t>-</t>
        </is>
      </c>
      <c r="P56" s="14" t="inlineStr">
        <is>
          <t>-</t>
        </is>
      </c>
      <c r="Q56" s="15" t="inlineStr">
        <is>
          <t>-</t>
        </is>
      </c>
    </row>
    <row r="57">
      <c r="A57" s="47" t="n"/>
      <c r="B57" s="16" t="inlineStr">
        <is>
          <t>-</t>
        </is>
      </c>
      <c r="C57" s="11" t="inlineStr">
        <is>
          <t>-</t>
        </is>
      </c>
      <c r="D57" s="11" t="inlineStr">
        <is>
          <t>-</t>
        </is>
      </c>
      <c r="E57" s="11" t="inlineStr">
        <is>
          <t>-</t>
        </is>
      </c>
      <c r="F57" s="11" t="inlineStr">
        <is>
          <t>-</t>
        </is>
      </c>
      <c r="G57" s="11" t="inlineStr">
        <is>
          <t>-</t>
        </is>
      </c>
      <c r="H57" s="11" t="inlineStr">
        <is>
          <t>-</t>
        </is>
      </c>
      <c r="I57" s="11" t="inlineStr">
        <is>
          <t>-</t>
        </is>
      </c>
      <c r="J57" s="11" t="inlineStr">
        <is>
          <t>-</t>
        </is>
      </c>
      <c r="K57" s="11" t="inlineStr">
        <is>
          <t>-</t>
        </is>
      </c>
      <c r="L57" s="11" t="inlineStr">
        <is>
          <t>-</t>
        </is>
      </c>
      <c r="M57" s="11" t="inlineStr">
        <is>
          <t>-</t>
        </is>
      </c>
      <c r="N57" s="11" t="inlineStr">
        <is>
          <t>-</t>
        </is>
      </c>
      <c r="O57" s="11" t="inlineStr">
        <is>
          <t>-</t>
        </is>
      </c>
      <c r="P57" s="11" t="inlineStr">
        <is>
          <t>-</t>
        </is>
      </c>
      <c r="Q57" s="12" t="inlineStr">
        <is>
          <t>-</t>
        </is>
      </c>
    </row>
    <row r="58">
      <c r="A58" s="47" t="n"/>
      <c r="B58" s="13" t="inlineStr">
        <is>
          <t>-</t>
        </is>
      </c>
      <c r="C58" s="14" t="inlineStr">
        <is>
          <t>-</t>
        </is>
      </c>
      <c r="D58" s="14" t="inlineStr">
        <is>
          <t>-</t>
        </is>
      </c>
      <c r="E58" s="14" t="inlineStr">
        <is>
          <t>-</t>
        </is>
      </c>
      <c r="F58" s="14" t="inlineStr">
        <is>
          <t>-</t>
        </is>
      </c>
      <c r="G58" s="14" t="inlineStr">
        <is>
          <t>-</t>
        </is>
      </c>
      <c r="H58" s="14" t="inlineStr">
        <is>
          <t>-</t>
        </is>
      </c>
      <c r="I58" s="14" t="inlineStr">
        <is>
          <t>-</t>
        </is>
      </c>
      <c r="J58" s="14" t="inlineStr">
        <is>
          <t>-</t>
        </is>
      </c>
      <c r="K58" s="14" t="inlineStr">
        <is>
          <t>-</t>
        </is>
      </c>
      <c r="L58" s="14" t="inlineStr">
        <is>
          <t>-</t>
        </is>
      </c>
      <c r="M58" s="14" t="inlineStr">
        <is>
          <t>-</t>
        </is>
      </c>
      <c r="N58" s="14" t="inlineStr">
        <is>
          <t>-</t>
        </is>
      </c>
      <c r="O58" s="14" t="inlineStr">
        <is>
          <t>-</t>
        </is>
      </c>
      <c r="P58" s="14" t="inlineStr">
        <is>
          <t>-</t>
        </is>
      </c>
      <c r="Q58" s="15" t="inlineStr">
        <is>
          <t>-</t>
        </is>
      </c>
    </row>
    <row r="59">
      <c r="A59" s="47" t="n"/>
      <c r="B59" s="16" t="inlineStr">
        <is>
          <t>-</t>
        </is>
      </c>
      <c r="C59" s="11" t="inlineStr">
        <is>
          <t>-</t>
        </is>
      </c>
      <c r="D59" s="11" t="inlineStr">
        <is>
          <t>-</t>
        </is>
      </c>
      <c r="E59" s="11" t="inlineStr">
        <is>
          <t>-</t>
        </is>
      </c>
      <c r="F59" s="11" t="inlineStr">
        <is>
          <t>-</t>
        </is>
      </c>
      <c r="G59" s="11" t="inlineStr">
        <is>
          <t>-</t>
        </is>
      </c>
      <c r="H59" s="11" t="inlineStr">
        <is>
          <t>-</t>
        </is>
      </c>
      <c r="I59" s="11" t="inlineStr">
        <is>
          <t>-</t>
        </is>
      </c>
      <c r="J59" s="11" t="inlineStr">
        <is>
          <t>-</t>
        </is>
      </c>
      <c r="K59" s="11" t="inlineStr">
        <is>
          <t>-</t>
        </is>
      </c>
      <c r="L59" s="11" t="inlineStr">
        <is>
          <t>-</t>
        </is>
      </c>
      <c r="M59" s="11" t="inlineStr">
        <is>
          <t>-</t>
        </is>
      </c>
      <c r="N59" s="11" t="inlineStr">
        <is>
          <t>-</t>
        </is>
      </c>
      <c r="O59" s="11" t="inlineStr">
        <is>
          <t>-</t>
        </is>
      </c>
      <c r="P59" s="11" t="inlineStr">
        <is>
          <t>-</t>
        </is>
      </c>
      <c r="Q59" s="12" t="inlineStr">
        <is>
          <t>-</t>
        </is>
      </c>
    </row>
    <row r="60">
      <c r="A60" s="47" t="n"/>
      <c r="B60" s="13" t="inlineStr">
        <is>
          <t>-</t>
        </is>
      </c>
      <c r="C60" s="14" t="inlineStr">
        <is>
          <t>-</t>
        </is>
      </c>
      <c r="D60" s="14" t="inlineStr">
        <is>
          <t>-</t>
        </is>
      </c>
      <c r="E60" s="14" t="inlineStr">
        <is>
          <t>-</t>
        </is>
      </c>
      <c r="F60" s="14" t="inlineStr">
        <is>
          <t>-</t>
        </is>
      </c>
      <c r="G60" s="14" t="inlineStr">
        <is>
          <t>-</t>
        </is>
      </c>
      <c r="H60" s="14" t="inlineStr">
        <is>
          <t>-</t>
        </is>
      </c>
      <c r="I60" s="14" t="inlineStr">
        <is>
          <t>-</t>
        </is>
      </c>
      <c r="J60" s="14" t="inlineStr">
        <is>
          <t>-</t>
        </is>
      </c>
      <c r="K60" s="14" t="inlineStr">
        <is>
          <t>-</t>
        </is>
      </c>
      <c r="L60" s="14" t="inlineStr">
        <is>
          <t>-</t>
        </is>
      </c>
      <c r="M60" s="14" t="inlineStr">
        <is>
          <t>-</t>
        </is>
      </c>
      <c r="N60" s="14" t="inlineStr">
        <is>
          <t>-</t>
        </is>
      </c>
      <c r="O60" s="14" t="inlineStr">
        <is>
          <t>-</t>
        </is>
      </c>
      <c r="P60" s="14" t="inlineStr">
        <is>
          <t>-</t>
        </is>
      </c>
      <c r="Q60" s="15" t="inlineStr">
        <is>
          <t>-</t>
        </is>
      </c>
    </row>
    <row r="61">
      <c r="A61" s="47" t="n"/>
      <c r="B61" s="16" t="inlineStr">
        <is>
          <t>-</t>
        </is>
      </c>
      <c r="C61" s="11" t="inlineStr">
        <is>
          <t>-</t>
        </is>
      </c>
      <c r="D61" s="11" t="inlineStr">
        <is>
          <t>-</t>
        </is>
      </c>
      <c r="E61" s="11" t="inlineStr">
        <is>
          <t>-</t>
        </is>
      </c>
      <c r="F61" s="11" t="inlineStr">
        <is>
          <t>-</t>
        </is>
      </c>
      <c r="G61" s="11" t="inlineStr">
        <is>
          <t>-</t>
        </is>
      </c>
      <c r="H61" s="11" t="inlineStr">
        <is>
          <t>-</t>
        </is>
      </c>
      <c r="I61" s="11" t="inlineStr">
        <is>
          <t>-</t>
        </is>
      </c>
      <c r="J61" s="11" t="inlineStr">
        <is>
          <t>-</t>
        </is>
      </c>
      <c r="K61" s="11" t="inlineStr">
        <is>
          <t>-</t>
        </is>
      </c>
      <c r="L61" s="11" t="inlineStr">
        <is>
          <t>-</t>
        </is>
      </c>
      <c r="M61" s="11" t="inlineStr">
        <is>
          <t>-</t>
        </is>
      </c>
      <c r="N61" s="11" t="inlineStr">
        <is>
          <t>-</t>
        </is>
      </c>
      <c r="O61" s="11" t="inlineStr">
        <is>
          <t>-</t>
        </is>
      </c>
      <c r="P61" s="11" t="inlineStr">
        <is>
          <t>-</t>
        </is>
      </c>
      <c r="Q61" s="12" t="inlineStr">
        <is>
          <t>-</t>
        </is>
      </c>
    </row>
    <row r="62">
      <c r="A62" s="47" t="n"/>
      <c r="B62" s="13" t="inlineStr">
        <is>
          <t>-</t>
        </is>
      </c>
      <c r="C62" s="14" t="inlineStr">
        <is>
          <t>-</t>
        </is>
      </c>
      <c r="D62" s="14" t="inlineStr">
        <is>
          <t>-</t>
        </is>
      </c>
      <c r="E62" s="14" t="inlineStr">
        <is>
          <t>-</t>
        </is>
      </c>
      <c r="F62" s="14" t="inlineStr">
        <is>
          <t>-</t>
        </is>
      </c>
      <c r="G62" s="14" t="inlineStr">
        <is>
          <t>-</t>
        </is>
      </c>
      <c r="H62" s="14" t="inlineStr">
        <is>
          <t>-</t>
        </is>
      </c>
      <c r="I62" s="14" t="inlineStr">
        <is>
          <t>-</t>
        </is>
      </c>
      <c r="J62" s="14" t="inlineStr">
        <is>
          <t>-</t>
        </is>
      </c>
      <c r="K62" s="14" t="inlineStr">
        <is>
          <t>-</t>
        </is>
      </c>
      <c r="L62" s="14" t="inlineStr">
        <is>
          <t>-</t>
        </is>
      </c>
      <c r="M62" s="14" t="inlineStr">
        <is>
          <t>-</t>
        </is>
      </c>
      <c r="N62" s="14" t="inlineStr">
        <is>
          <t>-</t>
        </is>
      </c>
      <c r="O62" s="14" t="inlineStr">
        <is>
          <t>-</t>
        </is>
      </c>
      <c r="P62" s="14" t="inlineStr">
        <is>
          <t>-</t>
        </is>
      </c>
      <c r="Q62" s="15" t="inlineStr">
        <is>
          <t>-</t>
        </is>
      </c>
    </row>
    <row r="63">
      <c r="A63" s="47" t="n"/>
      <c r="B63" s="16" t="inlineStr">
        <is>
          <t>-</t>
        </is>
      </c>
      <c r="C63" s="11" t="inlineStr">
        <is>
          <t>-</t>
        </is>
      </c>
      <c r="D63" s="11" t="inlineStr">
        <is>
          <t>-</t>
        </is>
      </c>
      <c r="E63" s="11" t="inlineStr">
        <is>
          <t>-</t>
        </is>
      </c>
      <c r="F63" s="11" t="inlineStr">
        <is>
          <t>-</t>
        </is>
      </c>
      <c r="G63" s="11" t="inlineStr">
        <is>
          <t>-</t>
        </is>
      </c>
      <c r="H63" s="11" t="inlineStr">
        <is>
          <t>-</t>
        </is>
      </c>
      <c r="I63" s="11" t="inlineStr">
        <is>
          <t>-</t>
        </is>
      </c>
      <c r="J63" s="11" t="inlineStr">
        <is>
          <t>-</t>
        </is>
      </c>
      <c r="K63" s="11" t="inlineStr">
        <is>
          <t>-</t>
        </is>
      </c>
      <c r="L63" s="11" t="inlineStr">
        <is>
          <t>-</t>
        </is>
      </c>
      <c r="M63" s="11" t="inlineStr">
        <is>
          <t>-</t>
        </is>
      </c>
      <c r="N63" s="11" t="inlineStr">
        <is>
          <t>-</t>
        </is>
      </c>
      <c r="O63" s="11" t="inlineStr">
        <is>
          <t>-</t>
        </is>
      </c>
      <c r="P63" s="11" t="inlineStr">
        <is>
          <t>-</t>
        </is>
      </c>
      <c r="Q63" s="12" t="inlineStr">
        <is>
          <t>-</t>
        </is>
      </c>
    </row>
    <row r="64">
      <c r="A64" s="47" t="n"/>
      <c r="B64" s="13" t="inlineStr">
        <is>
          <t>-</t>
        </is>
      </c>
      <c r="C64" s="14" t="inlineStr">
        <is>
          <t>-</t>
        </is>
      </c>
      <c r="D64" s="14" t="inlineStr">
        <is>
          <t>-</t>
        </is>
      </c>
      <c r="E64" s="14" t="inlineStr">
        <is>
          <t>-</t>
        </is>
      </c>
      <c r="F64" s="14" t="inlineStr">
        <is>
          <t>-</t>
        </is>
      </c>
      <c r="G64" s="14" t="inlineStr">
        <is>
          <t>-</t>
        </is>
      </c>
      <c r="H64" s="14" t="inlineStr">
        <is>
          <t>-</t>
        </is>
      </c>
      <c r="I64" s="14" t="inlineStr">
        <is>
          <t>-</t>
        </is>
      </c>
      <c r="J64" s="14" t="inlineStr">
        <is>
          <t>-</t>
        </is>
      </c>
      <c r="K64" s="14" t="inlineStr">
        <is>
          <t>-</t>
        </is>
      </c>
      <c r="L64" s="14" t="inlineStr">
        <is>
          <t>-</t>
        </is>
      </c>
      <c r="M64" s="14" t="inlineStr">
        <is>
          <t>-</t>
        </is>
      </c>
      <c r="N64" s="14" t="inlineStr">
        <is>
          <t>-</t>
        </is>
      </c>
      <c r="O64" s="14" t="inlineStr">
        <is>
          <t>-</t>
        </is>
      </c>
      <c r="P64" s="14" t="inlineStr">
        <is>
          <t>-</t>
        </is>
      </c>
      <c r="Q64" s="15" t="inlineStr">
        <is>
          <t>-</t>
        </is>
      </c>
    </row>
    <row r="65">
      <c r="A65" s="47" t="n"/>
      <c r="B65" s="16" t="inlineStr">
        <is>
          <t>-</t>
        </is>
      </c>
      <c r="C65" s="11" t="inlineStr">
        <is>
          <t>-</t>
        </is>
      </c>
      <c r="D65" s="11" t="inlineStr">
        <is>
          <t>-</t>
        </is>
      </c>
      <c r="E65" s="11" t="inlineStr">
        <is>
          <t>-</t>
        </is>
      </c>
      <c r="F65" s="11" t="inlineStr">
        <is>
          <t>-</t>
        </is>
      </c>
      <c r="G65" s="11" t="inlineStr">
        <is>
          <t>-</t>
        </is>
      </c>
      <c r="H65" s="11" t="inlineStr">
        <is>
          <t>-</t>
        </is>
      </c>
      <c r="I65" s="11" t="inlineStr">
        <is>
          <t>-</t>
        </is>
      </c>
      <c r="J65" s="11" t="inlineStr">
        <is>
          <t>-</t>
        </is>
      </c>
      <c r="K65" s="11" t="inlineStr">
        <is>
          <t>-</t>
        </is>
      </c>
      <c r="L65" s="11" t="inlineStr">
        <is>
          <t>-</t>
        </is>
      </c>
      <c r="M65" s="11" t="inlineStr">
        <is>
          <t>-</t>
        </is>
      </c>
      <c r="N65" s="11" t="inlineStr">
        <is>
          <t>-</t>
        </is>
      </c>
      <c r="O65" s="11" t="inlineStr">
        <is>
          <t>-</t>
        </is>
      </c>
      <c r="P65" s="11" t="inlineStr">
        <is>
          <t>-</t>
        </is>
      </c>
      <c r="Q65" s="12" t="inlineStr">
        <is>
          <t>-</t>
        </is>
      </c>
    </row>
    <row r="66" ht="36" customHeight="1" s="155">
      <c r="B66" s="9" t="inlineStr">
        <is>
          <t>peperoni in padella</t>
        </is>
      </c>
      <c r="C66" s="49">
        <f>_xlfn.XLOOKUP(A67,Magazzino!$D$1:$D$1500,Magazzino!$F$1:$F$1500,"",0,1)</f>
        <v/>
      </c>
      <c r="D66" s="50">
        <f>_xlfn.XLOOKUP(A68,Magazzino!$D$1:$D$1500,Magazzino!$F$1:$F$1500,"",0,1)</f>
        <v/>
      </c>
      <c r="E66" s="50">
        <f>_xlfn.XLOOKUP(A69,Magazzino!$D$1:$D$1500,Magazzino!$F$1:$F$1500,"",0,1)</f>
        <v/>
      </c>
      <c r="F66" s="50">
        <f>_xlfn.XLOOKUP(A70,Magazzino!$D$1:$D$1500,Magazzino!$F$1:$F$1500,"",0,1)</f>
        <v/>
      </c>
      <c r="G66" s="50">
        <f>_xlfn.XLOOKUP(A71,Magazzino!$D$1:$D$1500,Magazzino!$F$1:$F$1500,"",0,1)</f>
        <v/>
      </c>
      <c r="H66" s="50">
        <f>_xlfn.XLOOKUP(A72,Magazzino!$D$1:$D$1500,Magazzino!$F$1:$F$1500,"",0,1)</f>
        <v/>
      </c>
      <c r="I66" s="50">
        <f>_xlfn.XLOOKUP(A73,Magazzino!$D$1:$D$1500,Magazzino!$F$1:$F$1500,"",0,1)</f>
        <v/>
      </c>
      <c r="J66" s="50">
        <f>_xlfn.XLOOKUP(A74,Magazzino!$D$1:$D$1500,Magazzino!$F$1:$F$1500,"",0,1)</f>
        <v/>
      </c>
      <c r="K66" s="50">
        <f>_xlfn.XLOOKUP(A75,Magazzino!$D$1:$D$1500,Magazzino!$F$1:$F$1500,"",0,1)</f>
        <v/>
      </c>
      <c r="L66" s="50">
        <f>_xlfn.XLOOKUP(A76,Magazzino!$D$1:$D$1500,Magazzino!$F$1:$F$1500,"",0,1)</f>
        <v/>
      </c>
      <c r="M66" s="50">
        <f>_xlfn.XLOOKUP(A77,Magazzino!$D$1:$D$1500,Magazzino!$F$1:$F$1500,"",0,1)</f>
        <v/>
      </c>
      <c r="N66" s="50">
        <f>_xlfn.XLOOKUP(A78,Magazzino!$D$1:$D$1500,Magazzino!$F$1:$F$1500,"",0,1)</f>
        <v/>
      </c>
      <c r="O66" s="50">
        <f>_xlfn.XLOOKUP(A79,Magazzino!$D$1:$D$1500,Magazzino!$F$1:$F$1500,"",0,1)</f>
        <v/>
      </c>
      <c r="P66" s="50">
        <f>_xlfn.XLOOKUP(A80,Magazzino!$D$1:$D$1500,Magazzino!$F$1:$F$1500,"",0,1)</f>
        <v/>
      </c>
      <c r="Q66" s="51">
        <f>_xlfn.XLOOKUP(A81,Magazzino!$D$1:$D$1500,Magazzino!$F$1:$F$1500,"",0,1)</f>
        <v/>
      </c>
    </row>
    <row r="67">
      <c r="A67" s="47" t="inlineStr">
        <is>
          <t>Peperoni  L.031-004226-0000007</t>
        </is>
      </c>
      <c r="B67" s="10" t="inlineStr">
        <is>
          <t>-</t>
        </is>
      </c>
      <c r="C67" s="11" t="inlineStr">
        <is>
          <t>-</t>
        </is>
      </c>
      <c r="D67" s="11" t="inlineStr">
        <is>
          <t>-</t>
        </is>
      </c>
      <c r="E67" s="11" t="inlineStr">
        <is>
          <t>-</t>
        </is>
      </c>
      <c r="F67" s="11" t="inlineStr">
        <is>
          <t>-</t>
        </is>
      </c>
      <c r="G67" s="11" t="inlineStr">
        <is>
          <t>-</t>
        </is>
      </c>
      <c r="H67" s="11" t="inlineStr">
        <is>
          <t>-</t>
        </is>
      </c>
      <c r="I67" s="11" t="inlineStr">
        <is>
          <t>-</t>
        </is>
      </c>
      <c r="J67" s="11" t="inlineStr">
        <is>
          <t>-</t>
        </is>
      </c>
      <c r="K67" s="11" t="inlineStr">
        <is>
          <t>-</t>
        </is>
      </c>
      <c r="L67" s="11" t="inlineStr">
        <is>
          <t>-</t>
        </is>
      </c>
      <c r="M67" s="11" t="inlineStr">
        <is>
          <t>-</t>
        </is>
      </c>
      <c r="N67" s="11" t="inlineStr">
        <is>
          <t>-</t>
        </is>
      </c>
      <c r="O67" s="11" t="inlineStr">
        <is>
          <t>-</t>
        </is>
      </c>
      <c r="P67" s="11" t="inlineStr">
        <is>
          <t>-</t>
        </is>
      </c>
      <c r="Q67" s="12" t="inlineStr">
        <is>
          <t>-</t>
        </is>
      </c>
    </row>
    <row r="68">
      <c r="A68" s="48" t="inlineStr">
        <is>
          <t xml:space="preserve">SALE SACCHI SALTECHNO KG.25  </t>
        </is>
      </c>
      <c r="B68" s="13" t="inlineStr">
        <is>
          <t>-</t>
        </is>
      </c>
      <c r="C68" s="14" t="inlineStr">
        <is>
          <t>-</t>
        </is>
      </c>
      <c r="D68" s="14" t="inlineStr">
        <is>
          <t>-</t>
        </is>
      </c>
      <c r="E68" s="14" t="inlineStr">
        <is>
          <t>-</t>
        </is>
      </c>
      <c r="F68" s="14" t="inlineStr">
        <is>
          <t>-</t>
        </is>
      </c>
      <c r="G68" s="14" t="inlineStr">
        <is>
          <t>-</t>
        </is>
      </c>
      <c r="H68" s="14" t="inlineStr">
        <is>
          <t>-</t>
        </is>
      </c>
      <c r="I68" s="14" t="inlineStr">
        <is>
          <t>-</t>
        </is>
      </c>
      <c r="J68" s="14" t="inlineStr">
        <is>
          <t>-</t>
        </is>
      </c>
      <c r="K68" s="14" t="inlineStr">
        <is>
          <t>-</t>
        </is>
      </c>
      <c r="L68" s="14" t="inlineStr">
        <is>
          <t>-</t>
        </is>
      </c>
      <c r="M68" s="14" t="inlineStr">
        <is>
          <t>-</t>
        </is>
      </c>
      <c r="N68" s="14" t="inlineStr">
        <is>
          <t>-</t>
        </is>
      </c>
      <c r="O68" s="14" t="inlineStr">
        <is>
          <t>-</t>
        </is>
      </c>
      <c r="P68" s="14" t="inlineStr">
        <is>
          <t>-</t>
        </is>
      </c>
      <c r="Q68" s="15" t="inlineStr">
        <is>
          <t>-</t>
        </is>
      </c>
    </row>
    <row r="69" ht="13.5" customHeight="1" s="155">
      <c r="A69" s="43" t="inlineStr">
        <is>
          <t>olio extravergine oliva</t>
        </is>
      </c>
      <c r="B69" s="16" t="inlineStr">
        <is>
          <t>-</t>
        </is>
      </c>
      <c r="C69" s="11" t="inlineStr">
        <is>
          <t>-</t>
        </is>
      </c>
      <c r="D69" s="11" t="inlineStr">
        <is>
          <t>-</t>
        </is>
      </c>
      <c r="E69" s="11" t="inlineStr">
        <is>
          <t>-</t>
        </is>
      </c>
      <c r="F69" s="11" t="inlineStr">
        <is>
          <t>-</t>
        </is>
      </c>
      <c r="G69" s="11" t="inlineStr">
        <is>
          <t>-</t>
        </is>
      </c>
      <c r="H69" s="11" t="inlineStr">
        <is>
          <t>-</t>
        </is>
      </c>
      <c r="I69" s="11" t="inlineStr">
        <is>
          <t>-</t>
        </is>
      </c>
      <c r="J69" s="11" t="inlineStr">
        <is>
          <t>-</t>
        </is>
      </c>
      <c r="K69" s="11" t="inlineStr">
        <is>
          <t>-</t>
        </is>
      </c>
      <c r="L69" s="11" t="inlineStr">
        <is>
          <t>-</t>
        </is>
      </c>
      <c r="M69" s="11" t="inlineStr">
        <is>
          <t>-</t>
        </is>
      </c>
      <c r="N69" s="11" t="inlineStr">
        <is>
          <t>-</t>
        </is>
      </c>
      <c r="O69" s="11" t="inlineStr">
        <is>
          <t>-</t>
        </is>
      </c>
      <c r="P69" s="11" t="inlineStr">
        <is>
          <t>-</t>
        </is>
      </c>
      <c r="Q69" s="12" t="inlineStr">
        <is>
          <t>-</t>
        </is>
      </c>
    </row>
    <row r="70">
      <c r="A70" s="47" t="n"/>
      <c r="B70" s="13" t="inlineStr">
        <is>
          <t>-</t>
        </is>
      </c>
      <c r="C70" s="14" t="inlineStr">
        <is>
          <t>-</t>
        </is>
      </c>
      <c r="D70" s="14" t="inlineStr">
        <is>
          <t>-</t>
        </is>
      </c>
      <c r="E70" s="14" t="inlineStr">
        <is>
          <t>-</t>
        </is>
      </c>
      <c r="F70" s="14" t="inlineStr">
        <is>
          <t>-</t>
        </is>
      </c>
      <c r="G70" s="14" t="inlineStr">
        <is>
          <t>-</t>
        </is>
      </c>
      <c r="H70" s="14" t="inlineStr">
        <is>
          <t>-</t>
        </is>
      </c>
      <c r="I70" s="14" t="inlineStr">
        <is>
          <t>-</t>
        </is>
      </c>
      <c r="J70" s="14" t="inlineStr">
        <is>
          <t>-</t>
        </is>
      </c>
      <c r="K70" s="14" t="inlineStr">
        <is>
          <t>-</t>
        </is>
      </c>
      <c r="L70" s="14" t="inlineStr">
        <is>
          <t>-</t>
        </is>
      </c>
      <c r="M70" s="14" t="inlineStr">
        <is>
          <t>-</t>
        </is>
      </c>
      <c r="N70" s="14" t="inlineStr">
        <is>
          <t>-</t>
        </is>
      </c>
      <c r="O70" s="14" t="inlineStr">
        <is>
          <t>-</t>
        </is>
      </c>
      <c r="P70" s="14" t="inlineStr">
        <is>
          <t>-</t>
        </is>
      </c>
      <c r="Q70" s="15" t="inlineStr">
        <is>
          <t>-</t>
        </is>
      </c>
    </row>
    <row r="71">
      <c r="A71" s="47" t="n"/>
      <c r="B71" s="16" t="inlineStr">
        <is>
          <t>-</t>
        </is>
      </c>
      <c r="C71" s="11" t="inlineStr">
        <is>
          <t>-</t>
        </is>
      </c>
      <c r="D71" s="11" t="inlineStr">
        <is>
          <t>-</t>
        </is>
      </c>
      <c r="E71" s="11" t="inlineStr">
        <is>
          <t>-</t>
        </is>
      </c>
      <c r="F71" s="11" t="inlineStr">
        <is>
          <t>-</t>
        </is>
      </c>
      <c r="G71" s="11" t="inlineStr">
        <is>
          <t>-</t>
        </is>
      </c>
      <c r="H71" s="11" t="inlineStr">
        <is>
          <t>-</t>
        </is>
      </c>
      <c r="I71" s="11" t="inlineStr">
        <is>
          <t>-</t>
        </is>
      </c>
      <c r="J71" s="11" t="inlineStr">
        <is>
          <t>-</t>
        </is>
      </c>
      <c r="K71" s="11" t="inlineStr">
        <is>
          <t>-</t>
        </is>
      </c>
      <c r="L71" s="11" t="inlineStr">
        <is>
          <t>-</t>
        </is>
      </c>
      <c r="M71" s="11" t="inlineStr">
        <is>
          <t>-</t>
        </is>
      </c>
      <c r="N71" s="11" t="inlineStr">
        <is>
          <t>-</t>
        </is>
      </c>
      <c r="O71" s="11" t="inlineStr">
        <is>
          <t>-</t>
        </is>
      </c>
      <c r="P71" s="11" t="inlineStr">
        <is>
          <t>-</t>
        </is>
      </c>
      <c r="Q71" s="12" t="inlineStr">
        <is>
          <t>-</t>
        </is>
      </c>
    </row>
    <row r="72">
      <c r="A72" s="47" t="n"/>
      <c r="B72" s="13" t="inlineStr">
        <is>
          <t>-</t>
        </is>
      </c>
      <c r="C72" s="14" t="inlineStr">
        <is>
          <t>-</t>
        </is>
      </c>
      <c r="D72" s="14" t="inlineStr">
        <is>
          <t>-</t>
        </is>
      </c>
      <c r="E72" s="14" t="inlineStr">
        <is>
          <t>-</t>
        </is>
      </c>
      <c r="F72" s="14" t="inlineStr">
        <is>
          <t>-</t>
        </is>
      </c>
      <c r="G72" s="14" t="inlineStr">
        <is>
          <t>-</t>
        </is>
      </c>
      <c r="H72" s="14" t="inlineStr">
        <is>
          <t>-</t>
        </is>
      </c>
      <c r="I72" s="14" t="inlineStr">
        <is>
          <t>-</t>
        </is>
      </c>
      <c r="J72" s="14" t="inlineStr">
        <is>
          <t>-</t>
        </is>
      </c>
      <c r="K72" s="14" t="inlineStr">
        <is>
          <t>-</t>
        </is>
      </c>
      <c r="L72" s="14" t="inlineStr">
        <is>
          <t>-</t>
        </is>
      </c>
      <c r="M72" s="14" t="inlineStr">
        <is>
          <t>-</t>
        </is>
      </c>
      <c r="N72" s="14" t="inlineStr">
        <is>
          <t>-</t>
        </is>
      </c>
      <c r="O72" s="14" t="inlineStr">
        <is>
          <t>-</t>
        </is>
      </c>
      <c r="P72" s="14" t="inlineStr">
        <is>
          <t>-</t>
        </is>
      </c>
      <c r="Q72" s="15" t="inlineStr">
        <is>
          <t>-</t>
        </is>
      </c>
    </row>
    <row r="73">
      <c r="A73" s="47" t="n"/>
      <c r="B73" s="16" t="inlineStr">
        <is>
          <t>-</t>
        </is>
      </c>
      <c r="C73" s="11" t="inlineStr">
        <is>
          <t>-</t>
        </is>
      </c>
      <c r="D73" s="11" t="inlineStr">
        <is>
          <t>-</t>
        </is>
      </c>
      <c r="E73" s="11" t="inlineStr">
        <is>
          <t>-</t>
        </is>
      </c>
      <c r="F73" s="11" t="inlineStr">
        <is>
          <t>-</t>
        </is>
      </c>
      <c r="G73" s="11" t="inlineStr">
        <is>
          <t>-</t>
        </is>
      </c>
      <c r="H73" s="11" t="inlineStr">
        <is>
          <t>-</t>
        </is>
      </c>
      <c r="I73" s="11" t="inlineStr">
        <is>
          <t>-</t>
        </is>
      </c>
      <c r="J73" s="11" t="inlineStr">
        <is>
          <t>-</t>
        </is>
      </c>
      <c r="K73" s="11" t="inlineStr">
        <is>
          <t>-</t>
        </is>
      </c>
      <c r="L73" s="11" t="inlineStr">
        <is>
          <t>-</t>
        </is>
      </c>
      <c r="M73" s="11" t="inlineStr">
        <is>
          <t>-</t>
        </is>
      </c>
      <c r="N73" s="11" t="inlineStr">
        <is>
          <t>-</t>
        </is>
      </c>
      <c r="O73" s="11" t="inlineStr">
        <is>
          <t>-</t>
        </is>
      </c>
      <c r="P73" s="11" t="inlineStr">
        <is>
          <t>-</t>
        </is>
      </c>
      <c r="Q73" s="12" t="inlineStr">
        <is>
          <t>-</t>
        </is>
      </c>
    </row>
    <row r="74">
      <c r="A74" s="47" t="n"/>
      <c r="B74" s="13" t="inlineStr">
        <is>
          <t>-</t>
        </is>
      </c>
      <c r="C74" s="14" t="inlineStr">
        <is>
          <t>-</t>
        </is>
      </c>
      <c r="D74" s="14" t="inlineStr">
        <is>
          <t>-</t>
        </is>
      </c>
      <c r="E74" s="14" t="inlineStr">
        <is>
          <t>-</t>
        </is>
      </c>
      <c r="F74" s="14" t="inlineStr">
        <is>
          <t>-</t>
        </is>
      </c>
      <c r="G74" s="14" t="inlineStr">
        <is>
          <t>-</t>
        </is>
      </c>
      <c r="H74" s="14" t="inlineStr">
        <is>
          <t>-</t>
        </is>
      </c>
      <c r="I74" s="14" t="inlineStr">
        <is>
          <t>-</t>
        </is>
      </c>
      <c r="J74" s="14" t="inlineStr">
        <is>
          <t>-</t>
        </is>
      </c>
      <c r="K74" s="14" t="inlineStr">
        <is>
          <t>-</t>
        </is>
      </c>
      <c r="L74" s="14" t="inlineStr">
        <is>
          <t>-</t>
        </is>
      </c>
      <c r="M74" s="14" t="inlineStr">
        <is>
          <t>-</t>
        </is>
      </c>
      <c r="N74" s="14" t="inlineStr">
        <is>
          <t>-</t>
        </is>
      </c>
      <c r="O74" s="14" t="inlineStr">
        <is>
          <t>-</t>
        </is>
      </c>
      <c r="P74" s="14" t="inlineStr">
        <is>
          <t>-</t>
        </is>
      </c>
      <c r="Q74" s="15" t="inlineStr">
        <is>
          <t>-</t>
        </is>
      </c>
    </row>
    <row r="75">
      <c r="A75" s="47" t="n"/>
      <c r="B75" s="16" t="inlineStr">
        <is>
          <t>-</t>
        </is>
      </c>
      <c r="C75" s="11" t="inlineStr">
        <is>
          <t>-</t>
        </is>
      </c>
      <c r="D75" s="11" t="inlineStr">
        <is>
          <t>-</t>
        </is>
      </c>
      <c r="E75" s="11" t="inlineStr">
        <is>
          <t>-</t>
        </is>
      </c>
      <c r="F75" s="11" t="inlineStr">
        <is>
          <t>-</t>
        </is>
      </c>
      <c r="G75" s="11" t="inlineStr">
        <is>
          <t>-</t>
        </is>
      </c>
      <c r="H75" s="11" t="inlineStr">
        <is>
          <t>-</t>
        </is>
      </c>
      <c r="I75" s="11" t="inlineStr">
        <is>
          <t>-</t>
        </is>
      </c>
      <c r="J75" s="11" t="inlineStr">
        <is>
          <t>-</t>
        </is>
      </c>
      <c r="K75" s="11" t="inlineStr">
        <is>
          <t>-</t>
        </is>
      </c>
      <c r="L75" s="11" t="inlineStr">
        <is>
          <t>-</t>
        </is>
      </c>
      <c r="M75" s="11" t="inlineStr">
        <is>
          <t>-</t>
        </is>
      </c>
      <c r="N75" s="11" t="inlineStr">
        <is>
          <t>-</t>
        </is>
      </c>
      <c r="O75" s="11" t="inlineStr">
        <is>
          <t>-</t>
        </is>
      </c>
      <c r="P75" s="11" t="inlineStr">
        <is>
          <t>-</t>
        </is>
      </c>
      <c r="Q75" s="12" t="inlineStr">
        <is>
          <t>-</t>
        </is>
      </c>
    </row>
    <row r="76">
      <c r="A76" s="47" t="n"/>
      <c r="B76" s="13" t="inlineStr">
        <is>
          <t>-</t>
        </is>
      </c>
      <c r="C76" s="14" t="inlineStr">
        <is>
          <t>-</t>
        </is>
      </c>
      <c r="D76" s="14" t="inlineStr">
        <is>
          <t>-</t>
        </is>
      </c>
      <c r="E76" s="14" t="inlineStr">
        <is>
          <t>-</t>
        </is>
      </c>
      <c r="F76" s="14" t="inlineStr">
        <is>
          <t>-</t>
        </is>
      </c>
      <c r="G76" s="14" t="inlineStr">
        <is>
          <t>-</t>
        </is>
      </c>
      <c r="H76" s="14" t="inlineStr">
        <is>
          <t>-</t>
        </is>
      </c>
      <c r="I76" s="14" t="inlineStr">
        <is>
          <t>-</t>
        </is>
      </c>
      <c r="J76" s="14" t="inlineStr">
        <is>
          <t>-</t>
        </is>
      </c>
      <c r="K76" s="14" t="inlineStr">
        <is>
          <t>-</t>
        </is>
      </c>
      <c r="L76" s="14" t="inlineStr">
        <is>
          <t>-</t>
        </is>
      </c>
      <c r="M76" s="14" t="inlineStr">
        <is>
          <t>-</t>
        </is>
      </c>
      <c r="N76" s="14" t="inlineStr">
        <is>
          <t>-</t>
        </is>
      </c>
      <c r="O76" s="14" t="inlineStr">
        <is>
          <t>-</t>
        </is>
      </c>
      <c r="P76" s="14" t="inlineStr">
        <is>
          <t>-</t>
        </is>
      </c>
      <c r="Q76" s="15" t="inlineStr">
        <is>
          <t>-</t>
        </is>
      </c>
    </row>
    <row r="77">
      <c r="A77" s="47" t="n"/>
      <c r="B77" s="16" t="inlineStr">
        <is>
          <t>-</t>
        </is>
      </c>
      <c r="C77" s="11" t="inlineStr">
        <is>
          <t>-</t>
        </is>
      </c>
      <c r="D77" s="11" t="inlineStr">
        <is>
          <t>-</t>
        </is>
      </c>
      <c r="E77" s="11" t="inlineStr">
        <is>
          <t>-</t>
        </is>
      </c>
      <c r="F77" s="11" t="inlineStr">
        <is>
          <t>-</t>
        </is>
      </c>
      <c r="G77" s="11" t="inlineStr">
        <is>
          <t>-</t>
        </is>
      </c>
      <c r="H77" s="11" t="inlineStr">
        <is>
          <t>-</t>
        </is>
      </c>
      <c r="I77" s="11" t="inlineStr">
        <is>
          <t>-</t>
        </is>
      </c>
      <c r="J77" s="11" t="inlineStr">
        <is>
          <t>-</t>
        </is>
      </c>
      <c r="K77" s="11" t="inlineStr">
        <is>
          <t>-</t>
        </is>
      </c>
      <c r="L77" s="11" t="inlineStr">
        <is>
          <t>-</t>
        </is>
      </c>
      <c r="M77" s="11" t="inlineStr">
        <is>
          <t>-</t>
        </is>
      </c>
      <c r="N77" s="11" t="inlineStr">
        <is>
          <t>-</t>
        </is>
      </c>
      <c r="O77" s="11" t="inlineStr">
        <is>
          <t>-</t>
        </is>
      </c>
      <c r="P77" s="11" t="inlineStr">
        <is>
          <t>-</t>
        </is>
      </c>
      <c r="Q77" s="12" t="inlineStr">
        <is>
          <t>-</t>
        </is>
      </c>
    </row>
    <row r="78">
      <c r="A78" s="47" t="n"/>
      <c r="B78" s="13" t="inlineStr">
        <is>
          <t>-</t>
        </is>
      </c>
      <c r="C78" s="14" t="inlineStr">
        <is>
          <t>-</t>
        </is>
      </c>
      <c r="D78" s="14" t="inlineStr">
        <is>
          <t>-</t>
        </is>
      </c>
      <c r="E78" s="14" t="inlineStr">
        <is>
          <t>-</t>
        </is>
      </c>
      <c r="F78" s="14" t="inlineStr">
        <is>
          <t>-</t>
        </is>
      </c>
      <c r="G78" s="14" t="inlineStr">
        <is>
          <t>-</t>
        </is>
      </c>
      <c r="H78" s="14" t="inlineStr">
        <is>
          <t>-</t>
        </is>
      </c>
      <c r="I78" s="14" t="inlineStr">
        <is>
          <t>-</t>
        </is>
      </c>
      <c r="J78" s="14" t="inlineStr">
        <is>
          <t>-</t>
        </is>
      </c>
      <c r="K78" s="14" t="inlineStr">
        <is>
          <t>-</t>
        </is>
      </c>
      <c r="L78" s="14" t="inlineStr">
        <is>
          <t>-</t>
        </is>
      </c>
      <c r="M78" s="14" t="inlineStr">
        <is>
          <t>-</t>
        </is>
      </c>
      <c r="N78" s="14" t="inlineStr">
        <is>
          <t>-</t>
        </is>
      </c>
      <c r="O78" s="14" t="inlineStr">
        <is>
          <t>-</t>
        </is>
      </c>
      <c r="P78" s="14" t="inlineStr">
        <is>
          <t>-</t>
        </is>
      </c>
      <c r="Q78" s="15" t="inlineStr">
        <is>
          <t>-</t>
        </is>
      </c>
    </row>
    <row r="79">
      <c r="A79" s="47" t="n"/>
      <c r="B79" s="16" t="inlineStr">
        <is>
          <t>-</t>
        </is>
      </c>
      <c r="C79" s="11" t="inlineStr">
        <is>
          <t>-</t>
        </is>
      </c>
      <c r="D79" s="11" t="inlineStr">
        <is>
          <t>-</t>
        </is>
      </c>
      <c r="E79" s="11" t="inlineStr">
        <is>
          <t>-</t>
        </is>
      </c>
      <c r="F79" s="11" t="inlineStr">
        <is>
          <t>-</t>
        </is>
      </c>
      <c r="G79" s="11" t="inlineStr">
        <is>
          <t>-</t>
        </is>
      </c>
      <c r="H79" s="11" t="inlineStr">
        <is>
          <t>-</t>
        </is>
      </c>
      <c r="I79" s="11" t="inlineStr">
        <is>
          <t>-</t>
        </is>
      </c>
      <c r="J79" s="11" t="inlineStr">
        <is>
          <t>-</t>
        </is>
      </c>
      <c r="K79" s="11" t="inlineStr">
        <is>
          <t>-</t>
        </is>
      </c>
      <c r="L79" s="11" t="inlineStr">
        <is>
          <t>-</t>
        </is>
      </c>
      <c r="M79" s="11" t="inlineStr">
        <is>
          <t>-</t>
        </is>
      </c>
      <c r="N79" s="11" t="inlineStr">
        <is>
          <t>-</t>
        </is>
      </c>
      <c r="O79" s="11" t="inlineStr">
        <is>
          <t>-</t>
        </is>
      </c>
      <c r="P79" s="11" t="inlineStr">
        <is>
          <t>-</t>
        </is>
      </c>
      <c r="Q79" s="12" t="inlineStr">
        <is>
          <t>-</t>
        </is>
      </c>
    </row>
    <row r="80">
      <c r="A80" s="47" t="n"/>
      <c r="B80" s="13" t="inlineStr">
        <is>
          <t>-</t>
        </is>
      </c>
      <c r="C80" s="14" t="inlineStr">
        <is>
          <t>-</t>
        </is>
      </c>
      <c r="D80" s="14" t="inlineStr">
        <is>
          <t>-</t>
        </is>
      </c>
      <c r="E80" s="14" t="inlineStr">
        <is>
          <t>-</t>
        </is>
      </c>
      <c r="F80" s="14" t="inlineStr">
        <is>
          <t>-</t>
        </is>
      </c>
      <c r="G80" s="14" t="inlineStr">
        <is>
          <t>-</t>
        </is>
      </c>
      <c r="H80" s="14" t="inlineStr">
        <is>
          <t>-</t>
        </is>
      </c>
      <c r="I80" s="14" t="inlineStr">
        <is>
          <t>-</t>
        </is>
      </c>
      <c r="J80" s="14" t="inlineStr">
        <is>
          <t>-</t>
        </is>
      </c>
      <c r="K80" s="14" t="inlineStr">
        <is>
          <t>-</t>
        </is>
      </c>
      <c r="L80" s="14" t="inlineStr">
        <is>
          <t>-</t>
        </is>
      </c>
      <c r="M80" s="14" t="inlineStr">
        <is>
          <t>-</t>
        </is>
      </c>
      <c r="N80" s="14" t="inlineStr">
        <is>
          <t>-</t>
        </is>
      </c>
      <c r="O80" s="14" t="inlineStr">
        <is>
          <t>-</t>
        </is>
      </c>
      <c r="P80" s="14" t="inlineStr">
        <is>
          <t>-</t>
        </is>
      </c>
      <c r="Q80" s="15" t="inlineStr">
        <is>
          <t>-</t>
        </is>
      </c>
    </row>
    <row r="81">
      <c r="A81" s="47" t="n"/>
      <c r="B81" s="16" t="inlineStr">
        <is>
          <t>-</t>
        </is>
      </c>
      <c r="C81" s="11" t="inlineStr">
        <is>
          <t>-</t>
        </is>
      </c>
      <c r="D81" s="11" t="inlineStr">
        <is>
          <t>-</t>
        </is>
      </c>
      <c r="E81" s="11" t="inlineStr">
        <is>
          <t>-</t>
        </is>
      </c>
      <c r="F81" s="11" t="inlineStr">
        <is>
          <t>-</t>
        </is>
      </c>
      <c r="G81" s="11" t="inlineStr">
        <is>
          <t>-</t>
        </is>
      </c>
      <c r="H81" s="11" t="inlineStr">
        <is>
          <t>-</t>
        </is>
      </c>
      <c r="I81" s="11" t="inlineStr">
        <is>
          <t>-</t>
        </is>
      </c>
      <c r="J81" s="11" t="inlineStr">
        <is>
          <t>-</t>
        </is>
      </c>
      <c r="K81" s="11" t="inlineStr">
        <is>
          <t>-</t>
        </is>
      </c>
      <c r="L81" s="11" t="inlineStr">
        <is>
          <t>-</t>
        </is>
      </c>
      <c r="M81" s="11" t="inlineStr">
        <is>
          <t>-</t>
        </is>
      </c>
      <c r="N81" s="11" t="inlineStr">
        <is>
          <t>-</t>
        </is>
      </c>
      <c r="O81" s="11" t="inlineStr">
        <is>
          <t>-</t>
        </is>
      </c>
      <c r="P81" s="11" t="inlineStr">
        <is>
          <t>-</t>
        </is>
      </c>
      <c r="Q81" s="12" t="inlineStr">
        <is>
          <t>-</t>
        </is>
      </c>
    </row>
    <row r="82" ht="36" customHeight="1" s="155">
      <c r="B82" s="9" t="inlineStr">
        <is>
          <t>melanzane in padella</t>
        </is>
      </c>
      <c r="C82" s="49">
        <f>_xlfn.XLOOKUP(A83,Magazzino!$D$1:$D$1500,Magazzino!$F$1:$F$1500,"",0,1)</f>
        <v/>
      </c>
      <c r="D82" s="50">
        <f>_xlfn.XLOOKUP(A84,Magazzino!$D$1:$D$1500,Magazzino!$F$1:$F$1500,"",0,1)</f>
        <v/>
      </c>
      <c r="E82" s="50">
        <f>_xlfn.XLOOKUP(A85,Magazzino!$D$1:$D$1500,Magazzino!$F$1:$F$1500,"",0,1)</f>
        <v/>
      </c>
      <c r="F82" s="50">
        <f>_xlfn.XLOOKUP(A86,Magazzino!$D$1:$D$1500,Magazzino!$F$1:$F$1500,"",0,1)</f>
        <v/>
      </c>
      <c r="G82" s="50">
        <f>_xlfn.XLOOKUP(A87,Magazzino!$D$1:$D$1500,Magazzino!$F$1:$F$1500,"",0,1)</f>
        <v/>
      </c>
      <c r="H82" s="50">
        <f>_xlfn.XLOOKUP(A88,Magazzino!$D$1:$D$1500,Magazzino!$F$1:$F$1500,"",0,1)</f>
        <v/>
      </c>
      <c r="I82" s="50">
        <f>_xlfn.XLOOKUP(A89,Magazzino!$D$1:$D$1500,Magazzino!$F$1:$F$1500,"",0,1)</f>
        <v/>
      </c>
      <c r="J82" s="50">
        <f>_xlfn.XLOOKUP(A90,Magazzino!$D$1:$D$1500,Magazzino!$F$1:$F$1500,"",0,1)</f>
        <v/>
      </c>
      <c r="K82" s="50">
        <f>_xlfn.XLOOKUP(A91,Magazzino!$D$1:$D$1500,Magazzino!$F$1:$F$1500,"",0,1)</f>
        <v/>
      </c>
      <c r="L82" s="50">
        <f>_xlfn.XLOOKUP(A92,Magazzino!$D$1:$D$1500,Magazzino!$F$1:$F$1500,"",0,1)</f>
        <v/>
      </c>
      <c r="M82" s="50">
        <f>_xlfn.XLOOKUP(A93,Magazzino!$D$1:$D$1500,Magazzino!$F$1:$F$1500,"",0,1)</f>
        <v/>
      </c>
      <c r="N82" s="50">
        <f>_xlfn.XLOOKUP(A94,Magazzino!$D$1:$D$1500,Magazzino!$F$1:$F$1500,"",0,1)</f>
        <v/>
      </c>
      <c r="O82" s="50">
        <f>_xlfn.XLOOKUP(A95,Magazzino!$D$1:$D$1500,Magazzino!$F$1:$F$1500,"",0,1)</f>
        <v/>
      </c>
      <c r="P82" s="50">
        <f>_xlfn.XLOOKUP(A96,Magazzino!$D$1:$D$1500,Magazzino!$F$1:$F$1500,"",0,1)</f>
        <v/>
      </c>
      <c r="Q82" s="51">
        <f>_xlfn.XLOOKUP(A97,Magazzino!$D$1:$D$1500,Magazzino!$F$1:$F$1500,"",0,1)</f>
        <v/>
      </c>
    </row>
    <row r="83">
      <c r="A83" s="47" t="inlineStr">
        <is>
          <t>melanzane</t>
        </is>
      </c>
      <c r="B83" s="10" t="inlineStr">
        <is>
          <t>-</t>
        </is>
      </c>
      <c r="C83" s="11" t="inlineStr">
        <is>
          <t>-</t>
        </is>
      </c>
      <c r="D83" s="11" t="inlineStr">
        <is>
          <t>-</t>
        </is>
      </c>
      <c r="E83" s="11" t="inlineStr">
        <is>
          <t>-</t>
        </is>
      </c>
      <c r="F83" s="11" t="inlineStr">
        <is>
          <t>-</t>
        </is>
      </c>
      <c r="G83" s="11" t="inlineStr">
        <is>
          <t>-</t>
        </is>
      </c>
      <c r="H83" s="11" t="inlineStr">
        <is>
          <t>-</t>
        </is>
      </c>
      <c r="I83" s="11" t="inlineStr">
        <is>
          <t>-</t>
        </is>
      </c>
      <c r="J83" s="11" t="inlineStr">
        <is>
          <t>-</t>
        </is>
      </c>
      <c r="K83" s="11" t="inlineStr">
        <is>
          <t>-</t>
        </is>
      </c>
      <c r="L83" s="11" t="inlineStr">
        <is>
          <t>-</t>
        </is>
      </c>
      <c r="M83" s="11" t="inlineStr">
        <is>
          <t>-</t>
        </is>
      </c>
      <c r="N83" s="11" t="inlineStr">
        <is>
          <t>-</t>
        </is>
      </c>
      <c r="O83" s="11" t="inlineStr">
        <is>
          <t>-</t>
        </is>
      </c>
      <c r="P83" s="11" t="inlineStr">
        <is>
          <t>-</t>
        </is>
      </c>
      <c r="Q83" s="12" t="inlineStr">
        <is>
          <t>-</t>
        </is>
      </c>
    </row>
    <row r="84">
      <c r="A84" s="48" t="inlineStr">
        <is>
          <t xml:space="preserve">SALE SACCHI SALTECHNO KG.25  </t>
        </is>
      </c>
      <c r="B84" s="13" t="inlineStr">
        <is>
          <t>-</t>
        </is>
      </c>
      <c r="C84" s="14" t="inlineStr">
        <is>
          <t>-</t>
        </is>
      </c>
      <c r="D84" s="14" t="inlineStr">
        <is>
          <t>-</t>
        </is>
      </c>
      <c r="E84" s="14" t="inlineStr">
        <is>
          <t>-</t>
        </is>
      </c>
      <c r="F84" s="14" t="inlineStr">
        <is>
          <t>-</t>
        </is>
      </c>
      <c r="G84" s="14" t="inlineStr">
        <is>
          <t>-</t>
        </is>
      </c>
      <c r="H84" s="14" t="inlineStr">
        <is>
          <t>-</t>
        </is>
      </c>
      <c r="I84" s="14" t="inlineStr">
        <is>
          <t>-</t>
        </is>
      </c>
      <c r="J84" s="14" t="inlineStr">
        <is>
          <t>-</t>
        </is>
      </c>
      <c r="K84" s="14" t="inlineStr">
        <is>
          <t>-</t>
        </is>
      </c>
      <c r="L84" s="14" t="inlineStr">
        <is>
          <t>-</t>
        </is>
      </c>
      <c r="M84" s="14" t="inlineStr">
        <is>
          <t>-</t>
        </is>
      </c>
      <c r="N84" s="14" t="inlineStr">
        <is>
          <t>-</t>
        </is>
      </c>
      <c r="O84" s="14" t="inlineStr">
        <is>
          <t>-</t>
        </is>
      </c>
      <c r="P84" s="14" t="inlineStr">
        <is>
          <t>-</t>
        </is>
      </c>
      <c r="Q84" s="15" t="inlineStr">
        <is>
          <t>-</t>
        </is>
      </c>
    </row>
    <row r="85" ht="13.5" customHeight="1" s="155">
      <c r="A85" s="43" t="inlineStr">
        <is>
          <t>olio extravergine oliva</t>
        </is>
      </c>
      <c r="B85" s="16" t="inlineStr">
        <is>
          <t>-</t>
        </is>
      </c>
      <c r="C85" s="11" t="inlineStr">
        <is>
          <t>-</t>
        </is>
      </c>
      <c r="D85" s="11" t="inlineStr">
        <is>
          <t>-</t>
        </is>
      </c>
      <c r="E85" s="11" t="inlineStr">
        <is>
          <t>-</t>
        </is>
      </c>
      <c r="F85" s="11" t="inlineStr">
        <is>
          <t>-</t>
        </is>
      </c>
      <c r="G85" s="11" t="inlineStr">
        <is>
          <t>-</t>
        </is>
      </c>
      <c r="H85" s="11" t="inlineStr">
        <is>
          <t>-</t>
        </is>
      </c>
      <c r="I85" s="11" t="inlineStr">
        <is>
          <t>-</t>
        </is>
      </c>
      <c r="J85" s="11" t="inlineStr">
        <is>
          <t>-</t>
        </is>
      </c>
      <c r="K85" s="11" t="inlineStr">
        <is>
          <t>-</t>
        </is>
      </c>
      <c r="L85" s="11" t="inlineStr">
        <is>
          <t>-</t>
        </is>
      </c>
      <c r="M85" s="11" t="inlineStr">
        <is>
          <t>-</t>
        </is>
      </c>
      <c r="N85" s="11" t="inlineStr">
        <is>
          <t>-</t>
        </is>
      </c>
      <c r="O85" s="11" t="inlineStr">
        <is>
          <t>-</t>
        </is>
      </c>
      <c r="P85" s="11" t="inlineStr">
        <is>
          <t>-</t>
        </is>
      </c>
      <c r="Q85" s="12" t="inlineStr">
        <is>
          <t>-</t>
        </is>
      </c>
    </row>
    <row r="86">
      <c r="A86" s="47" t="n"/>
      <c r="B86" s="13" t="inlineStr">
        <is>
          <t>-</t>
        </is>
      </c>
      <c r="C86" s="14" t="inlineStr">
        <is>
          <t>-</t>
        </is>
      </c>
      <c r="D86" s="14" t="inlineStr">
        <is>
          <t>-</t>
        </is>
      </c>
      <c r="E86" s="14" t="inlineStr">
        <is>
          <t>-</t>
        </is>
      </c>
      <c r="F86" s="14" t="inlineStr">
        <is>
          <t>-</t>
        </is>
      </c>
      <c r="G86" s="14" t="inlineStr">
        <is>
          <t>-</t>
        </is>
      </c>
      <c r="H86" s="14" t="inlineStr">
        <is>
          <t>-</t>
        </is>
      </c>
      <c r="I86" s="14" t="inlineStr">
        <is>
          <t>-</t>
        </is>
      </c>
      <c r="J86" s="14" t="inlineStr">
        <is>
          <t>-</t>
        </is>
      </c>
      <c r="K86" s="14" t="inlineStr">
        <is>
          <t>-</t>
        </is>
      </c>
      <c r="L86" s="14" t="inlineStr">
        <is>
          <t>-</t>
        </is>
      </c>
      <c r="M86" s="14" t="inlineStr">
        <is>
          <t>-</t>
        </is>
      </c>
      <c r="N86" s="14" t="inlineStr">
        <is>
          <t>-</t>
        </is>
      </c>
      <c r="O86" s="14" t="inlineStr">
        <is>
          <t>-</t>
        </is>
      </c>
      <c r="P86" s="14" t="inlineStr">
        <is>
          <t>-</t>
        </is>
      </c>
      <c r="Q86" s="15" t="inlineStr">
        <is>
          <t>-</t>
        </is>
      </c>
    </row>
    <row r="87">
      <c r="A87" s="47" t="n"/>
      <c r="B87" s="16" t="inlineStr">
        <is>
          <t>-</t>
        </is>
      </c>
      <c r="C87" s="11" t="inlineStr">
        <is>
          <t>-</t>
        </is>
      </c>
      <c r="D87" s="11" t="inlineStr">
        <is>
          <t>-</t>
        </is>
      </c>
      <c r="E87" s="11" t="inlineStr">
        <is>
          <t>-</t>
        </is>
      </c>
      <c r="F87" s="11" t="inlineStr">
        <is>
          <t>-</t>
        </is>
      </c>
      <c r="G87" s="11" t="inlineStr">
        <is>
          <t>-</t>
        </is>
      </c>
      <c r="H87" s="11" t="inlineStr">
        <is>
          <t>-</t>
        </is>
      </c>
      <c r="I87" s="11" t="inlineStr">
        <is>
          <t>-</t>
        </is>
      </c>
      <c r="J87" s="11" t="inlineStr">
        <is>
          <t>-</t>
        </is>
      </c>
      <c r="K87" s="11" t="inlineStr">
        <is>
          <t>-</t>
        </is>
      </c>
      <c r="L87" s="11" t="inlineStr">
        <is>
          <t>-</t>
        </is>
      </c>
      <c r="M87" s="11" t="inlineStr">
        <is>
          <t>-</t>
        </is>
      </c>
      <c r="N87" s="11" t="inlineStr">
        <is>
          <t>-</t>
        </is>
      </c>
      <c r="O87" s="11" t="inlineStr">
        <is>
          <t>-</t>
        </is>
      </c>
      <c r="P87" s="11" t="inlineStr">
        <is>
          <t>-</t>
        </is>
      </c>
      <c r="Q87" s="12" t="inlineStr">
        <is>
          <t>-</t>
        </is>
      </c>
    </row>
    <row r="88">
      <c r="A88" s="47" t="n"/>
      <c r="B88" s="13" t="inlineStr">
        <is>
          <t>-</t>
        </is>
      </c>
      <c r="C88" s="14" t="inlineStr">
        <is>
          <t>-</t>
        </is>
      </c>
      <c r="D88" s="14" t="inlineStr">
        <is>
          <t>-</t>
        </is>
      </c>
      <c r="E88" s="14" t="inlineStr">
        <is>
          <t>-</t>
        </is>
      </c>
      <c r="F88" s="14" t="inlineStr">
        <is>
          <t>-</t>
        </is>
      </c>
      <c r="G88" s="14" t="inlineStr">
        <is>
          <t>-</t>
        </is>
      </c>
      <c r="H88" s="14" t="inlineStr">
        <is>
          <t>-</t>
        </is>
      </c>
      <c r="I88" s="14" t="inlineStr">
        <is>
          <t>-</t>
        </is>
      </c>
      <c r="J88" s="14" t="inlineStr">
        <is>
          <t>-</t>
        </is>
      </c>
      <c r="K88" s="14" t="inlineStr">
        <is>
          <t>-</t>
        </is>
      </c>
      <c r="L88" s="14" t="inlineStr">
        <is>
          <t>-</t>
        </is>
      </c>
      <c r="M88" s="14" t="inlineStr">
        <is>
          <t>-</t>
        </is>
      </c>
      <c r="N88" s="14" t="inlineStr">
        <is>
          <t>-</t>
        </is>
      </c>
      <c r="O88" s="14" t="inlineStr">
        <is>
          <t>-</t>
        </is>
      </c>
      <c r="P88" s="14" t="inlineStr">
        <is>
          <t>-</t>
        </is>
      </c>
      <c r="Q88" s="15" t="inlineStr">
        <is>
          <t>-</t>
        </is>
      </c>
    </row>
    <row r="89">
      <c r="A89" s="47" t="n"/>
      <c r="B89" s="16" t="inlineStr">
        <is>
          <t>-</t>
        </is>
      </c>
      <c r="C89" s="11" t="inlineStr">
        <is>
          <t>-</t>
        </is>
      </c>
      <c r="D89" s="11" t="inlineStr">
        <is>
          <t>-</t>
        </is>
      </c>
      <c r="E89" s="11" t="inlineStr">
        <is>
          <t>-</t>
        </is>
      </c>
      <c r="F89" s="11" t="inlineStr">
        <is>
          <t>-</t>
        </is>
      </c>
      <c r="G89" s="11" t="inlineStr">
        <is>
          <t>-</t>
        </is>
      </c>
      <c r="H89" s="11" t="inlineStr">
        <is>
          <t>-</t>
        </is>
      </c>
      <c r="I89" s="11" t="inlineStr">
        <is>
          <t>-</t>
        </is>
      </c>
      <c r="J89" s="11" t="inlineStr">
        <is>
          <t>-</t>
        </is>
      </c>
      <c r="K89" s="11" t="inlineStr">
        <is>
          <t>-</t>
        </is>
      </c>
      <c r="L89" s="11" t="inlineStr">
        <is>
          <t>-</t>
        </is>
      </c>
      <c r="M89" s="11" t="inlineStr">
        <is>
          <t>-</t>
        </is>
      </c>
      <c r="N89" s="11" t="inlineStr">
        <is>
          <t>-</t>
        </is>
      </c>
      <c r="O89" s="11" t="inlineStr">
        <is>
          <t>-</t>
        </is>
      </c>
      <c r="P89" s="11" t="inlineStr">
        <is>
          <t>-</t>
        </is>
      </c>
      <c r="Q89" s="12" t="inlineStr">
        <is>
          <t>-</t>
        </is>
      </c>
    </row>
    <row r="90">
      <c r="A90" s="47" t="n"/>
      <c r="B90" s="13" t="inlineStr">
        <is>
          <t>-</t>
        </is>
      </c>
      <c r="C90" s="14" t="inlineStr">
        <is>
          <t>-</t>
        </is>
      </c>
      <c r="D90" s="14" t="inlineStr">
        <is>
          <t>-</t>
        </is>
      </c>
      <c r="E90" s="14" t="inlineStr">
        <is>
          <t>-</t>
        </is>
      </c>
      <c r="F90" s="14" t="inlineStr">
        <is>
          <t>-</t>
        </is>
      </c>
      <c r="G90" s="14" t="inlineStr">
        <is>
          <t>-</t>
        </is>
      </c>
      <c r="H90" s="14" t="inlineStr">
        <is>
          <t>-</t>
        </is>
      </c>
      <c r="I90" s="14" t="inlineStr">
        <is>
          <t>-</t>
        </is>
      </c>
      <c r="J90" s="14" t="inlineStr">
        <is>
          <t>-</t>
        </is>
      </c>
      <c r="K90" s="14" t="inlineStr">
        <is>
          <t>-</t>
        </is>
      </c>
      <c r="L90" s="14" t="inlineStr">
        <is>
          <t>-</t>
        </is>
      </c>
      <c r="M90" s="14" t="inlineStr">
        <is>
          <t>-</t>
        </is>
      </c>
      <c r="N90" s="14" t="inlineStr">
        <is>
          <t>-</t>
        </is>
      </c>
      <c r="O90" s="14" t="inlineStr">
        <is>
          <t>-</t>
        </is>
      </c>
      <c r="P90" s="14" t="inlineStr">
        <is>
          <t>-</t>
        </is>
      </c>
      <c r="Q90" s="15" t="inlineStr">
        <is>
          <t>-</t>
        </is>
      </c>
    </row>
    <row r="91">
      <c r="A91" s="47" t="n"/>
      <c r="B91" s="16" t="inlineStr">
        <is>
          <t>-</t>
        </is>
      </c>
      <c r="C91" s="11" t="inlineStr">
        <is>
          <t>-</t>
        </is>
      </c>
      <c r="D91" s="11" t="inlineStr">
        <is>
          <t>-</t>
        </is>
      </c>
      <c r="E91" s="11" t="inlineStr">
        <is>
          <t>-</t>
        </is>
      </c>
      <c r="F91" s="11" t="inlineStr">
        <is>
          <t>-</t>
        </is>
      </c>
      <c r="G91" s="11" t="inlineStr">
        <is>
          <t>-</t>
        </is>
      </c>
      <c r="H91" s="11" t="inlineStr">
        <is>
          <t>-</t>
        </is>
      </c>
      <c r="I91" s="11" t="inlineStr">
        <is>
          <t>-</t>
        </is>
      </c>
      <c r="J91" s="11" t="inlineStr">
        <is>
          <t>-</t>
        </is>
      </c>
      <c r="K91" s="11" t="inlineStr">
        <is>
          <t>-</t>
        </is>
      </c>
      <c r="L91" s="11" t="inlineStr">
        <is>
          <t>-</t>
        </is>
      </c>
      <c r="M91" s="11" t="inlineStr">
        <is>
          <t>-</t>
        </is>
      </c>
      <c r="N91" s="11" t="inlineStr">
        <is>
          <t>-</t>
        </is>
      </c>
      <c r="O91" s="11" t="inlineStr">
        <is>
          <t>-</t>
        </is>
      </c>
      <c r="P91" s="11" t="inlineStr">
        <is>
          <t>-</t>
        </is>
      </c>
      <c r="Q91" s="12" t="inlineStr">
        <is>
          <t>-</t>
        </is>
      </c>
    </row>
    <row r="92">
      <c r="A92" s="47" t="n"/>
      <c r="B92" s="13" t="inlineStr">
        <is>
          <t>-</t>
        </is>
      </c>
      <c r="C92" s="14" t="inlineStr">
        <is>
          <t>-</t>
        </is>
      </c>
      <c r="D92" s="14" t="inlineStr">
        <is>
          <t>-</t>
        </is>
      </c>
      <c r="E92" s="14" t="inlineStr">
        <is>
          <t>-</t>
        </is>
      </c>
      <c r="F92" s="14" t="inlineStr">
        <is>
          <t>-</t>
        </is>
      </c>
      <c r="G92" s="14" t="inlineStr">
        <is>
          <t>-</t>
        </is>
      </c>
      <c r="H92" s="14" t="inlineStr">
        <is>
          <t>-</t>
        </is>
      </c>
      <c r="I92" s="14" t="inlineStr">
        <is>
          <t>-</t>
        </is>
      </c>
      <c r="J92" s="14" t="inlineStr">
        <is>
          <t>-</t>
        </is>
      </c>
      <c r="K92" s="14" t="inlineStr">
        <is>
          <t>-</t>
        </is>
      </c>
      <c r="L92" s="14" t="inlineStr">
        <is>
          <t>-</t>
        </is>
      </c>
      <c r="M92" s="14" t="inlineStr">
        <is>
          <t>-</t>
        </is>
      </c>
      <c r="N92" s="14" t="inlineStr">
        <is>
          <t>-</t>
        </is>
      </c>
      <c r="O92" s="14" t="inlineStr">
        <is>
          <t>-</t>
        </is>
      </c>
      <c r="P92" s="14" t="inlineStr">
        <is>
          <t>-</t>
        </is>
      </c>
      <c r="Q92" s="15" t="inlineStr">
        <is>
          <t>-</t>
        </is>
      </c>
    </row>
    <row r="93">
      <c r="A93" s="47" t="n"/>
      <c r="B93" s="16" t="inlineStr">
        <is>
          <t>-</t>
        </is>
      </c>
      <c r="C93" s="11" t="inlineStr">
        <is>
          <t>-</t>
        </is>
      </c>
      <c r="D93" s="11" t="inlineStr">
        <is>
          <t>-</t>
        </is>
      </c>
      <c r="E93" s="11" t="inlineStr">
        <is>
          <t>-</t>
        </is>
      </c>
      <c r="F93" s="11" t="inlineStr">
        <is>
          <t>-</t>
        </is>
      </c>
      <c r="G93" s="11" t="inlineStr">
        <is>
          <t>-</t>
        </is>
      </c>
      <c r="H93" s="11" t="inlineStr">
        <is>
          <t>-</t>
        </is>
      </c>
      <c r="I93" s="11" t="inlineStr">
        <is>
          <t>-</t>
        </is>
      </c>
      <c r="J93" s="11" t="inlineStr">
        <is>
          <t>-</t>
        </is>
      </c>
      <c r="K93" s="11" t="inlineStr">
        <is>
          <t>-</t>
        </is>
      </c>
      <c r="L93" s="11" t="inlineStr">
        <is>
          <t>-</t>
        </is>
      </c>
      <c r="M93" s="11" t="inlineStr">
        <is>
          <t>-</t>
        </is>
      </c>
      <c r="N93" s="11" t="inlineStr">
        <is>
          <t>-</t>
        </is>
      </c>
      <c r="O93" s="11" t="inlineStr">
        <is>
          <t>-</t>
        </is>
      </c>
      <c r="P93" s="11" t="inlineStr">
        <is>
          <t>-</t>
        </is>
      </c>
      <c r="Q93" s="12" t="inlineStr">
        <is>
          <t>-</t>
        </is>
      </c>
    </row>
    <row r="94">
      <c r="A94" s="47" t="n"/>
      <c r="B94" s="13" t="inlineStr">
        <is>
          <t>-</t>
        </is>
      </c>
      <c r="C94" s="14" t="inlineStr">
        <is>
          <t>-</t>
        </is>
      </c>
      <c r="D94" s="14" t="inlineStr">
        <is>
          <t>-</t>
        </is>
      </c>
      <c r="E94" s="14" t="inlineStr">
        <is>
          <t>-</t>
        </is>
      </c>
      <c r="F94" s="14" t="inlineStr">
        <is>
          <t>-</t>
        </is>
      </c>
      <c r="G94" s="14" t="inlineStr">
        <is>
          <t>-</t>
        </is>
      </c>
      <c r="H94" s="14" t="inlineStr">
        <is>
          <t>-</t>
        </is>
      </c>
      <c r="I94" s="14" t="inlineStr">
        <is>
          <t>-</t>
        </is>
      </c>
      <c r="J94" s="14" t="inlineStr">
        <is>
          <t>-</t>
        </is>
      </c>
      <c r="K94" s="14" t="inlineStr">
        <is>
          <t>-</t>
        </is>
      </c>
      <c r="L94" s="14" t="inlineStr">
        <is>
          <t>-</t>
        </is>
      </c>
      <c r="M94" s="14" t="inlineStr">
        <is>
          <t>-</t>
        </is>
      </c>
      <c r="N94" s="14" t="inlineStr">
        <is>
          <t>-</t>
        </is>
      </c>
      <c r="O94" s="14" t="inlineStr">
        <is>
          <t>-</t>
        </is>
      </c>
      <c r="P94" s="14" t="inlineStr">
        <is>
          <t>-</t>
        </is>
      </c>
      <c r="Q94" s="15" t="inlineStr">
        <is>
          <t>-</t>
        </is>
      </c>
    </row>
    <row r="95">
      <c r="A95" s="47" t="n"/>
      <c r="B95" s="16" t="inlineStr">
        <is>
          <t>-</t>
        </is>
      </c>
      <c r="C95" s="11" t="inlineStr">
        <is>
          <t>-</t>
        </is>
      </c>
      <c r="D95" s="11" t="inlineStr">
        <is>
          <t>-</t>
        </is>
      </c>
      <c r="E95" s="11" t="inlineStr">
        <is>
          <t>-</t>
        </is>
      </c>
      <c r="F95" s="11" t="inlineStr">
        <is>
          <t>-</t>
        </is>
      </c>
      <c r="G95" s="11" t="inlineStr">
        <is>
          <t>-</t>
        </is>
      </c>
      <c r="H95" s="11" t="inlineStr">
        <is>
          <t>-</t>
        </is>
      </c>
      <c r="I95" s="11" t="inlineStr">
        <is>
          <t>-</t>
        </is>
      </c>
      <c r="J95" s="11" t="inlineStr">
        <is>
          <t>-</t>
        </is>
      </c>
      <c r="K95" s="11" t="inlineStr">
        <is>
          <t>-</t>
        </is>
      </c>
      <c r="L95" s="11" t="inlineStr">
        <is>
          <t>-</t>
        </is>
      </c>
      <c r="M95" s="11" t="inlineStr">
        <is>
          <t>-</t>
        </is>
      </c>
      <c r="N95" s="11" t="inlineStr">
        <is>
          <t>-</t>
        </is>
      </c>
      <c r="O95" s="11" t="inlineStr">
        <is>
          <t>-</t>
        </is>
      </c>
      <c r="P95" s="11" t="inlineStr">
        <is>
          <t>-</t>
        </is>
      </c>
      <c r="Q95" s="12" t="inlineStr">
        <is>
          <t>-</t>
        </is>
      </c>
    </row>
    <row r="96">
      <c r="A96" s="47" t="n"/>
      <c r="B96" s="13" t="inlineStr">
        <is>
          <t>-</t>
        </is>
      </c>
      <c r="C96" s="14" t="inlineStr">
        <is>
          <t>-</t>
        </is>
      </c>
      <c r="D96" s="14" t="inlineStr">
        <is>
          <t>-</t>
        </is>
      </c>
      <c r="E96" s="14" t="inlineStr">
        <is>
          <t>-</t>
        </is>
      </c>
      <c r="F96" s="14" t="inlineStr">
        <is>
          <t>-</t>
        </is>
      </c>
      <c r="G96" s="14" t="inlineStr">
        <is>
          <t>-</t>
        </is>
      </c>
      <c r="H96" s="14" t="inlineStr">
        <is>
          <t>-</t>
        </is>
      </c>
      <c r="I96" s="14" t="inlineStr">
        <is>
          <t>-</t>
        </is>
      </c>
      <c r="J96" s="14" t="inlineStr">
        <is>
          <t>-</t>
        </is>
      </c>
      <c r="K96" s="14" t="inlineStr">
        <is>
          <t>-</t>
        </is>
      </c>
      <c r="L96" s="14" t="inlineStr">
        <is>
          <t>-</t>
        </is>
      </c>
      <c r="M96" s="14" t="inlineStr">
        <is>
          <t>-</t>
        </is>
      </c>
      <c r="N96" s="14" t="inlineStr">
        <is>
          <t>-</t>
        </is>
      </c>
      <c r="O96" s="14" t="inlineStr">
        <is>
          <t>-</t>
        </is>
      </c>
      <c r="P96" s="14" t="inlineStr">
        <is>
          <t>-</t>
        </is>
      </c>
      <c r="Q96" s="15" t="inlineStr">
        <is>
          <t>-</t>
        </is>
      </c>
    </row>
    <row r="97">
      <c r="A97" s="47" t="n"/>
      <c r="B97" s="16" t="inlineStr">
        <is>
          <t>-</t>
        </is>
      </c>
      <c r="C97" s="11" t="inlineStr">
        <is>
          <t>-</t>
        </is>
      </c>
      <c r="D97" s="11" t="inlineStr">
        <is>
          <t>-</t>
        </is>
      </c>
      <c r="E97" s="11" t="inlineStr">
        <is>
          <t>-</t>
        </is>
      </c>
      <c r="F97" s="11" t="inlineStr">
        <is>
          <t>-</t>
        </is>
      </c>
      <c r="G97" s="11" t="inlineStr">
        <is>
          <t>-</t>
        </is>
      </c>
      <c r="H97" s="11" t="inlineStr">
        <is>
          <t>-</t>
        </is>
      </c>
      <c r="I97" s="11" t="inlineStr">
        <is>
          <t>-</t>
        </is>
      </c>
      <c r="J97" s="11" t="inlineStr">
        <is>
          <t>-</t>
        </is>
      </c>
      <c r="K97" s="11" t="inlineStr">
        <is>
          <t>-</t>
        </is>
      </c>
      <c r="L97" s="11" t="inlineStr">
        <is>
          <t>-</t>
        </is>
      </c>
      <c r="M97" s="11" t="inlineStr">
        <is>
          <t>-</t>
        </is>
      </c>
      <c r="N97" s="11" t="inlineStr">
        <is>
          <t>-</t>
        </is>
      </c>
      <c r="O97" s="11" t="inlineStr">
        <is>
          <t>-</t>
        </is>
      </c>
      <c r="P97" s="11" t="inlineStr">
        <is>
          <t>-</t>
        </is>
      </c>
      <c r="Q97" s="12" t="inlineStr">
        <is>
          <t>-</t>
        </is>
      </c>
    </row>
    <row r="98" ht="36" customHeight="1" s="155">
      <c r="B98" s="9" t="inlineStr">
        <is>
          <t>polpettine di carne</t>
        </is>
      </c>
      <c r="C98" s="49">
        <f>_xlfn.XLOOKUP(A99,Magazzino!$D$1:$D$1500,Magazzino!$F$1:$F$1500,"",0,1)</f>
        <v/>
      </c>
      <c r="D98" s="50">
        <f>_xlfn.XLOOKUP(A100,Magazzino!$D$1:$D$1500,Magazzino!$F$1:$F$1500,"",0,1)</f>
        <v/>
      </c>
      <c r="E98" s="50">
        <f>_xlfn.XLOOKUP(A101,Magazzino!$D$1:$D$1500,Magazzino!$F$1:$F$1500,"",0,1)</f>
        <v/>
      </c>
      <c r="F98" s="50">
        <f>_xlfn.XLOOKUP(A102,Magazzino!$D$1:$D$1500,Magazzino!$F$1:$F$1500,"",0,1)</f>
        <v/>
      </c>
      <c r="G98" s="50">
        <f>_xlfn.XLOOKUP(A103,Magazzino!$D$1:$D$1500,Magazzino!$F$1:$F$1500,"",0,1)</f>
        <v/>
      </c>
      <c r="H98" s="50">
        <f>_xlfn.XLOOKUP(A104,Magazzino!$D$1:$D$1500,Magazzino!$F$1:$F$1500,"",0,1)</f>
        <v/>
      </c>
      <c r="I98" s="50">
        <f>_xlfn.XLOOKUP(A105,Magazzino!$D$1:$D$1500,Magazzino!$F$1:$F$1500,"",0,1)</f>
        <v/>
      </c>
      <c r="J98" s="50">
        <f>_xlfn.XLOOKUP(A106,Magazzino!$D$1:$D$1500,Magazzino!$F$1:$F$1500,"",0,1)</f>
        <v/>
      </c>
      <c r="K98" s="50">
        <f>_xlfn.XLOOKUP(A107,Magazzino!$D$1:$D$1500,Magazzino!$F$1:$F$1500,"",0,1)</f>
        <v/>
      </c>
      <c r="L98" s="50">
        <f>_xlfn.XLOOKUP(A108,Magazzino!$D$1:$D$1500,Magazzino!$F$1:$F$1500,"",0,1)</f>
        <v/>
      </c>
      <c r="M98" s="50">
        <f>_xlfn.XLOOKUP(A109,Magazzino!$D$1:$D$1500,Magazzino!$F$1:$F$1500,"",0,1)</f>
        <v/>
      </c>
      <c r="N98" s="50">
        <f>_xlfn.XLOOKUP(A110,Magazzino!$D$1:$D$1500,Magazzino!$F$1:$F$1500,"",0,1)</f>
        <v/>
      </c>
      <c r="O98" s="50">
        <f>_xlfn.XLOOKUP(A111,Magazzino!$D$1:$D$1500,Magazzino!$F$1:$F$1500,"",0,1)</f>
        <v/>
      </c>
      <c r="P98" s="50">
        <f>_xlfn.XLOOKUP(A112,Magazzino!$D$1:$D$1500,Magazzino!$F$1:$F$1500,"",0,1)</f>
        <v/>
      </c>
      <c r="Q98" s="51">
        <f>_xlfn.XLOOKUP(A113,Magazzino!$D$1:$D$1500,Magazzino!$F$1:$F$1500,"",0,1)</f>
        <v/>
      </c>
    </row>
    <row r="99">
      <c r="A99" s="47" t="inlineStr">
        <is>
          <t>Macinato</t>
        </is>
      </c>
      <c r="B99" s="10" t="inlineStr">
        <is>
          <t>-</t>
        </is>
      </c>
      <c r="C99" s="11" t="inlineStr">
        <is>
          <t>-</t>
        </is>
      </c>
      <c r="D99" s="11" t="inlineStr">
        <is>
          <t>-</t>
        </is>
      </c>
      <c r="E99" s="11" t="inlineStr">
        <is>
          <t>-</t>
        </is>
      </c>
      <c r="F99" s="11" t="inlineStr">
        <is>
          <t>-</t>
        </is>
      </c>
      <c r="G99" s="11" t="inlineStr">
        <is>
          <t>-</t>
        </is>
      </c>
      <c r="H99" s="11" t="inlineStr">
        <is>
          <t>-</t>
        </is>
      </c>
      <c r="I99" s="11" t="inlineStr">
        <is>
          <t>-</t>
        </is>
      </c>
      <c r="J99" s="11" t="inlineStr">
        <is>
          <t>-</t>
        </is>
      </c>
      <c r="K99" s="11" t="inlineStr">
        <is>
          <t>-</t>
        </is>
      </c>
      <c r="L99" s="11" t="inlineStr">
        <is>
          <t>-</t>
        </is>
      </c>
      <c r="M99" s="11" t="inlineStr">
        <is>
          <t>-</t>
        </is>
      </c>
      <c r="N99" s="11" t="inlineStr">
        <is>
          <t>-</t>
        </is>
      </c>
      <c r="O99" s="11" t="inlineStr">
        <is>
          <t>-</t>
        </is>
      </c>
      <c r="P99" s="11" t="inlineStr">
        <is>
          <t>-</t>
        </is>
      </c>
      <c r="Q99" s="12" t="inlineStr">
        <is>
          <t>-</t>
        </is>
      </c>
    </row>
    <row r="100">
      <c r="A100" s="47" t="inlineStr">
        <is>
          <t>olio extravergine oliva</t>
        </is>
      </c>
      <c r="B100" s="13" t="inlineStr">
        <is>
          <t>-</t>
        </is>
      </c>
      <c r="C100" s="14" t="inlineStr">
        <is>
          <t>-</t>
        </is>
      </c>
      <c r="D100" s="14" t="inlineStr">
        <is>
          <t>-</t>
        </is>
      </c>
      <c r="E100" s="14" t="inlineStr">
        <is>
          <t>-</t>
        </is>
      </c>
      <c r="F100" s="14" t="inlineStr">
        <is>
          <t>-</t>
        </is>
      </c>
      <c r="G100" s="14" t="inlineStr">
        <is>
          <t>-</t>
        </is>
      </c>
      <c r="H100" s="14" t="inlineStr">
        <is>
          <t>-</t>
        </is>
      </c>
      <c r="I100" s="14" t="inlineStr">
        <is>
          <t>-</t>
        </is>
      </c>
      <c r="J100" s="14" t="inlineStr">
        <is>
          <t>-</t>
        </is>
      </c>
      <c r="K100" s="14" t="inlineStr">
        <is>
          <t>-</t>
        </is>
      </c>
      <c r="L100" s="14" t="inlineStr">
        <is>
          <t>-</t>
        </is>
      </c>
      <c r="M100" s="14" t="inlineStr">
        <is>
          <t>-</t>
        </is>
      </c>
      <c r="N100" s="14" t="inlineStr">
        <is>
          <t>-</t>
        </is>
      </c>
      <c r="O100" s="14" t="inlineStr">
        <is>
          <t>-</t>
        </is>
      </c>
      <c r="P100" s="14" t="inlineStr">
        <is>
          <t>-</t>
        </is>
      </c>
      <c r="Q100" s="15" t="inlineStr">
        <is>
          <t>-</t>
        </is>
      </c>
    </row>
    <row r="101">
      <c r="A101" s="48" t="inlineStr">
        <is>
          <t xml:space="preserve">SALE SACCHI SALTECHNO KG.25  </t>
        </is>
      </c>
      <c r="B101" s="16" t="inlineStr">
        <is>
          <t>-</t>
        </is>
      </c>
      <c r="C101" s="11" t="inlineStr">
        <is>
          <t>-</t>
        </is>
      </c>
      <c r="D101" s="11" t="inlineStr">
        <is>
          <t>-</t>
        </is>
      </c>
      <c r="E101" s="11" t="inlineStr">
        <is>
          <t>-</t>
        </is>
      </c>
      <c r="F101" s="11" t="inlineStr">
        <is>
          <t>-</t>
        </is>
      </c>
      <c r="G101" s="11" t="inlineStr">
        <is>
          <t>-</t>
        </is>
      </c>
      <c r="H101" s="11" t="inlineStr">
        <is>
          <t>-</t>
        </is>
      </c>
      <c r="I101" s="11" t="inlineStr">
        <is>
          <t>-</t>
        </is>
      </c>
      <c r="J101" s="11" t="inlineStr">
        <is>
          <t>-</t>
        </is>
      </c>
      <c r="K101" s="11" t="inlineStr">
        <is>
          <t>-</t>
        </is>
      </c>
      <c r="L101" s="11" t="inlineStr">
        <is>
          <t>-</t>
        </is>
      </c>
      <c r="M101" s="11" t="inlineStr">
        <is>
          <t>-</t>
        </is>
      </c>
      <c r="N101" s="11" t="inlineStr">
        <is>
          <t>-</t>
        </is>
      </c>
      <c r="O101" s="11" t="inlineStr">
        <is>
          <t>-</t>
        </is>
      </c>
      <c r="P101" s="11" t="inlineStr">
        <is>
          <t>-</t>
        </is>
      </c>
      <c r="Q101" s="12" t="inlineStr">
        <is>
          <t>-</t>
        </is>
      </c>
    </row>
    <row r="102">
      <c r="A102" s="47" t="n"/>
      <c r="B102" s="13" t="inlineStr">
        <is>
          <t>-</t>
        </is>
      </c>
      <c r="C102" s="14" t="inlineStr">
        <is>
          <t>-</t>
        </is>
      </c>
      <c r="D102" s="14" t="inlineStr">
        <is>
          <t>-</t>
        </is>
      </c>
      <c r="E102" s="14" t="inlineStr">
        <is>
          <t>-</t>
        </is>
      </c>
      <c r="F102" s="14" t="inlineStr">
        <is>
          <t>-</t>
        </is>
      </c>
      <c r="G102" s="14" t="inlineStr">
        <is>
          <t>-</t>
        </is>
      </c>
      <c r="H102" s="14" t="inlineStr">
        <is>
          <t>-</t>
        </is>
      </c>
      <c r="I102" s="14" t="inlineStr">
        <is>
          <t>-</t>
        </is>
      </c>
      <c r="J102" s="14" t="inlineStr">
        <is>
          <t>-</t>
        </is>
      </c>
      <c r="K102" s="14" t="inlineStr">
        <is>
          <t>-</t>
        </is>
      </c>
      <c r="L102" s="14" t="inlineStr">
        <is>
          <t>-</t>
        </is>
      </c>
      <c r="M102" s="14" t="inlineStr">
        <is>
          <t>-</t>
        </is>
      </c>
      <c r="N102" s="14" t="inlineStr">
        <is>
          <t>-</t>
        </is>
      </c>
      <c r="O102" s="14" t="inlineStr">
        <is>
          <t>-</t>
        </is>
      </c>
      <c r="P102" s="14" t="inlineStr">
        <is>
          <t>-</t>
        </is>
      </c>
      <c r="Q102" s="15" t="inlineStr">
        <is>
          <t>-</t>
        </is>
      </c>
    </row>
    <row r="103">
      <c r="A103" s="47" t="n"/>
      <c r="B103" s="16" t="inlineStr">
        <is>
          <t>-</t>
        </is>
      </c>
      <c r="C103" s="11" t="inlineStr">
        <is>
          <t>-</t>
        </is>
      </c>
      <c r="D103" s="11" t="inlineStr">
        <is>
          <t>-</t>
        </is>
      </c>
      <c r="E103" s="11" t="inlineStr">
        <is>
          <t>-</t>
        </is>
      </c>
      <c r="F103" s="11" t="inlineStr">
        <is>
          <t>-</t>
        </is>
      </c>
      <c r="G103" s="11" t="inlineStr">
        <is>
          <t>-</t>
        </is>
      </c>
      <c r="H103" s="11" t="inlineStr">
        <is>
          <t>-</t>
        </is>
      </c>
      <c r="I103" s="11" t="inlineStr">
        <is>
          <t>-</t>
        </is>
      </c>
      <c r="J103" s="11" t="inlineStr">
        <is>
          <t>-</t>
        </is>
      </c>
      <c r="K103" s="11" t="inlineStr">
        <is>
          <t>-</t>
        </is>
      </c>
      <c r="L103" s="11" t="inlineStr">
        <is>
          <t>-</t>
        </is>
      </c>
      <c r="M103" s="11" t="inlineStr">
        <is>
          <t>-</t>
        </is>
      </c>
      <c r="N103" s="11" t="inlineStr">
        <is>
          <t>-</t>
        </is>
      </c>
      <c r="O103" s="11" t="inlineStr">
        <is>
          <t>-</t>
        </is>
      </c>
      <c r="P103" s="11" t="inlineStr">
        <is>
          <t>-</t>
        </is>
      </c>
      <c r="Q103" s="12" t="inlineStr">
        <is>
          <t>-</t>
        </is>
      </c>
    </row>
    <row r="104">
      <c r="A104" s="47" t="n"/>
      <c r="B104" s="13" t="inlineStr">
        <is>
          <t>-</t>
        </is>
      </c>
      <c r="C104" s="14" t="inlineStr">
        <is>
          <t>-</t>
        </is>
      </c>
      <c r="D104" s="14" t="inlineStr">
        <is>
          <t>-</t>
        </is>
      </c>
      <c r="E104" s="14" t="inlineStr">
        <is>
          <t>-</t>
        </is>
      </c>
      <c r="F104" s="14" t="inlineStr">
        <is>
          <t>-</t>
        </is>
      </c>
      <c r="G104" s="14" t="inlineStr">
        <is>
          <t>-</t>
        </is>
      </c>
      <c r="H104" s="14" t="inlineStr">
        <is>
          <t>-</t>
        </is>
      </c>
      <c r="I104" s="14" t="inlineStr">
        <is>
          <t>-</t>
        </is>
      </c>
      <c r="J104" s="14" t="inlineStr">
        <is>
          <t>-</t>
        </is>
      </c>
      <c r="K104" s="14" t="inlineStr">
        <is>
          <t>-</t>
        </is>
      </c>
      <c r="L104" s="14" t="inlineStr">
        <is>
          <t>-</t>
        </is>
      </c>
      <c r="M104" s="14" t="inlineStr">
        <is>
          <t>-</t>
        </is>
      </c>
      <c r="N104" s="14" t="inlineStr">
        <is>
          <t>-</t>
        </is>
      </c>
      <c r="O104" s="14" t="inlineStr">
        <is>
          <t>-</t>
        </is>
      </c>
      <c r="P104" s="14" t="inlineStr">
        <is>
          <t>-</t>
        </is>
      </c>
      <c r="Q104" s="15" t="inlineStr">
        <is>
          <t>-</t>
        </is>
      </c>
    </row>
    <row r="105">
      <c r="A105" s="47" t="n"/>
      <c r="B105" s="16" t="inlineStr">
        <is>
          <t>-</t>
        </is>
      </c>
      <c r="C105" s="11" t="inlineStr">
        <is>
          <t>-</t>
        </is>
      </c>
      <c r="D105" s="11" t="inlineStr">
        <is>
          <t>-</t>
        </is>
      </c>
      <c r="E105" s="11" t="inlineStr">
        <is>
          <t>-</t>
        </is>
      </c>
      <c r="F105" s="11" t="inlineStr">
        <is>
          <t>-</t>
        </is>
      </c>
      <c r="G105" s="11" t="inlineStr">
        <is>
          <t>-</t>
        </is>
      </c>
      <c r="H105" s="11" t="inlineStr">
        <is>
          <t>-</t>
        </is>
      </c>
      <c r="I105" s="11" t="inlineStr">
        <is>
          <t>-</t>
        </is>
      </c>
      <c r="J105" s="11" t="inlineStr">
        <is>
          <t>-</t>
        </is>
      </c>
      <c r="K105" s="11" t="inlineStr">
        <is>
          <t>-</t>
        </is>
      </c>
      <c r="L105" s="11" t="inlineStr">
        <is>
          <t>-</t>
        </is>
      </c>
      <c r="M105" s="11" t="inlineStr">
        <is>
          <t>-</t>
        </is>
      </c>
      <c r="N105" s="11" t="inlineStr">
        <is>
          <t>-</t>
        </is>
      </c>
      <c r="O105" s="11" t="inlineStr">
        <is>
          <t>-</t>
        </is>
      </c>
      <c r="P105" s="11" t="inlineStr">
        <is>
          <t>-</t>
        </is>
      </c>
      <c r="Q105" s="12" t="inlineStr">
        <is>
          <t>-</t>
        </is>
      </c>
    </row>
    <row r="106">
      <c r="A106" s="47" t="n"/>
      <c r="B106" s="13" t="inlineStr">
        <is>
          <t>-</t>
        </is>
      </c>
      <c r="C106" s="14" t="inlineStr">
        <is>
          <t>-</t>
        </is>
      </c>
      <c r="D106" s="14" t="inlineStr">
        <is>
          <t>-</t>
        </is>
      </c>
      <c r="E106" s="14" t="inlineStr">
        <is>
          <t>-</t>
        </is>
      </c>
      <c r="F106" s="14" t="inlineStr">
        <is>
          <t>-</t>
        </is>
      </c>
      <c r="G106" s="14" t="inlineStr">
        <is>
          <t>-</t>
        </is>
      </c>
      <c r="H106" s="14" t="inlineStr">
        <is>
          <t>-</t>
        </is>
      </c>
      <c r="I106" s="14" t="inlineStr">
        <is>
          <t>-</t>
        </is>
      </c>
      <c r="J106" s="14" t="inlineStr">
        <is>
          <t>-</t>
        </is>
      </c>
      <c r="K106" s="14" t="inlineStr">
        <is>
          <t>-</t>
        </is>
      </c>
      <c r="L106" s="14" t="inlineStr">
        <is>
          <t>-</t>
        </is>
      </c>
      <c r="M106" s="14" t="inlineStr">
        <is>
          <t>-</t>
        </is>
      </c>
      <c r="N106" s="14" t="inlineStr">
        <is>
          <t>-</t>
        </is>
      </c>
      <c r="O106" s="14" t="inlineStr">
        <is>
          <t>-</t>
        </is>
      </c>
      <c r="P106" s="14" t="inlineStr">
        <is>
          <t>-</t>
        </is>
      </c>
      <c r="Q106" s="15" t="inlineStr">
        <is>
          <t>-</t>
        </is>
      </c>
    </row>
    <row r="107">
      <c r="A107" s="47" t="n"/>
      <c r="B107" s="16" t="inlineStr">
        <is>
          <t>-</t>
        </is>
      </c>
      <c r="C107" s="11" t="inlineStr">
        <is>
          <t>-</t>
        </is>
      </c>
      <c r="D107" s="11" t="inlineStr">
        <is>
          <t>-</t>
        </is>
      </c>
      <c r="E107" s="11" t="inlineStr">
        <is>
          <t>-</t>
        </is>
      </c>
      <c r="F107" s="11" t="inlineStr">
        <is>
          <t>-</t>
        </is>
      </c>
      <c r="G107" s="11" t="inlineStr">
        <is>
          <t>-</t>
        </is>
      </c>
      <c r="H107" s="11" t="inlineStr">
        <is>
          <t>-</t>
        </is>
      </c>
      <c r="I107" s="11" t="inlineStr">
        <is>
          <t>-</t>
        </is>
      </c>
      <c r="J107" s="11" t="inlineStr">
        <is>
          <t>-</t>
        </is>
      </c>
      <c r="K107" s="11" t="inlineStr">
        <is>
          <t>-</t>
        </is>
      </c>
      <c r="L107" s="11" t="inlineStr">
        <is>
          <t>-</t>
        </is>
      </c>
      <c r="M107" s="11" t="inlineStr">
        <is>
          <t>-</t>
        </is>
      </c>
      <c r="N107" s="11" t="inlineStr">
        <is>
          <t>-</t>
        </is>
      </c>
      <c r="O107" s="11" t="inlineStr">
        <is>
          <t>-</t>
        </is>
      </c>
      <c r="P107" s="11" t="inlineStr">
        <is>
          <t>-</t>
        </is>
      </c>
      <c r="Q107" s="12" t="inlineStr">
        <is>
          <t>-</t>
        </is>
      </c>
    </row>
    <row r="108">
      <c r="A108" s="47" t="n"/>
      <c r="B108" s="13" t="inlineStr">
        <is>
          <t>-</t>
        </is>
      </c>
      <c r="C108" s="14" t="inlineStr">
        <is>
          <t>-</t>
        </is>
      </c>
      <c r="D108" s="14" t="inlineStr">
        <is>
          <t>-</t>
        </is>
      </c>
      <c r="E108" s="14" t="inlineStr">
        <is>
          <t>-</t>
        </is>
      </c>
      <c r="F108" s="14" t="inlineStr">
        <is>
          <t>-</t>
        </is>
      </c>
      <c r="G108" s="14" t="inlineStr">
        <is>
          <t>-</t>
        </is>
      </c>
      <c r="H108" s="14" t="inlineStr">
        <is>
          <t>-</t>
        </is>
      </c>
      <c r="I108" s="14" t="inlineStr">
        <is>
          <t>-</t>
        </is>
      </c>
      <c r="J108" s="14" t="inlineStr">
        <is>
          <t>-</t>
        </is>
      </c>
      <c r="K108" s="14" t="inlineStr">
        <is>
          <t>-</t>
        </is>
      </c>
      <c r="L108" s="14" t="inlineStr">
        <is>
          <t>-</t>
        </is>
      </c>
      <c r="M108" s="14" t="inlineStr">
        <is>
          <t>-</t>
        </is>
      </c>
      <c r="N108" s="14" t="inlineStr">
        <is>
          <t>-</t>
        </is>
      </c>
      <c r="O108" s="14" t="inlineStr">
        <is>
          <t>-</t>
        </is>
      </c>
      <c r="P108" s="14" t="inlineStr">
        <is>
          <t>-</t>
        </is>
      </c>
      <c r="Q108" s="15" t="inlineStr">
        <is>
          <t>-</t>
        </is>
      </c>
    </row>
    <row r="109">
      <c r="A109" s="47" t="n"/>
      <c r="B109" s="16" t="inlineStr">
        <is>
          <t>-</t>
        </is>
      </c>
      <c r="C109" s="11" t="inlineStr">
        <is>
          <t>-</t>
        </is>
      </c>
      <c r="D109" s="11" t="inlineStr">
        <is>
          <t>-</t>
        </is>
      </c>
      <c r="E109" s="11" t="inlineStr">
        <is>
          <t>-</t>
        </is>
      </c>
      <c r="F109" s="11" t="inlineStr">
        <is>
          <t>-</t>
        </is>
      </c>
      <c r="G109" s="11" t="inlineStr">
        <is>
          <t>-</t>
        </is>
      </c>
      <c r="H109" s="11" t="inlineStr">
        <is>
          <t>-</t>
        </is>
      </c>
      <c r="I109" s="11" t="inlineStr">
        <is>
          <t>-</t>
        </is>
      </c>
      <c r="J109" s="11" t="inlineStr">
        <is>
          <t>-</t>
        </is>
      </c>
      <c r="K109" s="11" t="inlineStr">
        <is>
          <t>-</t>
        </is>
      </c>
      <c r="L109" s="11" t="inlineStr">
        <is>
          <t>-</t>
        </is>
      </c>
      <c r="M109" s="11" t="inlineStr">
        <is>
          <t>-</t>
        </is>
      </c>
      <c r="N109" s="11" t="inlineStr">
        <is>
          <t>-</t>
        </is>
      </c>
      <c r="O109" s="11" t="inlineStr">
        <is>
          <t>-</t>
        </is>
      </c>
      <c r="P109" s="11" t="inlineStr">
        <is>
          <t>-</t>
        </is>
      </c>
      <c r="Q109" s="12" t="inlineStr">
        <is>
          <t>-</t>
        </is>
      </c>
    </row>
    <row r="110">
      <c r="A110" s="47" t="n"/>
      <c r="B110" s="13" t="inlineStr">
        <is>
          <t>-</t>
        </is>
      </c>
      <c r="C110" s="14" t="inlineStr">
        <is>
          <t>-</t>
        </is>
      </c>
      <c r="D110" s="14" t="inlineStr">
        <is>
          <t>-</t>
        </is>
      </c>
      <c r="E110" s="14" t="inlineStr">
        <is>
          <t>-</t>
        </is>
      </c>
      <c r="F110" s="14" t="inlineStr">
        <is>
          <t>-</t>
        </is>
      </c>
      <c r="G110" s="14" t="inlineStr">
        <is>
          <t>-</t>
        </is>
      </c>
      <c r="H110" s="14" t="inlineStr">
        <is>
          <t>-</t>
        </is>
      </c>
      <c r="I110" s="14" t="inlineStr">
        <is>
          <t>-</t>
        </is>
      </c>
      <c r="J110" s="14" t="inlineStr">
        <is>
          <t>-</t>
        </is>
      </c>
      <c r="K110" s="14" t="inlineStr">
        <is>
          <t>-</t>
        </is>
      </c>
      <c r="L110" s="14" t="inlineStr">
        <is>
          <t>-</t>
        </is>
      </c>
      <c r="M110" s="14" t="inlineStr">
        <is>
          <t>-</t>
        </is>
      </c>
      <c r="N110" s="14" t="inlineStr">
        <is>
          <t>-</t>
        </is>
      </c>
      <c r="O110" s="14" t="inlineStr">
        <is>
          <t>-</t>
        </is>
      </c>
      <c r="P110" s="14" t="inlineStr">
        <is>
          <t>-</t>
        </is>
      </c>
      <c r="Q110" s="15" t="inlineStr">
        <is>
          <t>-</t>
        </is>
      </c>
    </row>
    <row r="111">
      <c r="A111" s="47" t="n"/>
      <c r="B111" s="16" t="inlineStr">
        <is>
          <t>-</t>
        </is>
      </c>
      <c r="C111" s="11" t="inlineStr">
        <is>
          <t>-</t>
        </is>
      </c>
      <c r="D111" s="11" t="inlineStr">
        <is>
          <t>-</t>
        </is>
      </c>
      <c r="E111" s="11" t="inlineStr">
        <is>
          <t>-</t>
        </is>
      </c>
      <c r="F111" s="11" t="inlineStr">
        <is>
          <t>-</t>
        </is>
      </c>
      <c r="G111" s="11" t="inlineStr">
        <is>
          <t>-</t>
        </is>
      </c>
      <c r="H111" s="11" t="inlineStr">
        <is>
          <t>-</t>
        </is>
      </c>
      <c r="I111" s="11" t="inlineStr">
        <is>
          <t>-</t>
        </is>
      </c>
      <c r="J111" s="11" t="inlineStr">
        <is>
          <t>-</t>
        </is>
      </c>
      <c r="K111" s="11" t="inlineStr">
        <is>
          <t>-</t>
        </is>
      </c>
      <c r="L111" s="11" t="inlineStr">
        <is>
          <t>-</t>
        </is>
      </c>
      <c r="M111" s="11" t="inlineStr">
        <is>
          <t>-</t>
        </is>
      </c>
      <c r="N111" s="11" t="inlineStr">
        <is>
          <t>-</t>
        </is>
      </c>
      <c r="O111" s="11" t="inlineStr">
        <is>
          <t>-</t>
        </is>
      </c>
      <c r="P111" s="11" t="inlineStr">
        <is>
          <t>-</t>
        </is>
      </c>
      <c r="Q111" s="12" t="inlineStr">
        <is>
          <t>-</t>
        </is>
      </c>
    </row>
    <row r="112">
      <c r="A112" s="47" t="n"/>
      <c r="B112" s="13" t="inlineStr">
        <is>
          <t>-</t>
        </is>
      </c>
      <c r="C112" s="14" t="inlineStr">
        <is>
          <t>-</t>
        </is>
      </c>
      <c r="D112" s="14" t="inlineStr">
        <is>
          <t>-</t>
        </is>
      </c>
      <c r="E112" s="14" t="inlineStr">
        <is>
          <t>-</t>
        </is>
      </c>
      <c r="F112" s="14" t="inlineStr">
        <is>
          <t>-</t>
        </is>
      </c>
      <c r="G112" s="14" t="inlineStr">
        <is>
          <t>-</t>
        </is>
      </c>
      <c r="H112" s="14" t="inlineStr">
        <is>
          <t>-</t>
        </is>
      </c>
      <c r="I112" s="14" t="inlineStr">
        <is>
          <t>-</t>
        </is>
      </c>
      <c r="J112" s="14" t="inlineStr">
        <is>
          <t>-</t>
        </is>
      </c>
      <c r="K112" s="14" t="inlineStr">
        <is>
          <t>-</t>
        </is>
      </c>
      <c r="L112" s="14" t="inlineStr">
        <is>
          <t>-</t>
        </is>
      </c>
      <c r="M112" s="14" t="inlineStr">
        <is>
          <t>-</t>
        </is>
      </c>
      <c r="N112" s="14" t="inlineStr">
        <is>
          <t>-</t>
        </is>
      </c>
      <c r="O112" s="14" t="inlineStr">
        <is>
          <t>-</t>
        </is>
      </c>
      <c r="P112" s="14" t="inlineStr">
        <is>
          <t>-</t>
        </is>
      </c>
      <c r="Q112" s="15" t="inlineStr">
        <is>
          <t>-</t>
        </is>
      </c>
    </row>
    <row r="113">
      <c r="A113" s="47" t="n"/>
      <c r="B113" s="16" t="inlineStr">
        <is>
          <t>-</t>
        </is>
      </c>
      <c r="C113" s="11" t="inlineStr">
        <is>
          <t>-</t>
        </is>
      </c>
      <c r="D113" s="11" t="inlineStr">
        <is>
          <t>-</t>
        </is>
      </c>
      <c r="E113" s="11" t="inlineStr">
        <is>
          <t>-</t>
        </is>
      </c>
      <c r="F113" s="11" t="inlineStr">
        <is>
          <t>-</t>
        </is>
      </c>
      <c r="G113" s="11" t="inlineStr">
        <is>
          <t>-</t>
        </is>
      </c>
      <c r="H113" s="11" t="inlineStr">
        <is>
          <t>-</t>
        </is>
      </c>
      <c r="I113" s="11" t="inlineStr">
        <is>
          <t>-</t>
        </is>
      </c>
      <c r="J113" s="11" t="inlineStr">
        <is>
          <t>-</t>
        </is>
      </c>
      <c r="K113" s="11" t="inlineStr">
        <is>
          <t>-</t>
        </is>
      </c>
      <c r="L113" s="11" t="inlineStr">
        <is>
          <t>-</t>
        </is>
      </c>
      <c r="M113" s="11" t="inlineStr">
        <is>
          <t>-</t>
        </is>
      </c>
      <c r="N113" s="11" t="inlineStr">
        <is>
          <t>-</t>
        </is>
      </c>
      <c r="O113" s="11" t="inlineStr">
        <is>
          <t>-</t>
        </is>
      </c>
      <c r="P113" s="11" t="inlineStr">
        <is>
          <t>-</t>
        </is>
      </c>
      <c r="Q113" s="12" t="inlineStr">
        <is>
          <t>-</t>
        </is>
      </c>
    </row>
    <row r="114" ht="36" customHeight="1" s="155">
      <c r="B114" s="9" t="inlineStr">
        <is>
          <t>zucchine alla scapece</t>
        </is>
      </c>
      <c r="C114" s="49">
        <f>_xlfn.XLOOKUP(A115,Magazzino!$D$1:$D$1500,Magazzino!$F$1:$F$1500,"",0,1)</f>
        <v/>
      </c>
      <c r="D114" s="50">
        <f>_xlfn.XLOOKUP(A116,Magazzino!$D$1:$D$1500,Magazzino!$F$1:$F$1500,"",0,1)</f>
        <v/>
      </c>
      <c r="E114" s="50">
        <f>_xlfn.XLOOKUP(A117,Magazzino!$D$1:$D$1500,Magazzino!$F$1:$F$1500,"",0,1)</f>
        <v/>
      </c>
      <c r="F114" s="50">
        <f>_xlfn.XLOOKUP(A118,Magazzino!$D$1:$D$1500,Magazzino!$F$1:$F$1500,"",0,1)</f>
        <v/>
      </c>
      <c r="G114" s="50">
        <f>_xlfn.XLOOKUP(A119,Magazzino!$D$1:$D$1500,Magazzino!$F$1:$F$1500,"",0,1)</f>
        <v/>
      </c>
      <c r="H114" s="50">
        <f>_xlfn.XLOOKUP(A120,Magazzino!$D$1:$D$1500,Magazzino!$F$1:$F$1500,"",0,1)</f>
        <v/>
      </c>
      <c r="I114" s="50">
        <f>_xlfn.XLOOKUP(A121,Magazzino!$D$1:$D$1500,Magazzino!$F$1:$F$1500,"",0,1)</f>
        <v/>
      </c>
      <c r="J114" s="50">
        <f>_xlfn.XLOOKUP(A122,Magazzino!$D$1:$D$1500,Magazzino!$F$1:$F$1500,"",0,1)</f>
        <v/>
      </c>
      <c r="K114" s="50">
        <f>_xlfn.XLOOKUP(A123,Magazzino!$D$1:$D$1500,Magazzino!$F$1:$F$1500,"",0,1)</f>
        <v/>
      </c>
      <c r="L114" s="50">
        <f>_xlfn.XLOOKUP(A124,Magazzino!$D$1:$D$1500,Magazzino!$F$1:$F$1500,"",0,1)</f>
        <v/>
      </c>
      <c r="M114" s="50">
        <f>_xlfn.XLOOKUP(A125,Magazzino!$D$1:$D$1500,Magazzino!$F$1:$F$1500,"",0,1)</f>
        <v/>
      </c>
      <c r="N114" s="50">
        <f>_xlfn.XLOOKUP(A126,Magazzino!$D$1:$D$1500,Magazzino!$F$1:$F$1500,"",0,1)</f>
        <v/>
      </c>
      <c r="O114" s="50">
        <f>_xlfn.XLOOKUP(A127,Magazzino!$D$1:$D$1500,Magazzino!$F$1:$F$1500,"",0,1)</f>
        <v/>
      </c>
      <c r="P114" s="50">
        <f>_xlfn.XLOOKUP(A128,Magazzino!$D$1:$D$1500,Magazzino!$F$1:$F$1500,"",0,1)</f>
        <v/>
      </c>
      <c r="Q114" s="51">
        <f>_xlfn.XLOOKUP(A129,Magazzino!$D$1:$D$1500,Magazzino!$F$1:$F$1500,"",0,1)</f>
        <v/>
      </c>
    </row>
    <row r="115">
      <c r="A115" s="47" t="inlineStr">
        <is>
          <t>Zucchine L.0950-04/21-000040IT</t>
        </is>
      </c>
      <c r="B115" s="10" t="inlineStr">
        <is>
          <t>-</t>
        </is>
      </c>
      <c r="C115" s="11" t="inlineStr">
        <is>
          <t>-</t>
        </is>
      </c>
      <c r="D115" s="11" t="inlineStr">
        <is>
          <t>-</t>
        </is>
      </c>
      <c r="E115" s="11" t="inlineStr">
        <is>
          <t>-</t>
        </is>
      </c>
      <c r="F115" s="11" t="inlineStr">
        <is>
          <t>-</t>
        </is>
      </c>
      <c r="G115" s="11" t="inlineStr">
        <is>
          <t>-</t>
        </is>
      </c>
      <c r="H115" s="11" t="inlineStr">
        <is>
          <t>-</t>
        </is>
      </c>
      <c r="I115" s="11" t="inlineStr">
        <is>
          <t>-</t>
        </is>
      </c>
      <c r="J115" s="11" t="inlineStr">
        <is>
          <t>-</t>
        </is>
      </c>
      <c r="K115" s="11" t="inlineStr">
        <is>
          <t>-</t>
        </is>
      </c>
      <c r="L115" s="11" t="inlineStr">
        <is>
          <t>-</t>
        </is>
      </c>
      <c r="M115" s="11" t="inlineStr">
        <is>
          <t>-</t>
        </is>
      </c>
      <c r="N115" s="11" t="inlineStr">
        <is>
          <t>-</t>
        </is>
      </c>
      <c r="O115" s="11" t="inlineStr">
        <is>
          <t>-</t>
        </is>
      </c>
      <c r="P115" s="11" t="inlineStr">
        <is>
          <t>-</t>
        </is>
      </c>
      <c r="Q115" s="12" t="inlineStr">
        <is>
          <t>-</t>
        </is>
      </c>
    </row>
    <row r="116">
      <c r="A116" s="48" t="inlineStr">
        <is>
          <t xml:space="preserve">SALE SACCHI SALTECHNO KG.25  </t>
        </is>
      </c>
      <c r="B116" s="13" t="inlineStr">
        <is>
          <t>-</t>
        </is>
      </c>
      <c r="C116" s="14" t="inlineStr">
        <is>
          <t>-</t>
        </is>
      </c>
      <c r="D116" s="14" t="inlineStr">
        <is>
          <t>-</t>
        </is>
      </c>
      <c r="E116" s="14" t="inlineStr">
        <is>
          <t>-</t>
        </is>
      </c>
      <c r="F116" s="14" t="inlineStr">
        <is>
          <t>-</t>
        </is>
      </c>
      <c r="G116" s="14" t="inlineStr">
        <is>
          <t>-</t>
        </is>
      </c>
      <c r="H116" s="14" t="inlineStr">
        <is>
          <t>-</t>
        </is>
      </c>
      <c r="I116" s="14" t="inlineStr">
        <is>
          <t>-</t>
        </is>
      </c>
      <c r="J116" s="14" t="inlineStr">
        <is>
          <t>-</t>
        </is>
      </c>
      <c r="K116" s="14" t="inlineStr">
        <is>
          <t>-</t>
        </is>
      </c>
      <c r="L116" s="14" t="inlineStr">
        <is>
          <t>-</t>
        </is>
      </c>
      <c r="M116" s="14" t="inlineStr">
        <is>
          <t>-</t>
        </is>
      </c>
      <c r="N116" s="14" t="inlineStr">
        <is>
          <t>-</t>
        </is>
      </c>
      <c r="O116" s="14" t="inlineStr">
        <is>
          <t>-</t>
        </is>
      </c>
      <c r="P116" s="14" t="inlineStr">
        <is>
          <t>-</t>
        </is>
      </c>
      <c r="Q116" s="15" t="inlineStr">
        <is>
          <t>-</t>
        </is>
      </c>
    </row>
    <row r="117">
      <c r="A117" s="47" t="inlineStr">
        <is>
          <t>olio extravergine oliva</t>
        </is>
      </c>
      <c r="B117" s="16" t="inlineStr">
        <is>
          <t>-</t>
        </is>
      </c>
      <c r="C117" s="11" t="inlineStr">
        <is>
          <t>-</t>
        </is>
      </c>
      <c r="D117" s="11" t="inlineStr">
        <is>
          <t>-</t>
        </is>
      </c>
      <c r="E117" s="11" t="inlineStr">
        <is>
          <t>-</t>
        </is>
      </c>
      <c r="F117" s="11" t="inlineStr">
        <is>
          <t>-</t>
        </is>
      </c>
      <c r="G117" s="11" t="inlineStr">
        <is>
          <t>-</t>
        </is>
      </c>
      <c r="H117" s="11" t="inlineStr">
        <is>
          <t>-</t>
        </is>
      </c>
      <c r="I117" s="11" t="inlineStr">
        <is>
          <t>-</t>
        </is>
      </c>
      <c r="J117" s="11" t="inlineStr">
        <is>
          <t>-</t>
        </is>
      </c>
      <c r="K117" s="11" t="inlineStr">
        <is>
          <t>-</t>
        </is>
      </c>
      <c r="L117" s="11" t="inlineStr">
        <is>
          <t>-</t>
        </is>
      </c>
      <c r="M117" s="11" t="inlineStr">
        <is>
          <t>-</t>
        </is>
      </c>
      <c r="N117" s="11" t="inlineStr">
        <is>
          <t>-</t>
        </is>
      </c>
      <c r="O117" s="11" t="inlineStr">
        <is>
          <t>-</t>
        </is>
      </c>
      <c r="P117" s="11" t="inlineStr">
        <is>
          <t>-</t>
        </is>
      </c>
      <c r="Q117" s="12" t="inlineStr">
        <is>
          <t>-</t>
        </is>
      </c>
    </row>
    <row r="118">
      <c r="A118" s="47" t="n"/>
      <c r="B118" s="13" t="inlineStr">
        <is>
          <t>-</t>
        </is>
      </c>
      <c r="C118" s="14" t="inlineStr">
        <is>
          <t>-</t>
        </is>
      </c>
      <c r="D118" s="14" t="inlineStr">
        <is>
          <t>-</t>
        </is>
      </c>
      <c r="E118" s="14" t="inlineStr">
        <is>
          <t>-</t>
        </is>
      </c>
      <c r="F118" s="14" t="inlineStr">
        <is>
          <t>-</t>
        </is>
      </c>
      <c r="G118" s="14" t="inlineStr">
        <is>
          <t>-</t>
        </is>
      </c>
      <c r="H118" s="14" t="inlineStr">
        <is>
          <t>-</t>
        </is>
      </c>
      <c r="I118" s="14" t="inlineStr">
        <is>
          <t>-</t>
        </is>
      </c>
      <c r="J118" s="14" t="inlineStr">
        <is>
          <t>-</t>
        </is>
      </c>
      <c r="K118" s="14" t="inlineStr">
        <is>
          <t>-</t>
        </is>
      </c>
      <c r="L118" s="14" t="inlineStr">
        <is>
          <t>-</t>
        </is>
      </c>
      <c r="M118" s="14" t="inlineStr">
        <is>
          <t>-</t>
        </is>
      </c>
      <c r="N118" s="14" t="inlineStr">
        <is>
          <t>-</t>
        </is>
      </c>
      <c r="O118" s="14" t="inlineStr">
        <is>
          <t>-</t>
        </is>
      </c>
      <c r="P118" s="14" t="inlineStr">
        <is>
          <t>-</t>
        </is>
      </c>
      <c r="Q118" s="15" t="inlineStr">
        <is>
          <t>-</t>
        </is>
      </c>
    </row>
    <row r="119">
      <c r="A119" s="47" t="n"/>
      <c r="B119" s="16" t="inlineStr">
        <is>
          <t>-</t>
        </is>
      </c>
      <c r="C119" s="11" t="inlineStr">
        <is>
          <t>-</t>
        </is>
      </c>
      <c r="D119" s="11" t="inlineStr">
        <is>
          <t>-</t>
        </is>
      </c>
      <c r="E119" s="11" t="inlineStr">
        <is>
          <t>-</t>
        </is>
      </c>
      <c r="F119" s="11" t="inlineStr">
        <is>
          <t>-</t>
        </is>
      </c>
      <c r="G119" s="11" t="inlineStr">
        <is>
          <t>-</t>
        </is>
      </c>
      <c r="H119" s="11" t="inlineStr">
        <is>
          <t>-</t>
        </is>
      </c>
      <c r="I119" s="11" t="inlineStr">
        <is>
          <t>-</t>
        </is>
      </c>
      <c r="J119" s="11" t="inlineStr">
        <is>
          <t>-</t>
        </is>
      </c>
      <c r="K119" s="11" t="inlineStr">
        <is>
          <t>-</t>
        </is>
      </c>
      <c r="L119" s="11" t="inlineStr">
        <is>
          <t>-</t>
        </is>
      </c>
      <c r="M119" s="11" t="inlineStr">
        <is>
          <t>-</t>
        </is>
      </c>
      <c r="N119" s="11" t="inlineStr">
        <is>
          <t>-</t>
        </is>
      </c>
      <c r="O119" s="11" t="inlineStr">
        <is>
          <t>-</t>
        </is>
      </c>
      <c r="P119" s="11" t="inlineStr">
        <is>
          <t>-</t>
        </is>
      </c>
      <c r="Q119" s="12" t="inlineStr">
        <is>
          <t>-</t>
        </is>
      </c>
    </row>
    <row r="120">
      <c r="A120" s="47" t="n"/>
      <c r="B120" s="13" t="inlineStr">
        <is>
          <t>-</t>
        </is>
      </c>
      <c r="C120" s="14" t="inlineStr">
        <is>
          <t>-</t>
        </is>
      </c>
      <c r="D120" s="14" t="inlineStr">
        <is>
          <t>-</t>
        </is>
      </c>
      <c r="E120" s="14" t="inlineStr">
        <is>
          <t>-</t>
        </is>
      </c>
      <c r="F120" s="14" t="inlineStr">
        <is>
          <t>-</t>
        </is>
      </c>
      <c r="G120" s="14" t="inlineStr">
        <is>
          <t>-</t>
        </is>
      </c>
      <c r="H120" s="14" t="inlineStr">
        <is>
          <t>-</t>
        </is>
      </c>
      <c r="I120" s="14" t="inlineStr">
        <is>
          <t>-</t>
        </is>
      </c>
      <c r="J120" s="14" t="inlineStr">
        <is>
          <t>-</t>
        </is>
      </c>
      <c r="K120" s="14" t="inlineStr">
        <is>
          <t>-</t>
        </is>
      </c>
      <c r="L120" s="14" t="inlineStr">
        <is>
          <t>-</t>
        </is>
      </c>
      <c r="M120" s="14" t="inlineStr">
        <is>
          <t>-</t>
        </is>
      </c>
      <c r="N120" s="14" t="inlineStr">
        <is>
          <t>-</t>
        </is>
      </c>
      <c r="O120" s="14" t="inlineStr">
        <is>
          <t>-</t>
        </is>
      </c>
      <c r="P120" s="14" t="inlineStr">
        <is>
          <t>-</t>
        </is>
      </c>
      <c r="Q120" s="15" t="inlineStr">
        <is>
          <t>-</t>
        </is>
      </c>
    </row>
    <row r="121">
      <c r="A121" s="47" t="n"/>
      <c r="B121" s="16" t="inlineStr">
        <is>
          <t>-</t>
        </is>
      </c>
      <c r="C121" s="11" t="inlineStr">
        <is>
          <t>-</t>
        </is>
      </c>
      <c r="D121" s="11" t="inlineStr">
        <is>
          <t>-</t>
        </is>
      </c>
      <c r="E121" s="11" t="inlineStr">
        <is>
          <t>-</t>
        </is>
      </c>
      <c r="F121" s="11" t="inlineStr">
        <is>
          <t>-</t>
        </is>
      </c>
      <c r="G121" s="11" t="inlineStr">
        <is>
          <t>-</t>
        </is>
      </c>
      <c r="H121" s="11" t="inlineStr">
        <is>
          <t>-</t>
        </is>
      </c>
      <c r="I121" s="11" t="inlineStr">
        <is>
          <t>-</t>
        </is>
      </c>
      <c r="J121" s="11" t="inlineStr">
        <is>
          <t>-</t>
        </is>
      </c>
      <c r="K121" s="11" t="inlineStr">
        <is>
          <t>-</t>
        </is>
      </c>
      <c r="L121" s="11" t="inlineStr">
        <is>
          <t>-</t>
        </is>
      </c>
      <c r="M121" s="11" t="inlineStr">
        <is>
          <t>-</t>
        </is>
      </c>
      <c r="N121" s="11" t="inlineStr">
        <is>
          <t>-</t>
        </is>
      </c>
      <c r="O121" s="11" t="inlineStr">
        <is>
          <t>-</t>
        </is>
      </c>
      <c r="P121" s="11" t="inlineStr">
        <is>
          <t>-</t>
        </is>
      </c>
      <c r="Q121" s="12" t="inlineStr">
        <is>
          <t>-</t>
        </is>
      </c>
    </row>
    <row r="122">
      <c r="A122" s="47" t="n"/>
      <c r="B122" s="13" t="inlineStr">
        <is>
          <t>-</t>
        </is>
      </c>
      <c r="C122" s="14" t="inlineStr">
        <is>
          <t>-</t>
        </is>
      </c>
      <c r="D122" s="14" t="inlineStr">
        <is>
          <t>-</t>
        </is>
      </c>
      <c r="E122" s="14" t="inlineStr">
        <is>
          <t>-</t>
        </is>
      </c>
      <c r="F122" s="14" t="inlineStr">
        <is>
          <t>-</t>
        </is>
      </c>
      <c r="G122" s="14" t="inlineStr">
        <is>
          <t>-</t>
        </is>
      </c>
      <c r="H122" s="14" t="inlineStr">
        <is>
          <t>-</t>
        </is>
      </c>
      <c r="I122" s="14" t="inlineStr">
        <is>
          <t>-</t>
        </is>
      </c>
      <c r="J122" s="14" t="inlineStr">
        <is>
          <t>-</t>
        </is>
      </c>
      <c r="K122" s="14" t="inlineStr">
        <is>
          <t>-</t>
        </is>
      </c>
      <c r="L122" s="14" t="inlineStr">
        <is>
          <t>-</t>
        </is>
      </c>
      <c r="M122" s="14" t="inlineStr">
        <is>
          <t>-</t>
        </is>
      </c>
      <c r="N122" s="14" t="inlineStr">
        <is>
          <t>-</t>
        </is>
      </c>
      <c r="O122" s="14" t="inlineStr">
        <is>
          <t>-</t>
        </is>
      </c>
      <c r="P122" s="14" t="inlineStr">
        <is>
          <t>-</t>
        </is>
      </c>
      <c r="Q122" s="15" t="inlineStr">
        <is>
          <t>-</t>
        </is>
      </c>
    </row>
    <row r="123">
      <c r="A123" s="47" t="n"/>
      <c r="B123" s="16" t="inlineStr">
        <is>
          <t>-</t>
        </is>
      </c>
      <c r="C123" s="11" t="inlineStr">
        <is>
          <t>-</t>
        </is>
      </c>
      <c r="D123" s="11" t="inlineStr">
        <is>
          <t>-</t>
        </is>
      </c>
      <c r="E123" s="11" t="inlineStr">
        <is>
          <t>-</t>
        </is>
      </c>
      <c r="F123" s="11" t="inlineStr">
        <is>
          <t>-</t>
        </is>
      </c>
      <c r="G123" s="11" t="inlineStr">
        <is>
          <t>-</t>
        </is>
      </c>
      <c r="H123" s="11" t="inlineStr">
        <is>
          <t>-</t>
        </is>
      </c>
      <c r="I123" s="11" t="inlineStr">
        <is>
          <t>-</t>
        </is>
      </c>
      <c r="J123" s="11" t="inlineStr">
        <is>
          <t>-</t>
        </is>
      </c>
      <c r="K123" s="11" t="inlineStr">
        <is>
          <t>-</t>
        </is>
      </c>
      <c r="L123" s="11" t="inlineStr">
        <is>
          <t>-</t>
        </is>
      </c>
      <c r="M123" s="11" t="inlineStr">
        <is>
          <t>-</t>
        </is>
      </c>
      <c r="N123" s="11" t="inlineStr">
        <is>
          <t>-</t>
        </is>
      </c>
      <c r="O123" s="11" t="inlineStr">
        <is>
          <t>-</t>
        </is>
      </c>
      <c r="P123" s="11" t="inlineStr">
        <is>
          <t>-</t>
        </is>
      </c>
      <c r="Q123" s="12" t="inlineStr">
        <is>
          <t>-</t>
        </is>
      </c>
    </row>
    <row r="124">
      <c r="A124" s="47" t="n"/>
      <c r="B124" s="13" t="inlineStr">
        <is>
          <t>-</t>
        </is>
      </c>
      <c r="C124" s="14" t="inlineStr">
        <is>
          <t>-</t>
        </is>
      </c>
      <c r="D124" s="14" t="inlineStr">
        <is>
          <t>-</t>
        </is>
      </c>
      <c r="E124" s="14" t="inlineStr">
        <is>
          <t>-</t>
        </is>
      </c>
      <c r="F124" s="14" t="inlineStr">
        <is>
          <t>-</t>
        </is>
      </c>
      <c r="G124" s="14" t="inlineStr">
        <is>
          <t>-</t>
        </is>
      </c>
      <c r="H124" s="14" t="inlineStr">
        <is>
          <t>-</t>
        </is>
      </c>
      <c r="I124" s="14" t="inlineStr">
        <is>
          <t>-</t>
        </is>
      </c>
      <c r="J124" s="14" t="inlineStr">
        <is>
          <t>-</t>
        </is>
      </c>
      <c r="K124" s="14" t="inlineStr">
        <is>
          <t>-</t>
        </is>
      </c>
      <c r="L124" s="14" t="inlineStr">
        <is>
          <t>-</t>
        </is>
      </c>
      <c r="M124" s="14" t="inlineStr">
        <is>
          <t>-</t>
        </is>
      </c>
      <c r="N124" s="14" t="inlineStr">
        <is>
          <t>-</t>
        </is>
      </c>
      <c r="O124" s="14" t="inlineStr">
        <is>
          <t>-</t>
        </is>
      </c>
      <c r="P124" s="14" t="inlineStr">
        <is>
          <t>-</t>
        </is>
      </c>
      <c r="Q124" s="15" t="inlineStr">
        <is>
          <t>-</t>
        </is>
      </c>
    </row>
    <row r="125">
      <c r="A125" s="47" t="n"/>
      <c r="B125" s="16" t="inlineStr">
        <is>
          <t>-</t>
        </is>
      </c>
      <c r="C125" s="11" t="inlineStr">
        <is>
          <t>-</t>
        </is>
      </c>
      <c r="D125" s="11" t="inlineStr">
        <is>
          <t>-</t>
        </is>
      </c>
      <c r="E125" s="11" t="inlineStr">
        <is>
          <t>-</t>
        </is>
      </c>
      <c r="F125" s="11" t="inlineStr">
        <is>
          <t>-</t>
        </is>
      </c>
      <c r="G125" s="11" t="inlineStr">
        <is>
          <t>-</t>
        </is>
      </c>
      <c r="H125" s="11" t="inlineStr">
        <is>
          <t>-</t>
        </is>
      </c>
      <c r="I125" s="11" t="inlineStr">
        <is>
          <t>-</t>
        </is>
      </c>
      <c r="J125" s="11" t="inlineStr">
        <is>
          <t>-</t>
        </is>
      </c>
      <c r="K125" s="11" t="inlineStr">
        <is>
          <t>-</t>
        </is>
      </c>
      <c r="L125" s="11" t="inlineStr">
        <is>
          <t>-</t>
        </is>
      </c>
      <c r="M125" s="11" t="inlineStr">
        <is>
          <t>-</t>
        </is>
      </c>
      <c r="N125" s="11" t="inlineStr">
        <is>
          <t>-</t>
        </is>
      </c>
      <c r="O125" s="11" t="inlineStr">
        <is>
          <t>-</t>
        </is>
      </c>
      <c r="P125" s="11" t="inlineStr">
        <is>
          <t>-</t>
        </is>
      </c>
      <c r="Q125" s="12" t="inlineStr">
        <is>
          <t>-</t>
        </is>
      </c>
    </row>
    <row r="126">
      <c r="A126" s="47" t="n"/>
      <c r="B126" s="13" t="inlineStr">
        <is>
          <t>-</t>
        </is>
      </c>
      <c r="C126" s="14" t="inlineStr">
        <is>
          <t>-</t>
        </is>
      </c>
      <c r="D126" s="14" t="inlineStr">
        <is>
          <t>-</t>
        </is>
      </c>
      <c r="E126" s="14" t="inlineStr">
        <is>
          <t>-</t>
        </is>
      </c>
      <c r="F126" s="14" t="inlineStr">
        <is>
          <t>-</t>
        </is>
      </c>
      <c r="G126" s="14" t="inlineStr">
        <is>
          <t>-</t>
        </is>
      </c>
      <c r="H126" s="14" t="inlineStr">
        <is>
          <t>-</t>
        </is>
      </c>
      <c r="I126" s="14" t="inlineStr">
        <is>
          <t>-</t>
        </is>
      </c>
      <c r="J126" s="14" t="inlineStr">
        <is>
          <t>-</t>
        </is>
      </c>
      <c r="K126" s="14" t="inlineStr">
        <is>
          <t>-</t>
        </is>
      </c>
      <c r="L126" s="14" t="inlineStr">
        <is>
          <t>-</t>
        </is>
      </c>
      <c r="M126" s="14" t="inlineStr">
        <is>
          <t>-</t>
        </is>
      </c>
      <c r="N126" s="14" t="inlineStr">
        <is>
          <t>-</t>
        </is>
      </c>
      <c r="O126" s="14" t="inlineStr">
        <is>
          <t>-</t>
        </is>
      </c>
      <c r="P126" s="14" t="inlineStr">
        <is>
          <t>-</t>
        </is>
      </c>
      <c r="Q126" s="15" t="inlineStr">
        <is>
          <t>-</t>
        </is>
      </c>
    </row>
    <row r="127">
      <c r="A127" s="47" t="n"/>
      <c r="B127" s="16" t="inlineStr">
        <is>
          <t>-</t>
        </is>
      </c>
      <c r="C127" s="11" t="inlineStr">
        <is>
          <t>-</t>
        </is>
      </c>
      <c r="D127" s="11" t="inlineStr">
        <is>
          <t>-</t>
        </is>
      </c>
      <c r="E127" s="11" t="inlineStr">
        <is>
          <t>-</t>
        </is>
      </c>
      <c r="F127" s="11" t="inlineStr">
        <is>
          <t>-</t>
        </is>
      </c>
      <c r="G127" s="11" t="inlineStr">
        <is>
          <t>-</t>
        </is>
      </c>
      <c r="H127" s="11" t="inlineStr">
        <is>
          <t>-</t>
        </is>
      </c>
      <c r="I127" s="11" t="inlineStr">
        <is>
          <t>-</t>
        </is>
      </c>
      <c r="J127" s="11" t="inlineStr">
        <is>
          <t>-</t>
        </is>
      </c>
      <c r="K127" s="11" t="inlineStr">
        <is>
          <t>-</t>
        </is>
      </c>
      <c r="L127" s="11" t="inlineStr">
        <is>
          <t>-</t>
        </is>
      </c>
      <c r="M127" s="11" t="inlineStr">
        <is>
          <t>-</t>
        </is>
      </c>
      <c r="N127" s="11" t="inlineStr">
        <is>
          <t>-</t>
        </is>
      </c>
      <c r="O127" s="11" t="inlineStr">
        <is>
          <t>-</t>
        </is>
      </c>
      <c r="P127" s="11" t="inlineStr">
        <is>
          <t>-</t>
        </is>
      </c>
      <c r="Q127" s="12" t="inlineStr">
        <is>
          <t>-</t>
        </is>
      </c>
    </row>
    <row r="128">
      <c r="A128" s="47" t="n"/>
      <c r="B128" s="13" t="inlineStr">
        <is>
          <t>-</t>
        </is>
      </c>
      <c r="C128" s="14" t="inlineStr">
        <is>
          <t>-</t>
        </is>
      </c>
      <c r="D128" s="14" t="inlineStr">
        <is>
          <t>-</t>
        </is>
      </c>
      <c r="E128" s="14" t="inlineStr">
        <is>
          <t>-</t>
        </is>
      </c>
      <c r="F128" s="14" t="inlineStr">
        <is>
          <t>-</t>
        </is>
      </c>
      <c r="G128" s="14" t="inlineStr">
        <is>
          <t>-</t>
        </is>
      </c>
      <c r="H128" s="14" t="inlineStr">
        <is>
          <t>-</t>
        </is>
      </c>
      <c r="I128" s="14" t="inlineStr">
        <is>
          <t>-</t>
        </is>
      </c>
      <c r="J128" s="14" t="inlineStr">
        <is>
          <t>-</t>
        </is>
      </c>
      <c r="K128" s="14" t="inlineStr">
        <is>
          <t>-</t>
        </is>
      </c>
      <c r="L128" s="14" t="inlineStr">
        <is>
          <t>-</t>
        </is>
      </c>
      <c r="M128" s="14" t="inlineStr">
        <is>
          <t>-</t>
        </is>
      </c>
      <c r="N128" s="14" t="inlineStr">
        <is>
          <t>-</t>
        </is>
      </c>
      <c r="O128" s="14" t="inlineStr">
        <is>
          <t>-</t>
        </is>
      </c>
      <c r="P128" s="14" t="inlineStr">
        <is>
          <t>-</t>
        </is>
      </c>
      <c r="Q128" s="15" t="inlineStr">
        <is>
          <t>-</t>
        </is>
      </c>
    </row>
    <row r="129">
      <c r="A129" s="47" t="n"/>
      <c r="B129" s="16" t="inlineStr">
        <is>
          <t>-</t>
        </is>
      </c>
      <c r="C129" s="11" t="inlineStr">
        <is>
          <t>-</t>
        </is>
      </c>
      <c r="D129" s="11" t="inlineStr">
        <is>
          <t>-</t>
        </is>
      </c>
      <c r="E129" s="11" t="inlineStr">
        <is>
          <t>-</t>
        </is>
      </c>
      <c r="F129" s="11" t="inlineStr">
        <is>
          <t>-</t>
        </is>
      </c>
      <c r="G129" s="11" t="inlineStr">
        <is>
          <t>-</t>
        </is>
      </c>
      <c r="H129" s="11" t="inlineStr">
        <is>
          <t>-</t>
        </is>
      </c>
      <c r="I129" s="11" t="inlineStr">
        <is>
          <t>-</t>
        </is>
      </c>
      <c r="J129" s="11" t="inlineStr">
        <is>
          <t>-</t>
        </is>
      </c>
      <c r="K129" s="11" t="inlineStr">
        <is>
          <t>-</t>
        </is>
      </c>
      <c r="L129" s="11" t="inlineStr">
        <is>
          <t>-</t>
        </is>
      </c>
      <c r="M129" s="11" t="inlineStr">
        <is>
          <t>-</t>
        </is>
      </c>
      <c r="N129" s="11" t="inlineStr">
        <is>
          <t>-</t>
        </is>
      </c>
      <c r="O129" s="11" t="inlineStr">
        <is>
          <t>-</t>
        </is>
      </c>
      <c r="P129" s="11" t="inlineStr">
        <is>
          <t>-</t>
        </is>
      </c>
      <c r="Q129" s="12" t="inlineStr">
        <is>
          <t>-</t>
        </is>
      </c>
    </row>
    <row r="130" ht="36" customHeight="1" s="155">
      <c r="B130" s="9" t="inlineStr">
        <is>
          <t>zucchine in padella</t>
        </is>
      </c>
      <c r="C130" s="49">
        <f>_xlfn.XLOOKUP(A131,Magazzino!$D$1:$D$1500,Magazzino!$F$1:$F$1500,"",0,1)</f>
        <v/>
      </c>
      <c r="D130" s="50">
        <f>_xlfn.XLOOKUP(A132,Magazzino!$D$1:$D$1500,Magazzino!$F$1:$F$1500,"",0,1)</f>
        <v/>
      </c>
      <c r="E130" s="50">
        <f>_xlfn.XLOOKUP(A133,Magazzino!$D$1:$D$1500,Magazzino!$F$1:$F$1500,"",0,1)</f>
        <v/>
      </c>
      <c r="F130" s="50">
        <f>_xlfn.XLOOKUP(A134,Magazzino!$D$1:$D$1500,Magazzino!$F$1:$F$1500,"",0,1)</f>
        <v/>
      </c>
      <c r="G130" s="50">
        <f>_xlfn.XLOOKUP(A135,Magazzino!$D$1:$D$1500,Magazzino!$F$1:$F$1500,"",0,1)</f>
        <v/>
      </c>
      <c r="H130" s="50">
        <f>_xlfn.XLOOKUP(A136,Magazzino!$D$1:$D$1500,Magazzino!$F$1:$F$1500,"",0,1)</f>
        <v/>
      </c>
      <c r="I130" s="50">
        <f>_xlfn.XLOOKUP(A137,Magazzino!$D$1:$D$1500,Magazzino!$F$1:$F$1500,"",0,1)</f>
        <v/>
      </c>
      <c r="J130" s="50">
        <f>_xlfn.XLOOKUP(A138,Magazzino!$D$1:$D$1500,Magazzino!$F$1:$F$1500,"",0,1)</f>
        <v/>
      </c>
      <c r="K130" s="50">
        <f>_xlfn.XLOOKUP(A139,Magazzino!$D$1:$D$1500,Magazzino!$F$1:$F$1500,"",0,1)</f>
        <v/>
      </c>
      <c r="L130" s="50">
        <f>_xlfn.XLOOKUP(A140,Magazzino!$D$1:$D$1500,Magazzino!$F$1:$F$1500,"",0,1)</f>
        <v/>
      </c>
      <c r="M130" s="50">
        <f>_xlfn.XLOOKUP(A141,Magazzino!$D$1:$D$1500,Magazzino!$F$1:$F$1500,"",0,1)</f>
        <v/>
      </c>
      <c r="N130" s="50">
        <f>_xlfn.XLOOKUP(A142,Magazzino!$D$1:$D$1500,Magazzino!$F$1:$F$1500,"",0,1)</f>
        <v/>
      </c>
      <c r="O130" s="50">
        <f>_xlfn.XLOOKUP(A143,Magazzino!$D$1:$D$1500,Magazzino!$F$1:$F$1500,"",0,1)</f>
        <v/>
      </c>
      <c r="P130" s="50">
        <f>_xlfn.XLOOKUP(A144,Magazzino!$D$1:$D$1500,Magazzino!$F$1:$F$1500,"",0,1)</f>
        <v/>
      </c>
      <c r="Q130" s="51">
        <f>_xlfn.XLOOKUP(A145,Magazzino!$D$1:$D$1500,Magazzino!$F$1:$F$1500,"",0,1)</f>
        <v/>
      </c>
    </row>
    <row r="131">
      <c r="A131" s="47" t="inlineStr">
        <is>
          <t>Zucchine L.0950-04/21-000040IT</t>
        </is>
      </c>
      <c r="B131" s="10" t="inlineStr">
        <is>
          <t>-</t>
        </is>
      </c>
      <c r="C131" s="11" t="inlineStr">
        <is>
          <t>-</t>
        </is>
      </c>
      <c r="D131" s="11" t="inlineStr">
        <is>
          <t>-</t>
        </is>
      </c>
      <c r="E131" s="11" t="inlineStr">
        <is>
          <t>-</t>
        </is>
      </c>
      <c r="F131" s="11" t="inlineStr">
        <is>
          <t>-</t>
        </is>
      </c>
      <c r="G131" s="11" t="inlineStr">
        <is>
          <t>-</t>
        </is>
      </c>
      <c r="H131" s="11" t="inlineStr">
        <is>
          <t>-</t>
        </is>
      </c>
      <c r="I131" s="11" t="inlineStr">
        <is>
          <t>-</t>
        </is>
      </c>
      <c r="J131" s="11" t="inlineStr">
        <is>
          <t>-</t>
        </is>
      </c>
      <c r="K131" s="11" t="inlineStr">
        <is>
          <t>-</t>
        </is>
      </c>
      <c r="L131" s="11" t="inlineStr">
        <is>
          <t>-</t>
        </is>
      </c>
      <c r="M131" s="11" t="inlineStr">
        <is>
          <t>-</t>
        </is>
      </c>
      <c r="N131" s="11" t="inlineStr">
        <is>
          <t>-</t>
        </is>
      </c>
      <c r="O131" s="11" t="inlineStr">
        <is>
          <t>-</t>
        </is>
      </c>
      <c r="P131" s="11" t="inlineStr">
        <is>
          <t>-</t>
        </is>
      </c>
      <c r="Q131" s="12" t="inlineStr">
        <is>
          <t>-</t>
        </is>
      </c>
    </row>
    <row r="132">
      <c r="A132" s="48" t="inlineStr">
        <is>
          <t xml:space="preserve">SALE SACCHI SALTECHNO KG.25  </t>
        </is>
      </c>
      <c r="B132" s="13" t="inlineStr">
        <is>
          <t>-</t>
        </is>
      </c>
      <c r="C132" s="14" t="inlineStr">
        <is>
          <t>-</t>
        </is>
      </c>
      <c r="D132" s="14" t="inlineStr">
        <is>
          <t>-</t>
        </is>
      </c>
      <c r="E132" s="14" t="inlineStr">
        <is>
          <t>-</t>
        </is>
      </c>
      <c r="F132" s="14" t="inlineStr">
        <is>
          <t>-</t>
        </is>
      </c>
      <c r="G132" s="14" t="inlineStr">
        <is>
          <t>-</t>
        </is>
      </c>
      <c r="H132" s="14" t="inlineStr">
        <is>
          <t>-</t>
        </is>
      </c>
      <c r="I132" s="14" t="inlineStr">
        <is>
          <t>-</t>
        </is>
      </c>
      <c r="J132" s="14" t="inlineStr">
        <is>
          <t>-</t>
        </is>
      </c>
      <c r="K132" s="14" t="inlineStr">
        <is>
          <t>-</t>
        </is>
      </c>
      <c r="L132" s="14" t="inlineStr">
        <is>
          <t>-</t>
        </is>
      </c>
      <c r="M132" s="14" t="inlineStr">
        <is>
          <t>-</t>
        </is>
      </c>
      <c r="N132" s="14" t="inlineStr">
        <is>
          <t>-</t>
        </is>
      </c>
      <c r="O132" s="14" t="inlineStr">
        <is>
          <t>-</t>
        </is>
      </c>
      <c r="P132" s="14" t="inlineStr">
        <is>
          <t>-</t>
        </is>
      </c>
      <c r="Q132" s="15" t="inlineStr">
        <is>
          <t>-</t>
        </is>
      </c>
    </row>
    <row r="133">
      <c r="A133" s="47" t="inlineStr">
        <is>
          <t>olio extravergine oliva</t>
        </is>
      </c>
      <c r="B133" s="16" t="inlineStr">
        <is>
          <t>-</t>
        </is>
      </c>
      <c r="C133" s="11" t="inlineStr">
        <is>
          <t>-</t>
        </is>
      </c>
      <c r="D133" s="11" t="inlineStr">
        <is>
          <t>-</t>
        </is>
      </c>
      <c r="E133" s="11" t="inlineStr">
        <is>
          <t>-</t>
        </is>
      </c>
      <c r="F133" s="11" t="inlineStr">
        <is>
          <t>-</t>
        </is>
      </c>
      <c r="G133" s="11" t="inlineStr">
        <is>
          <t>-</t>
        </is>
      </c>
      <c r="H133" s="11" t="inlineStr">
        <is>
          <t>-</t>
        </is>
      </c>
      <c r="I133" s="11" t="inlineStr">
        <is>
          <t>-</t>
        </is>
      </c>
      <c r="J133" s="11" t="inlineStr">
        <is>
          <t>-</t>
        </is>
      </c>
      <c r="K133" s="11" t="inlineStr">
        <is>
          <t>-</t>
        </is>
      </c>
      <c r="L133" s="11" t="inlineStr">
        <is>
          <t>-</t>
        </is>
      </c>
      <c r="M133" s="11" t="inlineStr">
        <is>
          <t>-</t>
        </is>
      </c>
      <c r="N133" s="11" t="inlineStr">
        <is>
          <t>-</t>
        </is>
      </c>
      <c r="O133" s="11" t="inlineStr">
        <is>
          <t>-</t>
        </is>
      </c>
      <c r="P133" s="11" t="inlineStr">
        <is>
          <t>-</t>
        </is>
      </c>
      <c r="Q133" s="12" t="inlineStr">
        <is>
          <t>-</t>
        </is>
      </c>
    </row>
    <row r="134">
      <c r="A134" s="47" t="n"/>
      <c r="B134" s="13" t="inlineStr">
        <is>
          <t>-</t>
        </is>
      </c>
      <c r="C134" s="14" t="inlineStr">
        <is>
          <t>-</t>
        </is>
      </c>
      <c r="D134" s="14" t="inlineStr">
        <is>
          <t>-</t>
        </is>
      </c>
      <c r="E134" s="14" t="inlineStr">
        <is>
          <t>-</t>
        </is>
      </c>
      <c r="F134" s="14" t="inlineStr">
        <is>
          <t>-</t>
        </is>
      </c>
      <c r="G134" s="14" t="inlineStr">
        <is>
          <t>-</t>
        </is>
      </c>
      <c r="H134" s="14" t="inlineStr">
        <is>
          <t>-</t>
        </is>
      </c>
      <c r="I134" s="14" t="inlineStr">
        <is>
          <t>-</t>
        </is>
      </c>
      <c r="J134" s="14" t="inlineStr">
        <is>
          <t>-</t>
        </is>
      </c>
      <c r="K134" s="14" t="inlineStr">
        <is>
          <t>-</t>
        </is>
      </c>
      <c r="L134" s="14" t="inlineStr">
        <is>
          <t>-</t>
        </is>
      </c>
      <c r="M134" s="14" t="inlineStr">
        <is>
          <t>-</t>
        </is>
      </c>
      <c r="N134" s="14" t="inlineStr">
        <is>
          <t>-</t>
        </is>
      </c>
      <c r="O134" s="14" t="inlineStr">
        <is>
          <t>-</t>
        </is>
      </c>
      <c r="P134" s="14" t="inlineStr">
        <is>
          <t>-</t>
        </is>
      </c>
      <c r="Q134" s="15" t="inlineStr">
        <is>
          <t>-</t>
        </is>
      </c>
    </row>
    <row r="135">
      <c r="A135" s="47" t="n"/>
      <c r="B135" s="16" t="inlineStr">
        <is>
          <t>-</t>
        </is>
      </c>
      <c r="C135" s="11" t="inlineStr">
        <is>
          <t>-</t>
        </is>
      </c>
      <c r="D135" s="11" t="inlineStr">
        <is>
          <t>-</t>
        </is>
      </c>
      <c r="E135" s="11" t="inlineStr">
        <is>
          <t>-</t>
        </is>
      </c>
      <c r="F135" s="11" t="inlineStr">
        <is>
          <t>-</t>
        </is>
      </c>
      <c r="G135" s="11" t="inlineStr">
        <is>
          <t>-</t>
        </is>
      </c>
      <c r="H135" s="11" t="inlineStr">
        <is>
          <t>-</t>
        </is>
      </c>
      <c r="I135" s="11" t="inlineStr">
        <is>
          <t>-</t>
        </is>
      </c>
      <c r="J135" s="11" t="inlineStr">
        <is>
          <t>-</t>
        </is>
      </c>
      <c r="K135" s="11" t="inlineStr">
        <is>
          <t>-</t>
        </is>
      </c>
      <c r="L135" s="11" t="inlineStr">
        <is>
          <t>-</t>
        </is>
      </c>
      <c r="M135" s="11" t="inlineStr">
        <is>
          <t>-</t>
        </is>
      </c>
      <c r="N135" s="11" t="inlineStr">
        <is>
          <t>-</t>
        </is>
      </c>
      <c r="O135" s="11" t="inlineStr">
        <is>
          <t>-</t>
        </is>
      </c>
      <c r="P135" s="11" t="inlineStr">
        <is>
          <t>-</t>
        </is>
      </c>
      <c r="Q135" s="12" t="inlineStr">
        <is>
          <t>-</t>
        </is>
      </c>
    </row>
    <row r="136">
      <c r="A136" s="47" t="n"/>
      <c r="B136" s="13" t="inlineStr">
        <is>
          <t>-</t>
        </is>
      </c>
      <c r="C136" s="14" t="inlineStr">
        <is>
          <t>-</t>
        </is>
      </c>
      <c r="D136" s="14" t="inlineStr">
        <is>
          <t>-</t>
        </is>
      </c>
      <c r="E136" s="14" t="inlineStr">
        <is>
          <t>-</t>
        </is>
      </c>
      <c r="F136" s="14" t="inlineStr">
        <is>
          <t>-</t>
        </is>
      </c>
      <c r="G136" s="14" t="inlineStr">
        <is>
          <t>-</t>
        </is>
      </c>
      <c r="H136" s="14" t="inlineStr">
        <is>
          <t>-</t>
        </is>
      </c>
      <c r="I136" s="14" t="inlineStr">
        <is>
          <t>-</t>
        </is>
      </c>
      <c r="J136" s="14" t="inlineStr">
        <is>
          <t>-</t>
        </is>
      </c>
      <c r="K136" s="14" t="inlineStr">
        <is>
          <t>-</t>
        </is>
      </c>
      <c r="L136" s="14" t="inlineStr">
        <is>
          <t>-</t>
        </is>
      </c>
      <c r="M136" s="14" t="inlineStr">
        <is>
          <t>-</t>
        </is>
      </c>
      <c r="N136" s="14" t="inlineStr">
        <is>
          <t>-</t>
        </is>
      </c>
      <c r="O136" s="14" t="inlineStr">
        <is>
          <t>-</t>
        </is>
      </c>
      <c r="P136" s="14" t="inlineStr">
        <is>
          <t>-</t>
        </is>
      </c>
      <c r="Q136" s="15" t="inlineStr">
        <is>
          <t>-</t>
        </is>
      </c>
    </row>
    <row r="137">
      <c r="A137" s="47" t="n"/>
      <c r="B137" s="16" t="inlineStr">
        <is>
          <t>-</t>
        </is>
      </c>
      <c r="C137" s="11" t="inlineStr">
        <is>
          <t>-</t>
        </is>
      </c>
      <c r="D137" s="11" t="inlineStr">
        <is>
          <t>-</t>
        </is>
      </c>
      <c r="E137" s="11" t="inlineStr">
        <is>
          <t>-</t>
        </is>
      </c>
      <c r="F137" s="11" t="inlineStr">
        <is>
          <t>-</t>
        </is>
      </c>
      <c r="G137" s="11" t="inlineStr">
        <is>
          <t>-</t>
        </is>
      </c>
      <c r="H137" s="11" t="inlineStr">
        <is>
          <t>-</t>
        </is>
      </c>
      <c r="I137" s="11" t="inlineStr">
        <is>
          <t>-</t>
        </is>
      </c>
      <c r="J137" s="11" t="inlineStr">
        <is>
          <t>-</t>
        </is>
      </c>
      <c r="K137" s="11" t="inlineStr">
        <is>
          <t>-</t>
        </is>
      </c>
      <c r="L137" s="11" t="inlineStr">
        <is>
          <t>-</t>
        </is>
      </c>
      <c r="M137" s="11" t="inlineStr">
        <is>
          <t>-</t>
        </is>
      </c>
      <c r="N137" s="11" t="inlineStr">
        <is>
          <t>-</t>
        </is>
      </c>
      <c r="O137" s="11" t="inlineStr">
        <is>
          <t>-</t>
        </is>
      </c>
      <c r="P137" s="11" t="inlineStr">
        <is>
          <t>-</t>
        </is>
      </c>
      <c r="Q137" s="12" t="inlineStr">
        <is>
          <t>-</t>
        </is>
      </c>
    </row>
    <row r="138">
      <c r="A138" s="47" t="n"/>
      <c r="B138" s="13" t="inlineStr">
        <is>
          <t>-</t>
        </is>
      </c>
      <c r="C138" s="14" t="inlineStr">
        <is>
          <t>-</t>
        </is>
      </c>
      <c r="D138" s="14" t="inlineStr">
        <is>
          <t>-</t>
        </is>
      </c>
      <c r="E138" s="14" t="inlineStr">
        <is>
          <t>-</t>
        </is>
      </c>
      <c r="F138" s="14" t="inlineStr">
        <is>
          <t>-</t>
        </is>
      </c>
      <c r="G138" s="14" t="inlineStr">
        <is>
          <t>-</t>
        </is>
      </c>
      <c r="H138" s="14" t="inlineStr">
        <is>
          <t>-</t>
        </is>
      </c>
      <c r="I138" s="14" t="inlineStr">
        <is>
          <t>-</t>
        </is>
      </c>
      <c r="J138" s="14" t="inlineStr">
        <is>
          <t>-</t>
        </is>
      </c>
      <c r="K138" s="14" t="inlineStr">
        <is>
          <t>-</t>
        </is>
      </c>
      <c r="L138" s="14" t="inlineStr">
        <is>
          <t>-</t>
        </is>
      </c>
      <c r="M138" s="14" t="inlineStr">
        <is>
          <t>-</t>
        </is>
      </c>
      <c r="N138" s="14" t="inlineStr">
        <is>
          <t>-</t>
        </is>
      </c>
      <c r="O138" s="14" t="inlineStr">
        <is>
          <t>-</t>
        </is>
      </c>
      <c r="P138" s="14" t="inlineStr">
        <is>
          <t>-</t>
        </is>
      </c>
      <c r="Q138" s="15" t="inlineStr">
        <is>
          <t>-</t>
        </is>
      </c>
    </row>
    <row r="139">
      <c r="A139" s="47" t="n"/>
      <c r="B139" s="16" t="inlineStr">
        <is>
          <t>-</t>
        </is>
      </c>
      <c r="C139" s="11" t="inlineStr">
        <is>
          <t>-</t>
        </is>
      </c>
      <c r="D139" s="11" t="inlineStr">
        <is>
          <t>-</t>
        </is>
      </c>
      <c r="E139" s="11" t="inlineStr">
        <is>
          <t>-</t>
        </is>
      </c>
      <c r="F139" s="11" t="inlineStr">
        <is>
          <t>-</t>
        </is>
      </c>
      <c r="G139" s="11" t="inlineStr">
        <is>
          <t>-</t>
        </is>
      </c>
      <c r="H139" s="11" t="inlineStr">
        <is>
          <t>-</t>
        </is>
      </c>
      <c r="I139" s="11" t="inlineStr">
        <is>
          <t>-</t>
        </is>
      </c>
      <c r="J139" s="11" t="inlineStr">
        <is>
          <t>-</t>
        </is>
      </c>
      <c r="K139" s="11" t="inlineStr">
        <is>
          <t>-</t>
        </is>
      </c>
      <c r="L139" s="11" t="inlineStr">
        <is>
          <t>-</t>
        </is>
      </c>
      <c r="M139" s="11" t="inlineStr">
        <is>
          <t>-</t>
        </is>
      </c>
      <c r="N139" s="11" t="inlineStr">
        <is>
          <t>-</t>
        </is>
      </c>
      <c r="O139" s="11" t="inlineStr">
        <is>
          <t>-</t>
        </is>
      </c>
      <c r="P139" s="11" t="inlineStr">
        <is>
          <t>-</t>
        </is>
      </c>
      <c r="Q139" s="12" t="inlineStr">
        <is>
          <t>-</t>
        </is>
      </c>
    </row>
    <row r="140">
      <c r="A140" s="47" t="n"/>
      <c r="B140" s="13" t="inlineStr">
        <is>
          <t>-</t>
        </is>
      </c>
      <c r="C140" s="14" t="inlineStr">
        <is>
          <t>-</t>
        </is>
      </c>
      <c r="D140" s="14" t="inlineStr">
        <is>
          <t>-</t>
        </is>
      </c>
      <c r="E140" s="14" t="inlineStr">
        <is>
          <t>-</t>
        </is>
      </c>
      <c r="F140" s="14" t="inlineStr">
        <is>
          <t>-</t>
        </is>
      </c>
      <c r="G140" s="14" t="inlineStr">
        <is>
          <t>-</t>
        </is>
      </c>
      <c r="H140" s="14" t="inlineStr">
        <is>
          <t>-</t>
        </is>
      </c>
      <c r="I140" s="14" t="inlineStr">
        <is>
          <t>-</t>
        </is>
      </c>
      <c r="J140" s="14" t="inlineStr">
        <is>
          <t>-</t>
        </is>
      </c>
      <c r="K140" s="14" t="inlineStr">
        <is>
          <t>-</t>
        </is>
      </c>
      <c r="L140" s="14" t="inlineStr">
        <is>
          <t>-</t>
        </is>
      </c>
      <c r="M140" s="14" t="inlineStr">
        <is>
          <t>-</t>
        </is>
      </c>
      <c r="N140" s="14" t="inlineStr">
        <is>
          <t>-</t>
        </is>
      </c>
      <c r="O140" s="14" t="inlineStr">
        <is>
          <t>-</t>
        </is>
      </c>
      <c r="P140" s="14" t="inlineStr">
        <is>
          <t>-</t>
        </is>
      </c>
      <c r="Q140" s="15" t="inlineStr">
        <is>
          <t>-</t>
        </is>
      </c>
    </row>
    <row r="141">
      <c r="A141" s="47" t="n"/>
      <c r="B141" s="16" t="inlineStr">
        <is>
          <t>-</t>
        </is>
      </c>
      <c r="C141" s="11" t="inlineStr">
        <is>
          <t>-</t>
        </is>
      </c>
      <c r="D141" s="11" t="inlineStr">
        <is>
          <t>-</t>
        </is>
      </c>
      <c r="E141" s="11" t="inlineStr">
        <is>
          <t>-</t>
        </is>
      </c>
      <c r="F141" s="11" t="inlineStr">
        <is>
          <t>-</t>
        </is>
      </c>
      <c r="G141" s="11" t="inlineStr">
        <is>
          <t>-</t>
        </is>
      </c>
      <c r="H141" s="11" t="inlineStr">
        <is>
          <t>-</t>
        </is>
      </c>
      <c r="I141" s="11" t="inlineStr">
        <is>
          <t>-</t>
        </is>
      </c>
      <c r="J141" s="11" t="inlineStr">
        <is>
          <t>-</t>
        </is>
      </c>
      <c r="K141" s="11" t="inlineStr">
        <is>
          <t>-</t>
        </is>
      </c>
      <c r="L141" s="11" t="inlineStr">
        <is>
          <t>-</t>
        </is>
      </c>
      <c r="M141" s="11" t="inlineStr">
        <is>
          <t>-</t>
        </is>
      </c>
      <c r="N141" s="11" t="inlineStr">
        <is>
          <t>-</t>
        </is>
      </c>
      <c r="O141" s="11" t="inlineStr">
        <is>
          <t>-</t>
        </is>
      </c>
      <c r="P141" s="11" t="inlineStr">
        <is>
          <t>-</t>
        </is>
      </c>
      <c r="Q141" s="12" t="inlineStr">
        <is>
          <t>-</t>
        </is>
      </c>
    </row>
    <row r="142">
      <c r="A142" s="47" t="n"/>
      <c r="B142" s="13" t="inlineStr">
        <is>
          <t>-</t>
        </is>
      </c>
      <c r="C142" s="14" t="inlineStr">
        <is>
          <t>-</t>
        </is>
      </c>
      <c r="D142" s="14" t="inlineStr">
        <is>
          <t>-</t>
        </is>
      </c>
      <c r="E142" s="14" t="inlineStr">
        <is>
          <t>-</t>
        </is>
      </c>
      <c r="F142" s="14" t="inlineStr">
        <is>
          <t>-</t>
        </is>
      </c>
      <c r="G142" s="14" t="inlineStr">
        <is>
          <t>-</t>
        </is>
      </c>
      <c r="H142" s="14" t="inlineStr">
        <is>
          <t>-</t>
        </is>
      </c>
      <c r="I142" s="14" t="inlineStr">
        <is>
          <t>-</t>
        </is>
      </c>
      <c r="J142" s="14" t="inlineStr">
        <is>
          <t>-</t>
        </is>
      </c>
      <c r="K142" s="14" t="inlineStr">
        <is>
          <t>-</t>
        </is>
      </c>
      <c r="L142" s="14" t="inlineStr">
        <is>
          <t>-</t>
        </is>
      </c>
      <c r="M142" s="14" t="inlineStr">
        <is>
          <t>-</t>
        </is>
      </c>
      <c r="N142" s="14" t="inlineStr">
        <is>
          <t>-</t>
        </is>
      </c>
      <c r="O142" s="14" t="inlineStr">
        <is>
          <t>-</t>
        </is>
      </c>
      <c r="P142" s="14" t="inlineStr">
        <is>
          <t>-</t>
        </is>
      </c>
      <c r="Q142" s="15" t="inlineStr">
        <is>
          <t>-</t>
        </is>
      </c>
    </row>
    <row r="143">
      <c r="A143" s="47" t="n"/>
      <c r="B143" s="16" t="inlineStr">
        <is>
          <t>-</t>
        </is>
      </c>
      <c r="C143" s="11" t="inlineStr">
        <is>
          <t>-</t>
        </is>
      </c>
      <c r="D143" s="11" t="inlineStr">
        <is>
          <t>-</t>
        </is>
      </c>
      <c r="E143" s="11" t="inlineStr">
        <is>
          <t>-</t>
        </is>
      </c>
      <c r="F143" s="11" t="inlineStr">
        <is>
          <t>-</t>
        </is>
      </c>
      <c r="G143" s="11" t="inlineStr">
        <is>
          <t>-</t>
        </is>
      </c>
      <c r="H143" s="11" t="inlineStr">
        <is>
          <t>-</t>
        </is>
      </c>
      <c r="I143" s="11" t="inlineStr">
        <is>
          <t>-</t>
        </is>
      </c>
      <c r="J143" s="11" t="inlineStr">
        <is>
          <t>-</t>
        </is>
      </c>
      <c r="K143" s="11" t="inlineStr">
        <is>
          <t>-</t>
        </is>
      </c>
      <c r="L143" s="11" t="inlineStr">
        <is>
          <t>-</t>
        </is>
      </c>
      <c r="M143" s="11" t="inlineStr">
        <is>
          <t>-</t>
        </is>
      </c>
      <c r="N143" s="11" t="inlineStr">
        <is>
          <t>-</t>
        </is>
      </c>
      <c r="O143" s="11" t="inlineStr">
        <is>
          <t>-</t>
        </is>
      </c>
      <c r="P143" s="11" t="inlineStr">
        <is>
          <t>-</t>
        </is>
      </c>
      <c r="Q143" s="12" t="inlineStr">
        <is>
          <t>-</t>
        </is>
      </c>
    </row>
    <row r="144">
      <c r="A144" s="47" t="n"/>
      <c r="B144" s="13" t="inlineStr">
        <is>
          <t>-</t>
        </is>
      </c>
      <c r="C144" s="14" t="inlineStr">
        <is>
          <t>-</t>
        </is>
      </c>
      <c r="D144" s="14" t="inlineStr">
        <is>
          <t>-</t>
        </is>
      </c>
      <c r="E144" s="14" t="inlineStr">
        <is>
          <t>-</t>
        </is>
      </c>
      <c r="F144" s="14" t="inlineStr">
        <is>
          <t>-</t>
        </is>
      </c>
      <c r="G144" s="14" t="inlineStr">
        <is>
          <t>-</t>
        </is>
      </c>
      <c r="H144" s="14" t="inlineStr">
        <is>
          <t>-</t>
        </is>
      </c>
      <c r="I144" s="14" t="inlineStr">
        <is>
          <t>-</t>
        </is>
      </c>
      <c r="J144" s="14" t="inlineStr">
        <is>
          <t>-</t>
        </is>
      </c>
      <c r="K144" s="14" t="inlineStr">
        <is>
          <t>-</t>
        </is>
      </c>
      <c r="L144" s="14" t="inlineStr">
        <is>
          <t>-</t>
        </is>
      </c>
      <c r="M144" s="14" t="inlineStr">
        <is>
          <t>-</t>
        </is>
      </c>
      <c r="N144" s="14" t="inlineStr">
        <is>
          <t>-</t>
        </is>
      </c>
      <c r="O144" s="14" t="inlineStr">
        <is>
          <t>-</t>
        </is>
      </c>
      <c r="P144" s="14" t="inlineStr">
        <is>
          <t>-</t>
        </is>
      </c>
      <c r="Q144" s="15" t="inlineStr">
        <is>
          <t>-</t>
        </is>
      </c>
    </row>
    <row r="145">
      <c r="A145" s="47" t="n"/>
      <c r="B145" s="16" t="inlineStr">
        <is>
          <t>-</t>
        </is>
      </c>
      <c r="C145" s="11" t="inlineStr">
        <is>
          <t>-</t>
        </is>
      </c>
      <c r="D145" s="11" t="inlineStr">
        <is>
          <t>-</t>
        </is>
      </c>
      <c r="E145" s="11" t="inlineStr">
        <is>
          <t>-</t>
        </is>
      </c>
      <c r="F145" s="11" t="inlineStr">
        <is>
          <t>-</t>
        </is>
      </c>
      <c r="G145" s="11" t="inlineStr">
        <is>
          <t>-</t>
        </is>
      </c>
      <c r="H145" s="11" t="inlineStr">
        <is>
          <t>-</t>
        </is>
      </c>
      <c r="I145" s="11" t="inlineStr">
        <is>
          <t>-</t>
        </is>
      </c>
      <c r="J145" s="11" t="inlineStr">
        <is>
          <t>-</t>
        </is>
      </c>
      <c r="K145" s="11" t="inlineStr">
        <is>
          <t>-</t>
        </is>
      </c>
      <c r="L145" s="11" t="inlineStr">
        <is>
          <t>-</t>
        </is>
      </c>
      <c r="M145" s="11" t="inlineStr">
        <is>
          <t>-</t>
        </is>
      </c>
      <c r="N145" s="11" t="inlineStr">
        <is>
          <t>-</t>
        </is>
      </c>
      <c r="O145" s="11" t="inlineStr">
        <is>
          <t>-</t>
        </is>
      </c>
      <c r="P145" s="11" t="inlineStr">
        <is>
          <t>-</t>
        </is>
      </c>
      <c r="Q145" s="12" t="inlineStr">
        <is>
          <t>-</t>
        </is>
      </c>
    </row>
    <row r="146" ht="36" customHeight="1" s="155">
      <c r="B146" s="9" t="inlineStr">
        <is>
          <t>scarole ripassate</t>
        </is>
      </c>
      <c r="C146" s="49">
        <f>_xlfn.XLOOKUP(A147,Magazzino!$D$1:$D$1500,Magazzino!$F$1:$F$1500,"",0,1)</f>
        <v/>
      </c>
      <c r="D146" s="50">
        <f>_xlfn.XLOOKUP(A148,Magazzino!$D$1:$D$1500,Magazzino!$F$1:$F$1500,"",0,1)</f>
        <v/>
      </c>
      <c r="E146" s="50">
        <f>_xlfn.XLOOKUP(A149,Magazzino!$D$1:$D$1500,Magazzino!$F$1:$F$1500,"",0,1)</f>
        <v/>
      </c>
      <c r="F146" s="50">
        <f>_xlfn.XLOOKUP(A150,Magazzino!$D$1:$D$1500,Magazzino!$F$1:$F$1500,"",0,1)</f>
        <v/>
      </c>
      <c r="G146" s="50">
        <f>_xlfn.XLOOKUP(A151,Magazzino!$D$1:$D$1500,Magazzino!$F$1:$F$1500,"",0,1)</f>
        <v/>
      </c>
      <c r="H146" s="50">
        <f>_xlfn.XLOOKUP(A152,Magazzino!$D$1:$D$1500,Magazzino!$F$1:$F$1500,"",0,1)</f>
        <v/>
      </c>
      <c r="I146" s="50">
        <f>_xlfn.XLOOKUP(A153,Magazzino!$D$1:$D$1500,Magazzino!$F$1:$F$1500,"",0,1)</f>
        <v/>
      </c>
      <c r="J146" s="50">
        <f>_xlfn.XLOOKUP(A154,Magazzino!$D$1:$D$1500,Magazzino!$F$1:$F$1500,"",0,1)</f>
        <v/>
      </c>
      <c r="K146" s="50">
        <f>_xlfn.XLOOKUP(A155,Magazzino!$D$1:$D$1500,Magazzino!$F$1:$F$1500,"",0,1)</f>
        <v/>
      </c>
      <c r="L146" s="50">
        <f>_xlfn.XLOOKUP(A156,Magazzino!$D$1:$D$1500,Magazzino!$F$1:$F$1500,"",0,1)</f>
        <v/>
      </c>
      <c r="M146" s="50">
        <f>_xlfn.XLOOKUP(A157,Magazzino!$D$1:$D$1500,Magazzino!$F$1:$F$1500,"",0,1)</f>
        <v/>
      </c>
      <c r="N146" s="50">
        <f>_xlfn.XLOOKUP(A158,Magazzino!$D$1:$D$1500,Magazzino!$F$1:$F$1500,"",0,1)</f>
        <v/>
      </c>
      <c r="O146" s="50">
        <f>_xlfn.XLOOKUP(A159,Magazzino!$D$1:$D$1500,Magazzino!$F$1:$F$1500,"",0,1)</f>
        <v/>
      </c>
      <c r="P146" s="50">
        <f>_xlfn.XLOOKUP(A160,Magazzino!$D$1:$D$1500,Magazzino!$F$1:$F$1500,"",0,1)</f>
        <v/>
      </c>
      <c r="Q146" s="51">
        <f>_xlfn.XLOOKUP(A161,Magazzino!$D$1:$D$1500,Magazzino!$F$1:$F$1500,"",0,1)</f>
        <v/>
      </c>
    </row>
    <row r="147">
      <c r="A147" s="47" t="inlineStr">
        <is>
          <t>Scarola Lisci L.FATT. 130</t>
        </is>
      </c>
      <c r="B147" s="10" t="inlineStr">
        <is>
          <t>-</t>
        </is>
      </c>
      <c r="C147" s="11" t="inlineStr">
        <is>
          <t>-</t>
        </is>
      </c>
      <c r="D147" s="11" t="inlineStr">
        <is>
          <t>-</t>
        </is>
      </c>
      <c r="E147" s="11" t="inlineStr">
        <is>
          <t>-</t>
        </is>
      </c>
      <c r="F147" s="11" t="inlineStr">
        <is>
          <t>-</t>
        </is>
      </c>
      <c r="G147" s="11" t="inlineStr">
        <is>
          <t>-</t>
        </is>
      </c>
      <c r="H147" s="11" t="inlineStr">
        <is>
          <t>-</t>
        </is>
      </c>
      <c r="I147" s="11" t="inlineStr">
        <is>
          <t>-</t>
        </is>
      </c>
      <c r="J147" s="11" t="inlineStr">
        <is>
          <t>-</t>
        </is>
      </c>
      <c r="K147" s="11" t="inlineStr">
        <is>
          <t>-</t>
        </is>
      </c>
      <c r="L147" s="11" t="inlineStr">
        <is>
          <t>-</t>
        </is>
      </c>
      <c r="M147" s="11" t="inlineStr">
        <is>
          <t>-</t>
        </is>
      </c>
      <c r="N147" s="11" t="inlineStr">
        <is>
          <t>-</t>
        </is>
      </c>
      <c r="O147" s="11" t="inlineStr">
        <is>
          <t>-</t>
        </is>
      </c>
      <c r="P147" s="11" t="inlineStr">
        <is>
          <t>-</t>
        </is>
      </c>
      <c r="Q147" s="12" t="inlineStr">
        <is>
          <t>-</t>
        </is>
      </c>
    </row>
    <row r="148">
      <c r="A148" s="48" t="inlineStr">
        <is>
          <t xml:space="preserve">SALE SACCHI SALTECHNO KG.25  </t>
        </is>
      </c>
      <c r="B148" s="13" t="inlineStr">
        <is>
          <t>-</t>
        </is>
      </c>
      <c r="C148" s="14" t="inlineStr">
        <is>
          <t>-</t>
        </is>
      </c>
      <c r="D148" s="14" t="inlineStr">
        <is>
          <t>-</t>
        </is>
      </c>
      <c r="E148" s="14" t="inlineStr">
        <is>
          <t>-</t>
        </is>
      </c>
      <c r="F148" s="14" t="inlineStr">
        <is>
          <t>-</t>
        </is>
      </c>
      <c r="G148" s="14" t="inlineStr">
        <is>
          <t>-</t>
        </is>
      </c>
      <c r="H148" s="14" t="inlineStr">
        <is>
          <t>-</t>
        </is>
      </c>
      <c r="I148" s="14" t="inlineStr">
        <is>
          <t>-</t>
        </is>
      </c>
      <c r="J148" s="14" t="inlineStr">
        <is>
          <t>-</t>
        </is>
      </c>
      <c r="K148" s="14" t="inlineStr">
        <is>
          <t>-</t>
        </is>
      </c>
      <c r="L148" s="14" t="inlineStr">
        <is>
          <t>-</t>
        </is>
      </c>
      <c r="M148" s="14" t="inlineStr">
        <is>
          <t>-</t>
        </is>
      </c>
      <c r="N148" s="14" t="inlineStr">
        <is>
          <t>-</t>
        </is>
      </c>
      <c r="O148" s="14" t="inlineStr">
        <is>
          <t>-</t>
        </is>
      </c>
      <c r="P148" s="14" t="inlineStr">
        <is>
          <t>-</t>
        </is>
      </c>
      <c r="Q148" s="15" t="inlineStr">
        <is>
          <t>-</t>
        </is>
      </c>
    </row>
    <row r="149">
      <c r="A149" s="47" t="inlineStr">
        <is>
          <t>olio extravergine oliva</t>
        </is>
      </c>
      <c r="B149" s="16" t="inlineStr">
        <is>
          <t>-</t>
        </is>
      </c>
      <c r="C149" s="11" t="inlineStr">
        <is>
          <t>-</t>
        </is>
      </c>
      <c r="D149" s="11" t="inlineStr">
        <is>
          <t>-</t>
        </is>
      </c>
      <c r="E149" s="11" t="inlineStr">
        <is>
          <t>-</t>
        </is>
      </c>
      <c r="F149" s="11" t="inlineStr">
        <is>
          <t>-</t>
        </is>
      </c>
      <c r="G149" s="11" t="inlineStr">
        <is>
          <t>-</t>
        </is>
      </c>
      <c r="H149" s="11" t="inlineStr">
        <is>
          <t>-</t>
        </is>
      </c>
      <c r="I149" s="11" t="inlineStr">
        <is>
          <t>-</t>
        </is>
      </c>
      <c r="J149" s="11" t="inlineStr">
        <is>
          <t>-</t>
        </is>
      </c>
      <c r="K149" s="11" t="inlineStr">
        <is>
          <t>-</t>
        </is>
      </c>
      <c r="L149" s="11" t="inlineStr">
        <is>
          <t>-</t>
        </is>
      </c>
      <c r="M149" s="11" t="inlineStr">
        <is>
          <t>-</t>
        </is>
      </c>
      <c r="N149" s="11" t="inlineStr">
        <is>
          <t>-</t>
        </is>
      </c>
      <c r="O149" s="11" t="inlineStr">
        <is>
          <t>-</t>
        </is>
      </c>
      <c r="P149" s="11" t="inlineStr">
        <is>
          <t>-</t>
        </is>
      </c>
      <c r="Q149" s="12" t="inlineStr">
        <is>
          <t>-</t>
        </is>
      </c>
    </row>
    <row r="150">
      <c r="A150" s="47" t="inlineStr">
        <is>
          <t>basilico / rosmarino /prezzemolo</t>
        </is>
      </c>
      <c r="B150" s="13" t="inlineStr">
        <is>
          <t>-</t>
        </is>
      </c>
      <c r="C150" s="14" t="inlineStr">
        <is>
          <t>-</t>
        </is>
      </c>
      <c r="D150" s="14" t="inlineStr">
        <is>
          <t>-</t>
        </is>
      </c>
      <c r="E150" s="14" t="inlineStr">
        <is>
          <t>-</t>
        </is>
      </c>
      <c r="F150" s="14" t="inlineStr">
        <is>
          <t>-</t>
        </is>
      </c>
      <c r="G150" s="14" t="inlineStr">
        <is>
          <t>-</t>
        </is>
      </c>
      <c r="H150" s="14" t="inlineStr">
        <is>
          <t>-</t>
        </is>
      </c>
      <c r="I150" s="14" t="inlineStr">
        <is>
          <t>-</t>
        </is>
      </c>
      <c r="J150" s="14" t="inlineStr">
        <is>
          <t>-</t>
        </is>
      </c>
      <c r="K150" s="14" t="inlineStr">
        <is>
          <t>-</t>
        </is>
      </c>
      <c r="L150" s="14" t="inlineStr">
        <is>
          <t>-</t>
        </is>
      </c>
      <c r="M150" s="14" t="inlineStr">
        <is>
          <t>-</t>
        </is>
      </c>
      <c r="N150" s="14" t="inlineStr">
        <is>
          <t>-</t>
        </is>
      </c>
      <c r="O150" s="14" t="inlineStr">
        <is>
          <t>-</t>
        </is>
      </c>
      <c r="P150" s="14" t="inlineStr">
        <is>
          <t>-</t>
        </is>
      </c>
      <c r="Q150" s="15" t="inlineStr">
        <is>
          <t>-</t>
        </is>
      </c>
    </row>
    <row r="151">
      <c r="A151" s="47" t="n"/>
      <c r="B151" s="16" t="inlineStr">
        <is>
          <t>-</t>
        </is>
      </c>
      <c r="C151" s="11" t="inlineStr">
        <is>
          <t>-</t>
        </is>
      </c>
      <c r="D151" s="11" t="inlineStr">
        <is>
          <t>-</t>
        </is>
      </c>
      <c r="E151" s="11" t="inlineStr">
        <is>
          <t>-</t>
        </is>
      </c>
      <c r="F151" s="11" t="inlineStr">
        <is>
          <t>-</t>
        </is>
      </c>
      <c r="G151" s="11" t="inlineStr">
        <is>
          <t>-</t>
        </is>
      </c>
      <c r="H151" s="11" t="inlineStr">
        <is>
          <t>-</t>
        </is>
      </c>
      <c r="I151" s="11" t="inlineStr">
        <is>
          <t>-</t>
        </is>
      </c>
      <c r="J151" s="11" t="inlineStr">
        <is>
          <t>-</t>
        </is>
      </c>
      <c r="K151" s="11" t="inlineStr">
        <is>
          <t>-</t>
        </is>
      </c>
      <c r="L151" s="11" t="inlineStr">
        <is>
          <t>-</t>
        </is>
      </c>
      <c r="M151" s="11" t="inlineStr">
        <is>
          <t>-</t>
        </is>
      </c>
      <c r="N151" s="11" t="inlineStr">
        <is>
          <t>-</t>
        </is>
      </c>
      <c r="O151" s="11" t="inlineStr">
        <is>
          <t>-</t>
        </is>
      </c>
      <c r="P151" s="11" t="inlineStr">
        <is>
          <t>-</t>
        </is>
      </c>
      <c r="Q151" s="12" t="inlineStr">
        <is>
          <t>-</t>
        </is>
      </c>
    </row>
    <row r="152">
      <c r="A152" s="47" t="n"/>
      <c r="B152" s="13" t="inlineStr">
        <is>
          <t>-</t>
        </is>
      </c>
      <c r="C152" s="14" t="inlineStr">
        <is>
          <t>-</t>
        </is>
      </c>
      <c r="D152" s="14" t="inlineStr">
        <is>
          <t>-</t>
        </is>
      </c>
      <c r="E152" s="14" t="inlineStr">
        <is>
          <t>-</t>
        </is>
      </c>
      <c r="F152" s="14" t="inlineStr">
        <is>
          <t>-</t>
        </is>
      </c>
      <c r="G152" s="14" t="inlineStr">
        <is>
          <t>-</t>
        </is>
      </c>
      <c r="H152" s="14" t="inlineStr">
        <is>
          <t>-</t>
        </is>
      </c>
      <c r="I152" s="14" t="inlineStr">
        <is>
          <t>-</t>
        </is>
      </c>
      <c r="J152" s="14" t="inlineStr">
        <is>
          <t>-</t>
        </is>
      </c>
      <c r="K152" s="14" t="inlineStr">
        <is>
          <t>-</t>
        </is>
      </c>
      <c r="L152" s="14" t="inlineStr">
        <is>
          <t>-</t>
        </is>
      </c>
      <c r="M152" s="14" t="inlineStr">
        <is>
          <t>-</t>
        </is>
      </c>
      <c r="N152" s="14" t="inlineStr">
        <is>
          <t>-</t>
        </is>
      </c>
      <c r="O152" s="14" t="inlineStr">
        <is>
          <t>-</t>
        </is>
      </c>
      <c r="P152" s="14" t="inlineStr">
        <is>
          <t>-</t>
        </is>
      </c>
      <c r="Q152" s="15" t="inlineStr">
        <is>
          <t>-</t>
        </is>
      </c>
    </row>
    <row r="153">
      <c r="A153" s="47" t="n"/>
      <c r="B153" s="16" t="inlineStr">
        <is>
          <t>-</t>
        </is>
      </c>
      <c r="C153" s="11" t="inlineStr">
        <is>
          <t>-</t>
        </is>
      </c>
      <c r="D153" s="11" t="inlineStr">
        <is>
          <t>-</t>
        </is>
      </c>
      <c r="E153" s="11" t="inlineStr">
        <is>
          <t>-</t>
        </is>
      </c>
      <c r="F153" s="11" t="inlineStr">
        <is>
          <t>-</t>
        </is>
      </c>
      <c r="G153" s="11" t="inlineStr">
        <is>
          <t>-</t>
        </is>
      </c>
      <c r="H153" s="11" t="inlineStr">
        <is>
          <t>-</t>
        </is>
      </c>
      <c r="I153" s="11" t="inlineStr">
        <is>
          <t>-</t>
        </is>
      </c>
      <c r="J153" s="11" t="inlineStr">
        <is>
          <t>-</t>
        </is>
      </c>
      <c r="K153" s="11" t="inlineStr">
        <is>
          <t>-</t>
        </is>
      </c>
      <c r="L153" s="11" t="inlineStr">
        <is>
          <t>-</t>
        </is>
      </c>
      <c r="M153" s="11" t="inlineStr">
        <is>
          <t>-</t>
        </is>
      </c>
      <c r="N153" s="11" t="inlineStr">
        <is>
          <t>-</t>
        </is>
      </c>
      <c r="O153" s="11" t="inlineStr">
        <is>
          <t>-</t>
        </is>
      </c>
      <c r="P153" s="11" t="inlineStr">
        <is>
          <t>-</t>
        </is>
      </c>
      <c r="Q153" s="12" t="inlineStr">
        <is>
          <t>-</t>
        </is>
      </c>
    </row>
    <row r="154">
      <c r="A154" s="47" t="n"/>
      <c r="B154" s="13" t="inlineStr">
        <is>
          <t>-</t>
        </is>
      </c>
      <c r="C154" s="14" t="inlineStr">
        <is>
          <t>-</t>
        </is>
      </c>
      <c r="D154" s="14" t="inlineStr">
        <is>
          <t>-</t>
        </is>
      </c>
      <c r="E154" s="14" t="inlineStr">
        <is>
          <t>-</t>
        </is>
      </c>
      <c r="F154" s="14" t="inlineStr">
        <is>
          <t>-</t>
        </is>
      </c>
      <c r="G154" s="14" t="inlineStr">
        <is>
          <t>-</t>
        </is>
      </c>
      <c r="H154" s="14" t="inlineStr">
        <is>
          <t>-</t>
        </is>
      </c>
      <c r="I154" s="14" t="inlineStr">
        <is>
          <t>-</t>
        </is>
      </c>
      <c r="J154" s="14" t="inlineStr">
        <is>
          <t>-</t>
        </is>
      </c>
      <c r="K154" s="14" t="inlineStr">
        <is>
          <t>-</t>
        </is>
      </c>
      <c r="L154" s="14" t="inlineStr">
        <is>
          <t>-</t>
        </is>
      </c>
      <c r="M154" s="14" t="inlineStr">
        <is>
          <t>-</t>
        </is>
      </c>
      <c r="N154" s="14" t="inlineStr">
        <is>
          <t>-</t>
        </is>
      </c>
      <c r="O154" s="14" t="inlineStr">
        <is>
          <t>-</t>
        </is>
      </c>
      <c r="P154" s="14" t="inlineStr">
        <is>
          <t>-</t>
        </is>
      </c>
      <c r="Q154" s="15" t="inlineStr">
        <is>
          <t>-</t>
        </is>
      </c>
    </row>
    <row r="155">
      <c r="A155" s="47" t="n"/>
      <c r="B155" s="16" t="inlineStr">
        <is>
          <t>-</t>
        </is>
      </c>
      <c r="C155" s="11" t="inlineStr">
        <is>
          <t>-</t>
        </is>
      </c>
      <c r="D155" s="11" t="inlineStr">
        <is>
          <t>-</t>
        </is>
      </c>
      <c r="E155" s="11" t="inlineStr">
        <is>
          <t>-</t>
        </is>
      </c>
      <c r="F155" s="11" t="inlineStr">
        <is>
          <t>-</t>
        </is>
      </c>
      <c r="G155" s="11" t="inlineStr">
        <is>
          <t>-</t>
        </is>
      </c>
      <c r="H155" s="11" t="inlineStr">
        <is>
          <t>-</t>
        </is>
      </c>
      <c r="I155" s="11" t="inlineStr">
        <is>
          <t>-</t>
        </is>
      </c>
      <c r="J155" s="11" t="inlineStr">
        <is>
          <t>-</t>
        </is>
      </c>
      <c r="K155" s="11" t="inlineStr">
        <is>
          <t>-</t>
        </is>
      </c>
      <c r="L155" s="11" t="inlineStr">
        <is>
          <t>-</t>
        </is>
      </c>
      <c r="M155" s="11" t="inlineStr">
        <is>
          <t>-</t>
        </is>
      </c>
      <c r="N155" s="11" t="inlineStr">
        <is>
          <t>-</t>
        </is>
      </c>
      <c r="O155" s="11" t="inlineStr">
        <is>
          <t>-</t>
        </is>
      </c>
      <c r="P155" s="11" t="inlineStr">
        <is>
          <t>-</t>
        </is>
      </c>
      <c r="Q155" s="12" t="inlineStr">
        <is>
          <t>-</t>
        </is>
      </c>
    </row>
    <row r="156">
      <c r="A156" s="47" t="n"/>
      <c r="B156" s="13" t="inlineStr">
        <is>
          <t>-</t>
        </is>
      </c>
      <c r="C156" s="14" t="inlineStr">
        <is>
          <t>-</t>
        </is>
      </c>
      <c r="D156" s="14" t="inlineStr">
        <is>
          <t>-</t>
        </is>
      </c>
      <c r="E156" s="14" t="inlineStr">
        <is>
          <t>-</t>
        </is>
      </c>
      <c r="F156" s="14" t="inlineStr">
        <is>
          <t>-</t>
        </is>
      </c>
      <c r="G156" s="14" t="inlineStr">
        <is>
          <t>-</t>
        </is>
      </c>
      <c r="H156" s="14" t="inlineStr">
        <is>
          <t>-</t>
        </is>
      </c>
      <c r="I156" s="14" t="inlineStr">
        <is>
          <t>-</t>
        </is>
      </c>
      <c r="J156" s="14" t="inlineStr">
        <is>
          <t>-</t>
        </is>
      </c>
      <c r="K156" s="14" t="inlineStr">
        <is>
          <t>-</t>
        </is>
      </c>
      <c r="L156" s="14" t="inlineStr">
        <is>
          <t>-</t>
        </is>
      </c>
      <c r="M156" s="14" t="inlineStr">
        <is>
          <t>-</t>
        </is>
      </c>
      <c r="N156" s="14" t="inlineStr">
        <is>
          <t>-</t>
        </is>
      </c>
      <c r="O156" s="14" t="inlineStr">
        <is>
          <t>-</t>
        </is>
      </c>
      <c r="P156" s="14" t="inlineStr">
        <is>
          <t>-</t>
        </is>
      </c>
      <c r="Q156" s="15" t="inlineStr">
        <is>
          <t>-</t>
        </is>
      </c>
    </row>
    <row r="157">
      <c r="A157" s="47" t="n"/>
      <c r="B157" s="16" t="inlineStr">
        <is>
          <t>-</t>
        </is>
      </c>
      <c r="C157" s="11" t="inlineStr">
        <is>
          <t>-</t>
        </is>
      </c>
      <c r="D157" s="11" t="inlineStr">
        <is>
          <t>-</t>
        </is>
      </c>
      <c r="E157" s="11" t="inlineStr">
        <is>
          <t>-</t>
        </is>
      </c>
      <c r="F157" s="11" t="inlineStr">
        <is>
          <t>-</t>
        </is>
      </c>
      <c r="G157" s="11" t="inlineStr">
        <is>
          <t>-</t>
        </is>
      </c>
      <c r="H157" s="11" t="inlineStr">
        <is>
          <t>-</t>
        </is>
      </c>
      <c r="I157" s="11" t="inlineStr">
        <is>
          <t>-</t>
        </is>
      </c>
      <c r="J157" s="11" t="inlineStr">
        <is>
          <t>-</t>
        </is>
      </c>
      <c r="K157" s="11" t="inlineStr">
        <is>
          <t>-</t>
        </is>
      </c>
      <c r="L157" s="11" t="inlineStr">
        <is>
          <t>-</t>
        </is>
      </c>
      <c r="M157" s="11" t="inlineStr">
        <is>
          <t>-</t>
        </is>
      </c>
      <c r="N157" s="11" t="inlineStr">
        <is>
          <t>-</t>
        </is>
      </c>
      <c r="O157" s="11" t="inlineStr">
        <is>
          <t>-</t>
        </is>
      </c>
      <c r="P157" s="11" t="inlineStr">
        <is>
          <t>-</t>
        </is>
      </c>
      <c r="Q157" s="12" t="inlineStr">
        <is>
          <t>-</t>
        </is>
      </c>
    </row>
    <row r="158">
      <c r="A158" s="47" t="n"/>
      <c r="B158" s="13" t="inlineStr">
        <is>
          <t>-</t>
        </is>
      </c>
      <c r="C158" s="14" t="inlineStr">
        <is>
          <t>-</t>
        </is>
      </c>
      <c r="D158" s="14" t="inlineStr">
        <is>
          <t>-</t>
        </is>
      </c>
      <c r="E158" s="14" t="inlineStr">
        <is>
          <t>-</t>
        </is>
      </c>
      <c r="F158" s="14" t="inlineStr">
        <is>
          <t>-</t>
        </is>
      </c>
      <c r="G158" s="14" t="inlineStr">
        <is>
          <t>-</t>
        </is>
      </c>
      <c r="H158" s="14" t="inlineStr">
        <is>
          <t>-</t>
        </is>
      </c>
      <c r="I158" s="14" t="inlineStr">
        <is>
          <t>-</t>
        </is>
      </c>
      <c r="J158" s="14" t="inlineStr">
        <is>
          <t>-</t>
        </is>
      </c>
      <c r="K158" s="14" t="inlineStr">
        <is>
          <t>-</t>
        </is>
      </c>
      <c r="L158" s="14" t="inlineStr">
        <is>
          <t>-</t>
        </is>
      </c>
      <c r="M158" s="14" t="inlineStr">
        <is>
          <t>-</t>
        </is>
      </c>
      <c r="N158" s="14" t="inlineStr">
        <is>
          <t>-</t>
        </is>
      </c>
      <c r="O158" s="14" t="inlineStr">
        <is>
          <t>-</t>
        </is>
      </c>
      <c r="P158" s="14" t="inlineStr">
        <is>
          <t>-</t>
        </is>
      </c>
      <c r="Q158" s="15" t="inlineStr">
        <is>
          <t>-</t>
        </is>
      </c>
    </row>
    <row r="159">
      <c r="A159" s="47" t="n"/>
      <c r="B159" s="16" t="inlineStr">
        <is>
          <t>-</t>
        </is>
      </c>
      <c r="C159" s="11" t="inlineStr">
        <is>
          <t>-</t>
        </is>
      </c>
      <c r="D159" s="11" t="inlineStr">
        <is>
          <t>-</t>
        </is>
      </c>
      <c r="E159" s="11" t="inlineStr">
        <is>
          <t>-</t>
        </is>
      </c>
      <c r="F159" s="11" t="inlineStr">
        <is>
          <t>-</t>
        </is>
      </c>
      <c r="G159" s="11" t="inlineStr">
        <is>
          <t>-</t>
        </is>
      </c>
      <c r="H159" s="11" t="inlineStr">
        <is>
          <t>-</t>
        </is>
      </c>
      <c r="I159" s="11" t="inlineStr">
        <is>
          <t>-</t>
        </is>
      </c>
      <c r="J159" s="11" t="inlineStr">
        <is>
          <t>-</t>
        </is>
      </c>
      <c r="K159" s="11" t="inlineStr">
        <is>
          <t>-</t>
        </is>
      </c>
      <c r="L159" s="11" t="inlineStr">
        <is>
          <t>-</t>
        </is>
      </c>
      <c r="M159" s="11" t="inlineStr">
        <is>
          <t>-</t>
        </is>
      </c>
      <c r="N159" s="11" t="inlineStr">
        <is>
          <t>-</t>
        </is>
      </c>
      <c r="O159" s="11" t="inlineStr">
        <is>
          <t>-</t>
        </is>
      </c>
      <c r="P159" s="11" t="inlineStr">
        <is>
          <t>-</t>
        </is>
      </c>
      <c r="Q159" s="12" t="inlineStr">
        <is>
          <t>-</t>
        </is>
      </c>
    </row>
    <row r="160">
      <c r="A160" s="47" t="n"/>
      <c r="B160" s="13" t="inlineStr">
        <is>
          <t>-</t>
        </is>
      </c>
      <c r="C160" s="14" t="inlineStr">
        <is>
          <t>-</t>
        </is>
      </c>
      <c r="D160" s="14" t="inlineStr">
        <is>
          <t>-</t>
        </is>
      </c>
      <c r="E160" s="14" t="inlineStr">
        <is>
          <t>-</t>
        </is>
      </c>
      <c r="F160" s="14" t="inlineStr">
        <is>
          <t>-</t>
        </is>
      </c>
      <c r="G160" s="14" t="inlineStr">
        <is>
          <t>-</t>
        </is>
      </c>
      <c r="H160" s="14" t="inlineStr">
        <is>
          <t>-</t>
        </is>
      </c>
      <c r="I160" s="14" t="inlineStr">
        <is>
          <t>-</t>
        </is>
      </c>
      <c r="J160" s="14" t="inlineStr">
        <is>
          <t>-</t>
        </is>
      </c>
      <c r="K160" s="14" t="inlineStr">
        <is>
          <t>-</t>
        </is>
      </c>
      <c r="L160" s="14" t="inlineStr">
        <is>
          <t>-</t>
        </is>
      </c>
      <c r="M160" s="14" t="inlineStr">
        <is>
          <t>-</t>
        </is>
      </c>
      <c r="N160" s="14" t="inlineStr">
        <is>
          <t>-</t>
        </is>
      </c>
      <c r="O160" s="14" t="inlineStr">
        <is>
          <t>-</t>
        </is>
      </c>
      <c r="P160" s="14" t="inlineStr">
        <is>
          <t>-</t>
        </is>
      </c>
      <c r="Q160" s="15" t="inlineStr">
        <is>
          <t>-</t>
        </is>
      </c>
    </row>
    <row r="161">
      <c r="A161" s="47" t="n"/>
      <c r="B161" s="16" t="inlineStr">
        <is>
          <t>-</t>
        </is>
      </c>
      <c r="C161" s="11" t="inlineStr">
        <is>
          <t>-</t>
        </is>
      </c>
      <c r="D161" s="11" t="inlineStr">
        <is>
          <t>-</t>
        </is>
      </c>
      <c r="E161" s="11" t="inlineStr">
        <is>
          <t>-</t>
        </is>
      </c>
      <c r="F161" s="11" t="inlineStr">
        <is>
          <t>-</t>
        </is>
      </c>
      <c r="G161" s="11" t="inlineStr">
        <is>
          <t>-</t>
        </is>
      </c>
      <c r="H161" s="11" t="inlineStr">
        <is>
          <t>-</t>
        </is>
      </c>
      <c r="I161" s="11" t="inlineStr">
        <is>
          <t>-</t>
        </is>
      </c>
      <c r="J161" s="11" t="inlineStr">
        <is>
          <t>-</t>
        </is>
      </c>
      <c r="K161" s="11" t="inlineStr">
        <is>
          <t>-</t>
        </is>
      </c>
      <c r="L161" s="11" t="inlineStr">
        <is>
          <t>-</t>
        </is>
      </c>
      <c r="M161" s="11" t="inlineStr">
        <is>
          <t>-</t>
        </is>
      </c>
      <c r="N161" s="11" t="inlineStr">
        <is>
          <t>-</t>
        </is>
      </c>
      <c r="O161" s="11" t="inlineStr">
        <is>
          <t>-</t>
        </is>
      </c>
      <c r="P161" s="11" t="inlineStr">
        <is>
          <t>-</t>
        </is>
      </c>
      <c r="Q161" s="12" t="inlineStr">
        <is>
          <t>-</t>
        </is>
      </c>
    </row>
    <row r="162" ht="36" customHeight="1" s="155">
      <c r="A162" s="47" t="n"/>
      <c r="B162" s="9" t="inlineStr">
        <is>
          <t>crostone di ricotta</t>
        </is>
      </c>
      <c r="C162" s="49">
        <f>_xlfn.XLOOKUP(A163,Magazzino!$D$1:$D$1500,Magazzino!$F$1:$F$1500,"",0,1)</f>
        <v/>
      </c>
      <c r="D162" s="50">
        <f>_xlfn.XLOOKUP(A164,Magazzino!$D$1:$D$1500,Magazzino!$F$1:$F$1500,"",0,1)</f>
        <v/>
      </c>
      <c r="E162" s="50">
        <f>_xlfn.XLOOKUP(A165,Magazzino!$D$1:$D$1500,Magazzino!$F$1:$F$1500,"",0,1)</f>
        <v/>
      </c>
      <c r="F162" s="50">
        <f>_xlfn.XLOOKUP(A166,Magazzino!$D$1:$D$1500,Magazzino!$F$1:$F$1500,"",0,1)</f>
        <v/>
      </c>
      <c r="G162" s="50">
        <f>_xlfn.XLOOKUP(A167,Magazzino!$D$1:$D$1500,Magazzino!$F$1:$F$1500,"",0,1)</f>
        <v/>
      </c>
      <c r="H162" s="50">
        <f>_xlfn.XLOOKUP(A168,Magazzino!$D$1:$D$1500,Magazzino!$F$1:$F$1500,"",0,1)</f>
        <v/>
      </c>
      <c r="I162" s="50">
        <f>_xlfn.XLOOKUP(A169,Magazzino!$D$1:$D$1500,Magazzino!$F$1:$F$1500,"",0,1)</f>
        <v/>
      </c>
      <c r="J162" s="50">
        <f>_xlfn.XLOOKUP(A170,Magazzino!$D$1:$D$1500,Magazzino!$F$1:$F$1500,"",0,1)</f>
        <v/>
      </c>
      <c r="K162" s="50">
        <f>_xlfn.XLOOKUP(A171,Magazzino!$D$1:$D$1500,Magazzino!$F$1:$F$1500,"",0,1)</f>
        <v/>
      </c>
      <c r="L162" s="50">
        <f>_xlfn.XLOOKUP(A172,Magazzino!$D$1:$D$1500,Magazzino!$F$1:$F$1500,"",0,1)</f>
        <v/>
      </c>
      <c r="M162" s="50">
        <f>_xlfn.XLOOKUP(A173,Magazzino!$D$1:$D$1500,Magazzino!$F$1:$F$1500,"",0,1)</f>
        <v/>
      </c>
      <c r="N162" s="50">
        <f>_xlfn.XLOOKUP(A174,Magazzino!$D$1:$D$1500,Magazzino!$F$1:$F$1500,"",0,1)</f>
        <v/>
      </c>
      <c r="O162" s="50">
        <f>_xlfn.XLOOKUP(A175,Magazzino!$D$1:$D$1500,Magazzino!$F$1:$F$1500,"",0,1)</f>
        <v/>
      </c>
      <c r="P162" s="50">
        <f>_xlfn.XLOOKUP(A176,Magazzino!$D$1:$D$1500,Magazzino!$F$1:$F$1500,"",0,1)</f>
        <v/>
      </c>
      <c r="Q162" s="51">
        <f>_xlfn.XLOOKUP(A177,Magazzino!$D$1:$D$1500,Magazzino!$F$1:$F$1500,"",0,1)</f>
        <v/>
      </c>
    </row>
    <row r="163">
      <c r="A163" s="47" t="inlineStr">
        <is>
          <t xml:space="preserve">FARINA 0/MAN. CAPUTO DA KG.25  </t>
        </is>
      </c>
      <c r="B163" s="10" t="inlineStr">
        <is>
          <t>-</t>
        </is>
      </c>
      <c r="C163" s="11" t="inlineStr">
        <is>
          <t>-</t>
        </is>
      </c>
      <c r="D163" s="11" t="inlineStr">
        <is>
          <t>-</t>
        </is>
      </c>
      <c r="E163" s="11" t="inlineStr">
        <is>
          <t>-</t>
        </is>
      </c>
      <c r="F163" s="11" t="inlineStr">
        <is>
          <t>-</t>
        </is>
      </c>
      <c r="G163" s="11" t="inlineStr">
        <is>
          <t>-</t>
        </is>
      </c>
      <c r="H163" s="11" t="inlineStr">
        <is>
          <t>-</t>
        </is>
      </c>
      <c r="I163" s="11" t="inlineStr">
        <is>
          <t>-</t>
        </is>
      </c>
      <c r="J163" s="11" t="inlineStr">
        <is>
          <t>-</t>
        </is>
      </c>
      <c r="K163" s="11" t="inlineStr">
        <is>
          <t>-</t>
        </is>
      </c>
      <c r="L163" s="11" t="inlineStr">
        <is>
          <t>-</t>
        </is>
      </c>
      <c r="M163" s="11" t="inlineStr">
        <is>
          <t>-</t>
        </is>
      </c>
      <c r="N163" s="11" t="inlineStr">
        <is>
          <t>-</t>
        </is>
      </c>
      <c r="O163" s="11" t="inlineStr">
        <is>
          <t>-</t>
        </is>
      </c>
      <c r="P163" s="11" t="inlineStr">
        <is>
          <t>-</t>
        </is>
      </c>
      <c r="Q163" s="12" t="inlineStr">
        <is>
          <t>-</t>
        </is>
      </c>
    </row>
    <row r="164">
      <c r="A164" s="48" t="inlineStr">
        <is>
          <t xml:space="preserve">SALE SACCHI SALTECHNO KG.25  </t>
        </is>
      </c>
      <c r="B164" s="13" t="inlineStr">
        <is>
          <t>-</t>
        </is>
      </c>
      <c r="C164" s="14" t="inlineStr">
        <is>
          <t>-</t>
        </is>
      </c>
      <c r="D164" s="14" t="inlineStr">
        <is>
          <t>-</t>
        </is>
      </c>
      <c r="E164" s="14" t="inlineStr">
        <is>
          <t>-</t>
        </is>
      </c>
      <c r="F164" s="14" t="inlineStr">
        <is>
          <t>-</t>
        </is>
      </c>
      <c r="G164" s="14" t="inlineStr">
        <is>
          <t>-</t>
        </is>
      </c>
      <c r="H164" s="14" t="inlineStr">
        <is>
          <t>-</t>
        </is>
      </c>
      <c r="I164" s="14" t="inlineStr">
        <is>
          <t>-</t>
        </is>
      </c>
      <c r="J164" s="14" t="inlineStr">
        <is>
          <t>-</t>
        </is>
      </c>
      <c r="K164" s="14" t="inlineStr">
        <is>
          <t>-</t>
        </is>
      </c>
      <c r="L164" s="14" t="inlineStr">
        <is>
          <t>-</t>
        </is>
      </c>
      <c r="M164" s="14" t="inlineStr">
        <is>
          <t>-</t>
        </is>
      </c>
      <c r="N164" s="14" t="inlineStr">
        <is>
          <t>-</t>
        </is>
      </c>
      <c r="O164" s="14" t="inlineStr">
        <is>
          <t>-</t>
        </is>
      </c>
      <c r="P164" s="14" t="inlineStr">
        <is>
          <t>-</t>
        </is>
      </c>
      <c r="Q164" s="15" t="inlineStr">
        <is>
          <t>-</t>
        </is>
      </c>
    </row>
    <row r="165">
      <c r="A165" s="47" t="inlineStr">
        <is>
          <t>ricotta omogeneizzata ii 5kg</t>
        </is>
      </c>
      <c r="B165" s="16" t="inlineStr">
        <is>
          <t>-</t>
        </is>
      </c>
      <c r="C165" s="11" t="inlineStr">
        <is>
          <t>-</t>
        </is>
      </c>
      <c r="D165" s="11" t="inlineStr">
        <is>
          <t>-</t>
        </is>
      </c>
      <c r="E165" s="11" t="inlineStr">
        <is>
          <t>-</t>
        </is>
      </c>
      <c r="F165" s="11" t="inlineStr">
        <is>
          <t>-</t>
        </is>
      </c>
      <c r="G165" s="11" t="inlineStr">
        <is>
          <t>-</t>
        </is>
      </c>
      <c r="H165" s="11" t="inlineStr">
        <is>
          <t>-</t>
        </is>
      </c>
      <c r="I165" s="11" t="inlineStr">
        <is>
          <t>-</t>
        </is>
      </c>
      <c r="J165" s="11" t="inlineStr">
        <is>
          <t>-</t>
        </is>
      </c>
      <c r="K165" s="11" t="inlineStr">
        <is>
          <t>-</t>
        </is>
      </c>
      <c r="L165" s="11" t="inlineStr">
        <is>
          <t>-</t>
        </is>
      </c>
      <c r="M165" s="11" t="inlineStr">
        <is>
          <t>-</t>
        </is>
      </c>
      <c r="N165" s="11" t="inlineStr">
        <is>
          <t>-</t>
        </is>
      </c>
      <c r="O165" s="11" t="inlineStr">
        <is>
          <t>-</t>
        </is>
      </c>
      <c r="P165" s="11" t="inlineStr">
        <is>
          <t>-</t>
        </is>
      </c>
      <c r="Q165" s="12" t="inlineStr">
        <is>
          <t>-</t>
        </is>
      </c>
    </row>
    <row r="166">
      <c r="A166" s="47" t="n"/>
      <c r="B166" s="13" t="inlineStr">
        <is>
          <t>-</t>
        </is>
      </c>
      <c r="C166" s="14" t="inlineStr">
        <is>
          <t>-</t>
        </is>
      </c>
      <c r="D166" s="14" t="inlineStr">
        <is>
          <t>-</t>
        </is>
      </c>
      <c r="E166" s="14" t="inlineStr">
        <is>
          <t>-</t>
        </is>
      </c>
      <c r="F166" s="14" t="inlineStr">
        <is>
          <t>-</t>
        </is>
      </c>
      <c r="G166" s="14" t="inlineStr">
        <is>
          <t>-</t>
        </is>
      </c>
      <c r="H166" s="14" t="inlineStr">
        <is>
          <t>-</t>
        </is>
      </c>
      <c r="I166" s="14" t="inlineStr">
        <is>
          <t>-</t>
        </is>
      </c>
      <c r="J166" s="14" t="inlineStr">
        <is>
          <t>-</t>
        </is>
      </c>
      <c r="K166" s="14" t="inlineStr">
        <is>
          <t>-</t>
        </is>
      </c>
      <c r="L166" s="14" t="inlineStr">
        <is>
          <t>-</t>
        </is>
      </c>
      <c r="M166" s="14" t="inlineStr">
        <is>
          <t>-</t>
        </is>
      </c>
      <c r="N166" s="14" t="inlineStr">
        <is>
          <t>-</t>
        </is>
      </c>
      <c r="O166" s="14" t="inlineStr">
        <is>
          <t>-</t>
        </is>
      </c>
      <c r="P166" s="14" t="inlineStr">
        <is>
          <t>-</t>
        </is>
      </c>
      <c r="Q166" s="15" t="inlineStr">
        <is>
          <t>-</t>
        </is>
      </c>
    </row>
    <row r="167">
      <c r="A167" s="47" t="n"/>
      <c r="B167" s="16" t="inlineStr">
        <is>
          <t>-</t>
        </is>
      </c>
      <c r="C167" s="11" t="inlineStr">
        <is>
          <t>-</t>
        </is>
      </c>
      <c r="D167" s="11" t="inlineStr">
        <is>
          <t>-</t>
        </is>
      </c>
      <c r="E167" s="11" t="inlineStr">
        <is>
          <t>-</t>
        </is>
      </c>
      <c r="F167" s="11" t="inlineStr">
        <is>
          <t>-</t>
        </is>
      </c>
      <c r="G167" s="11" t="inlineStr">
        <is>
          <t>-</t>
        </is>
      </c>
      <c r="H167" s="11" t="inlineStr">
        <is>
          <t>-</t>
        </is>
      </c>
      <c r="I167" s="11" t="inlineStr">
        <is>
          <t>-</t>
        </is>
      </c>
      <c r="J167" s="11" t="inlineStr">
        <is>
          <t>-</t>
        </is>
      </c>
      <c r="K167" s="11" t="inlineStr">
        <is>
          <t>-</t>
        </is>
      </c>
      <c r="L167" s="11" t="inlineStr">
        <is>
          <t>-</t>
        </is>
      </c>
      <c r="M167" s="11" t="inlineStr">
        <is>
          <t>-</t>
        </is>
      </c>
      <c r="N167" s="11" t="inlineStr">
        <is>
          <t>-</t>
        </is>
      </c>
      <c r="O167" s="11" t="inlineStr">
        <is>
          <t>-</t>
        </is>
      </c>
      <c r="P167" s="11" t="inlineStr">
        <is>
          <t>-</t>
        </is>
      </c>
      <c r="Q167" s="12" t="inlineStr">
        <is>
          <t>-</t>
        </is>
      </c>
    </row>
    <row r="168">
      <c r="A168" s="47" t="n"/>
      <c r="B168" s="13" t="inlineStr">
        <is>
          <t>-</t>
        </is>
      </c>
      <c r="C168" s="14" t="inlineStr">
        <is>
          <t>-</t>
        </is>
      </c>
      <c r="D168" s="14" t="inlineStr">
        <is>
          <t>-</t>
        </is>
      </c>
      <c r="E168" s="14" t="inlineStr">
        <is>
          <t>-</t>
        </is>
      </c>
      <c r="F168" s="14" t="inlineStr">
        <is>
          <t>-</t>
        </is>
      </c>
      <c r="G168" s="14" t="inlineStr">
        <is>
          <t>-</t>
        </is>
      </c>
      <c r="H168" s="14" t="inlineStr">
        <is>
          <t>-</t>
        </is>
      </c>
      <c r="I168" s="14" t="inlineStr">
        <is>
          <t>-</t>
        </is>
      </c>
      <c r="J168" s="14" t="inlineStr">
        <is>
          <t>-</t>
        </is>
      </c>
      <c r="K168" s="14" t="inlineStr">
        <is>
          <t>-</t>
        </is>
      </c>
      <c r="L168" s="14" t="inlineStr">
        <is>
          <t>-</t>
        </is>
      </c>
      <c r="M168" s="14" t="inlineStr">
        <is>
          <t>-</t>
        </is>
      </c>
      <c r="N168" s="14" t="inlineStr">
        <is>
          <t>-</t>
        </is>
      </c>
      <c r="O168" s="14" t="inlineStr">
        <is>
          <t>-</t>
        </is>
      </c>
      <c r="P168" s="14" t="inlineStr">
        <is>
          <t>-</t>
        </is>
      </c>
      <c r="Q168" s="15" t="inlineStr">
        <is>
          <t>-</t>
        </is>
      </c>
    </row>
    <row r="169">
      <c r="A169" s="47" t="n"/>
      <c r="B169" s="16" t="inlineStr">
        <is>
          <t>-</t>
        </is>
      </c>
      <c r="C169" s="11" t="inlineStr">
        <is>
          <t>-</t>
        </is>
      </c>
      <c r="D169" s="11" t="inlineStr">
        <is>
          <t>-</t>
        </is>
      </c>
      <c r="E169" s="11" t="inlineStr">
        <is>
          <t>-</t>
        </is>
      </c>
      <c r="F169" s="11" t="inlineStr">
        <is>
          <t>-</t>
        </is>
      </c>
      <c r="G169" s="11" t="inlineStr">
        <is>
          <t>-</t>
        </is>
      </c>
      <c r="H169" s="11" t="inlineStr">
        <is>
          <t>-</t>
        </is>
      </c>
      <c r="I169" s="11" t="inlineStr">
        <is>
          <t>-</t>
        </is>
      </c>
      <c r="J169" s="11" t="inlineStr">
        <is>
          <t>-</t>
        </is>
      </c>
      <c r="K169" s="11" t="inlineStr">
        <is>
          <t>-</t>
        </is>
      </c>
      <c r="L169" s="11" t="inlineStr">
        <is>
          <t>-</t>
        </is>
      </c>
      <c r="M169" s="11" t="inlineStr">
        <is>
          <t>-</t>
        </is>
      </c>
      <c r="N169" s="11" t="inlineStr">
        <is>
          <t>-</t>
        </is>
      </c>
      <c r="O169" s="11" t="inlineStr">
        <is>
          <t>-</t>
        </is>
      </c>
      <c r="P169" s="11" t="inlineStr">
        <is>
          <t>-</t>
        </is>
      </c>
      <c r="Q169" s="12" t="inlineStr">
        <is>
          <t>-</t>
        </is>
      </c>
    </row>
    <row r="170">
      <c r="A170" s="47" t="n"/>
      <c r="B170" s="13" t="inlineStr">
        <is>
          <t>-</t>
        </is>
      </c>
      <c r="C170" s="14" t="inlineStr">
        <is>
          <t>-</t>
        </is>
      </c>
      <c r="D170" s="14" t="inlineStr">
        <is>
          <t>-</t>
        </is>
      </c>
      <c r="E170" s="14" t="inlineStr">
        <is>
          <t>-</t>
        </is>
      </c>
      <c r="F170" s="14" t="inlineStr">
        <is>
          <t>-</t>
        </is>
      </c>
      <c r="G170" s="14" t="inlineStr">
        <is>
          <t>-</t>
        </is>
      </c>
      <c r="H170" s="14" t="inlineStr">
        <is>
          <t>-</t>
        </is>
      </c>
      <c r="I170" s="14" t="inlineStr">
        <is>
          <t>-</t>
        </is>
      </c>
      <c r="J170" s="14" t="inlineStr">
        <is>
          <t>-</t>
        </is>
      </c>
      <c r="K170" s="14" t="inlineStr">
        <is>
          <t>-</t>
        </is>
      </c>
      <c r="L170" s="14" t="inlineStr">
        <is>
          <t>-</t>
        </is>
      </c>
      <c r="M170" s="14" t="inlineStr">
        <is>
          <t>-</t>
        </is>
      </c>
      <c r="N170" s="14" t="inlineStr">
        <is>
          <t>-</t>
        </is>
      </c>
      <c r="O170" s="14" t="inlineStr">
        <is>
          <t>-</t>
        </is>
      </c>
      <c r="P170" s="14" t="inlineStr">
        <is>
          <t>-</t>
        </is>
      </c>
      <c r="Q170" s="15" t="inlineStr">
        <is>
          <t>-</t>
        </is>
      </c>
    </row>
    <row r="171">
      <c r="A171" s="47" t="n"/>
      <c r="B171" s="16" t="inlineStr">
        <is>
          <t>-</t>
        </is>
      </c>
      <c r="C171" s="11" t="inlineStr">
        <is>
          <t>-</t>
        </is>
      </c>
      <c r="D171" s="11" t="inlineStr">
        <is>
          <t>-</t>
        </is>
      </c>
      <c r="E171" s="11" t="inlineStr">
        <is>
          <t>-</t>
        </is>
      </c>
      <c r="F171" s="11" t="inlineStr">
        <is>
          <t>-</t>
        </is>
      </c>
      <c r="G171" s="11" t="inlineStr">
        <is>
          <t>-</t>
        </is>
      </c>
      <c r="H171" s="11" t="inlineStr">
        <is>
          <t>-</t>
        </is>
      </c>
      <c r="I171" s="11" t="inlineStr">
        <is>
          <t>-</t>
        </is>
      </c>
      <c r="J171" s="11" t="inlineStr">
        <is>
          <t>-</t>
        </is>
      </c>
      <c r="K171" s="11" t="inlineStr">
        <is>
          <t>-</t>
        </is>
      </c>
      <c r="L171" s="11" t="inlineStr">
        <is>
          <t>-</t>
        </is>
      </c>
      <c r="M171" s="11" t="inlineStr">
        <is>
          <t>-</t>
        </is>
      </c>
      <c r="N171" s="11" t="inlineStr">
        <is>
          <t>-</t>
        </is>
      </c>
      <c r="O171" s="11" t="inlineStr">
        <is>
          <t>-</t>
        </is>
      </c>
      <c r="P171" s="11" t="inlineStr">
        <is>
          <t>-</t>
        </is>
      </c>
      <c r="Q171" s="12" t="inlineStr">
        <is>
          <t>-</t>
        </is>
      </c>
    </row>
    <row r="172">
      <c r="A172" s="47" t="n"/>
      <c r="B172" s="13" t="inlineStr">
        <is>
          <t>-</t>
        </is>
      </c>
      <c r="C172" s="14" t="inlineStr">
        <is>
          <t>-</t>
        </is>
      </c>
      <c r="D172" s="14" t="inlineStr">
        <is>
          <t>-</t>
        </is>
      </c>
      <c r="E172" s="14" t="inlineStr">
        <is>
          <t>-</t>
        </is>
      </c>
      <c r="F172" s="14" t="inlineStr">
        <is>
          <t>-</t>
        </is>
      </c>
      <c r="G172" s="14" t="inlineStr">
        <is>
          <t>-</t>
        </is>
      </c>
      <c r="H172" s="14" t="inlineStr">
        <is>
          <t>-</t>
        </is>
      </c>
      <c r="I172" s="14" t="inlineStr">
        <is>
          <t>-</t>
        </is>
      </c>
      <c r="J172" s="14" t="inlineStr">
        <is>
          <t>-</t>
        </is>
      </c>
      <c r="K172" s="14" t="inlineStr">
        <is>
          <t>-</t>
        </is>
      </c>
      <c r="L172" s="14" t="inlineStr">
        <is>
          <t>-</t>
        </is>
      </c>
      <c r="M172" s="14" t="inlineStr">
        <is>
          <t>-</t>
        </is>
      </c>
      <c r="N172" s="14" t="inlineStr">
        <is>
          <t>-</t>
        </is>
      </c>
      <c r="O172" s="14" t="inlineStr">
        <is>
          <t>-</t>
        </is>
      </c>
      <c r="P172" s="14" t="inlineStr">
        <is>
          <t>-</t>
        </is>
      </c>
      <c r="Q172" s="15" t="inlineStr">
        <is>
          <t>-</t>
        </is>
      </c>
    </row>
    <row r="173">
      <c r="A173" s="47" t="n"/>
      <c r="B173" s="16" t="inlineStr">
        <is>
          <t>-</t>
        </is>
      </c>
      <c r="C173" s="11" t="inlineStr">
        <is>
          <t>-</t>
        </is>
      </c>
      <c r="D173" s="11" t="inlineStr">
        <is>
          <t>-</t>
        </is>
      </c>
      <c r="E173" s="11" t="inlineStr">
        <is>
          <t>-</t>
        </is>
      </c>
      <c r="F173" s="11" t="inlineStr">
        <is>
          <t>-</t>
        </is>
      </c>
      <c r="G173" s="11" t="inlineStr">
        <is>
          <t>-</t>
        </is>
      </c>
      <c r="H173" s="11" t="inlineStr">
        <is>
          <t>-</t>
        </is>
      </c>
      <c r="I173" s="11" t="inlineStr">
        <is>
          <t>-</t>
        </is>
      </c>
      <c r="J173" s="11" t="inlineStr">
        <is>
          <t>-</t>
        </is>
      </c>
      <c r="K173" s="11" t="inlineStr">
        <is>
          <t>-</t>
        </is>
      </c>
      <c r="L173" s="11" t="inlineStr">
        <is>
          <t>-</t>
        </is>
      </c>
      <c r="M173" s="11" t="inlineStr">
        <is>
          <t>-</t>
        </is>
      </c>
      <c r="N173" s="11" t="inlineStr">
        <is>
          <t>-</t>
        </is>
      </c>
      <c r="O173" s="11" t="inlineStr">
        <is>
          <t>-</t>
        </is>
      </c>
      <c r="P173" s="11" t="inlineStr">
        <is>
          <t>-</t>
        </is>
      </c>
      <c r="Q173" s="12" t="inlineStr">
        <is>
          <t>-</t>
        </is>
      </c>
    </row>
    <row r="174">
      <c r="A174" s="47" t="n"/>
      <c r="B174" s="13" t="inlineStr">
        <is>
          <t>-</t>
        </is>
      </c>
      <c r="C174" s="14" t="inlineStr">
        <is>
          <t>-</t>
        </is>
      </c>
      <c r="D174" s="14" t="inlineStr">
        <is>
          <t>-</t>
        </is>
      </c>
      <c r="E174" s="14" t="inlineStr">
        <is>
          <t>-</t>
        </is>
      </c>
      <c r="F174" s="14" t="inlineStr">
        <is>
          <t>-</t>
        </is>
      </c>
      <c r="G174" s="14" t="inlineStr">
        <is>
          <t>-</t>
        </is>
      </c>
      <c r="H174" s="14" t="inlineStr">
        <is>
          <t>-</t>
        </is>
      </c>
      <c r="I174" s="14" t="inlineStr">
        <is>
          <t>-</t>
        </is>
      </c>
      <c r="J174" s="14" t="inlineStr">
        <is>
          <t>-</t>
        </is>
      </c>
      <c r="K174" s="14" t="inlineStr">
        <is>
          <t>-</t>
        </is>
      </c>
      <c r="L174" s="14" t="inlineStr">
        <is>
          <t>-</t>
        </is>
      </c>
      <c r="M174" s="14" t="inlineStr">
        <is>
          <t>-</t>
        </is>
      </c>
      <c r="N174" s="14" t="inlineStr">
        <is>
          <t>-</t>
        </is>
      </c>
      <c r="O174" s="14" t="inlineStr">
        <is>
          <t>-</t>
        </is>
      </c>
      <c r="P174" s="14" t="inlineStr">
        <is>
          <t>-</t>
        </is>
      </c>
      <c r="Q174" s="15" t="inlineStr">
        <is>
          <t>-</t>
        </is>
      </c>
    </row>
    <row r="175">
      <c r="A175" s="47" t="n"/>
      <c r="B175" s="16" t="inlineStr">
        <is>
          <t>-</t>
        </is>
      </c>
      <c r="C175" s="11" t="inlineStr">
        <is>
          <t>-</t>
        </is>
      </c>
      <c r="D175" s="11" t="inlineStr">
        <is>
          <t>-</t>
        </is>
      </c>
      <c r="E175" s="11" t="inlineStr">
        <is>
          <t>-</t>
        </is>
      </c>
      <c r="F175" s="11" t="inlineStr">
        <is>
          <t>-</t>
        </is>
      </c>
      <c r="G175" s="11" t="inlineStr">
        <is>
          <t>-</t>
        </is>
      </c>
      <c r="H175" s="11" t="inlineStr">
        <is>
          <t>-</t>
        </is>
      </c>
      <c r="I175" s="11" t="inlineStr">
        <is>
          <t>-</t>
        </is>
      </c>
      <c r="J175" s="11" t="inlineStr">
        <is>
          <t>-</t>
        </is>
      </c>
      <c r="K175" s="11" t="inlineStr">
        <is>
          <t>-</t>
        </is>
      </c>
      <c r="L175" s="11" t="inlineStr">
        <is>
          <t>-</t>
        </is>
      </c>
      <c r="M175" s="11" t="inlineStr">
        <is>
          <t>-</t>
        </is>
      </c>
      <c r="N175" s="11" t="inlineStr">
        <is>
          <t>-</t>
        </is>
      </c>
      <c r="O175" s="11" t="inlineStr">
        <is>
          <t>-</t>
        </is>
      </c>
      <c r="P175" s="11" t="inlineStr">
        <is>
          <t>-</t>
        </is>
      </c>
      <c r="Q175" s="12" t="inlineStr">
        <is>
          <t>-</t>
        </is>
      </c>
    </row>
    <row r="176">
      <c r="A176" s="47" t="n"/>
      <c r="B176" s="13" t="inlineStr">
        <is>
          <t>-</t>
        </is>
      </c>
      <c r="C176" s="14" t="inlineStr">
        <is>
          <t>-</t>
        </is>
      </c>
      <c r="D176" s="14" t="inlineStr">
        <is>
          <t>-</t>
        </is>
      </c>
      <c r="E176" s="14" t="inlineStr">
        <is>
          <t>-</t>
        </is>
      </c>
      <c r="F176" s="14" t="inlineStr">
        <is>
          <t>-</t>
        </is>
      </c>
      <c r="G176" s="14" t="inlineStr">
        <is>
          <t>-</t>
        </is>
      </c>
      <c r="H176" s="14" t="inlineStr">
        <is>
          <t>-</t>
        </is>
      </c>
      <c r="I176" s="14" t="inlineStr">
        <is>
          <t>-</t>
        </is>
      </c>
      <c r="J176" s="14" t="inlineStr">
        <is>
          <t>-</t>
        </is>
      </c>
      <c r="K176" s="14" t="inlineStr">
        <is>
          <t>-</t>
        </is>
      </c>
      <c r="L176" s="14" t="inlineStr">
        <is>
          <t>-</t>
        </is>
      </c>
      <c r="M176" s="14" t="inlineStr">
        <is>
          <t>-</t>
        </is>
      </c>
      <c r="N176" s="14" t="inlineStr">
        <is>
          <t>-</t>
        </is>
      </c>
      <c r="O176" s="14" t="inlineStr">
        <is>
          <t>-</t>
        </is>
      </c>
      <c r="P176" s="14" t="inlineStr">
        <is>
          <t>-</t>
        </is>
      </c>
      <c r="Q176" s="15" t="inlineStr">
        <is>
          <t>-</t>
        </is>
      </c>
    </row>
    <row r="177">
      <c r="A177" s="47" t="n"/>
      <c r="B177" s="16" t="inlineStr">
        <is>
          <t>-</t>
        </is>
      </c>
      <c r="C177" s="11" t="inlineStr">
        <is>
          <t>-</t>
        </is>
      </c>
      <c r="D177" s="11" t="inlineStr">
        <is>
          <t>-</t>
        </is>
      </c>
      <c r="E177" s="11" t="inlineStr">
        <is>
          <t>-</t>
        </is>
      </c>
      <c r="F177" s="11" t="inlineStr">
        <is>
          <t>-</t>
        </is>
      </c>
      <c r="G177" s="11" t="inlineStr">
        <is>
          <t>-</t>
        </is>
      </c>
      <c r="H177" s="11" t="inlineStr">
        <is>
          <t>-</t>
        </is>
      </c>
      <c r="I177" s="11" t="inlineStr">
        <is>
          <t>-</t>
        </is>
      </c>
      <c r="J177" s="11" t="inlineStr">
        <is>
          <t>-</t>
        </is>
      </c>
      <c r="K177" s="11" t="inlineStr">
        <is>
          <t>-</t>
        </is>
      </c>
      <c r="L177" s="11" t="inlineStr">
        <is>
          <t>-</t>
        </is>
      </c>
      <c r="M177" s="11" t="inlineStr">
        <is>
          <t>-</t>
        </is>
      </c>
      <c r="N177" s="11" t="inlineStr">
        <is>
          <t>-</t>
        </is>
      </c>
      <c r="O177" s="11" t="inlineStr">
        <is>
          <t>-</t>
        </is>
      </c>
      <c r="P177" s="11" t="inlineStr">
        <is>
          <t>-</t>
        </is>
      </c>
      <c r="Q177" s="12" t="inlineStr">
        <is>
          <t>-</t>
        </is>
      </c>
    </row>
    <row r="178" ht="36" customHeight="1" s="155">
      <c r="B178" s="9" t="inlineStr">
        <is>
          <t>pizza parigina</t>
        </is>
      </c>
      <c r="C178" s="49">
        <f>_xlfn.XLOOKUP(A179,Magazzino!$D$1:$D$1500,Magazzino!$F$1:$F$1500,"",0,1)</f>
        <v/>
      </c>
      <c r="D178" s="50">
        <f>_xlfn.XLOOKUP(A180,Magazzino!$D$1:$D$1500,Magazzino!$F$1:$F$1500,"",0,1)</f>
        <v/>
      </c>
      <c r="E178" s="50">
        <f>_xlfn.XLOOKUP(A181,Magazzino!$D$1:$D$1500,Magazzino!$F$1:$F$1500,"",0,1)</f>
        <v/>
      </c>
      <c r="F178" s="50">
        <f>_xlfn.XLOOKUP(A182,Magazzino!$D$1:$D$1500,Magazzino!$F$1:$F$1500,"",0,1)</f>
        <v/>
      </c>
      <c r="G178" s="50">
        <f>_xlfn.XLOOKUP(A183,Magazzino!$D$1:$D$1500,Magazzino!$F$1:$F$1500,"",0,1)</f>
        <v/>
      </c>
      <c r="H178" s="50">
        <f>_xlfn.XLOOKUP(A184,Magazzino!$D$1:$D$1500,Magazzino!$F$1:$F$1500,"",0,1)</f>
        <v/>
      </c>
      <c r="I178" s="50">
        <f>_xlfn.XLOOKUP(A185,Magazzino!$D$1:$D$1500,Magazzino!$F$1:$F$1500,"",0,1)</f>
        <v/>
      </c>
      <c r="J178" s="50">
        <f>_xlfn.XLOOKUP(A186,Magazzino!$D$1:$D$1500,Magazzino!$F$1:$F$1500,"",0,1)</f>
        <v/>
      </c>
      <c r="K178" s="50">
        <f>_xlfn.XLOOKUP(A187,Magazzino!$D$1:$D$1500,Magazzino!$F$1:$F$1500,"",0,1)</f>
        <v/>
      </c>
      <c r="L178" s="50">
        <f>_xlfn.XLOOKUP(A188,Magazzino!$D$1:$D$1500,Magazzino!$F$1:$F$1500,"",0,1)</f>
        <v/>
      </c>
      <c r="M178" s="50">
        <f>_xlfn.XLOOKUP(A189,Magazzino!$D$1:$D$1500,Magazzino!$F$1:$F$1500,"",0,1)</f>
        <v/>
      </c>
      <c r="N178" s="50">
        <f>_xlfn.XLOOKUP(A190,Magazzino!$D$1:$D$1500,Magazzino!$F$1:$F$1500,"",0,1)</f>
        <v/>
      </c>
      <c r="O178" s="50">
        <f>_xlfn.XLOOKUP(A191,Magazzino!$D$1:$D$1500,Magazzino!$F$1:$F$1500,"",0,1)</f>
        <v/>
      </c>
      <c r="P178" s="50">
        <f>_xlfn.XLOOKUP(A192,Magazzino!$D$1:$D$1500,Magazzino!$F$1:$F$1500,"",0,1)</f>
        <v/>
      </c>
      <c r="Q178" s="51">
        <f>_xlfn.XLOOKUP(A193,Magazzino!$D$1:$D$1500,Magazzino!$F$1:$F$1500,"",0,1)</f>
        <v/>
      </c>
    </row>
    <row r="179">
      <c r="A179" s="47" t="inlineStr">
        <is>
          <t xml:space="preserve">FARINA 0/MAN. CAPUTO DA KG.25  </t>
        </is>
      </c>
      <c r="B179" s="10" t="inlineStr">
        <is>
          <t>-</t>
        </is>
      </c>
      <c r="C179" s="11" t="inlineStr">
        <is>
          <t>-</t>
        </is>
      </c>
      <c r="D179" s="11" t="inlineStr">
        <is>
          <t>-</t>
        </is>
      </c>
      <c r="E179" s="11" t="inlineStr">
        <is>
          <t>-</t>
        </is>
      </c>
      <c r="F179" s="11" t="inlineStr">
        <is>
          <t>-</t>
        </is>
      </c>
      <c r="G179" s="11" t="inlineStr">
        <is>
          <t>-</t>
        </is>
      </c>
      <c r="H179" s="11" t="inlineStr">
        <is>
          <t>-</t>
        </is>
      </c>
      <c r="I179" s="11" t="inlineStr">
        <is>
          <t>-</t>
        </is>
      </c>
      <c r="J179" s="11" t="inlineStr">
        <is>
          <t>-</t>
        </is>
      </c>
      <c r="K179" s="11" t="inlineStr">
        <is>
          <t>-</t>
        </is>
      </c>
      <c r="L179" s="11" t="inlineStr">
        <is>
          <t>-</t>
        </is>
      </c>
      <c r="M179" s="11" t="inlineStr">
        <is>
          <t>-</t>
        </is>
      </c>
      <c r="N179" s="11" t="inlineStr">
        <is>
          <t>-</t>
        </is>
      </c>
      <c r="O179" s="11" t="inlineStr">
        <is>
          <t>-</t>
        </is>
      </c>
      <c r="P179" s="11" t="inlineStr">
        <is>
          <t>-</t>
        </is>
      </c>
      <c r="Q179" s="12" t="inlineStr">
        <is>
          <t>-</t>
        </is>
      </c>
    </row>
    <row r="180">
      <c r="A180" s="48" t="inlineStr">
        <is>
          <t xml:space="preserve">SALE SACCHI SALTECHNO KG.25  </t>
        </is>
      </c>
      <c r="B180" s="13" t="inlineStr">
        <is>
          <t>-</t>
        </is>
      </c>
      <c r="C180" s="14" t="inlineStr">
        <is>
          <t>-</t>
        </is>
      </c>
      <c r="D180" s="14" t="inlineStr">
        <is>
          <t>-</t>
        </is>
      </c>
      <c r="E180" s="14" t="inlineStr">
        <is>
          <t>-</t>
        </is>
      </c>
      <c r="F180" s="14" t="inlineStr">
        <is>
          <t>-</t>
        </is>
      </c>
      <c r="G180" s="14" t="inlineStr">
        <is>
          <t>-</t>
        </is>
      </c>
      <c r="H180" s="14" t="inlineStr">
        <is>
          <t>-</t>
        </is>
      </c>
      <c r="I180" s="14" t="inlineStr">
        <is>
          <t>-</t>
        </is>
      </c>
      <c r="J180" s="14" t="inlineStr">
        <is>
          <t>-</t>
        </is>
      </c>
      <c r="K180" s="14" t="inlineStr">
        <is>
          <t>-</t>
        </is>
      </c>
      <c r="L180" s="14" t="inlineStr">
        <is>
          <t>-</t>
        </is>
      </c>
      <c r="M180" s="14" t="inlineStr">
        <is>
          <t>-</t>
        </is>
      </c>
      <c r="N180" s="14" t="inlineStr">
        <is>
          <t>-</t>
        </is>
      </c>
      <c r="O180" s="14" t="inlineStr">
        <is>
          <t>-</t>
        </is>
      </c>
      <c r="P180" s="14" t="inlineStr">
        <is>
          <t>-</t>
        </is>
      </c>
      <c r="Q180" s="15" t="inlineStr">
        <is>
          <t>-</t>
        </is>
      </c>
    </row>
    <row r="181">
      <c r="A181" s="47" t="inlineStr">
        <is>
          <t>LIEVITO x 2.5kg</t>
        </is>
      </c>
      <c r="B181" s="16" t="inlineStr">
        <is>
          <t>-</t>
        </is>
      </c>
      <c r="C181" s="11" t="inlineStr">
        <is>
          <t>-</t>
        </is>
      </c>
      <c r="D181" s="11" t="inlineStr">
        <is>
          <t>-</t>
        </is>
      </c>
      <c r="E181" s="11" t="inlineStr">
        <is>
          <t>-</t>
        </is>
      </c>
      <c r="F181" s="11" t="inlineStr">
        <is>
          <t>-</t>
        </is>
      </c>
      <c r="G181" s="11" t="inlineStr">
        <is>
          <t>-</t>
        </is>
      </c>
      <c r="H181" s="11" t="inlineStr">
        <is>
          <t>-</t>
        </is>
      </c>
      <c r="I181" s="11" t="inlineStr">
        <is>
          <t>-</t>
        </is>
      </c>
      <c r="J181" s="11" t="inlineStr">
        <is>
          <t>-</t>
        </is>
      </c>
      <c r="K181" s="11" t="inlineStr">
        <is>
          <t>-</t>
        </is>
      </c>
      <c r="L181" s="11" t="inlineStr">
        <is>
          <t>-</t>
        </is>
      </c>
      <c r="M181" s="11" t="inlineStr">
        <is>
          <t>-</t>
        </is>
      </c>
      <c r="N181" s="11" t="inlineStr">
        <is>
          <t>-</t>
        </is>
      </c>
      <c r="O181" s="11" t="inlineStr">
        <is>
          <t>-</t>
        </is>
      </c>
      <c r="P181" s="11" t="inlineStr">
        <is>
          <t>-</t>
        </is>
      </c>
      <c r="Q181" s="12" t="inlineStr">
        <is>
          <t>-</t>
        </is>
      </c>
    </row>
    <row r="182">
      <c r="A182" s="47" t="inlineStr">
        <is>
          <t xml:space="preserve">STRUTTO RAFFINATO I B VERDE  </t>
        </is>
      </c>
      <c r="B182" s="13" t="inlineStr">
        <is>
          <t>-</t>
        </is>
      </c>
      <c r="C182" s="14" t="inlineStr">
        <is>
          <t>-</t>
        </is>
      </c>
      <c r="D182" s="14" t="inlineStr">
        <is>
          <t>-</t>
        </is>
      </c>
      <c r="E182" s="14" t="inlineStr">
        <is>
          <t>-</t>
        </is>
      </c>
      <c r="F182" s="14" t="inlineStr">
        <is>
          <t>-</t>
        </is>
      </c>
      <c r="G182" s="14" t="inlineStr">
        <is>
          <t>-</t>
        </is>
      </c>
      <c r="H182" s="14" t="inlineStr">
        <is>
          <t>-</t>
        </is>
      </c>
      <c r="I182" s="14" t="inlineStr">
        <is>
          <t>-</t>
        </is>
      </c>
      <c r="J182" s="14" t="inlineStr">
        <is>
          <t>-</t>
        </is>
      </c>
      <c r="K182" s="14" t="inlineStr">
        <is>
          <t>-</t>
        </is>
      </c>
      <c r="L182" s="14" t="inlineStr">
        <is>
          <t>-</t>
        </is>
      </c>
      <c r="M182" s="14" t="inlineStr">
        <is>
          <t>-</t>
        </is>
      </c>
      <c r="N182" s="14" t="inlineStr">
        <is>
          <t>-</t>
        </is>
      </c>
      <c r="O182" s="14" t="inlineStr">
        <is>
          <t>-</t>
        </is>
      </c>
      <c r="P182" s="14" t="inlineStr">
        <is>
          <t>-</t>
        </is>
      </c>
      <c r="Q182" s="15" t="inlineStr">
        <is>
          <t>-</t>
        </is>
      </c>
    </row>
    <row r="183">
      <c r="A183" s="47" t="inlineStr">
        <is>
          <t>pomodori</t>
        </is>
      </c>
      <c r="B183" s="16" t="inlineStr">
        <is>
          <t>-</t>
        </is>
      </c>
      <c r="C183" s="11" t="inlineStr">
        <is>
          <t>-</t>
        </is>
      </c>
      <c r="D183" s="11" t="inlineStr">
        <is>
          <t>-</t>
        </is>
      </c>
      <c r="E183" s="11" t="inlineStr">
        <is>
          <t>-</t>
        </is>
      </c>
      <c r="F183" s="11" t="inlineStr">
        <is>
          <t>-</t>
        </is>
      </c>
      <c r="G183" s="11" t="inlineStr">
        <is>
          <t>-</t>
        </is>
      </c>
      <c r="H183" s="11" t="inlineStr">
        <is>
          <t>-</t>
        </is>
      </c>
      <c r="I183" s="11" t="inlineStr">
        <is>
          <t>-</t>
        </is>
      </c>
      <c r="J183" s="11" t="inlineStr">
        <is>
          <t>-</t>
        </is>
      </c>
      <c r="K183" s="11" t="inlineStr">
        <is>
          <t>-</t>
        </is>
      </c>
      <c r="L183" s="11" t="inlineStr">
        <is>
          <t>-</t>
        </is>
      </c>
      <c r="M183" s="11" t="inlineStr">
        <is>
          <t>-</t>
        </is>
      </c>
      <c r="N183" s="11" t="inlineStr">
        <is>
          <t>-</t>
        </is>
      </c>
      <c r="O183" s="11" t="inlineStr">
        <is>
          <t>-</t>
        </is>
      </c>
      <c r="P183" s="11" t="inlineStr">
        <is>
          <t>-</t>
        </is>
      </c>
      <c r="Q183" s="12" t="inlineStr">
        <is>
          <t>-</t>
        </is>
      </c>
    </row>
    <row r="184">
      <c r="A184" s="47" t="inlineStr">
        <is>
          <t>sottilette</t>
        </is>
      </c>
      <c r="B184" s="13" t="inlineStr">
        <is>
          <t>-</t>
        </is>
      </c>
      <c r="C184" s="14" t="inlineStr">
        <is>
          <t>-</t>
        </is>
      </c>
      <c r="D184" s="14" t="inlineStr">
        <is>
          <t>-</t>
        </is>
      </c>
      <c r="E184" s="14" t="inlineStr">
        <is>
          <t>-</t>
        </is>
      </c>
      <c r="F184" s="14" t="inlineStr">
        <is>
          <t>-</t>
        </is>
      </c>
      <c r="G184" s="14" t="inlineStr">
        <is>
          <t>-</t>
        </is>
      </c>
      <c r="H184" s="14" t="inlineStr">
        <is>
          <t>-</t>
        </is>
      </c>
      <c r="I184" s="14" t="inlineStr">
        <is>
          <t>-</t>
        </is>
      </c>
      <c r="J184" s="14" t="inlineStr">
        <is>
          <t>-</t>
        </is>
      </c>
      <c r="K184" s="14" t="inlineStr">
        <is>
          <t>-</t>
        </is>
      </c>
      <c r="L184" s="14" t="inlineStr">
        <is>
          <t>-</t>
        </is>
      </c>
      <c r="M184" s="14" t="inlineStr">
        <is>
          <t>-</t>
        </is>
      </c>
      <c r="N184" s="14" t="inlineStr">
        <is>
          <t>-</t>
        </is>
      </c>
      <c r="O184" s="14" t="inlineStr">
        <is>
          <t>-</t>
        </is>
      </c>
      <c r="P184" s="14" t="inlineStr">
        <is>
          <t>-</t>
        </is>
      </c>
      <c r="Q184" s="15" t="inlineStr">
        <is>
          <t>-</t>
        </is>
      </c>
    </row>
    <row r="185">
      <c r="A185" s="47" t="inlineStr">
        <is>
          <t>margarina sfoglia</t>
        </is>
      </c>
      <c r="B185" s="16" t="inlineStr">
        <is>
          <t>-</t>
        </is>
      </c>
      <c r="C185" s="11" t="inlineStr">
        <is>
          <t>-</t>
        </is>
      </c>
      <c r="D185" s="11" t="inlineStr">
        <is>
          <t>-</t>
        </is>
      </c>
      <c r="E185" s="11" t="inlineStr">
        <is>
          <t>-</t>
        </is>
      </c>
      <c r="F185" s="11" t="inlineStr">
        <is>
          <t>-</t>
        </is>
      </c>
      <c r="G185" s="11" t="inlineStr">
        <is>
          <t>-</t>
        </is>
      </c>
      <c r="H185" s="11" t="inlineStr">
        <is>
          <t>-</t>
        </is>
      </c>
      <c r="I185" s="11" t="inlineStr">
        <is>
          <t>-</t>
        </is>
      </c>
      <c r="J185" s="11" t="inlineStr">
        <is>
          <t>-</t>
        </is>
      </c>
      <c r="K185" s="11" t="inlineStr">
        <is>
          <t>-</t>
        </is>
      </c>
      <c r="L185" s="11" t="inlineStr">
        <is>
          <t>-</t>
        </is>
      </c>
      <c r="M185" s="11" t="inlineStr">
        <is>
          <t>-</t>
        </is>
      </c>
      <c r="N185" s="11" t="inlineStr">
        <is>
          <t>-</t>
        </is>
      </c>
      <c r="O185" s="11" t="inlineStr">
        <is>
          <t>-</t>
        </is>
      </c>
      <c r="P185" s="11" t="inlineStr">
        <is>
          <t>-</t>
        </is>
      </c>
      <c r="Q185" s="12" t="inlineStr">
        <is>
          <t>-</t>
        </is>
      </c>
    </row>
    <row r="186">
      <c r="A186" s="47" t="n"/>
      <c r="B186" s="13" t="inlineStr">
        <is>
          <t>-</t>
        </is>
      </c>
      <c r="C186" s="14" t="inlineStr">
        <is>
          <t>-</t>
        </is>
      </c>
      <c r="D186" s="14" t="inlineStr">
        <is>
          <t>-</t>
        </is>
      </c>
      <c r="E186" s="14" t="inlineStr">
        <is>
          <t>-</t>
        </is>
      </c>
      <c r="F186" s="14" t="inlineStr">
        <is>
          <t>-</t>
        </is>
      </c>
      <c r="G186" s="14" t="inlineStr">
        <is>
          <t>-</t>
        </is>
      </c>
      <c r="H186" s="14" t="inlineStr">
        <is>
          <t>-</t>
        </is>
      </c>
      <c r="I186" s="14" t="inlineStr">
        <is>
          <t>-</t>
        </is>
      </c>
      <c r="J186" s="14" t="inlineStr">
        <is>
          <t>-</t>
        </is>
      </c>
      <c r="K186" s="14" t="inlineStr">
        <is>
          <t>-</t>
        </is>
      </c>
      <c r="L186" s="14" t="inlineStr">
        <is>
          <t>-</t>
        </is>
      </c>
      <c r="M186" s="14" t="inlineStr">
        <is>
          <t>-</t>
        </is>
      </c>
      <c r="N186" s="14" t="inlineStr">
        <is>
          <t>-</t>
        </is>
      </c>
      <c r="O186" s="14" t="inlineStr">
        <is>
          <t>-</t>
        </is>
      </c>
      <c r="P186" s="14" t="inlineStr">
        <is>
          <t>-</t>
        </is>
      </c>
      <c r="Q186" s="15" t="inlineStr">
        <is>
          <t>-</t>
        </is>
      </c>
    </row>
    <row r="187">
      <c r="A187" s="47" t="n"/>
      <c r="B187" s="16" t="inlineStr">
        <is>
          <t>-</t>
        </is>
      </c>
      <c r="C187" s="11" t="inlineStr">
        <is>
          <t>-</t>
        </is>
      </c>
      <c r="D187" s="11" t="inlineStr">
        <is>
          <t>-</t>
        </is>
      </c>
      <c r="E187" s="11" t="inlineStr">
        <is>
          <t>-</t>
        </is>
      </c>
      <c r="F187" s="11" t="inlineStr">
        <is>
          <t>-</t>
        </is>
      </c>
      <c r="G187" s="11" t="inlineStr">
        <is>
          <t>-</t>
        </is>
      </c>
      <c r="H187" s="11" t="inlineStr">
        <is>
          <t>-</t>
        </is>
      </c>
      <c r="I187" s="11" t="inlineStr">
        <is>
          <t>-</t>
        </is>
      </c>
      <c r="J187" s="11" t="inlineStr">
        <is>
          <t>-</t>
        </is>
      </c>
      <c r="K187" s="11" t="inlineStr">
        <is>
          <t>-</t>
        </is>
      </c>
      <c r="L187" s="11" t="inlineStr">
        <is>
          <t>-</t>
        </is>
      </c>
      <c r="M187" s="11" t="inlineStr">
        <is>
          <t>-</t>
        </is>
      </c>
      <c r="N187" s="11" t="inlineStr">
        <is>
          <t>-</t>
        </is>
      </c>
      <c r="O187" s="11" t="inlineStr">
        <is>
          <t>-</t>
        </is>
      </c>
      <c r="P187" s="11" t="inlineStr">
        <is>
          <t>-</t>
        </is>
      </c>
      <c r="Q187" s="12" t="inlineStr">
        <is>
          <t>-</t>
        </is>
      </c>
    </row>
    <row r="188">
      <c r="A188" s="47" t="n"/>
      <c r="B188" s="13" t="inlineStr">
        <is>
          <t>-</t>
        </is>
      </c>
      <c r="C188" s="14" t="inlineStr">
        <is>
          <t>-</t>
        </is>
      </c>
      <c r="D188" s="14" t="inlineStr">
        <is>
          <t>-</t>
        </is>
      </c>
      <c r="E188" s="14" t="inlineStr">
        <is>
          <t>-</t>
        </is>
      </c>
      <c r="F188" s="14" t="inlineStr">
        <is>
          <t>-</t>
        </is>
      </c>
      <c r="G188" s="14" t="inlineStr">
        <is>
          <t>-</t>
        </is>
      </c>
      <c r="H188" s="14" t="inlineStr">
        <is>
          <t>-</t>
        </is>
      </c>
      <c r="I188" s="14" t="inlineStr">
        <is>
          <t>-</t>
        </is>
      </c>
      <c r="J188" s="14" t="inlineStr">
        <is>
          <t>-</t>
        </is>
      </c>
      <c r="K188" s="14" t="inlineStr">
        <is>
          <t>-</t>
        </is>
      </c>
      <c r="L188" s="14" t="inlineStr">
        <is>
          <t>-</t>
        </is>
      </c>
      <c r="M188" s="14" t="inlineStr">
        <is>
          <t>-</t>
        </is>
      </c>
      <c r="N188" s="14" t="inlineStr">
        <is>
          <t>-</t>
        </is>
      </c>
      <c r="O188" s="14" t="inlineStr">
        <is>
          <t>-</t>
        </is>
      </c>
      <c r="P188" s="14" t="inlineStr">
        <is>
          <t>-</t>
        </is>
      </c>
      <c r="Q188" s="15" t="inlineStr">
        <is>
          <t>-</t>
        </is>
      </c>
    </row>
    <row r="189">
      <c r="A189" s="47" t="n"/>
      <c r="B189" s="16" t="inlineStr">
        <is>
          <t>-</t>
        </is>
      </c>
      <c r="C189" s="11" t="inlineStr">
        <is>
          <t>-</t>
        </is>
      </c>
      <c r="D189" s="11" t="inlineStr">
        <is>
          <t>-</t>
        </is>
      </c>
      <c r="E189" s="11" t="inlineStr">
        <is>
          <t>-</t>
        </is>
      </c>
      <c r="F189" s="11" t="inlineStr">
        <is>
          <t>-</t>
        </is>
      </c>
      <c r="G189" s="11" t="inlineStr">
        <is>
          <t>-</t>
        </is>
      </c>
      <c r="H189" s="11" t="inlineStr">
        <is>
          <t>-</t>
        </is>
      </c>
      <c r="I189" s="11" t="inlineStr">
        <is>
          <t>-</t>
        </is>
      </c>
      <c r="J189" s="11" t="inlineStr">
        <is>
          <t>-</t>
        </is>
      </c>
      <c r="K189" s="11" t="inlineStr">
        <is>
          <t>-</t>
        </is>
      </c>
      <c r="L189" s="11" t="inlineStr">
        <is>
          <t>-</t>
        </is>
      </c>
      <c r="M189" s="11" t="inlineStr">
        <is>
          <t>-</t>
        </is>
      </c>
      <c r="N189" s="11" t="inlineStr">
        <is>
          <t>-</t>
        </is>
      </c>
      <c r="O189" s="11" t="inlineStr">
        <is>
          <t>-</t>
        </is>
      </c>
      <c r="P189" s="11" t="inlineStr">
        <is>
          <t>-</t>
        </is>
      </c>
      <c r="Q189" s="12" t="inlineStr">
        <is>
          <t>-</t>
        </is>
      </c>
    </row>
    <row r="190">
      <c r="A190" s="47" t="n"/>
      <c r="B190" s="13" t="inlineStr">
        <is>
          <t>-</t>
        </is>
      </c>
      <c r="C190" s="14" t="inlineStr">
        <is>
          <t>-</t>
        </is>
      </c>
      <c r="D190" s="14" t="inlineStr">
        <is>
          <t>-</t>
        </is>
      </c>
      <c r="E190" s="14" t="inlineStr">
        <is>
          <t>-</t>
        </is>
      </c>
      <c r="F190" s="14" t="inlineStr">
        <is>
          <t>-</t>
        </is>
      </c>
      <c r="G190" s="14" t="inlineStr">
        <is>
          <t>-</t>
        </is>
      </c>
      <c r="H190" s="14" t="inlineStr">
        <is>
          <t>-</t>
        </is>
      </c>
      <c r="I190" s="14" t="inlineStr">
        <is>
          <t>-</t>
        </is>
      </c>
      <c r="J190" s="14" t="inlineStr">
        <is>
          <t>-</t>
        </is>
      </c>
      <c r="K190" s="14" t="inlineStr">
        <is>
          <t>-</t>
        </is>
      </c>
      <c r="L190" s="14" t="inlineStr">
        <is>
          <t>-</t>
        </is>
      </c>
      <c r="M190" s="14" t="inlineStr">
        <is>
          <t>-</t>
        </is>
      </c>
      <c r="N190" s="14" t="inlineStr">
        <is>
          <t>-</t>
        </is>
      </c>
      <c r="O190" s="14" t="inlineStr">
        <is>
          <t>-</t>
        </is>
      </c>
      <c r="P190" s="14" t="inlineStr">
        <is>
          <t>-</t>
        </is>
      </c>
      <c r="Q190" s="15" t="inlineStr">
        <is>
          <t>-</t>
        </is>
      </c>
    </row>
    <row r="191">
      <c r="A191" s="47" t="n"/>
      <c r="B191" s="16" t="inlineStr">
        <is>
          <t>-</t>
        </is>
      </c>
      <c r="C191" s="11" t="inlineStr">
        <is>
          <t>-</t>
        </is>
      </c>
      <c r="D191" s="11" t="inlineStr">
        <is>
          <t>-</t>
        </is>
      </c>
      <c r="E191" s="11" t="inlineStr">
        <is>
          <t>-</t>
        </is>
      </c>
      <c r="F191" s="11" t="inlineStr">
        <is>
          <t>-</t>
        </is>
      </c>
      <c r="G191" s="11" t="inlineStr">
        <is>
          <t>-</t>
        </is>
      </c>
      <c r="H191" s="11" t="inlineStr">
        <is>
          <t>-</t>
        </is>
      </c>
      <c r="I191" s="11" t="inlineStr">
        <is>
          <t>-</t>
        </is>
      </c>
      <c r="J191" s="11" t="inlineStr">
        <is>
          <t>-</t>
        </is>
      </c>
      <c r="K191" s="11" t="inlineStr">
        <is>
          <t>-</t>
        </is>
      </c>
      <c r="L191" s="11" t="inlineStr">
        <is>
          <t>-</t>
        </is>
      </c>
      <c r="M191" s="11" t="inlineStr">
        <is>
          <t>-</t>
        </is>
      </c>
      <c r="N191" s="11" t="inlineStr">
        <is>
          <t>-</t>
        </is>
      </c>
      <c r="O191" s="11" t="inlineStr">
        <is>
          <t>-</t>
        </is>
      </c>
      <c r="P191" s="11" t="inlineStr">
        <is>
          <t>-</t>
        </is>
      </c>
      <c r="Q191" s="12" t="inlineStr">
        <is>
          <t>-</t>
        </is>
      </c>
    </row>
    <row r="192">
      <c r="A192" s="47" t="n"/>
      <c r="B192" s="13" t="inlineStr">
        <is>
          <t>-</t>
        </is>
      </c>
      <c r="C192" s="14" t="inlineStr">
        <is>
          <t>-</t>
        </is>
      </c>
      <c r="D192" s="14" t="inlineStr">
        <is>
          <t>-</t>
        </is>
      </c>
      <c r="E192" s="14" t="inlineStr">
        <is>
          <t>-</t>
        </is>
      </c>
      <c r="F192" s="14" t="inlineStr">
        <is>
          <t>-</t>
        </is>
      </c>
      <c r="G192" s="14" t="inlineStr">
        <is>
          <t>-</t>
        </is>
      </c>
      <c r="H192" s="14" t="inlineStr">
        <is>
          <t>-</t>
        </is>
      </c>
      <c r="I192" s="14" t="inlineStr">
        <is>
          <t>-</t>
        </is>
      </c>
      <c r="J192" s="14" t="inlineStr">
        <is>
          <t>-</t>
        </is>
      </c>
      <c r="K192" s="14" t="inlineStr">
        <is>
          <t>-</t>
        </is>
      </c>
      <c r="L192" s="14" t="inlineStr">
        <is>
          <t>-</t>
        </is>
      </c>
      <c r="M192" s="14" t="inlineStr">
        <is>
          <t>-</t>
        </is>
      </c>
      <c r="N192" s="14" t="inlineStr">
        <is>
          <t>-</t>
        </is>
      </c>
      <c r="O192" s="14" t="inlineStr">
        <is>
          <t>-</t>
        </is>
      </c>
      <c r="P192" s="14" t="inlineStr">
        <is>
          <t>-</t>
        </is>
      </c>
      <c r="Q192" s="15" t="inlineStr">
        <is>
          <t>-</t>
        </is>
      </c>
    </row>
    <row r="193">
      <c r="A193" s="47" t="n"/>
      <c r="B193" s="16" t="inlineStr">
        <is>
          <t>-</t>
        </is>
      </c>
      <c r="C193" s="11" t="inlineStr">
        <is>
          <t>-</t>
        </is>
      </c>
      <c r="D193" s="11" t="inlineStr">
        <is>
          <t>-</t>
        </is>
      </c>
      <c r="E193" s="11" t="inlineStr">
        <is>
          <t>-</t>
        </is>
      </c>
      <c r="F193" s="11" t="inlineStr">
        <is>
          <t>-</t>
        </is>
      </c>
      <c r="G193" s="11" t="inlineStr">
        <is>
          <t>-</t>
        </is>
      </c>
      <c r="H193" s="11" t="inlineStr">
        <is>
          <t>-</t>
        </is>
      </c>
      <c r="I193" s="11" t="inlineStr">
        <is>
          <t>-</t>
        </is>
      </c>
      <c r="J193" s="11" t="inlineStr">
        <is>
          <t>-</t>
        </is>
      </c>
      <c r="K193" s="11" t="inlineStr">
        <is>
          <t>-</t>
        </is>
      </c>
      <c r="L193" s="11" t="inlineStr">
        <is>
          <t>-</t>
        </is>
      </c>
      <c r="M193" s="11" t="inlineStr">
        <is>
          <t>-</t>
        </is>
      </c>
      <c r="N193" s="11" t="inlineStr">
        <is>
          <t>-</t>
        </is>
      </c>
      <c r="O193" s="11" t="inlineStr">
        <is>
          <t>-</t>
        </is>
      </c>
      <c r="P193" s="11" t="inlineStr">
        <is>
          <t>-</t>
        </is>
      </c>
      <c r="Q193" s="12" t="inlineStr">
        <is>
          <t>-</t>
        </is>
      </c>
    </row>
    <row r="194" ht="36" customHeight="1" s="155">
      <c r="B194" s="9" t="inlineStr">
        <is>
          <t>pizza margherita</t>
        </is>
      </c>
      <c r="C194" s="49">
        <f>_xlfn.XLOOKUP(A195,Magazzino!$D$1:$D$1500,Magazzino!$F$1:$F$1500,"",0,1)</f>
        <v/>
      </c>
      <c r="D194" s="50">
        <f>_xlfn.XLOOKUP(A196,Magazzino!$D$1:$D$1500,Magazzino!$F$1:$F$1500,"",0,1)</f>
        <v/>
      </c>
      <c r="E194" s="50">
        <f>_xlfn.XLOOKUP(A197,Magazzino!$D$1:$D$1500,Magazzino!$F$1:$F$1500,"",0,1)</f>
        <v/>
      </c>
      <c r="F194" s="50">
        <f>_xlfn.XLOOKUP(A198,Magazzino!$D$1:$D$1500,Magazzino!$F$1:$F$1500,"",0,1)</f>
        <v/>
      </c>
      <c r="G194" s="50">
        <f>_xlfn.XLOOKUP(A199,Magazzino!$D$1:$D$1500,Magazzino!$F$1:$F$1500,"",0,1)</f>
        <v/>
      </c>
      <c r="H194" s="50">
        <f>_xlfn.XLOOKUP(A200,Magazzino!$D$1:$D$1500,Magazzino!$F$1:$F$1500,"",0,1)</f>
        <v/>
      </c>
      <c r="I194" s="50">
        <f>_xlfn.XLOOKUP(A201,Magazzino!$D$1:$D$1500,Magazzino!$F$1:$F$1500,"",0,1)</f>
        <v/>
      </c>
      <c r="J194" s="50">
        <f>_xlfn.XLOOKUP(A202,Magazzino!$D$1:$D$1500,Magazzino!$F$1:$F$1500,"",0,1)</f>
        <v/>
      </c>
      <c r="K194" s="50">
        <f>_xlfn.XLOOKUP(A203,Magazzino!$D$1:$D$1500,Magazzino!$F$1:$F$1500,"",0,1)</f>
        <v/>
      </c>
      <c r="L194" s="50">
        <f>_xlfn.XLOOKUP(A204,Magazzino!$D$1:$D$1500,Magazzino!$F$1:$F$1500,"",0,1)</f>
        <v/>
      </c>
      <c r="M194" s="50">
        <f>_xlfn.XLOOKUP(A205,Magazzino!$D$1:$D$1500,Magazzino!$F$1:$F$1500,"",0,1)</f>
        <v/>
      </c>
      <c r="N194" s="50">
        <f>_xlfn.XLOOKUP(A206,Magazzino!$D$1:$D$1500,Magazzino!$F$1:$F$1500,"",0,1)</f>
        <v/>
      </c>
      <c r="O194" s="50">
        <f>_xlfn.XLOOKUP(A207,Magazzino!$D$1:$D$1500,Magazzino!$F$1:$F$1500,"",0,1)</f>
        <v/>
      </c>
      <c r="P194" s="50">
        <f>_xlfn.XLOOKUP(A208,Magazzino!$D$1:$D$1500,Magazzino!$F$1:$F$1500,"",0,1)</f>
        <v/>
      </c>
      <c r="Q194" s="51">
        <f>_xlfn.XLOOKUP(A209,Magazzino!$D$1:$D$1500,Magazzino!$F$1:$F$1500,"",0,1)</f>
        <v/>
      </c>
    </row>
    <row r="195">
      <c r="A195" s="47" t="inlineStr">
        <is>
          <t xml:space="preserve">FARINA 0/MAN. CAPUTO DA KG.25  </t>
        </is>
      </c>
      <c r="B195" s="10" t="inlineStr">
        <is>
          <t>-</t>
        </is>
      </c>
      <c r="C195" s="11" t="inlineStr">
        <is>
          <t>-</t>
        </is>
      </c>
      <c r="D195" s="11" t="inlineStr">
        <is>
          <t>-</t>
        </is>
      </c>
      <c r="E195" s="11" t="inlineStr">
        <is>
          <t>-</t>
        </is>
      </c>
      <c r="F195" s="11" t="inlineStr">
        <is>
          <t>-</t>
        </is>
      </c>
      <c r="G195" s="11" t="inlineStr">
        <is>
          <t>-</t>
        </is>
      </c>
      <c r="H195" s="11" t="inlineStr">
        <is>
          <t>-</t>
        </is>
      </c>
      <c r="I195" s="11" t="inlineStr">
        <is>
          <t>-</t>
        </is>
      </c>
      <c r="J195" s="11" t="inlineStr">
        <is>
          <t>-</t>
        </is>
      </c>
      <c r="K195" s="11" t="inlineStr">
        <is>
          <t>-</t>
        </is>
      </c>
      <c r="L195" s="11" t="inlineStr">
        <is>
          <t>-</t>
        </is>
      </c>
      <c r="M195" s="11" t="inlineStr">
        <is>
          <t>-</t>
        </is>
      </c>
      <c r="N195" s="11" t="inlineStr">
        <is>
          <t>-</t>
        </is>
      </c>
      <c r="O195" s="11" t="inlineStr">
        <is>
          <t>-</t>
        </is>
      </c>
      <c r="P195" s="11" t="inlineStr">
        <is>
          <t>-</t>
        </is>
      </c>
      <c r="Q195" s="12" t="inlineStr">
        <is>
          <t>-</t>
        </is>
      </c>
    </row>
    <row r="196">
      <c r="A196" s="48" t="inlineStr">
        <is>
          <t xml:space="preserve">SALE SACCHI SALTECHNO KG.25  </t>
        </is>
      </c>
      <c r="B196" s="13" t="inlineStr">
        <is>
          <t>-</t>
        </is>
      </c>
      <c r="C196" s="14" t="inlineStr">
        <is>
          <t>-</t>
        </is>
      </c>
      <c r="D196" s="14" t="inlineStr">
        <is>
          <t>-</t>
        </is>
      </c>
      <c r="E196" s="14" t="inlineStr">
        <is>
          <t>-</t>
        </is>
      </c>
      <c r="F196" s="14" t="inlineStr">
        <is>
          <t>-</t>
        </is>
      </c>
      <c r="G196" s="14" t="inlineStr">
        <is>
          <t>-</t>
        </is>
      </c>
      <c r="H196" s="14" t="inlineStr">
        <is>
          <t>-</t>
        </is>
      </c>
      <c r="I196" s="14" t="inlineStr">
        <is>
          <t>-</t>
        </is>
      </c>
      <c r="J196" s="14" t="inlineStr">
        <is>
          <t>-</t>
        </is>
      </c>
      <c r="K196" s="14" t="inlineStr">
        <is>
          <t>-</t>
        </is>
      </c>
      <c r="L196" s="14" t="inlineStr">
        <is>
          <t>-</t>
        </is>
      </c>
      <c r="M196" s="14" t="inlineStr">
        <is>
          <t>-</t>
        </is>
      </c>
      <c r="N196" s="14" t="inlineStr">
        <is>
          <t>-</t>
        </is>
      </c>
      <c r="O196" s="14" t="inlineStr">
        <is>
          <t>-</t>
        </is>
      </c>
      <c r="P196" s="14" t="inlineStr">
        <is>
          <t>-</t>
        </is>
      </c>
      <c r="Q196" s="15" t="inlineStr">
        <is>
          <t>-</t>
        </is>
      </c>
    </row>
    <row r="197">
      <c r="A197" s="47" t="inlineStr">
        <is>
          <t>LIEVITO x 2.5kg</t>
        </is>
      </c>
      <c r="B197" s="16" t="inlineStr">
        <is>
          <t>-</t>
        </is>
      </c>
      <c r="C197" s="11" t="inlineStr">
        <is>
          <t>-</t>
        </is>
      </c>
      <c r="D197" s="11" t="inlineStr">
        <is>
          <t>-</t>
        </is>
      </c>
      <c r="E197" s="11" t="inlineStr">
        <is>
          <t>-</t>
        </is>
      </c>
      <c r="F197" s="11" t="inlineStr">
        <is>
          <t>-</t>
        </is>
      </c>
      <c r="G197" s="11" t="inlineStr">
        <is>
          <t>-</t>
        </is>
      </c>
      <c r="H197" s="11" t="inlineStr">
        <is>
          <t>-</t>
        </is>
      </c>
      <c r="I197" s="11" t="inlineStr">
        <is>
          <t>-</t>
        </is>
      </c>
      <c r="J197" s="11" t="inlineStr">
        <is>
          <t>-</t>
        </is>
      </c>
      <c r="K197" s="11" t="inlineStr">
        <is>
          <t>-</t>
        </is>
      </c>
      <c r="L197" s="11" t="inlineStr">
        <is>
          <t>-</t>
        </is>
      </c>
      <c r="M197" s="11" t="inlineStr">
        <is>
          <t>-</t>
        </is>
      </c>
      <c r="N197" s="11" t="inlineStr">
        <is>
          <t>-</t>
        </is>
      </c>
      <c r="O197" s="11" t="inlineStr">
        <is>
          <t>-</t>
        </is>
      </c>
      <c r="P197" s="11" t="inlineStr">
        <is>
          <t>-</t>
        </is>
      </c>
      <c r="Q197" s="12" t="inlineStr">
        <is>
          <t>-</t>
        </is>
      </c>
    </row>
    <row r="198">
      <c r="A198" s="47" t="inlineStr">
        <is>
          <t xml:space="preserve">STRUTTO RAFFINATO I B VERDE  </t>
        </is>
      </c>
      <c r="B198" s="13" t="inlineStr">
        <is>
          <t>-</t>
        </is>
      </c>
      <c r="C198" s="14" t="inlineStr">
        <is>
          <t>-</t>
        </is>
      </c>
      <c r="D198" s="14" t="inlineStr">
        <is>
          <t>-</t>
        </is>
      </c>
      <c r="E198" s="14" t="inlineStr">
        <is>
          <t>-</t>
        </is>
      </c>
      <c r="F198" s="14" t="inlineStr">
        <is>
          <t>-</t>
        </is>
      </c>
      <c r="G198" s="14" t="inlineStr">
        <is>
          <t>-</t>
        </is>
      </c>
      <c r="H198" s="14" t="inlineStr">
        <is>
          <t>-</t>
        </is>
      </c>
      <c r="I198" s="14" t="inlineStr">
        <is>
          <t>-</t>
        </is>
      </c>
      <c r="J198" s="14" t="inlineStr">
        <is>
          <t>-</t>
        </is>
      </c>
      <c r="K198" s="14" t="inlineStr">
        <is>
          <t>-</t>
        </is>
      </c>
      <c r="L198" s="14" t="inlineStr">
        <is>
          <t>-</t>
        </is>
      </c>
      <c r="M198" s="14" t="inlineStr">
        <is>
          <t>-</t>
        </is>
      </c>
      <c r="N198" s="14" t="inlineStr">
        <is>
          <t>-</t>
        </is>
      </c>
      <c r="O198" s="14" t="inlineStr">
        <is>
          <t>-</t>
        </is>
      </c>
      <c r="P198" s="14" t="inlineStr">
        <is>
          <t>-</t>
        </is>
      </c>
      <c r="Q198" s="15" t="inlineStr">
        <is>
          <t>-</t>
        </is>
      </c>
    </row>
    <row r="199">
      <c r="A199" s="47" t="inlineStr">
        <is>
          <t xml:space="preserve">POMODORI PELATI KG.3 TORRENTE  </t>
        </is>
      </c>
      <c r="B199" s="16" t="inlineStr">
        <is>
          <t>-</t>
        </is>
      </c>
      <c r="C199" s="11" t="inlineStr">
        <is>
          <t>-</t>
        </is>
      </c>
      <c r="D199" s="11" t="inlineStr">
        <is>
          <t>-</t>
        </is>
      </c>
      <c r="E199" s="11" t="inlineStr">
        <is>
          <t>-</t>
        </is>
      </c>
      <c r="F199" s="11" t="inlineStr">
        <is>
          <t>-</t>
        </is>
      </c>
      <c r="G199" s="11" t="inlineStr">
        <is>
          <t>-</t>
        </is>
      </c>
      <c r="H199" s="11" t="inlineStr">
        <is>
          <t>-</t>
        </is>
      </c>
      <c r="I199" s="11" t="inlineStr">
        <is>
          <t>-</t>
        </is>
      </c>
      <c r="J199" s="11" t="inlineStr">
        <is>
          <t>-</t>
        </is>
      </c>
      <c r="K199" s="11" t="inlineStr">
        <is>
          <t>-</t>
        </is>
      </c>
      <c r="L199" s="11" t="inlineStr">
        <is>
          <t>-</t>
        </is>
      </c>
      <c r="M199" s="11" t="inlineStr">
        <is>
          <t>-</t>
        </is>
      </c>
      <c r="N199" s="11" t="inlineStr">
        <is>
          <t>-</t>
        </is>
      </c>
      <c r="O199" s="11" t="inlineStr">
        <is>
          <t>-</t>
        </is>
      </c>
      <c r="P199" s="11" t="inlineStr">
        <is>
          <t>-</t>
        </is>
      </c>
      <c r="Q199" s="12" t="inlineStr">
        <is>
          <t>-</t>
        </is>
      </c>
    </row>
    <row r="200">
      <c r="A200" s="47" t="inlineStr">
        <is>
          <t>fiori e provola</t>
        </is>
      </c>
      <c r="B200" s="13" t="inlineStr">
        <is>
          <t>-</t>
        </is>
      </c>
      <c r="C200" s="14" t="inlineStr">
        <is>
          <t>-</t>
        </is>
      </c>
      <c r="D200" s="14" t="inlineStr">
        <is>
          <t>-</t>
        </is>
      </c>
      <c r="E200" s="14" t="inlineStr">
        <is>
          <t>-</t>
        </is>
      </c>
      <c r="F200" s="14" t="inlineStr">
        <is>
          <t>-</t>
        </is>
      </c>
      <c r="G200" s="14" t="inlineStr">
        <is>
          <t>-</t>
        </is>
      </c>
      <c r="H200" s="14" t="inlineStr">
        <is>
          <t>-</t>
        </is>
      </c>
      <c r="I200" s="14" t="inlineStr">
        <is>
          <t>-</t>
        </is>
      </c>
      <c r="J200" s="14" t="inlineStr">
        <is>
          <t>-</t>
        </is>
      </c>
      <c r="K200" s="14" t="inlineStr">
        <is>
          <t>-</t>
        </is>
      </c>
      <c r="L200" s="14" t="inlineStr">
        <is>
          <t>-</t>
        </is>
      </c>
      <c r="M200" s="14" t="inlineStr">
        <is>
          <t>-</t>
        </is>
      </c>
      <c r="N200" s="14" t="inlineStr">
        <is>
          <t>-</t>
        </is>
      </c>
      <c r="O200" s="14" t="inlineStr">
        <is>
          <t>-</t>
        </is>
      </c>
      <c r="P200" s="14" t="inlineStr">
        <is>
          <t>-</t>
        </is>
      </c>
      <c r="Q200" s="15" t="inlineStr">
        <is>
          <t>-</t>
        </is>
      </c>
    </row>
    <row r="201">
      <c r="A201" s="47" t="n"/>
      <c r="B201" s="16" t="inlineStr">
        <is>
          <t>-</t>
        </is>
      </c>
      <c r="C201" s="11" t="inlineStr">
        <is>
          <t>-</t>
        </is>
      </c>
      <c r="D201" s="11" t="inlineStr">
        <is>
          <t>-</t>
        </is>
      </c>
      <c r="E201" s="11" t="inlineStr">
        <is>
          <t>-</t>
        </is>
      </c>
      <c r="F201" s="11" t="inlineStr">
        <is>
          <t>-</t>
        </is>
      </c>
      <c r="G201" s="11" t="inlineStr">
        <is>
          <t>-</t>
        </is>
      </c>
      <c r="H201" s="11" t="inlineStr">
        <is>
          <t>-</t>
        </is>
      </c>
      <c r="I201" s="11" t="inlineStr">
        <is>
          <t>-</t>
        </is>
      </c>
      <c r="J201" s="11" t="inlineStr">
        <is>
          <t>-</t>
        </is>
      </c>
      <c r="K201" s="11" t="inlineStr">
        <is>
          <t>-</t>
        </is>
      </c>
      <c r="L201" s="11" t="inlineStr">
        <is>
          <t>-</t>
        </is>
      </c>
      <c r="M201" s="11" t="inlineStr">
        <is>
          <t>-</t>
        </is>
      </c>
      <c r="N201" s="11" t="inlineStr">
        <is>
          <t>-</t>
        </is>
      </c>
      <c r="O201" s="11" t="inlineStr">
        <is>
          <t>-</t>
        </is>
      </c>
      <c r="P201" s="11" t="inlineStr">
        <is>
          <t>-</t>
        </is>
      </c>
      <c r="Q201" s="12" t="inlineStr">
        <is>
          <t>-</t>
        </is>
      </c>
    </row>
    <row r="202">
      <c r="A202" s="47" t="n"/>
      <c r="B202" s="13" t="inlineStr">
        <is>
          <t>-</t>
        </is>
      </c>
      <c r="C202" s="14" t="inlineStr">
        <is>
          <t>-</t>
        </is>
      </c>
      <c r="D202" s="14" t="inlineStr">
        <is>
          <t>-</t>
        </is>
      </c>
      <c r="E202" s="14" t="inlineStr">
        <is>
          <t>-</t>
        </is>
      </c>
      <c r="F202" s="14" t="inlineStr">
        <is>
          <t>-</t>
        </is>
      </c>
      <c r="G202" s="14" t="inlineStr">
        <is>
          <t>-</t>
        </is>
      </c>
      <c r="H202" s="14" t="inlineStr">
        <is>
          <t>-</t>
        </is>
      </c>
      <c r="I202" s="14" t="inlineStr">
        <is>
          <t>-</t>
        </is>
      </c>
      <c r="J202" s="14" t="inlineStr">
        <is>
          <t>-</t>
        </is>
      </c>
      <c r="K202" s="14" t="inlineStr">
        <is>
          <t>-</t>
        </is>
      </c>
      <c r="L202" s="14" t="inlineStr">
        <is>
          <t>-</t>
        </is>
      </c>
      <c r="M202" s="14" t="inlineStr">
        <is>
          <t>-</t>
        </is>
      </c>
      <c r="N202" s="14" t="inlineStr">
        <is>
          <t>-</t>
        </is>
      </c>
      <c r="O202" s="14" t="inlineStr">
        <is>
          <t>-</t>
        </is>
      </c>
      <c r="P202" s="14" t="inlineStr">
        <is>
          <t>-</t>
        </is>
      </c>
      <c r="Q202" s="15" t="inlineStr">
        <is>
          <t>-</t>
        </is>
      </c>
    </row>
    <row r="203">
      <c r="A203" s="47" t="n"/>
      <c r="B203" s="16" t="inlineStr">
        <is>
          <t>-</t>
        </is>
      </c>
      <c r="C203" s="11" t="inlineStr">
        <is>
          <t>-</t>
        </is>
      </c>
      <c r="D203" s="11" t="inlineStr">
        <is>
          <t>-</t>
        </is>
      </c>
      <c r="E203" s="11" t="inlineStr">
        <is>
          <t>-</t>
        </is>
      </c>
      <c r="F203" s="11" t="inlineStr">
        <is>
          <t>-</t>
        </is>
      </c>
      <c r="G203" s="11" t="inlineStr">
        <is>
          <t>-</t>
        </is>
      </c>
      <c r="H203" s="11" t="inlineStr">
        <is>
          <t>-</t>
        </is>
      </c>
      <c r="I203" s="11" t="inlineStr">
        <is>
          <t>-</t>
        </is>
      </c>
      <c r="J203" s="11" t="inlineStr">
        <is>
          <t>-</t>
        </is>
      </c>
      <c r="K203" s="11" t="inlineStr">
        <is>
          <t>-</t>
        </is>
      </c>
      <c r="L203" s="11" t="inlineStr">
        <is>
          <t>-</t>
        </is>
      </c>
      <c r="M203" s="11" t="inlineStr">
        <is>
          <t>-</t>
        </is>
      </c>
      <c r="N203" s="11" t="inlineStr">
        <is>
          <t>-</t>
        </is>
      </c>
      <c r="O203" s="11" t="inlineStr">
        <is>
          <t>-</t>
        </is>
      </c>
      <c r="P203" s="11" t="inlineStr">
        <is>
          <t>-</t>
        </is>
      </c>
      <c r="Q203" s="12" t="inlineStr">
        <is>
          <t>-</t>
        </is>
      </c>
    </row>
    <row r="204">
      <c r="A204" s="47" t="n"/>
      <c r="B204" s="13" t="inlineStr">
        <is>
          <t>-</t>
        </is>
      </c>
      <c r="C204" s="14" t="inlineStr">
        <is>
          <t>-</t>
        </is>
      </c>
      <c r="D204" s="14" t="inlineStr">
        <is>
          <t>-</t>
        </is>
      </c>
      <c r="E204" s="14" t="inlineStr">
        <is>
          <t>-</t>
        </is>
      </c>
      <c r="F204" s="14" t="inlineStr">
        <is>
          <t>-</t>
        </is>
      </c>
      <c r="G204" s="14" t="inlineStr">
        <is>
          <t>-</t>
        </is>
      </c>
      <c r="H204" s="14" t="inlineStr">
        <is>
          <t>-</t>
        </is>
      </c>
      <c r="I204" s="14" t="inlineStr">
        <is>
          <t>-</t>
        </is>
      </c>
      <c r="J204" s="14" t="inlineStr">
        <is>
          <t>-</t>
        </is>
      </c>
      <c r="K204" s="14" t="inlineStr">
        <is>
          <t>-</t>
        </is>
      </c>
      <c r="L204" s="14" t="inlineStr">
        <is>
          <t>-</t>
        </is>
      </c>
      <c r="M204" s="14" t="inlineStr">
        <is>
          <t>-</t>
        </is>
      </c>
      <c r="N204" s="14" t="inlineStr">
        <is>
          <t>-</t>
        </is>
      </c>
      <c r="O204" s="14" t="inlineStr">
        <is>
          <t>-</t>
        </is>
      </c>
      <c r="P204" s="14" t="inlineStr">
        <is>
          <t>-</t>
        </is>
      </c>
      <c r="Q204" s="15" t="inlineStr">
        <is>
          <t>-</t>
        </is>
      </c>
    </row>
    <row r="205">
      <c r="A205" s="47" t="n"/>
      <c r="B205" s="16" t="inlineStr">
        <is>
          <t>-</t>
        </is>
      </c>
      <c r="C205" s="11" t="inlineStr">
        <is>
          <t>-</t>
        </is>
      </c>
      <c r="D205" s="11" t="inlineStr">
        <is>
          <t>-</t>
        </is>
      </c>
      <c r="E205" s="11" t="inlineStr">
        <is>
          <t>-</t>
        </is>
      </c>
      <c r="F205" s="11" t="inlineStr">
        <is>
          <t>-</t>
        </is>
      </c>
      <c r="G205" s="11" t="inlineStr">
        <is>
          <t>-</t>
        </is>
      </c>
      <c r="H205" s="11" t="inlineStr">
        <is>
          <t>-</t>
        </is>
      </c>
      <c r="I205" s="11" t="inlineStr">
        <is>
          <t>-</t>
        </is>
      </c>
      <c r="J205" s="11" t="inlineStr">
        <is>
          <t>-</t>
        </is>
      </c>
      <c r="K205" s="11" t="inlineStr">
        <is>
          <t>-</t>
        </is>
      </c>
      <c r="L205" s="11" t="inlineStr">
        <is>
          <t>-</t>
        </is>
      </c>
      <c r="M205" s="11" t="inlineStr">
        <is>
          <t>-</t>
        </is>
      </c>
      <c r="N205" s="11" t="inlineStr">
        <is>
          <t>-</t>
        </is>
      </c>
      <c r="O205" s="11" t="inlineStr">
        <is>
          <t>-</t>
        </is>
      </c>
      <c r="P205" s="11" t="inlineStr">
        <is>
          <t>-</t>
        </is>
      </c>
      <c r="Q205" s="12" t="inlineStr">
        <is>
          <t>-</t>
        </is>
      </c>
    </row>
    <row r="206">
      <c r="A206" s="47" t="n"/>
      <c r="B206" s="13" t="inlineStr">
        <is>
          <t>-</t>
        </is>
      </c>
      <c r="C206" s="14" t="inlineStr">
        <is>
          <t>-</t>
        </is>
      </c>
      <c r="D206" s="14" t="inlineStr">
        <is>
          <t>-</t>
        </is>
      </c>
      <c r="E206" s="14" t="inlineStr">
        <is>
          <t>-</t>
        </is>
      </c>
      <c r="F206" s="14" t="inlineStr">
        <is>
          <t>-</t>
        </is>
      </c>
      <c r="G206" s="14" t="inlineStr">
        <is>
          <t>-</t>
        </is>
      </c>
      <c r="H206" s="14" t="inlineStr">
        <is>
          <t>-</t>
        </is>
      </c>
      <c r="I206" s="14" t="inlineStr">
        <is>
          <t>-</t>
        </is>
      </c>
      <c r="J206" s="14" t="inlineStr">
        <is>
          <t>-</t>
        </is>
      </c>
      <c r="K206" s="14" t="inlineStr">
        <is>
          <t>-</t>
        </is>
      </c>
      <c r="L206" s="14" t="inlineStr">
        <is>
          <t>-</t>
        </is>
      </c>
      <c r="M206" s="14" t="inlineStr">
        <is>
          <t>-</t>
        </is>
      </c>
      <c r="N206" s="14" t="inlineStr">
        <is>
          <t>-</t>
        </is>
      </c>
      <c r="O206" s="14" t="inlineStr">
        <is>
          <t>-</t>
        </is>
      </c>
      <c r="P206" s="14" t="inlineStr">
        <is>
          <t>-</t>
        </is>
      </c>
      <c r="Q206" s="15" t="inlineStr">
        <is>
          <t>-</t>
        </is>
      </c>
    </row>
    <row r="207">
      <c r="A207" s="47" t="n"/>
      <c r="B207" s="16" t="inlineStr">
        <is>
          <t>-</t>
        </is>
      </c>
      <c r="C207" s="11" t="inlineStr">
        <is>
          <t>-</t>
        </is>
      </c>
      <c r="D207" s="11" t="inlineStr">
        <is>
          <t>-</t>
        </is>
      </c>
      <c r="E207" s="11" t="inlineStr">
        <is>
          <t>-</t>
        </is>
      </c>
      <c r="F207" s="11" t="inlineStr">
        <is>
          <t>-</t>
        </is>
      </c>
      <c r="G207" s="11" t="inlineStr">
        <is>
          <t>-</t>
        </is>
      </c>
      <c r="H207" s="11" t="inlineStr">
        <is>
          <t>-</t>
        </is>
      </c>
      <c r="I207" s="11" t="inlineStr">
        <is>
          <t>-</t>
        </is>
      </c>
      <c r="J207" s="11" t="inlineStr">
        <is>
          <t>-</t>
        </is>
      </c>
      <c r="K207" s="11" t="inlineStr">
        <is>
          <t>-</t>
        </is>
      </c>
      <c r="L207" s="11" t="inlineStr">
        <is>
          <t>-</t>
        </is>
      </c>
      <c r="M207" s="11" t="inlineStr">
        <is>
          <t>-</t>
        </is>
      </c>
      <c r="N207" s="11" t="inlineStr">
        <is>
          <t>-</t>
        </is>
      </c>
      <c r="O207" s="11" t="inlineStr">
        <is>
          <t>-</t>
        </is>
      </c>
      <c r="P207" s="11" t="inlineStr">
        <is>
          <t>-</t>
        </is>
      </c>
      <c r="Q207" s="12" t="inlineStr">
        <is>
          <t>-</t>
        </is>
      </c>
    </row>
    <row r="208">
      <c r="A208" s="47" t="n"/>
      <c r="B208" s="13" t="inlineStr">
        <is>
          <t>-</t>
        </is>
      </c>
      <c r="C208" s="14" t="inlineStr">
        <is>
          <t>-</t>
        </is>
      </c>
      <c r="D208" s="14" t="inlineStr">
        <is>
          <t>-</t>
        </is>
      </c>
      <c r="E208" s="14" t="inlineStr">
        <is>
          <t>-</t>
        </is>
      </c>
      <c r="F208" s="14" t="inlineStr">
        <is>
          <t>-</t>
        </is>
      </c>
      <c r="G208" s="14" t="inlineStr">
        <is>
          <t>-</t>
        </is>
      </c>
      <c r="H208" s="14" t="inlineStr">
        <is>
          <t>-</t>
        </is>
      </c>
      <c r="I208" s="14" t="inlineStr">
        <is>
          <t>-</t>
        </is>
      </c>
      <c r="J208" s="14" t="inlineStr">
        <is>
          <t>-</t>
        </is>
      </c>
      <c r="K208" s="14" t="inlineStr">
        <is>
          <t>-</t>
        </is>
      </c>
      <c r="L208" s="14" t="inlineStr">
        <is>
          <t>-</t>
        </is>
      </c>
      <c r="M208" s="14" t="inlineStr">
        <is>
          <t>-</t>
        </is>
      </c>
      <c r="N208" s="14" t="inlineStr">
        <is>
          <t>-</t>
        </is>
      </c>
      <c r="O208" s="14" t="inlineStr">
        <is>
          <t>-</t>
        </is>
      </c>
      <c r="P208" s="14" t="inlineStr">
        <is>
          <t>-</t>
        </is>
      </c>
      <c r="Q208" s="15" t="inlineStr">
        <is>
          <t>-</t>
        </is>
      </c>
    </row>
    <row r="209">
      <c r="A209" s="47" t="n"/>
      <c r="B209" s="16" t="inlineStr">
        <is>
          <t>-</t>
        </is>
      </c>
      <c r="C209" s="11" t="inlineStr">
        <is>
          <t>-</t>
        </is>
      </c>
      <c r="D209" s="11" t="inlineStr">
        <is>
          <t>-</t>
        </is>
      </c>
      <c r="E209" s="11" t="inlineStr">
        <is>
          <t>-</t>
        </is>
      </c>
      <c r="F209" s="11" t="inlineStr">
        <is>
          <t>-</t>
        </is>
      </c>
      <c r="G209" s="11" t="inlineStr">
        <is>
          <t>-</t>
        </is>
      </c>
      <c r="H209" s="11" t="inlineStr">
        <is>
          <t>-</t>
        </is>
      </c>
      <c r="I209" s="11" t="inlineStr">
        <is>
          <t>-</t>
        </is>
      </c>
      <c r="J209" s="11" t="inlineStr">
        <is>
          <t>-</t>
        </is>
      </c>
      <c r="K209" s="11" t="inlineStr">
        <is>
          <t>-</t>
        </is>
      </c>
      <c r="L209" s="11" t="inlineStr">
        <is>
          <t>-</t>
        </is>
      </c>
      <c r="M209" s="11" t="inlineStr">
        <is>
          <t>-</t>
        </is>
      </c>
      <c r="N209" s="11" t="inlineStr">
        <is>
          <t>-</t>
        </is>
      </c>
      <c r="O209" s="11" t="inlineStr">
        <is>
          <t>-</t>
        </is>
      </c>
      <c r="P209" s="11" t="inlineStr">
        <is>
          <t>-</t>
        </is>
      </c>
      <c r="Q209" s="12" t="inlineStr">
        <is>
          <t>-</t>
        </is>
      </c>
    </row>
    <row r="210" ht="36" customHeight="1" s="155">
      <c r="B210" s="9" t="inlineStr">
        <is>
          <t>pizza farcita friarielli</t>
        </is>
      </c>
      <c r="C210" s="49">
        <f>_xlfn.XLOOKUP(A211,Magazzino!$D$1:$D$1500,Magazzino!$F$1:$F$1500,"",0,1)</f>
        <v/>
      </c>
      <c r="D210" s="50">
        <f>_xlfn.XLOOKUP(A212,Magazzino!$D$1:$D$1500,Magazzino!$F$1:$F$1500,"",0,1)</f>
        <v/>
      </c>
      <c r="E210" s="50">
        <f>_xlfn.XLOOKUP(A213,Magazzino!$D$1:$D$1500,Magazzino!$F$1:$F$1500,"",0,1)</f>
        <v/>
      </c>
      <c r="F210" s="50">
        <f>_xlfn.XLOOKUP(A214,Magazzino!$D$1:$D$1500,Magazzino!$F$1:$F$1500,"",0,1)</f>
        <v/>
      </c>
      <c r="G210" s="50">
        <f>_xlfn.XLOOKUP(A215,Magazzino!$D$1:$D$1500,Magazzino!$F$1:$F$1500,"",0,1)</f>
        <v/>
      </c>
      <c r="H210" s="50">
        <f>_xlfn.XLOOKUP(A216,Magazzino!$D$1:$D$1500,Magazzino!$F$1:$F$1500,"",0,1)</f>
        <v/>
      </c>
      <c r="I210" s="50">
        <f>_xlfn.XLOOKUP(A217,Magazzino!$D$1:$D$1500,Magazzino!$F$1:$F$1500,"",0,1)</f>
        <v/>
      </c>
      <c r="J210" s="50">
        <f>_xlfn.XLOOKUP(A218,Magazzino!$D$1:$D$1500,Magazzino!$F$1:$F$1500,"",0,1)</f>
        <v/>
      </c>
      <c r="K210" s="50">
        <f>_xlfn.XLOOKUP(A219,Magazzino!$D$1:$D$1500,Magazzino!$F$1:$F$1500,"",0,1)</f>
        <v/>
      </c>
      <c r="L210" s="50">
        <f>_xlfn.XLOOKUP(A220,Magazzino!$D$1:$D$1500,Magazzino!$F$1:$F$1500,"",0,1)</f>
        <v/>
      </c>
      <c r="M210" s="50">
        <f>_xlfn.XLOOKUP(A221,Magazzino!$D$1:$D$1500,Magazzino!$F$1:$F$1500,"",0,1)</f>
        <v/>
      </c>
      <c r="N210" s="50">
        <f>_xlfn.XLOOKUP(A222,Magazzino!$D$1:$D$1500,Magazzino!$F$1:$F$1500,"",0,1)</f>
        <v/>
      </c>
      <c r="O210" s="50">
        <f>_xlfn.XLOOKUP(A223,Magazzino!$D$1:$D$1500,Magazzino!$F$1:$F$1500,"",0,1)</f>
        <v/>
      </c>
      <c r="P210" s="50">
        <f>_xlfn.XLOOKUP(A224,Magazzino!$D$1:$D$1500,Magazzino!$F$1:$F$1500,"",0,1)</f>
        <v/>
      </c>
      <c r="Q210" s="51">
        <f>_xlfn.XLOOKUP(A225,Magazzino!$D$1:$D$1500,Magazzino!$F$1:$F$1500,"",0,1)</f>
        <v/>
      </c>
    </row>
    <row r="211">
      <c r="A211" s="47" t="inlineStr">
        <is>
          <t xml:space="preserve">FARINA 0/MAN. CAPUTO DA KG.25  </t>
        </is>
      </c>
      <c r="B211" s="10" t="inlineStr">
        <is>
          <t>-</t>
        </is>
      </c>
      <c r="C211" s="11" t="inlineStr">
        <is>
          <t>-</t>
        </is>
      </c>
      <c r="D211" s="11" t="inlineStr">
        <is>
          <t>-</t>
        </is>
      </c>
      <c r="E211" s="11" t="inlineStr">
        <is>
          <t>-</t>
        </is>
      </c>
      <c r="F211" s="11" t="inlineStr">
        <is>
          <t>-</t>
        </is>
      </c>
      <c r="G211" s="11" t="inlineStr">
        <is>
          <t>-</t>
        </is>
      </c>
      <c r="H211" s="11" t="inlineStr">
        <is>
          <t>-</t>
        </is>
      </c>
      <c r="I211" s="11" t="inlineStr">
        <is>
          <t>-</t>
        </is>
      </c>
      <c r="J211" s="11" t="inlineStr">
        <is>
          <t>-</t>
        </is>
      </c>
      <c r="K211" s="11" t="inlineStr">
        <is>
          <t>-</t>
        </is>
      </c>
      <c r="L211" s="11" t="inlineStr">
        <is>
          <t>-</t>
        </is>
      </c>
      <c r="M211" s="11" t="inlineStr">
        <is>
          <t>-</t>
        </is>
      </c>
      <c r="N211" s="11" t="inlineStr">
        <is>
          <t>-</t>
        </is>
      </c>
      <c r="O211" s="11" t="inlineStr">
        <is>
          <t>-</t>
        </is>
      </c>
      <c r="P211" s="11" t="inlineStr">
        <is>
          <t>-</t>
        </is>
      </c>
      <c r="Q211" s="12" t="inlineStr">
        <is>
          <t>-</t>
        </is>
      </c>
    </row>
    <row r="212">
      <c r="A212" s="48" t="inlineStr">
        <is>
          <t xml:space="preserve">SALE SACCHI SALTECHNO KG.25  </t>
        </is>
      </c>
      <c r="B212" s="13" t="inlineStr">
        <is>
          <t>-</t>
        </is>
      </c>
      <c r="C212" s="14" t="inlineStr">
        <is>
          <t>-</t>
        </is>
      </c>
      <c r="D212" s="14" t="inlineStr">
        <is>
          <t>-</t>
        </is>
      </c>
      <c r="E212" s="14" t="inlineStr">
        <is>
          <t>-</t>
        </is>
      </c>
      <c r="F212" s="14" t="inlineStr">
        <is>
          <t>-</t>
        </is>
      </c>
      <c r="G212" s="14" t="inlineStr">
        <is>
          <t>-</t>
        </is>
      </c>
      <c r="H212" s="14" t="inlineStr">
        <is>
          <t>-</t>
        </is>
      </c>
      <c r="I212" s="14" t="inlineStr">
        <is>
          <t>-</t>
        </is>
      </c>
      <c r="J212" s="14" t="inlineStr">
        <is>
          <t>-</t>
        </is>
      </c>
      <c r="K212" s="14" t="inlineStr">
        <is>
          <t>-</t>
        </is>
      </c>
      <c r="L212" s="14" t="inlineStr">
        <is>
          <t>-</t>
        </is>
      </c>
      <c r="M212" s="14" t="inlineStr">
        <is>
          <t>-</t>
        </is>
      </c>
      <c r="N212" s="14" t="inlineStr">
        <is>
          <t>-</t>
        </is>
      </c>
      <c r="O212" s="14" t="inlineStr">
        <is>
          <t>-</t>
        </is>
      </c>
      <c r="P212" s="14" t="inlineStr">
        <is>
          <t>-</t>
        </is>
      </c>
      <c r="Q212" s="15" t="inlineStr">
        <is>
          <t>-</t>
        </is>
      </c>
    </row>
    <row r="213">
      <c r="A213" s="47" t="inlineStr">
        <is>
          <t>LIEVITO x 2.5kg</t>
        </is>
      </c>
      <c r="B213" s="16" t="inlineStr">
        <is>
          <t>-</t>
        </is>
      </c>
      <c r="C213" s="11" t="inlineStr">
        <is>
          <t>-</t>
        </is>
      </c>
      <c r="D213" s="11" t="inlineStr">
        <is>
          <t>-</t>
        </is>
      </c>
      <c r="E213" s="11" t="inlineStr">
        <is>
          <t>-</t>
        </is>
      </c>
      <c r="F213" s="11" t="inlineStr">
        <is>
          <t>-</t>
        </is>
      </c>
      <c r="G213" s="11" t="inlineStr">
        <is>
          <t>-</t>
        </is>
      </c>
      <c r="H213" s="11" t="inlineStr">
        <is>
          <t>-</t>
        </is>
      </c>
      <c r="I213" s="11" t="inlineStr">
        <is>
          <t>-</t>
        </is>
      </c>
      <c r="J213" s="11" t="inlineStr">
        <is>
          <t>-</t>
        </is>
      </c>
      <c r="K213" s="11" t="inlineStr">
        <is>
          <t>-</t>
        </is>
      </c>
      <c r="L213" s="11" t="inlineStr">
        <is>
          <t>-</t>
        </is>
      </c>
      <c r="M213" s="11" t="inlineStr">
        <is>
          <t>-</t>
        </is>
      </c>
      <c r="N213" s="11" t="inlineStr">
        <is>
          <t>-</t>
        </is>
      </c>
      <c r="O213" s="11" t="inlineStr">
        <is>
          <t>-</t>
        </is>
      </c>
      <c r="P213" s="11" t="inlineStr">
        <is>
          <t>-</t>
        </is>
      </c>
      <c r="Q213" s="12" t="inlineStr">
        <is>
          <t>-</t>
        </is>
      </c>
    </row>
    <row r="214">
      <c r="A214" s="47" t="inlineStr">
        <is>
          <t xml:space="preserve">STRUTTO RAFFINATO I B VERDE  </t>
        </is>
      </c>
      <c r="B214" s="13" t="inlineStr">
        <is>
          <t>-</t>
        </is>
      </c>
      <c r="C214" s="14" t="inlineStr">
        <is>
          <t>-</t>
        </is>
      </c>
      <c r="D214" s="14" t="inlineStr">
        <is>
          <t>-</t>
        </is>
      </c>
      <c r="E214" s="14" t="inlineStr">
        <is>
          <t>-</t>
        </is>
      </c>
      <c r="F214" s="14" t="inlineStr">
        <is>
          <t>-</t>
        </is>
      </c>
      <c r="G214" s="14" t="inlineStr">
        <is>
          <t>-</t>
        </is>
      </c>
      <c r="H214" s="14" t="inlineStr">
        <is>
          <t>-</t>
        </is>
      </c>
      <c r="I214" s="14" t="inlineStr">
        <is>
          <t>-</t>
        </is>
      </c>
      <c r="J214" s="14" t="inlineStr">
        <is>
          <t>-</t>
        </is>
      </c>
      <c r="K214" s="14" t="inlineStr">
        <is>
          <t>-</t>
        </is>
      </c>
      <c r="L214" s="14" t="inlineStr">
        <is>
          <t>-</t>
        </is>
      </c>
      <c r="M214" s="14" t="inlineStr">
        <is>
          <t>-</t>
        </is>
      </c>
      <c r="N214" s="14" t="inlineStr">
        <is>
          <t>-</t>
        </is>
      </c>
      <c r="O214" s="14" t="inlineStr">
        <is>
          <t>-</t>
        </is>
      </c>
      <c r="P214" s="14" t="inlineStr">
        <is>
          <t>-</t>
        </is>
      </c>
      <c r="Q214" s="15" t="inlineStr">
        <is>
          <t>-</t>
        </is>
      </c>
    </row>
    <row r="215">
      <c r="A215" s="47" t="inlineStr">
        <is>
          <t xml:space="preserve">PASSATA POMODORO G.700 TORRENTE  </t>
        </is>
      </c>
      <c r="B215" s="16" t="inlineStr">
        <is>
          <t>-</t>
        </is>
      </c>
      <c r="C215" s="11" t="inlineStr">
        <is>
          <t>-</t>
        </is>
      </c>
      <c r="D215" s="11" t="inlineStr">
        <is>
          <t>-</t>
        </is>
      </c>
      <c r="E215" s="11" t="inlineStr">
        <is>
          <t>-</t>
        </is>
      </c>
      <c r="F215" s="11" t="inlineStr">
        <is>
          <t>-</t>
        </is>
      </c>
      <c r="G215" s="11" t="inlineStr">
        <is>
          <t>-</t>
        </is>
      </c>
      <c r="H215" s="11" t="inlineStr">
        <is>
          <t>-</t>
        </is>
      </c>
      <c r="I215" s="11" t="inlineStr">
        <is>
          <t>-</t>
        </is>
      </c>
      <c r="J215" s="11" t="inlineStr">
        <is>
          <t>-</t>
        </is>
      </c>
      <c r="K215" s="11" t="inlineStr">
        <is>
          <t>-</t>
        </is>
      </c>
      <c r="L215" s="11" t="inlineStr">
        <is>
          <t>-</t>
        </is>
      </c>
      <c r="M215" s="11" t="inlineStr">
        <is>
          <t>-</t>
        </is>
      </c>
      <c r="N215" s="11" t="inlineStr">
        <is>
          <t>-</t>
        </is>
      </c>
      <c r="O215" s="11" t="inlineStr">
        <is>
          <t>-</t>
        </is>
      </c>
      <c r="P215" s="11" t="inlineStr">
        <is>
          <t>-</t>
        </is>
      </c>
      <c r="Q215" s="12" t="inlineStr">
        <is>
          <t>-</t>
        </is>
      </c>
    </row>
    <row r="216">
      <c r="A216" s="47" t="inlineStr">
        <is>
          <t>fiori e provola</t>
        </is>
      </c>
      <c r="B216" s="13" t="inlineStr">
        <is>
          <t>-</t>
        </is>
      </c>
      <c r="C216" s="14" t="inlineStr">
        <is>
          <t>-</t>
        </is>
      </c>
      <c r="D216" s="14" t="inlineStr">
        <is>
          <t>-</t>
        </is>
      </c>
      <c r="E216" s="14" t="inlineStr">
        <is>
          <t>-</t>
        </is>
      </c>
      <c r="F216" s="14" t="inlineStr">
        <is>
          <t>-</t>
        </is>
      </c>
      <c r="G216" s="14" t="inlineStr">
        <is>
          <t>-</t>
        </is>
      </c>
      <c r="H216" s="14" t="inlineStr">
        <is>
          <t>-</t>
        </is>
      </c>
      <c r="I216" s="14" t="inlineStr">
        <is>
          <t>-</t>
        </is>
      </c>
      <c r="J216" s="14" t="inlineStr">
        <is>
          <t>-</t>
        </is>
      </c>
      <c r="K216" s="14" t="inlineStr">
        <is>
          <t>-</t>
        </is>
      </c>
      <c r="L216" s="14" t="inlineStr">
        <is>
          <t>-</t>
        </is>
      </c>
      <c r="M216" s="14" t="inlineStr">
        <is>
          <t>-</t>
        </is>
      </c>
      <c r="N216" s="14" t="inlineStr">
        <is>
          <t>-</t>
        </is>
      </c>
      <c r="O216" s="14" t="inlineStr">
        <is>
          <t>-</t>
        </is>
      </c>
      <c r="P216" s="14" t="inlineStr">
        <is>
          <t>-</t>
        </is>
      </c>
      <c r="Q216" s="15" t="inlineStr">
        <is>
          <t>-</t>
        </is>
      </c>
    </row>
    <row r="217">
      <c r="A217" s="47" t="inlineStr">
        <is>
          <t>friarielli</t>
        </is>
      </c>
      <c r="B217" s="16" t="inlineStr">
        <is>
          <t>-</t>
        </is>
      </c>
      <c r="C217" s="11" t="inlineStr">
        <is>
          <t>-</t>
        </is>
      </c>
      <c r="D217" s="11" t="inlineStr">
        <is>
          <t>-</t>
        </is>
      </c>
      <c r="E217" s="11" t="inlineStr">
        <is>
          <t>-</t>
        </is>
      </c>
      <c r="F217" s="11" t="inlineStr">
        <is>
          <t>-</t>
        </is>
      </c>
      <c r="G217" s="11" t="inlineStr">
        <is>
          <t>-</t>
        </is>
      </c>
      <c r="H217" s="11" t="inlineStr">
        <is>
          <t>-</t>
        </is>
      </c>
      <c r="I217" s="11" t="inlineStr">
        <is>
          <t>-</t>
        </is>
      </c>
      <c r="J217" s="11" t="inlineStr">
        <is>
          <t>-</t>
        </is>
      </c>
      <c r="K217" s="11" t="inlineStr">
        <is>
          <t>-</t>
        </is>
      </c>
      <c r="L217" s="11" t="inlineStr">
        <is>
          <t>-</t>
        </is>
      </c>
      <c r="M217" s="11" t="inlineStr">
        <is>
          <t>-</t>
        </is>
      </c>
      <c r="N217" s="11" t="inlineStr">
        <is>
          <t>-</t>
        </is>
      </c>
      <c r="O217" s="11" t="inlineStr">
        <is>
          <t>-</t>
        </is>
      </c>
      <c r="P217" s="11" t="inlineStr">
        <is>
          <t>-</t>
        </is>
      </c>
      <c r="Q217" s="12" t="inlineStr">
        <is>
          <t>-</t>
        </is>
      </c>
    </row>
    <row r="218">
      <c r="A218" s="47" t="n"/>
      <c r="B218" s="13" t="inlineStr">
        <is>
          <t>-</t>
        </is>
      </c>
      <c r="C218" s="14" t="inlineStr">
        <is>
          <t>-</t>
        </is>
      </c>
      <c r="D218" s="14" t="inlineStr">
        <is>
          <t>-</t>
        </is>
      </c>
      <c r="E218" s="14" t="inlineStr">
        <is>
          <t>-</t>
        </is>
      </c>
      <c r="F218" s="14" t="inlineStr">
        <is>
          <t>-</t>
        </is>
      </c>
      <c r="G218" s="14" t="inlineStr">
        <is>
          <t>-</t>
        </is>
      </c>
      <c r="H218" s="14" t="inlineStr">
        <is>
          <t>-</t>
        </is>
      </c>
      <c r="I218" s="14" t="inlineStr">
        <is>
          <t>-</t>
        </is>
      </c>
      <c r="J218" s="14" t="inlineStr">
        <is>
          <t>-</t>
        </is>
      </c>
      <c r="K218" s="14" t="inlineStr">
        <is>
          <t>-</t>
        </is>
      </c>
      <c r="L218" s="14" t="inlineStr">
        <is>
          <t>-</t>
        </is>
      </c>
      <c r="M218" s="14" t="inlineStr">
        <is>
          <t>-</t>
        </is>
      </c>
      <c r="N218" s="14" t="inlineStr">
        <is>
          <t>-</t>
        </is>
      </c>
      <c r="O218" s="14" t="inlineStr">
        <is>
          <t>-</t>
        </is>
      </c>
      <c r="P218" s="14" t="inlineStr">
        <is>
          <t>-</t>
        </is>
      </c>
      <c r="Q218" s="15" t="inlineStr">
        <is>
          <t>-</t>
        </is>
      </c>
    </row>
    <row r="219">
      <c r="A219" s="47" t="n"/>
      <c r="B219" s="16" t="inlineStr">
        <is>
          <t>-</t>
        </is>
      </c>
      <c r="C219" s="11" t="inlineStr">
        <is>
          <t>-</t>
        </is>
      </c>
      <c r="D219" s="11" t="inlineStr">
        <is>
          <t>-</t>
        </is>
      </c>
      <c r="E219" s="11" t="inlineStr">
        <is>
          <t>-</t>
        </is>
      </c>
      <c r="F219" s="11" t="inlineStr">
        <is>
          <t>-</t>
        </is>
      </c>
      <c r="G219" s="11" t="inlineStr">
        <is>
          <t>-</t>
        </is>
      </c>
      <c r="H219" s="11" t="inlineStr">
        <is>
          <t>-</t>
        </is>
      </c>
      <c r="I219" s="11" t="inlineStr">
        <is>
          <t>-</t>
        </is>
      </c>
      <c r="J219" s="11" t="inlineStr">
        <is>
          <t>-</t>
        </is>
      </c>
      <c r="K219" s="11" t="inlineStr">
        <is>
          <t>-</t>
        </is>
      </c>
      <c r="L219" s="11" t="inlineStr">
        <is>
          <t>-</t>
        </is>
      </c>
      <c r="M219" s="11" t="inlineStr">
        <is>
          <t>-</t>
        </is>
      </c>
      <c r="N219" s="11" t="inlineStr">
        <is>
          <t>-</t>
        </is>
      </c>
      <c r="O219" s="11" t="inlineStr">
        <is>
          <t>-</t>
        </is>
      </c>
      <c r="P219" s="11" t="inlineStr">
        <is>
          <t>-</t>
        </is>
      </c>
      <c r="Q219" s="12" t="inlineStr">
        <is>
          <t>-</t>
        </is>
      </c>
    </row>
    <row r="220">
      <c r="A220" s="47" t="n"/>
      <c r="B220" s="13" t="inlineStr">
        <is>
          <t>-</t>
        </is>
      </c>
      <c r="C220" s="14" t="inlineStr">
        <is>
          <t>-</t>
        </is>
      </c>
      <c r="D220" s="14" t="inlineStr">
        <is>
          <t>-</t>
        </is>
      </c>
      <c r="E220" s="14" t="inlineStr">
        <is>
          <t>-</t>
        </is>
      </c>
      <c r="F220" s="14" t="inlineStr">
        <is>
          <t>-</t>
        </is>
      </c>
      <c r="G220" s="14" t="inlineStr">
        <is>
          <t>-</t>
        </is>
      </c>
      <c r="H220" s="14" t="inlineStr">
        <is>
          <t>-</t>
        </is>
      </c>
      <c r="I220" s="14" t="inlineStr">
        <is>
          <t>-</t>
        </is>
      </c>
      <c r="J220" s="14" t="inlineStr">
        <is>
          <t>-</t>
        </is>
      </c>
      <c r="K220" s="14" t="inlineStr">
        <is>
          <t>-</t>
        </is>
      </c>
      <c r="L220" s="14" t="inlineStr">
        <is>
          <t>-</t>
        </is>
      </c>
      <c r="M220" s="14" t="inlineStr">
        <is>
          <t>-</t>
        </is>
      </c>
      <c r="N220" s="14" t="inlineStr">
        <is>
          <t>-</t>
        </is>
      </c>
      <c r="O220" s="14" t="inlineStr">
        <is>
          <t>-</t>
        </is>
      </c>
      <c r="P220" s="14" t="inlineStr">
        <is>
          <t>-</t>
        </is>
      </c>
      <c r="Q220" s="15" t="inlineStr">
        <is>
          <t>-</t>
        </is>
      </c>
    </row>
    <row r="221">
      <c r="A221" s="47" t="n"/>
      <c r="B221" s="16" t="inlineStr">
        <is>
          <t>-</t>
        </is>
      </c>
      <c r="C221" s="11" t="inlineStr">
        <is>
          <t>-</t>
        </is>
      </c>
      <c r="D221" s="11" t="inlineStr">
        <is>
          <t>-</t>
        </is>
      </c>
      <c r="E221" s="11" t="inlineStr">
        <is>
          <t>-</t>
        </is>
      </c>
      <c r="F221" s="11" t="inlineStr">
        <is>
          <t>-</t>
        </is>
      </c>
      <c r="G221" s="11" t="inlineStr">
        <is>
          <t>-</t>
        </is>
      </c>
      <c r="H221" s="11" t="inlineStr">
        <is>
          <t>-</t>
        </is>
      </c>
      <c r="I221" s="11" t="inlineStr">
        <is>
          <t>-</t>
        </is>
      </c>
      <c r="J221" s="11" t="inlineStr">
        <is>
          <t>-</t>
        </is>
      </c>
      <c r="K221" s="11" t="inlineStr">
        <is>
          <t>-</t>
        </is>
      </c>
      <c r="L221" s="11" t="inlineStr">
        <is>
          <t>-</t>
        </is>
      </c>
      <c r="M221" s="11" t="inlineStr">
        <is>
          <t>-</t>
        </is>
      </c>
      <c r="N221" s="11" t="inlineStr">
        <is>
          <t>-</t>
        </is>
      </c>
      <c r="O221" s="11" t="inlineStr">
        <is>
          <t>-</t>
        </is>
      </c>
      <c r="P221" s="11" t="inlineStr">
        <is>
          <t>-</t>
        </is>
      </c>
      <c r="Q221" s="12" t="inlineStr">
        <is>
          <t>-</t>
        </is>
      </c>
    </row>
    <row r="222">
      <c r="A222" s="47" t="n"/>
      <c r="B222" s="13" t="inlineStr">
        <is>
          <t>-</t>
        </is>
      </c>
      <c r="C222" s="14" t="inlineStr">
        <is>
          <t>-</t>
        </is>
      </c>
      <c r="D222" s="14" t="inlineStr">
        <is>
          <t>-</t>
        </is>
      </c>
      <c r="E222" s="14" t="inlineStr">
        <is>
          <t>-</t>
        </is>
      </c>
      <c r="F222" s="14" t="inlineStr">
        <is>
          <t>-</t>
        </is>
      </c>
      <c r="G222" s="14" t="inlineStr">
        <is>
          <t>-</t>
        </is>
      </c>
      <c r="H222" s="14" t="inlineStr">
        <is>
          <t>-</t>
        </is>
      </c>
      <c r="I222" s="14" t="inlineStr">
        <is>
          <t>-</t>
        </is>
      </c>
      <c r="J222" s="14" t="inlineStr">
        <is>
          <t>-</t>
        </is>
      </c>
      <c r="K222" s="14" t="inlineStr">
        <is>
          <t>-</t>
        </is>
      </c>
      <c r="L222" s="14" t="inlineStr">
        <is>
          <t>-</t>
        </is>
      </c>
      <c r="M222" s="14" t="inlineStr">
        <is>
          <t>-</t>
        </is>
      </c>
      <c r="N222" s="14" t="inlineStr">
        <is>
          <t>-</t>
        </is>
      </c>
      <c r="O222" s="14" t="inlineStr">
        <is>
          <t>-</t>
        </is>
      </c>
      <c r="P222" s="14" t="inlineStr">
        <is>
          <t>-</t>
        </is>
      </c>
      <c r="Q222" s="15" t="inlineStr">
        <is>
          <t>-</t>
        </is>
      </c>
    </row>
    <row r="223">
      <c r="A223" s="47" t="n"/>
      <c r="B223" s="16" t="inlineStr">
        <is>
          <t>-</t>
        </is>
      </c>
      <c r="C223" s="11" t="inlineStr">
        <is>
          <t>-</t>
        </is>
      </c>
      <c r="D223" s="11" t="inlineStr">
        <is>
          <t>-</t>
        </is>
      </c>
      <c r="E223" s="11" t="inlineStr">
        <is>
          <t>-</t>
        </is>
      </c>
      <c r="F223" s="11" t="inlineStr">
        <is>
          <t>-</t>
        </is>
      </c>
      <c r="G223" s="11" t="inlineStr">
        <is>
          <t>-</t>
        </is>
      </c>
      <c r="H223" s="11" t="inlineStr">
        <is>
          <t>-</t>
        </is>
      </c>
      <c r="I223" s="11" t="inlineStr">
        <is>
          <t>-</t>
        </is>
      </c>
      <c r="J223" s="11" t="inlineStr">
        <is>
          <t>-</t>
        </is>
      </c>
      <c r="K223" s="11" t="inlineStr">
        <is>
          <t>-</t>
        </is>
      </c>
      <c r="L223" s="11" t="inlineStr">
        <is>
          <t>-</t>
        </is>
      </c>
      <c r="M223" s="11" t="inlineStr">
        <is>
          <t>-</t>
        </is>
      </c>
      <c r="N223" s="11" t="inlineStr">
        <is>
          <t>-</t>
        </is>
      </c>
      <c r="O223" s="11" t="inlineStr">
        <is>
          <t>-</t>
        </is>
      </c>
      <c r="P223" s="11" t="inlineStr">
        <is>
          <t>-</t>
        </is>
      </c>
      <c r="Q223" s="12" t="inlineStr">
        <is>
          <t>-</t>
        </is>
      </c>
    </row>
    <row r="224">
      <c r="A224" s="47" t="n"/>
      <c r="B224" s="13" t="inlineStr">
        <is>
          <t>-</t>
        </is>
      </c>
      <c r="C224" s="14" t="inlineStr">
        <is>
          <t>-</t>
        </is>
      </c>
      <c r="D224" s="14" t="inlineStr">
        <is>
          <t>-</t>
        </is>
      </c>
      <c r="E224" s="14" t="inlineStr">
        <is>
          <t>-</t>
        </is>
      </c>
      <c r="F224" s="14" t="inlineStr">
        <is>
          <t>-</t>
        </is>
      </c>
      <c r="G224" s="14" t="inlineStr">
        <is>
          <t>-</t>
        </is>
      </c>
      <c r="H224" s="14" t="inlineStr">
        <is>
          <t>-</t>
        </is>
      </c>
      <c r="I224" s="14" t="inlineStr">
        <is>
          <t>-</t>
        </is>
      </c>
      <c r="J224" s="14" t="inlineStr">
        <is>
          <t>-</t>
        </is>
      </c>
      <c r="K224" s="14" t="inlineStr">
        <is>
          <t>-</t>
        </is>
      </c>
      <c r="L224" s="14" t="inlineStr">
        <is>
          <t>-</t>
        </is>
      </c>
      <c r="M224" s="14" t="inlineStr">
        <is>
          <t>-</t>
        </is>
      </c>
      <c r="N224" s="14" t="inlineStr">
        <is>
          <t>-</t>
        </is>
      </c>
      <c r="O224" s="14" t="inlineStr">
        <is>
          <t>-</t>
        </is>
      </c>
      <c r="P224" s="14" t="inlineStr">
        <is>
          <t>-</t>
        </is>
      </c>
      <c r="Q224" s="15" t="inlineStr">
        <is>
          <t>-</t>
        </is>
      </c>
    </row>
    <row r="225">
      <c r="A225" s="47" t="n"/>
      <c r="B225" s="16" t="inlineStr">
        <is>
          <t>-</t>
        </is>
      </c>
      <c r="C225" s="11" t="inlineStr">
        <is>
          <t>-</t>
        </is>
      </c>
      <c r="D225" s="11" t="inlineStr">
        <is>
          <t>-</t>
        </is>
      </c>
      <c r="E225" s="11" t="inlineStr">
        <is>
          <t>-</t>
        </is>
      </c>
      <c r="F225" s="11" t="inlineStr">
        <is>
          <t>-</t>
        </is>
      </c>
      <c r="G225" s="11" t="inlineStr">
        <is>
          <t>-</t>
        </is>
      </c>
      <c r="H225" s="11" t="inlineStr">
        <is>
          <t>-</t>
        </is>
      </c>
      <c r="I225" s="11" t="inlineStr">
        <is>
          <t>-</t>
        </is>
      </c>
      <c r="J225" s="11" t="inlineStr">
        <is>
          <t>-</t>
        </is>
      </c>
      <c r="K225" s="11" t="inlineStr">
        <is>
          <t>-</t>
        </is>
      </c>
      <c r="L225" s="11" t="inlineStr">
        <is>
          <t>-</t>
        </is>
      </c>
      <c r="M225" s="11" t="inlineStr">
        <is>
          <t>-</t>
        </is>
      </c>
      <c r="N225" s="11" t="inlineStr">
        <is>
          <t>-</t>
        </is>
      </c>
      <c r="O225" s="11" t="inlineStr">
        <is>
          <t>-</t>
        </is>
      </c>
      <c r="P225" s="11" t="inlineStr">
        <is>
          <t>-</t>
        </is>
      </c>
      <c r="Q225" s="12" t="inlineStr">
        <is>
          <t>-</t>
        </is>
      </c>
    </row>
    <row r="226" ht="36" customHeight="1" s="155">
      <c r="B226" s="9" t="inlineStr">
        <is>
          <t>focaccia bianca</t>
        </is>
      </c>
      <c r="C226" s="49">
        <f>_xlfn.XLOOKUP(A227,Magazzino!$D$1:$D$1500,Magazzino!$F$1:$F$1500,"",0,1)</f>
        <v/>
      </c>
      <c r="D226" s="50">
        <f>_xlfn.XLOOKUP(A228,Magazzino!$D$1:$D$1500,Magazzino!$F$1:$F$1500,"",0,1)</f>
        <v/>
      </c>
      <c r="E226" s="50">
        <f>_xlfn.XLOOKUP(A229,Magazzino!$D$1:$D$1500,Magazzino!$F$1:$F$1500,"",0,1)</f>
        <v/>
      </c>
      <c r="F226" s="50">
        <f>_xlfn.XLOOKUP(A230,Magazzino!$D$1:$D$1500,Magazzino!$F$1:$F$1500,"",0,1)</f>
        <v/>
      </c>
      <c r="G226" s="50">
        <f>_xlfn.XLOOKUP(A231,Magazzino!$D$1:$D$1500,Magazzino!$F$1:$F$1500,"",0,1)</f>
        <v/>
      </c>
      <c r="H226" s="50">
        <f>_xlfn.XLOOKUP(A232,Magazzino!$D$1:$D$1500,Magazzino!$F$1:$F$1500,"",0,1)</f>
        <v/>
      </c>
      <c r="I226" s="50">
        <f>_xlfn.XLOOKUP(A233,Magazzino!$D$1:$D$1500,Magazzino!$F$1:$F$1500,"",0,1)</f>
        <v/>
      </c>
      <c r="J226" s="50">
        <f>_xlfn.XLOOKUP(A234,Magazzino!$D$1:$D$1500,Magazzino!$F$1:$F$1500,"",0,1)</f>
        <v/>
      </c>
      <c r="K226" s="50">
        <f>_xlfn.XLOOKUP(A235,Magazzino!$D$1:$D$1500,Magazzino!$F$1:$F$1500,"",0,1)</f>
        <v/>
      </c>
      <c r="L226" s="50">
        <f>_xlfn.XLOOKUP(A236,Magazzino!$D$1:$D$1500,Magazzino!$F$1:$F$1500,"",0,1)</f>
        <v/>
      </c>
      <c r="M226" s="50">
        <f>_xlfn.XLOOKUP(A237,Magazzino!$D$1:$D$1500,Magazzino!$F$1:$F$1500,"",0,1)</f>
        <v/>
      </c>
      <c r="N226" s="50">
        <f>_xlfn.XLOOKUP(A238,Magazzino!$D$1:$D$1500,Magazzino!$F$1:$F$1500,"",0,1)</f>
        <v/>
      </c>
      <c r="O226" s="50">
        <f>_xlfn.XLOOKUP(A239,Magazzino!$D$1:$D$1500,Magazzino!$F$1:$F$1500,"",0,1)</f>
        <v/>
      </c>
      <c r="P226" s="50">
        <f>_xlfn.XLOOKUP(A240,Magazzino!$D$1:$D$1500,Magazzino!$F$1:$F$1500,"",0,1)</f>
        <v/>
      </c>
      <c r="Q226" s="51">
        <f>_xlfn.XLOOKUP(A241,Magazzino!$D$1:$D$1500,Magazzino!$F$1:$F$1500,"",0,1)</f>
        <v/>
      </c>
    </row>
    <row r="227">
      <c r="A227" s="47" t="inlineStr">
        <is>
          <t xml:space="preserve">FARINA 0/MAN. CAPUTO DA KG.25  </t>
        </is>
      </c>
      <c r="B227" s="10" t="inlineStr">
        <is>
          <t>-</t>
        </is>
      </c>
      <c r="C227" s="11" t="inlineStr">
        <is>
          <t>-</t>
        </is>
      </c>
      <c r="D227" s="11" t="inlineStr">
        <is>
          <t>-</t>
        </is>
      </c>
      <c r="E227" s="11" t="inlineStr">
        <is>
          <t>-</t>
        </is>
      </c>
      <c r="F227" s="11" t="inlineStr">
        <is>
          <t>-</t>
        </is>
      </c>
      <c r="G227" s="11" t="inlineStr">
        <is>
          <t>-</t>
        </is>
      </c>
      <c r="H227" s="11" t="inlineStr">
        <is>
          <t>-</t>
        </is>
      </c>
      <c r="I227" s="11" t="inlineStr">
        <is>
          <t>-</t>
        </is>
      </c>
      <c r="J227" s="11" t="inlineStr">
        <is>
          <t>-</t>
        </is>
      </c>
      <c r="K227" s="11" t="inlineStr">
        <is>
          <t>-</t>
        </is>
      </c>
      <c r="L227" s="11" t="inlineStr">
        <is>
          <t>-</t>
        </is>
      </c>
      <c r="M227" s="11" t="inlineStr">
        <is>
          <t>-</t>
        </is>
      </c>
      <c r="N227" s="11" t="inlineStr">
        <is>
          <t>-</t>
        </is>
      </c>
      <c r="O227" s="11" t="inlineStr">
        <is>
          <t>-</t>
        </is>
      </c>
      <c r="P227" s="11" t="inlineStr">
        <is>
          <t>-</t>
        </is>
      </c>
      <c r="Q227" s="12" t="inlineStr">
        <is>
          <t>-</t>
        </is>
      </c>
    </row>
    <row r="228">
      <c r="A228" s="48" t="inlineStr">
        <is>
          <t xml:space="preserve">SALE SACCHI SALTECHNO KG.25  </t>
        </is>
      </c>
      <c r="B228" s="13" t="inlineStr">
        <is>
          <t>-</t>
        </is>
      </c>
      <c r="C228" s="14" t="inlineStr">
        <is>
          <t>-</t>
        </is>
      </c>
      <c r="D228" s="14" t="inlineStr">
        <is>
          <t>-</t>
        </is>
      </c>
      <c r="E228" s="14" t="inlineStr">
        <is>
          <t>-</t>
        </is>
      </c>
      <c r="F228" s="14" t="inlineStr">
        <is>
          <t>-</t>
        </is>
      </c>
      <c r="G228" s="14" t="inlineStr">
        <is>
          <t>-</t>
        </is>
      </c>
      <c r="H228" s="14" t="inlineStr">
        <is>
          <t>-</t>
        </is>
      </c>
      <c r="I228" s="14" t="inlineStr">
        <is>
          <t>-</t>
        </is>
      </c>
      <c r="J228" s="14" t="inlineStr">
        <is>
          <t>-</t>
        </is>
      </c>
      <c r="K228" s="14" t="inlineStr">
        <is>
          <t>-</t>
        </is>
      </c>
      <c r="L228" s="14" t="inlineStr">
        <is>
          <t>-</t>
        </is>
      </c>
      <c r="M228" s="14" t="inlineStr">
        <is>
          <t>-</t>
        </is>
      </c>
      <c r="N228" s="14" t="inlineStr">
        <is>
          <t>-</t>
        </is>
      </c>
      <c r="O228" s="14" t="inlineStr">
        <is>
          <t>-</t>
        </is>
      </c>
      <c r="P228" s="14" t="inlineStr">
        <is>
          <t>-</t>
        </is>
      </c>
      <c r="Q228" s="15" t="inlineStr">
        <is>
          <t>-</t>
        </is>
      </c>
    </row>
    <row r="229">
      <c r="A229" s="47" t="inlineStr">
        <is>
          <t>LIEVITO x 2.5kg</t>
        </is>
      </c>
      <c r="B229" s="16" t="inlineStr">
        <is>
          <t>-</t>
        </is>
      </c>
      <c r="C229" s="11" t="inlineStr">
        <is>
          <t>-</t>
        </is>
      </c>
      <c r="D229" s="11" t="inlineStr">
        <is>
          <t>-</t>
        </is>
      </c>
      <c r="E229" s="11" t="inlineStr">
        <is>
          <t>-</t>
        </is>
      </c>
      <c r="F229" s="11" t="inlineStr">
        <is>
          <t>-</t>
        </is>
      </c>
      <c r="G229" s="11" t="inlineStr">
        <is>
          <t>-</t>
        </is>
      </c>
      <c r="H229" s="11" t="inlineStr">
        <is>
          <t>-</t>
        </is>
      </c>
      <c r="I229" s="11" t="inlineStr">
        <is>
          <t>-</t>
        </is>
      </c>
      <c r="J229" s="11" t="inlineStr">
        <is>
          <t>-</t>
        </is>
      </c>
      <c r="K229" s="11" t="inlineStr">
        <is>
          <t>-</t>
        </is>
      </c>
      <c r="L229" s="11" t="inlineStr">
        <is>
          <t>-</t>
        </is>
      </c>
      <c r="M229" s="11" t="inlineStr">
        <is>
          <t>-</t>
        </is>
      </c>
      <c r="N229" s="11" t="inlineStr">
        <is>
          <t>-</t>
        </is>
      </c>
      <c r="O229" s="11" t="inlineStr">
        <is>
          <t>-</t>
        </is>
      </c>
      <c r="P229" s="11" t="inlineStr">
        <is>
          <t>-</t>
        </is>
      </c>
      <c r="Q229" s="12" t="inlineStr">
        <is>
          <t>-</t>
        </is>
      </c>
    </row>
    <row r="230">
      <c r="A230" s="47" t="inlineStr">
        <is>
          <t xml:space="preserve">STRUTTO RAFFINATO I B VERDE  </t>
        </is>
      </c>
      <c r="B230" s="13" t="inlineStr">
        <is>
          <t>-</t>
        </is>
      </c>
      <c r="C230" s="14" t="inlineStr">
        <is>
          <t>-</t>
        </is>
      </c>
      <c r="D230" s="14" t="inlineStr">
        <is>
          <t>-</t>
        </is>
      </c>
      <c r="E230" s="14" t="inlineStr">
        <is>
          <t>-</t>
        </is>
      </c>
      <c r="F230" s="14" t="inlineStr">
        <is>
          <t>-</t>
        </is>
      </c>
      <c r="G230" s="14" t="inlineStr">
        <is>
          <t>-</t>
        </is>
      </c>
      <c r="H230" s="14" t="inlineStr">
        <is>
          <t>-</t>
        </is>
      </c>
      <c r="I230" s="14" t="inlineStr">
        <is>
          <t>-</t>
        </is>
      </c>
      <c r="J230" s="14" t="inlineStr">
        <is>
          <t>-</t>
        </is>
      </c>
      <c r="K230" s="14" t="inlineStr">
        <is>
          <t>-</t>
        </is>
      </c>
      <c r="L230" s="14" t="inlineStr">
        <is>
          <t>-</t>
        </is>
      </c>
      <c r="M230" s="14" t="inlineStr">
        <is>
          <t>-</t>
        </is>
      </c>
      <c r="N230" s="14" t="inlineStr">
        <is>
          <t>-</t>
        </is>
      </c>
      <c r="O230" s="14" t="inlineStr">
        <is>
          <t>-</t>
        </is>
      </c>
      <c r="P230" s="14" t="inlineStr">
        <is>
          <t>-</t>
        </is>
      </c>
      <c r="Q230" s="15" t="inlineStr">
        <is>
          <t>-</t>
        </is>
      </c>
    </row>
    <row r="231">
      <c r="A231" s="47" t="n"/>
      <c r="B231" s="16" t="inlineStr">
        <is>
          <t>-</t>
        </is>
      </c>
      <c r="C231" s="11" t="inlineStr">
        <is>
          <t>-</t>
        </is>
      </c>
      <c r="D231" s="11" t="inlineStr">
        <is>
          <t>-</t>
        </is>
      </c>
      <c r="E231" s="11" t="inlineStr">
        <is>
          <t>-</t>
        </is>
      </c>
      <c r="F231" s="11" t="inlineStr">
        <is>
          <t>-</t>
        </is>
      </c>
      <c r="G231" s="11" t="inlineStr">
        <is>
          <t>-</t>
        </is>
      </c>
      <c r="H231" s="11" t="inlineStr">
        <is>
          <t>-</t>
        </is>
      </c>
      <c r="I231" s="11" t="inlineStr">
        <is>
          <t>-</t>
        </is>
      </c>
      <c r="J231" s="11" t="inlineStr">
        <is>
          <t>-</t>
        </is>
      </c>
      <c r="K231" s="11" t="inlineStr">
        <is>
          <t>-</t>
        </is>
      </c>
      <c r="L231" s="11" t="inlineStr">
        <is>
          <t>-</t>
        </is>
      </c>
      <c r="M231" s="11" t="inlineStr">
        <is>
          <t>-</t>
        </is>
      </c>
      <c r="N231" s="11" t="inlineStr">
        <is>
          <t>-</t>
        </is>
      </c>
      <c r="O231" s="11" t="inlineStr">
        <is>
          <t>-</t>
        </is>
      </c>
      <c r="P231" s="11" t="inlineStr">
        <is>
          <t>-</t>
        </is>
      </c>
      <c r="Q231" s="12" t="inlineStr">
        <is>
          <t>-</t>
        </is>
      </c>
    </row>
    <row r="232">
      <c r="A232" s="47" t="n"/>
      <c r="B232" s="13" t="inlineStr">
        <is>
          <t>-</t>
        </is>
      </c>
      <c r="C232" s="14" t="inlineStr">
        <is>
          <t>-</t>
        </is>
      </c>
      <c r="D232" s="14" t="inlineStr">
        <is>
          <t>-</t>
        </is>
      </c>
      <c r="E232" s="14" t="inlineStr">
        <is>
          <t>-</t>
        </is>
      </c>
      <c r="F232" s="14" t="inlineStr">
        <is>
          <t>-</t>
        </is>
      </c>
      <c r="G232" s="14" t="inlineStr">
        <is>
          <t>-</t>
        </is>
      </c>
      <c r="H232" s="14" t="inlineStr">
        <is>
          <t>-</t>
        </is>
      </c>
      <c r="I232" s="14" t="inlineStr">
        <is>
          <t>-</t>
        </is>
      </c>
      <c r="J232" s="14" t="inlineStr">
        <is>
          <t>-</t>
        </is>
      </c>
      <c r="K232" s="14" t="inlineStr">
        <is>
          <t>-</t>
        </is>
      </c>
      <c r="L232" s="14" t="inlineStr">
        <is>
          <t>-</t>
        </is>
      </c>
      <c r="M232" s="14" t="inlineStr">
        <is>
          <t>-</t>
        </is>
      </c>
      <c r="N232" s="14" t="inlineStr">
        <is>
          <t>-</t>
        </is>
      </c>
      <c r="O232" s="14" t="inlineStr">
        <is>
          <t>-</t>
        </is>
      </c>
      <c r="P232" s="14" t="inlineStr">
        <is>
          <t>-</t>
        </is>
      </c>
      <c r="Q232" s="15" t="inlineStr">
        <is>
          <t>-</t>
        </is>
      </c>
    </row>
    <row r="233">
      <c r="A233" s="47" t="n"/>
      <c r="B233" s="16" t="inlineStr">
        <is>
          <t>-</t>
        </is>
      </c>
      <c r="C233" s="11" t="inlineStr">
        <is>
          <t>-</t>
        </is>
      </c>
      <c r="D233" s="11" t="inlineStr">
        <is>
          <t>-</t>
        </is>
      </c>
      <c r="E233" s="11" t="inlineStr">
        <is>
          <t>-</t>
        </is>
      </c>
      <c r="F233" s="11" t="inlineStr">
        <is>
          <t>-</t>
        </is>
      </c>
      <c r="G233" s="11" t="inlineStr">
        <is>
          <t>-</t>
        </is>
      </c>
      <c r="H233" s="11" t="inlineStr">
        <is>
          <t>-</t>
        </is>
      </c>
      <c r="I233" s="11" t="inlineStr">
        <is>
          <t>-</t>
        </is>
      </c>
      <c r="J233" s="11" t="inlineStr">
        <is>
          <t>-</t>
        </is>
      </c>
      <c r="K233" s="11" t="inlineStr">
        <is>
          <t>-</t>
        </is>
      </c>
      <c r="L233" s="11" t="inlineStr">
        <is>
          <t>-</t>
        </is>
      </c>
      <c r="M233" s="11" t="inlineStr">
        <is>
          <t>-</t>
        </is>
      </c>
      <c r="N233" s="11" t="inlineStr">
        <is>
          <t>-</t>
        </is>
      </c>
      <c r="O233" s="11" t="inlineStr">
        <is>
          <t>-</t>
        </is>
      </c>
      <c r="P233" s="11" t="inlineStr">
        <is>
          <t>-</t>
        </is>
      </c>
      <c r="Q233" s="12" t="inlineStr">
        <is>
          <t>-</t>
        </is>
      </c>
    </row>
    <row r="234">
      <c r="A234" s="47" t="n"/>
      <c r="B234" s="13" t="inlineStr">
        <is>
          <t>-</t>
        </is>
      </c>
      <c r="C234" s="14" t="inlineStr">
        <is>
          <t>-</t>
        </is>
      </c>
      <c r="D234" s="14" t="inlineStr">
        <is>
          <t>-</t>
        </is>
      </c>
      <c r="E234" s="14" t="inlineStr">
        <is>
          <t>-</t>
        </is>
      </c>
      <c r="F234" s="14" t="inlineStr">
        <is>
          <t>-</t>
        </is>
      </c>
      <c r="G234" s="14" t="inlineStr">
        <is>
          <t>-</t>
        </is>
      </c>
      <c r="H234" s="14" t="inlineStr">
        <is>
          <t>-</t>
        </is>
      </c>
      <c r="I234" s="14" t="inlineStr">
        <is>
          <t>-</t>
        </is>
      </c>
      <c r="J234" s="14" t="inlineStr">
        <is>
          <t>-</t>
        </is>
      </c>
      <c r="K234" s="14" t="inlineStr">
        <is>
          <t>-</t>
        </is>
      </c>
      <c r="L234" s="14" t="inlineStr">
        <is>
          <t>-</t>
        </is>
      </c>
      <c r="M234" s="14" t="inlineStr">
        <is>
          <t>-</t>
        </is>
      </c>
      <c r="N234" s="14" t="inlineStr">
        <is>
          <t>-</t>
        </is>
      </c>
      <c r="O234" s="14" t="inlineStr">
        <is>
          <t>-</t>
        </is>
      </c>
      <c r="P234" s="14" t="inlineStr">
        <is>
          <t>-</t>
        </is>
      </c>
      <c r="Q234" s="15" t="inlineStr">
        <is>
          <t>-</t>
        </is>
      </c>
    </row>
    <row r="235">
      <c r="A235" s="47" t="n"/>
      <c r="B235" s="16" t="inlineStr">
        <is>
          <t>-</t>
        </is>
      </c>
      <c r="C235" s="11" t="inlineStr">
        <is>
          <t>-</t>
        </is>
      </c>
      <c r="D235" s="11" t="inlineStr">
        <is>
          <t>-</t>
        </is>
      </c>
      <c r="E235" s="11" t="inlineStr">
        <is>
          <t>-</t>
        </is>
      </c>
      <c r="F235" s="11" t="inlineStr">
        <is>
          <t>-</t>
        </is>
      </c>
      <c r="G235" s="11" t="inlineStr">
        <is>
          <t>-</t>
        </is>
      </c>
      <c r="H235" s="11" t="inlineStr">
        <is>
          <t>-</t>
        </is>
      </c>
      <c r="I235" s="11" t="inlineStr">
        <is>
          <t>-</t>
        </is>
      </c>
      <c r="J235" s="11" t="inlineStr">
        <is>
          <t>-</t>
        </is>
      </c>
      <c r="K235" s="11" t="inlineStr">
        <is>
          <t>-</t>
        </is>
      </c>
      <c r="L235" s="11" t="inlineStr">
        <is>
          <t>-</t>
        </is>
      </c>
      <c r="M235" s="11" t="inlineStr">
        <is>
          <t>-</t>
        </is>
      </c>
      <c r="N235" s="11" t="inlineStr">
        <is>
          <t>-</t>
        </is>
      </c>
      <c r="O235" s="11" t="inlineStr">
        <is>
          <t>-</t>
        </is>
      </c>
      <c r="P235" s="11" t="inlineStr">
        <is>
          <t>-</t>
        </is>
      </c>
      <c r="Q235" s="12" t="inlineStr">
        <is>
          <t>-</t>
        </is>
      </c>
    </row>
    <row r="236">
      <c r="A236" s="47" t="n"/>
      <c r="B236" s="13" t="inlineStr">
        <is>
          <t>-</t>
        </is>
      </c>
      <c r="C236" s="14" t="inlineStr">
        <is>
          <t>-</t>
        </is>
      </c>
      <c r="D236" s="14" t="inlineStr">
        <is>
          <t>-</t>
        </is>
      </c>
      <c r="E236" s="14" t="inlineStr">
        <is>
          <t>-</t>
        </is>
      </c>
      <c r="F236" s="14" t="inlineStr">
        <is>
          <t>-</t>
        </is>
      </c>
      <c r="G236" s="14" t="inlineStr">
        <is>
          <t>-</t>
        </is>
      </c>
      <c r="H236" s="14" t="inlineStr">
        <is>
          <t>-</t>
        </is>
      </c>
      <c r="I236" s="14" t="inlineStr">
        <is>
          <t>-</t>
        </is>
      </c>
      <c r="J236" s="14" t="inlineStr">
        <is>
          <t>-</t>
        </is>
      </c>
      <c r="K236" s="14" t="inlineStr">
        <is>
          <t>-</t>
        </is>
      </c>
      <c r="L236" s="14" t="inlineStr">
        <is>
          <t>-</t>
        </is>
      </c>
      <c r="M236" s="14" t="inlineStr">
        <is>
          <t>-</t>
        </is>
      </c>
      <c r="N236" s="14" t="inlineStr">
        <is>
          <t>-</t>
        </is>
      </c>
      <c r="O236" s="14" t="inlineStr">
        <is>
          <t>-</t>
        </is>
      </c>
      <c r="P236" s="14" t="inlineStr">
        <is>
          <t>-</t>
        </is>
      </c>
      <c r="Q236" s="15" t="inlineStr">
        <is>
          <t>-</t>
        </is>
      </c>
    </row>
    <row r="237">
      <c r="A237" s="47" t="n"/>
      <c r="B237" s="16" t="inlineStr">
        <is>
          <t>-</t>
        </is>
      </c>
      <c r="C237" s="11" t="inlineStr">
        <is>
          <t>-</t>
        </is>
      </c>
      <c r="D237" s="11" t="inlineStr">
        <is>
          <t>-</t>
        </is>
      </c>
      <c r="E237" s="11" t="inlineStr">
        <is>
          <t>-</t>
        </is>
      </c>
      <c r="F237" s="11" t="inlineStr">
        <is>
          <t>-</t>
        </is>
      </c>
      <c r="G237" s="11" t="inlineStr">
        <is>
          <t>-</t>
        </is>
      </c>
      <c r="H237" s="11" t="inlineStr">
        <is>
          <t>-</t>
        </is>
      </c>
      <c r="I237" s="11" t="inlineStr">
        <is>
          <t>-</t>
        </is>
      </c>
      <c r="J237" s="11" t="inlineStr">
        <is>
          <t>-</t>
        </is>
      </c>
      <c r="K237" s="11" t="inlineStr">
        <is>
          <t>-</t>
        </is>
      </c>
      <c r="L237" s="11" t="inlineStr">
        <is>
          <t>-</t>
        </is>
      </c>
      <c r="M237" s="11" t="inlineStr">
        <is>
          <t>-</t>
        </is>
      </c>
      <c r="N237" s="11" t="inlineStr">
        <is>
          <t>-</t>
        </is>
      </c>
      <c r="O237" s="11" t="inlineStr">
        <is>
          <t>-</t>
        </is>
      </c>
      <c r="P237" s="11" t="inlineStr">
        <is>
          <t>-</t>
        </is>
      </c>
      <c r="Q237" s="12" t="inlineStr">
        <is>
          <t>-</t>
        </is>
      </c>
    </row>
    <row r="238">
      <c r="A238" s="47" t="n"/>
      <c r="B238" s="13" t="inlineStr">
        <is>
          <t>-</t>
        </is>
      </c>
      <c r="C238" s="14" t="inlineStr">
        <is>
          <t>-</t>
        </is>
      </c>
      <c r="D238" s="14" t="inlineStr">
        <is>
          <t>-</t>
        </is>
      </c>
      <c r="E238" s="14" t="inlineStr">
        <is>
          <t>-</t>
        </is>
      </c>
      <c r="F238" s="14" t="inlineStr">
        <is>
          <t>-</t>
        </is>
      </c>
      <c r="G238" s="14" t="inlineStr">
        <is>
          <t>-</t>
        </is>
      </c>
      <c r="H238" s="14" t="inlineStr">
        <is>
          <t>-</t>
        </is>
      </c>
      <c r="I238" s="14" t="inlineStr">
        <is>
          <t>-</t>
        </is>
      </c>
      <c r="J238" s="14" t="inlineStr">
        <is>
          <t>-</t>
        </is>
      </c>
      <c r="K238" s="14" t="inlineStr">
        <is>
          <t>-</t>
        </is>
      </c>
      <c r="L238" s="14" t="inlineStr">
        <is>
          <t>-</t>
        </is>
      </c>
      <c r="M238" s="14" t="inlineStr">
        <is>
          <t>-</t>
        </is>
      </c>
      <c r="N238" s="14" t="inlineStr">
        <is>
          <t>-</t>
        </is>
      </c>
      <c r="O238" s="14" t="inlineStr">
        <is>
          <t>-</t>
        </is>
      </c>
      <c r="P238" s="14" t="inlineStr">
        <is>
          <t>-</t>
        </is>
      </c>
      <c r="Q238" s="15" t="inlineStr">
        <is>
          <t>-</t>
        </is>
      </c>
    </row>
    <row r="239">
      <c r="A239" s="47" t="n"/>
      <c r="B239" s="16" t="inlineStr">
        <is>
          <t>-</t>
        </is>
      </c>
      <c r="C239" s="11" t="inlineStr">
        <is>
          <t>-</t>
        </is>
      </c>
      <c r="D239" s="11" t="inlineStr">
        <is>
          <t>-</t>
        </is>
      </c>
      <c r="E239" s="11" t="inlineStr">
        <is>
          <t>-</t>
        </is>
      </c>
      <c r="F239" s="11" t="inlineStr">
        <is>
          <t>-</t>
        </is>
      </c>
      <c r="G239" s="11" t="inlineStr">
        <is>
          <t>-</t>
        </is>
      </c>
      <c r="H239" s="11" t="inlineStr">
        <is>
          <t>-</t>
        </is>
      </c>
      <c r="I239" s="11" t="inlineStr">
        <is>
          <t>-</t>
        </is>
      </c>
      <c r="J239" s="11" t="inlineStr">
        <is>
          <t>-</t>
        </is>
      </c>
      <c r="K239" s="11" t="inlineStr">
        <is>
          <t>-</t>
        </is>
      </c>
      <c r="L239" s="11" t="inlineStr">
        <is>
          <t>-</t>
        </is>
      </c>
      <c r="M239" s="11" t="inlineStr">
        <is>
          <t>-</t>
        </is>
      </c>
      <c r="N239" s="11" t="inlineStr">
        <is>
          <t>-</t>
        </is>
      </c>
      <c r="O239" s="11" t="inlineStr">
        <is>
          <t>-</t>
        </is>
      </c>
      <c r="P239" s="11" t="inlineStr">
        <is>
          <t>-</t>
        </is>
      </c>
      <c r="Q239" s="12" t="inlineStr">
        <is>
          <t>-</t>
        </is>
      </c>
    </row>
    <row r="240">
      <c r="A240" s="47" t="n"/>
      <c r="B240" s="13" t="inlineStr">
        <is>
          <t>-</t>
        </is>
      </c>
      <c r="C240" s="14" t="inlineStr">
        <is>
          <t>-</t>
        </is>
      </c>
      <c r="D240" s="14" t="inlineStr">
        <is>
          <t>-</t>
        </is>
      </c>
      <c r="E240" s="14" t="inlineStr">
        <is>
          <t>-</t>
        </is>
      </c>
      <c r="F240" s="14" t="inlineStr">
        <is>
          <t>-</t>
        </is>
      </c>
      <c r="G240" s="14" t="inlineStr">
        <is>
          <t>-</t>
        </is>
      </c>
      <c r="H240" s="14" t="inlineStr">
        <is>
          <t>-</t>
        </is>
      </c>
      <c r="I240" s="14" t="inlineStr">
        <is>
          <t>-</t>
        </is>
      </c>
      <c r="J240" s="14" t="inlineStr">
        <is>
          <t>-</t>
        </is>
      </c>
      <c r="K240" s="14" t="inlineStr">
        <is>
          <t>-</t>
        </is>
      </c>
      <c r="L240" s="14" t="inlineStr">
        <is>
          <t>-</t>
        </is>
      </c>
      <c r="M240" s="14" t="inlineStr">
        <is>
          <t>-</t>
        </is>
      </c>
      <c r="N240" s="14" t="inlineStr">
        <is>
          <t>-</t>
        </is>
      </c>
      <c r="O240" s="14" t="inlineStr">
        <is>
          <t>-</t>
        </is>
      </c>
      <c r="P240" s="14" t="inlineStr">
        <is>
          <t>-</t>
        </is>
      </c>
      <c r="Q240" s="15" t="inlineStr">
        <is>
          <t>-</t>
        </is>
      </c>
    </row>
    <row r="241">
      <c r="A241" s="47" t="n"/>
      <c r="B241" s="16" t="inlineStr">
        <is>
          <t>-</t>
        </is>
      </c>
      <c r="C241" s="11" t="inlineStr">
        <is>
          <t>-</t>
        </is>
      </c>
      <c r="D241" s="11" t="inlineStr">
        <is>
          <t>-</t>
        </is>
      </c>
      <c r="E241" s="11" t="inlineStr">
        <is>
          <t>-</t>
        </is>
      </c>
      <c r="F241" s="11" t="inlineStr">
        <is>
          <t>-</t>
        </is>
      </c>
      <c r="G241" s="11" t="inlineStr">
        <is>
          <t>-</t>
        </is>
      </c>
      <c r="H241" s="11" t="inlineStr">
        <is>
          <t>-</t>
        </is>
      </c>
      <c r="I241" s="11" t="inlineStr">
        <is>
          <t>-</t>
        </is>
      </c>
      <c r="J241" s="11" t="inlineStr">
        <is>
          <t>-</t>
        </is>
      </c>
      <c r="K241" s="11" t="inlineStr">
        <is>
          <t>-</t>
        </is>
      </c>
      <c r="L241" s="11" t="inlineStr">
        <is>
          <t>-</t>
        </is>
      </c>
      <c r="M241" s="11" t="inlineStr">
        <is>
          <t>-</t>
        </is>
      </c>
      <c r="N241" s="11" t="inlineStr">
        <is>
          <t>-</t>
        </is>
      </c>
      <c r="O241" s="11" t="inlineStr">
        <is>
          <t>-</t>
        </is>
      </c>
      <c r="P241" s="11" t="inlineStr">
        <is>
          <t>-</t>
        </is>
      </c>
      <c r="Q241" s="12" t="inlineStr">
        <is>
          <t>-</t>
        </is>
      </c>
    </row>
    <row r="242" ht="36" customHeight="1" s="155">
      <c r="B242" s="9" t="inlineStr">
        <is>
          <t>focaccia margherita</t>
        </is>
      </c>
      <c r="C242" s="49">
        <f>_xlfn.XLOOKUP(A243,Magazzino!$D$1:$D$1500,Magazzino!$F$1:$F$1500,"",0,1)</f>
        <v/>
      </c>
      <c r="D242" s="50">
        <f>_xlfn.XLOOKUP(A244,Magazzino!$D$1:$D$1500,Magazzino!$F$1:$F$1500,"",0,1)</f>
        <v/>
      </c>
      <c r="E242" s="50">
        <f>_xlfn.XLOOKUP(A245,Magazzino!$D$1:$D$1500,Magazzino!$F$1:$F$1500,"",0,1)</f>
        <v/>
      </c>
      <c r="F242" s="50">
        <f>_xlfn.XLOOKUP(A246,Magazzino!$D$1:$D$1500,Magazzino!$F$1:$F$1500,"",0,1)</f>
        <v/>
      </c>
      <c r="G242" s="50">
        <f>_xlfn.XLOOKUP(A247,Magazzino!$D$1:$D$1500,Magazzino!$F$1:$F$1500,"",0,1)</f>
        <v/>
      </c>
      <c r="H242" s="50">
        <f>_xlfn.XLOOKUP(A248,Magazzino!$D$1:$D$1500,Magazzino!$F$1:$F$1500,"",0,1)</f>
        <v/>
      </c>
      <c r="I242" s="50">
        <f>_xlfn.XLOOKUP(A249,Magazzino!$D$1:$D$1500,Magazzino!$F$1:$F$1500,"",0,1)</f>
        <v/>
      </c>
      <c r="J242" s="50">
        <f>_xlfn.XLOOKUP(A250,Magazzino!$D$1:$D$1500,Magazzino!$F$1:$F$1500,"",0,1)</f>
        <v/>
      </c>
      <c r="K242" s="50">
        <f>_xlfn.XLOOKUP(A251,Magazzino!$D$1:$D$1500,Magazzino!$F$1:$F$1500,"",0,1)</f>
        <v/>
      </c>
      <c r="L242" s="50">
        <f>_xlfn.XLOOKUP(A252,Magazzino!$D$1:$D$1500,Magazzino!$F$1:$F$1500,"",0,1)</f>
        <v/>
      </c>
      <c r="M242" s="50">
        <f>_xlfn.XLOOKUP(A253,Magazzino!$D$1:$D$1500,Magazzino!$F$1:$F$1500,"",0,1)</f>
        <v/>
      </c>
      <c r="N242" s="50">
        <f>_xlfn.XLOOKUP(A254,Magazzino!$D$1:$D$1500,Magazzino!$F$1:$F$1500,"",0,1)</f>
        <v/>
      </c>
      <c r="O242" s="50">
        <f>_xlfn.XLOOKUP(A255,Magazzino!$D$1:$D$1500,Magazzino!$F$1:$F$1500,"",0,1)</f>
        <v/>
      </c>
      <c r="P242" s="50">
        <f>_xlfn.XLOOKUP(A256,Magazzino!$D$1:$D$1500,Magazzino!$F$1:$F$1500,"",0,1)</f>
        <v/>
      </c>
      <c r="Q242" s="51">
        <f>_xlfn.XLOOKUP(A257,Magazzino!$D$1:$D$1500,Magazzino!$F$1:$F$1500,"",0,1)</f>
        <v/>
      </c>
    </row>
    <row r="243">
      <c r="A243" s="47" t="inlineStr">
        <is>
          <t xml:space="preserve">FARINA 0/MAN. CAPUTO DA KG.25  </t>
        </is>
      </c>
      <c r="B243" s="10" t="inlineStr">
        <is>
          <t>-</t>
        </is>
      </c>
      <c r="C243" s="11" t="inlineStr">
        <is>
          <t>-</t>
        </is>
      </c>
      <c r="D243" s="11" t="inlineStr">
        <is>
          <t>-</t>
        </is>
      </c>
      <c r="E243" s="11" t="inlineStr">
        <is>
          <t>-</t>
        </is>
      </c>
      <c r="F243" s="11" t="inlineStr">
        <is>
          <t>-</t>
        </is>
      </c>
      <c r="G243" s="11" t="inlineStr">
        <is>
          <t>-</t>
        </is>
      </c>
      <c r="H243" s="11" t="inlineStr">
        <is>
          <t>-</t>
        </is>
      </c>
      <c r="I243" s="11" t="inlineStr">
        <is>
          <t>-</t>
        </is>
      </c>
      <c r="J243" s="11" t="inlineStr">
        <is>
          <t>-</t>
        </is>
      </c>
      <c r="K243" s="11" t="inlineStr">
        <is>
          <t>-</t>
        </is>
      </c>
      <c r="L243" s="11" t="inlineStr">
        <is>
          <t>-</t>
        </is>
      </c>
      <c r="M243" s="11" t="inlineStr">
        <is>
          <t>-</t>
        </is>
      </c>
      <c r="N243" s="11" t="inlineStr">
        <is>
          <t>-</t>
        </is>
      </c>
      <c r="O243" s="11" t="inlineStr">
        <is>
          <t>-</t>
        </is>
      </c>
      <c r="P243" s="11" t="inlineStr">
        <is>
          <t>-</t>
        </is>
      </c>
      <c r="Q243" s="12" t="inlineStr">
        <is>
          <t>-</t>
        </is>
      </c>
    </row>
    <row r="244">
      <c r="A244" s="48" t="inlineStr">
        <is>
          <t xml:space="preserve">SALE SACCHI SALTECHNO KG.25  </t>
        </is>
      </c>
      <c r="B244" s="13" t="inlineStr">
        <is>
          <t>-</t>
        </is>
      </c>
      <c r="C244" s="14" t="inlineStr">
        <is>
          <t>-</t>
        </is>
      </c>
      <c r="D244" s="14" t="inlineStr">
        <is>
          <t>-</t>
        </is>
      </c>
      <c r="E244" s="14" t="inlineStr">
        <is>
          <t>-</t>
        </is>
      </c>
      <c r="F244" s="14" t="inlineStr">
        <is>
          <t>-</t>
        </is>
      </c>
      <c r="G244" s="14" t="inlineStr">
        <is>
          <t>-</t>
        </is>
      </c>
      <c r="H244" s="14" t="inlineStr">
        <is>
          <t>-</t>
        </is>
      </c>
      <c r="I244" s="14" t="inlineStr">
        <is>
          <t>-</t>
        </is>
      </c>
      <c r="J244" s="14" t="inlineStr">
        <is>
          <t>-</t>
        </is>
      </c>
      <c r="K244" s="14" t="inlineStr">
        <is>
          <t>-</t>
        </is>
      </c>
      <c r="L244" s="14" t="inlineStr">
        <is>
          <t>-</t>
        </is>
      </c>
      <c r="M244" s="14" t="inlineStr">
        <is>
          <t>-</t>
        </is>
      </c>
      <c r="N244" s="14" t="inlineStr">
        <is>
          <t>-</t>
        </is>
      </c>
      <c r="O244" s="14" t="inlineStr">
        <is>
          <t>-</t>
        </is>
      </c>
      <c r="P244" s="14" t="inlineStr">
        <is>
          <t>-</t>
        </is>
      </c>
      <c r="Q244" s="15" t="inlineStr">
        <is>
          <t>-</t>
        </is>
      </c>
    </row>
    <row r="245">
      <c r="A245" s="47" t="inlineStr">
        <is>
          <t>LIEVITO x 2.5kg</t>
        </is>
      </c>
      <c r="B245" s="16" t="inlineStr">
        <is>
          <t>-</t>
        </is>
      </c>
      <c r="C245" s="11" t="inlineStr">
        <is>
          <t>-</t>
        </is>
      </c>
      <c r="D245" s="11" t="inlineStr">
        <is>
          <t>-</t>
        </is>
      </c>
      <c r="E245" s="11" t="inlineStr">
        <is>
          <t>-</t>
        </is>
      </c>
      <c r="F245" s="11" t="inlineStr">
        <is>
          <t>-</t>
        </is>
      </c>
      <c r="G245" s="11" t="inlineStr">
        <is>
          <t>-</t>
        </is>
      </c>
      <c r="H245" s="11" t="inlineStr">
        <is>
          <t>-</t>
        </is>
      </c>
      <c r="I245" s="11" t="inlineStr">
        <is>
          <t>-</t>
        </is>
      </c>
      <c r="J245" s="11" t="inlineStr">
        <is>
          <t>-</t>
        </is>
      </c>
      <c r="K245" s="11" t="inlineStr">
        <is>
          <t>-</t>
        </is>
      </c>
      <c r="L245" s="11" t="inlineStr">
        <is>
          <t>-</t>
        </is>
      </c>
      <c r="M245" s="11" t="inlineStr">
        <is>
          <t>-</t>
        </is>
      </c>
      <c r="N245" s="11" t="inlineStr">
        <is>
          <t>-</t>
        </is>
      </c>
      <c r="O245" s="11" t="inlineStr">
        <is>
          <t>-</t>
        </is>
      </c>
      <c r="P245" s="11" t="inlineStr">
        <is>
          <t>-</t>
        </is>
      </c>
      <c r="Q245" s="12" t="inlineStr">
        <is>
          <t>-</t>
        </is>
      </c>
    </row>
    <row r="246">
      <c r="A246" s="47" t="inlineStr">
        <is>
          <t xml:space="preserve">STRUTTO RAFFINATO I B VERDE  </t>
        </is>
      </c>
      <c r="B246" s="13" t="inlineStr">
        <is>
          <t>-</t>
        </is>
      </c>
      <c r="C246" s="14" t="inlineStr">
        <is>
          <t>-</t>
        </is>
      </c>
      <c r="D246" s="14" t="inlineStr">
        <is>
          <t>-</t>
        </is>
      </c>
      <c r="E246" s="14" t="inlineStr">
        <is>
          <t>-</t>
        </is>
      </c>
      <c r="F246" s="14" t="inlineStr">
        <is>
          <t>-</t>
        </is>
      </c>
      <c r="G246" s="14" t="inlineStr">
        <is>
          <t>-</t>
        </is>
      </c>
      <c r="H246" s="14" t="inlineStr">
        <is>
          <t>-</t>
        </is>
      </c>
      <c r="I246" s="14" t="inlineStr">
        <is>
          <t>-</t>
        </is>
      </c>
      <c r="J246" s="14" t="inlineStr">
        <is>
          <t>-</t>
        </is>
      </c>
      <c r="K246" s="14" t="inlineStr">
        <is>
          <t>-</t>
        </is>
      </c>
      <c r="L246" s="14" t="inlineStr">
        <is>
          <t>-</t>
        </is>
      </c>
      <c r="M246" s="14" t="inlineStr">
        <is>
          <t>-</t>
        </is>
      </c>
      <c r="N246" s="14" t="inlineStr">
        <is>
          <t>-</t>
        </is>
      </c>
      <c r="O246" s="14" t="inlineStr">
        <is>
          <t>-</t>
        </is>
      </c>
      <c r="P246" s="14" t="inlineStr">
        <is>
          <t>-</t>
        </is>
      </c>
      <c r="Q246" s="15" t="inlineStr">
        <is>
          <t>-</t>
        </is>
      </c>
    </row>
    <row r="247">
      <c r="A247" s="47" t="inlineStr">
        <is>
          <t>pomodori</t>
        </is>
      </c>
      <c r="B247" s="16" t="inlineStr">
        <is>
          <t>-</t>
        </is>
      </c>
      <c r="C247" s="11" t="inlineStr">
        <is>
          <t>-</t>
        </is>
      </c>
      <c r="D247" s="11" t="inlineStr">
        <is>
          <t>-</t>
        </is>
      </c>
      <c r="E247" s="11" t="inlineStr">
        <is>
          <t>-</t>
        </is>
      </c>
      <c r="F247" s="11" t="inlineStr">
        <is>
          <t>-</t>
        </is>
      </c>
      <c r="G247" s="11" t="inlineStr">
        <is>
          <t>-</t>
        </is>
      </c>
      <c r="H247" s="11" t="inlineStr">
        <is>
          <t>-</t>
        </is>
      </c>
      <c r="I247" s="11" t="inlineStr">
        <is>
          <t>-</t>
        </is>
      </c>
      <c r="J247" s="11" t="inlineStr">
        <is>
          <t>-</t>
        </is>
      </c>
      <c r="K247" s="11" t="inlineStr">
        <is>
          <t>-</t>
        </is>
      </c>
      <c r="L247" s="11" t="inlineStr">
        <is>
          <t>-</t>
        </is>
      </c>
      <c r="M247" s="11" t="inlineStr">
        <is>
          <t>-</t>
        </is>
      </c>
      <c r="N247" s="11" t="inlineStr">
        <is>
          <t>-</t>
        </is>
      </c>
      <c r="O247" s="11" t="inlineStr">
        <is>
          <t>-</t>
        </is>
      </c>
      <c r="P247" s="11" t="inlineStr">
        <is>
          <t>-</t>
        </is>
      </c>
      <c r="Q247" s="12" t="inlineStr">
        <is>
          <t>-</t>
        </is>
      </c>
    </row>
    <row r="248">
      <c r="A248" s="47" t="inlineStr">
        <is>
          <t>fiori e provola</t>
        </is>
      </c>
      <c r="B248" s="13" t="inlineStr">
        <is>
          <t>-</t>
        </is>
      </c>
      <c r="C248" s="14" t="inlineStr">
        <is>
          <t>-</t>
        </is>
      </c>
      <c r="D248" s="14" t="inlineStr">
        <is>
          <t>-</t>
        </is>
      </c>
      <c r="E248" s="14" t="inlineStr">
        <is>
          <t>-</t>
        </is>
      </c>
      <c r="F248" s="14" t="inlineStr">
        <is>
          <t>-</t>
        </is>
      </c>
      <c r="G248" s="14" t="inlineStr">
        <is>
          <t>-</t>
        </is>
      </c>
      <c r="H248" s="14" t="inlineStr">
        <is>
          <t>-</t>
        </is>
      </c>
      <c r="I248" s="14" t="inlineStr">
        <is>
          <t>-</t>
        </is>
      </c>
      <c r="J248" s="14" t="inlineStr">
        <is>
          <t>-</t>
        </is>
      </c>
      <c r="K248" s="14" t="inlineStr">
        <is>
          <t>-</t>
        </is>
      </c>
      <c r="L248" s="14" t="inlineStr">
        <is>
          <t>-</t>
        </is>
      </c>
      <c r="M248" s="14" t="inlineStr">
        <is>
          <t>-</t>
        </is>
      </c>
      <c r="N248" s="14" t="inlineStr">
        <is>
          <t>-</t>
        </is>
      </c>
      <c r="O248" s="14" t="inlineStr">
        <is>
          <t>-</t>
        </is>
      </c>
      <c r="P248" s="14" t="inlineStr">
        <is>
          <t>-</t>
        </is>
      </c>
      <c r="Q248" s="15" t="inlineStr">
        <is>
          <t>-</t>
        </is>
      </c>
    </row>
    <row r="249">
      <c r="A249" s="47" t="n"/>
      <c r="B249" s="16" t="inlineStr">
        <is>
          <t>-</t>
        </is>
      </c>
      <c r="C249" s="11" t="inlineStr">
        <is>
          <t>-</t>
        </is>
      </c>
      <c r="D249" s="11" t="inlineStr">
        <is>
          <t>-</t>
        </is>
      </c>
      <c r="E249" s="11" t="inlineStr">
        <is>
          <t>-</t>
        </is>
      </c>
      <c r="F249" s="11" t="inlineStr">
        <is>
          <t>-</t>
        </is>
      </c>
      <c r="G249" s="11" t="inlineStr">
        <is>
          <t>-</t>
        </is>
      </c>
      <c r="H249" s="11" t="inlineStr">
        <is>
          <t>-</t>
        </is>
      </c>
      <c r="I249" s="11" t="inlineStr">
        <is>
          <t>-</t>
        </is>
      </c>
      <c r="J249" s="11" t="inlineStr">
        <is>
          <t>-</t>
        </is>
      </c>
      <c r="K249" s="11" t="inlineStr">
        <is>
          <t>-</t>
        </is>
      </c>
      <c r="L249" s="11" t="inlineStr">
        <is>
          <t>-</t>
        </is>
      </c>
      <c r="M249" s="11" t="inlineStr">
        <is>
          <t>-</t>
        </is>
      </c>
      <c r="N249" s="11" t="inlineStr">
        <is>
          <t>-</t>
        </is>
      </c>
      <c r="O249" s="11" t="inlineStr">
        <is>
          <t>-</t>
        </is>
      </c>
      <c r="P249" s="11" t="inlineStr">
        <is>
          <t>-</t>
        </is>
      </c>
      <c r="Q249" s="12" t="inlineStr">
        <is>
          <t>-</t>
        </is>
      </c>
    </row>
    <row r="250">
      <c r="A250" s="47" t="n"/>
      <c r="B250" s="13" t="inlineStr">
        <is>
          <t>-</t>
        </is>
      </c>
      <c r="C250" s="14" t="inlineStr">
        <is>
          <t>-</t>
        </is>
      </c>
      <c r="D250" s="14" t="inlineStr">
        <is>
          <t>-</t>
        </is>
      </c>
      <c r="E250" s="14" t="inlineStr">
        <is>
          <t>-</t>
        </is>
      </c>
      <c r="F250" s="14" t="inlineStr">
        <is>
          <t>-</t>
        </is>
      </c>
      <c r="G250" s="14" t="inlineStr">
        <is>
          <t>-</t>
        </is>
      </c>
      <c r="H250" s="14" t="inlineStr">
        <is>
          <t>-</t>
        </is>
      </c>
      <c r="I250" s="14" t="inlineStr">
        <is>
          <t>-</t>
        </is>
      </c>
      <c r="J250" s="14" t="inlineStr">
        <is>
          <t>-</t>
        </is>
      </c>
      <c r="K250" s="14" t="inlineStr">
        <is>
          <t>-</t>
        </is>
      </c>
      <c r="L250" s="14" t="inlineStr">
        <is>
          <t>-</t>
        </is>
      </c>
      <c r="M250" s="14" t="inlineStr">
        <is>
          <t>-</t>
        </is>
      </c>
      <c r="N250" s="14" t="inlineStr">
        <is>
          <t>-</t>
        </is>
      </c>
      <c r="O250" s="14" t="inlineStr">
        <is>
          <t>-</t>
        </is>
      </c>
      <c r="P250" s="14" t="inlineStr">
        <is>
          <t>-</t>
        </is>
      </c>
      <c r="Q250" s="15" t="inlineStr">
        <is>
          <t>-</t>
        </is>
      </c>
    </row>
    <row r="251">
      <c r="A251" s="47" t="n"/>
      <c r="B251" s="16" t="inlineStr">
        <is>
          <t>-</t>
        </is>
      </c>
      <c r="C251" s="11" t="inlineStr">
        <is>
          <t>-</t>
        </is>
      </c>
      <c r="D251" s="11" t="inlineStr">
        <is>
          <t>-</t>
        </is>
      </c>
      <c r="E251" s="11" t="inlineStr">
        <is>
          <t>-</t>
        </is>
      </c>
      <c r="F251" s="11" t="inlineStr">
        <is>
          <t>-</t>
        </is>
      </c>
      <c r="G251" s="11" t="inlineStr">
        <is>
          <t>-</t>
        </is>
      </c>
      <c r="H251" s="11" t="inlineStr">
        <is>
          <t>-</t>
        </is>
      </c>
      <c r="I251" s="11" t="inlineStr">
        <is>
          <t>-</t>
        </is>
      </c>
      <c r="J251" s="11" t="inlineStr">
        <is>
          <t>-</t>
        </is>
      </c>
      <c r="K251" s="11" t="inlineStr">
        <is>
          <t>-</t>
        </is>
      </c>
      <c r="L251" s="11" t="inlineStr">
        <is>
          <t>-</t>
        </is>
      </c>
      <c r="M251" s="11" t="inlineStr">
        <is>
          <t>-</t>
        </is>
      </c>
      <c r="N251" s="11" t="inlineStr">
        <is>
          <t>-</t>
        </is>
      </c>
      <c r="O251" s="11" t="inlineStr">
        <is>
          <t>-</t>
        </is>
      </c>
      <c r="P251" s="11" t="inlineStr">
        <is>
          <t>-</t>
        </is>
      </c>
      <c r="Q251" s="12" t="inlineStr">
        <is>
          <t>-</t>
        </is>
      </c>
    </row>
    <row r="252">
      <c r="A252" s="47" t="n"/>
      <c r="B252" s="13" t="inlineStr">
        <is>
          <t>-</t>
        </is>
      </c>
      <c r="C252" s="14" t="inlineStr">
        <is>
          <t>-</t>
        </is>
      </c>
      <c r="D252" s="14" t="inlineStr">
        <is>
          <t>-</t>
        </is>
      </c>
      <c r="E252" s="14" t="inlineStr">
        <is>
          <t>-</t>
        </is>
      </c>
      <c r="F252" s="14" t="inlineStr">
        <is>
          <t>-</t>
        </is>
      </c>
      <c r="G252" s="14" t="inlineStr">
        <is>
          <t>-</t>
        </is>
      </c>
      <c r="H252" s="14" t="inlineStr">
        <is>
          <t>-</t>
        </is>
      </c>
      <c r="I252" s="14" t="inlineStr">
        <is>
          <t>-</t>
        </is>
      </c>
      <c r="J252" s="14" t="inlineStr">
        <is>
          <t>-</t>
        </is>
      </c>
      <c r="K252" s="14" t="inlineStr">
        <is>
          <t>-</t>
        </is>
      </c>
      <c r="L252" s="14" t="inlineStr">
        <is>
          <t>-</t>
        </is>
      </c>
      <c r="M252" s="14" t="inlineStr">
        <is>
          <t>-</t>
        </is>
      </c>
      <c r="N252" s="14" t="inlineStr">
        <is>
          <t>-</t>
        </is>
      </c>
      <c r="O252" s="14" t="inlineStr">
        <is>
          <t>-</t>
        </is>
      </c>
      <c r="P252" s="14" t="inlineStr">
        <is>
          <t>-</t>
        </is>
      </c>
      <c r="Q252" s="15" t="inlineStr">
        <is>
          <t>-</t>
        </is>
      </c>
    </row>
    <row r="253">
      <c r="A253" s="47" t="n"/>
      <c r="B253" s="16" t="inlineStr">
        <is>
          <t>-</t>
        </is>
      </c>
      <c r="C253" s="11" t="inlineStr">
        <is>
          <t>-</t>
        </is>
      </c>
      <c r="D253" s="11" t="inlineStr">
        <is>
          <t>-</t>
        </is>
      </c>
      <c r="E253" s="11" t="inlineStr">
        <is>
          <t>-</t>
        </is>
      </c>
      <c r="F253" s="11" t="inlineStr">
        <is>
          <t>-</t>
        </is>
      </c>
      <c r="G253" s="11" t="inlineStr">
        <is>
          <t>-</t>
        </is>
      </c>
      <c r="H253" s="11" t="inlineStr">
        <is>
          <t>-</t>
        </is>
      </c>
      <c r="I253" s="11" t="inlineStr">
        <is>
          <t>-</t>
        </is>
      </c>
      <c r="J253" s="11" t="inlineStr">
        <is>
          <t>-</t>
        </is>
      </c>
      <c r="K253" s="11" t="inlineStr">
        <is>
          <t>-</t>
        </is>
      </c>
      <c r="L253" s="11" t="inlineStr">
        <is>
          <t>-</t>
        </is>
      </c>
      <c r="M253" s="11" t="inlineStr">
        <is>
          <t>-</t>
        </is>
      </c>
      <c r="N253" s="11" t="inlineStr">
        <is>
          <t>-</t>
        </is>
      </c>
      <c r="O253" s="11" t="inlineStr">
        <is>
          <t>-</t>
        </is>
      </c>
      <c r="P253" s="11" t="inlineStr">
        <is>
          <t>-</t>
        </is>
      </c>
      <c r="Q253" s="12" t="inlineStr">
        <is>
          <t>-</t>
        </is>
      </c>
    </row>
    <row r="254">
      <c r="A254" s="47" t="n"/>
      <c r="B254" s="13" t="inlineStr">
        <is>
          <t>-</t>
        </is>
      </c>
      <c r="C254" s="14" t="inlineStr">
        <is>
          <t>-</t>
        </is>
      </c>
      <c r="D254" s="14" t="inlineStr">
        <is>
          <t>-</t>
        </is>
      </c>
      <c r="E254" s="14" t="inlineStr">
        <is>
          <t>-</t>
        </is>
      </c>
      <c r="F254" s="14" t="inlineStr">
        <is>
          <t>-</t>
        </is>
      </c>
      <c r="G254" s="14" t="inlineStr">
        <is>
          <t>-</t>
        </is>
      </c>
      <c r="H254" s="14" t="inlineStr">
        <is>
          <t>-</t>
        </is>
      </c>
      <c r="I254" s="14" t="inlineStr">
        <is>
          <t>-</t>
        </is>
      </c>
      <c r="J254" s="14" t="inlineStr">
        <is>
          <t>-</t>
        </is>
      </c>
      <c r="K254" s="14" t="inlineStr">
        <is>
          <t>-</t>
        </is>
      </c>
      <c r="L254" s="14" t="inlineStr">
        <is>
          <t>-</t>
        </is>
      </c>
      <c r="M254" s="14" t="inlineStr">
        <is>
          <t>-</t>
        </is>
      </c>
      <c r="N254" s="14" t="inlineStr">
        <is>
          <t>-</t>
        </is>
      </c>
      <c r="O254" s="14" t="inlineStr">
        <is>
          <t>-</t>
        </is>
      </c>
      <c r="P254" s="14" t="inlineStr">
        <is>
          <t>-</t>
        </is>
      </c>
      <c r="Q254" s="15" t="inlineStr">
        <is>
          <t>-</t>
        </is>
      </c>
    </row>
    <row r="255">
      <c r="A255" s="47" t="n"/>
      <c r="B255" s="16" t="inlineStr">
        <is>
          <t>-</t>
        </is>
      </c>
      <c r="C255" s="11" t="inlineStr">
        <is>
          <t>-</t>
        </is>
      </c>
      <c r="D255" s="11" t="inlineStr">
        <is>
          <t>-</t>
        </is>
      </c>
      <c r="E255" s="11" t="inlineStr">
        <is>
          <t>-</t>
        </is>
      </c>
      <c r="F255" s="11" t="inlineStr">
        <is>
          <t>-</t>
        </is>
      </c>
      <c r="G255" s="11" t="inlineStr">
        <is>
          <t>-</t>
        </is>
      </c>
      <c r="H255" s="11" t="inlineStr">
        <is>
          <t>-</t>
        </is>
      </c>
      <c r="I255" s="11" t="inlineStr">
        <is>
          <t>-</t>
        </is>
      </c>
      <c r="J255" s="11" t="inlineStr">
        <is>
          <t>-</t>
        </is>
      </c>
      <c r="K255" s="11" t="inlineStr">
        <is>
          <t>-</t>
        </is>
      </c>
      <c r="L255" s="11" t="inlineStr">
        <is>
          <t>-</t>
        </is>
      </c>
      <c r="M255" s="11" t="inlineStr">
        <is>
          <t>-</t>
        </is>
      </c>
      <c r="N255" s="11" t="inlineStr">
        <is>
          <t>-</t>
        </is>
      </c>
      <c r="O255" s="11" t="inlineStr">
        <is>
          <t>-</t>
        </is>
      </c>
      <c r="P255" s="11" t="inlineStr">
        <is>
          <t>-</t>
        </is>
      </c>
      <c r="Q255" s="12" t="inlineStr">
        <is>
          <t>-</t>
        </is>
      </c>
    </row>
    <row r="256">
      <c r="A256" s="47" t="n"/>
      <c r="B256" s="13" t="inlineStr">
        <is>
          <t>-</t>
        </is>
      </c>
      <c r="C256" s="14" t="inlineStr">
        <is>
          <t>-</t>
        </is>
      </c>
      <c r="D256" s="14" t="inlineStr">
        <is>
          <t>-</t>
        </is>
      </c>
      <c r="E256" s="14" t="inlineStr">
        <is>
          <t>-</t>
        </is>
      </c>
      <c r="F256" s="14" t="inlineStr">
        <is>
          <t>-</t>
        </is>
      </c>
      <c r="G256" s="14" t="inlineStr">
        <is>
          <t>-</t>
        </is>
      </c>
      <c r="H256" s="14" t="inlineStr">
        <is>
          <t>-</t>
        </is>
      </c>
      <c r="I256" s="14" t="inlineStr">
        <is>
          <t>-</t>
        </is>
      </c>
      <c r="J256" s="14" t="inlineStr">
        <is>
          <t>-</t>
        </is>
      </c>
      <c r="K256" s="14" t="inlineStr">
        <is>
          <t>-</t>
        </is>
      </c>
      <c r="L256" s="14" t="inlineStr">
        <is>
          <t>-</t>
        </is>
      </c>
      <c r="M256" s="14" t="inlineStr">
        <is>
          <t>-</t>
        </is>
      </c>
      <c r="N256" s="14" t="inlineStr">
        <is>
          <t>-</t>
        </is>
      </c>
      <c r="O256" s="14" t="inlineStr">
        <is>
          <t>-</t>
        </is>
      </c>
      <c r="P256" s="14" t="inlineStr">
        <is>
          <t>-</t>
        </is>
      </c>
      <c r="Q256" s="15" t="inlineStr">
        <is>
          <t>-</t>
        </is>
      </c>
    </row>
    <row r="257">
      <c r="A257" s="47" t="n"/>
      <c r="B257" s="16" t="inlineStr">
        <is>
          <t>-</t>
        </is>
      </c>
      <c r="C257" s="11" t="inlineStr">
        <is>
          <t>-</t>
        </is>
      </c>
      <c r="D257" s="11" t="inlineStr">
        <is>
          <t>-</t>
        </is>
      </c>
      <c r="E257" s="11" t="inlineStr">
        <is>
          <t>-</t>
        </is>
      </c>
      <c r="F257" s="11" t="inlineStr">
        <is>
          <t>-</t>
        </is>
      </c>
      <c r="G257" s="11" t="inlineStr">
        <is>
          <t>-</t>
        </is>
      </c>
      <c r="H257" s="11" t="inlineStr">
        <is>
          <t>-</t>
        </is>
      </c>
      <c r="I257" s="11" t="inlineStr">
        <is>
          <t>-</t>
        </is>
      </c>
      <c r="J257" s="11" t="inlineStr">
        <is>
          <t>-</t>
        </is>
      </c>
      <c r="K257" s="11" t="inlineStr">
        <is>
          <t>-</t>
        </is>
      </c>
      <c r="L257" s="11" t="inlineStr">
        <is>
          <t>-</t>
        </is>
      </c>
      <c r="M257" s="11" t="inlineStr">
        <is>
          <t>-</t>
        </is>
      </c>
      <c r="N257" s="11" t="inlineStr">
        <is>
          <t>-</t>
        </is>
      </c>
      <c r="O257" s="11" t="inlineStr">
        <is>
          <t>-</t>
        </is>
      </c>
      <c r="P257" s="11" t="inlineStr">
        <is>
          <t>-</t>
        </is>
      </c>
      <c r="Q257" s="12" t="inlineStr">
        <is>
          <t>-</t>
        </is>
      </c>
    </row>
    <row r="258" ht="36" customHeight="1" s="155">
      <c r="B258" s="9" t="inlineStr">
        <is>
          <t>ragù di pomodoro</t>
        </is>
      </c>
      <c r="C258" s="49">
        <f>_xlfn.XLOOKUP(A259,Magazzino!$D$1:$D$1500,Magazzino!$F$1:$F$1500,"",0,1)</f>
        <v/>
      </c>
      <c r="D258" s="50">
        <f>_xlfn.XLOOKUP(A260,Magazzino!$D$1:$D$1500,Magazzino!$F$1:$F$1500,"",0,1)</f>
        <v/>
      </c>
      <c r="E258" s="50">
        <f>_xlfn.XLOOKUP(A261,Magazzino!$D$1:$D$1500,Magazzino!$F$1:$F$1500,"",0,1)</f>
        <v/>
      </c>
      <c r="F258" s="50">
        <f>_xlfn.XLOOKUP(A262,Magazzino!$D$1:$D$1500,Magazzino!$F$1:$F$1500,"",0,1)</f>
        <v/>
      </c>
      <c r="G258" s="50">
        <f>_xlfn.XLOOKUP(A263,Magazzino!$D$1:$D$1500,Magazzino!$F$1:$F$1500,"",0,1)</f>
        <v/>
      </c>
      <c r="H258" s="50">
        <f>_xlfn.XLOOKUP(A264,Magazzino!$D$1:$D$1500,Magazzino!$F$1:$F$1500,"",0,1)</f>
        <v/>
      </c>
      <c r="I258" s="50">
        <f>_xlfn.XLOOKUP(A265,Magazzino!$D$1:$D$1500,Magazzino!$F$1:$F$1500,"",0,1)</f>
        <v/>
      </c>
      <c r="J258" s="50">
        <f>_xlfn.XLOOKUP(A266,Magazzino!$D$1:$D$1500,Magazzino!$F$1:$F$1500,"",0,1)</f>
        <v/>
      </c>
      <c r="K258" s="50">
        <f>_xlfn.XLOOKUP(A267,Magazzino!$D$1:$D$1500,Magazzino!$F$1:$F$1500,"",0,1)</f>
        <v/>
      </c>
      <c r="L258" s="50">
        <f>_xlfn.XLOOKUP(A268,Magazzino!$D$1:$D$1500,Magazzino!$F$1:$F$1500,"",0,1)</f>
        <v/>
      </c>
      <c r="M258" s="50">
        <f>_xlfn.XLOOKUP(A269,Magazzino!$D$1:$D$1500,Magazzino!$F$1:$F$1500,"",0,1)</f>
        <v/>
      </c>
      <c r="N258" s="50">
        <f>_xlfn.XLOOKUP(A270,Magazzino!$D$1:$D$1500,Magazzino!$F$1:$F$1500,"",0,1)</f>
        <v/>
      </c>
      <c r="O258" s="50">
        <f>_xlfn.XLOOKUP(A271,Magazzino!$D$1:$D$1500,Magazzino!$F$1:$F$1500,"",0,1)</f>
        <v/>
      </c>
      <c r="P258" s="50">
        <f>_xlfn.XLOOKUP(A272,Magazzino!$D$1:$D$1500,Magazzino!$F$1:$F$1500,"",0,1)</f>
        <v/>
      </c>
      <c r="Q258" s="51">
        <f>_xlfn.XLOOKUP(A273,Magazzino!$D$1:$D$1500,Magazzino!$F$1:$F$1500,"",0,1)</f>
        <v/>
      </c>
    </row>
    <row r="259">
      <c r="A259" s="47" t="inlineStr">
        <is>
          <t xml:space="preserve">POMODORI PELATI KG.3 TORRENTE  </t>
        </is>
      </c>
      <c r="B259" s="10" t="inlineStr">
        <is>
          <t>-</t>
        </is>
      </c>
      <c r="C259" s="11" t="inlineStr">
        <is>
          <t>-</t>
        </is>
      </c>
      <c r="D259" s="11" t="inlineStr">
        <is>
          <t>-</t>
        </is>
      </c>
      <c r="E259" s="11" t="inlineStr">
        <is>
          <t>-</t>
        </is>
      </c>
      <c r="F259" s="11" t="inlineStr">
        <is>
          <t>-</t>
        </is>
      </c>
      <c r="G259" s="11" t="inlineStr">
        <is>
          <t>-</t>
        </is>
      </c>
      <c r="H259" s="11" t="inlineStr">
        <is>
          <t>-</t>
        </is>
      </c>
      <c r="I259" s="11" t="inlineStr">
        <is>
          <t>-</t>
        </is>
      </c>
      <c r="J259" s="11" t="inlineStr">
        <is>
          <t>-</t>
        </is>
      </c>
      <c r="K259" s="11" t="inlineStr">
        <is>
          <t>-</t>
        </is>
      </c>
      <c r="L259" s="11" t="inlineStr">
        <is>
          <t>-</t>
        </is>
      </c>
      <c r="M259" s="11" t="inlineStr">
        <is>
          <t>-</t>
        </is>
      </c>
      <c r="N259" s="11" t="inlineStr">
        <is>
          <t>-</t>
        </is>
      </c>
      <c r="O259" s="11" t="inlineStr">
        <is>
          <t>-</t>
        </is>
      </c>
      <c r="P259" s="11" t="inlineStr">
        <is>
          <t>-</t>
        </is>
      </c>
      <c r="Q259" s="12" t="inlineStr">
        <is>
          <t>-</t>
        </is>
      </c>
    </row>
    <row r="260">
      <c r="A260" s="47" t="inlineStr">
        <is>
          <t>olio extravergine oliva</t>
        </is>
      </c>
      <c r="B260" s="13" t="inlineStr">
        <is>
          <t>-</t>
        </is>
      </c>
      <c r="C260" s="14" t="inlineStr">
        <is>
          <t>-</t>
        </is>
      </c>
      <c r="D260" s="14" t="inlineStr">
        <is>
          <t>-</t>
        </is>
      </c>
      <c r="E260" s="14" t="inlineStr">
        <is>
          <t>-</t>
        </is>
      </c>
      <c r="F260" s="14" t="inlineStr">
        <is>
          <t>-</t>
        </is>
      </c>
      <c r="G260" s="14" t="inlineStr">
        <is>
          <t>-</t>
        </is>
      </c>
      <c r="H260" s="14" t="inlineStr">
        <is>
          <t>-</t>
        </is>
      </c>
      <c r="I260" s="14" t="inlineStr">
        <is>
          <t>-</t>
        </is>
      </c>
      <c r="J260" s="14" t="inlineStr">
        <is>
          <t>-</t>
        </is>
      </c>
      <c r="K260" s="14" t="inlineStr">
        <is>
          <t>-</t>
        </is>
      </c>
      <c r="L260" s="14" t="inlineStr">
        <is>
          <t>-</t>
        </is>
      </c>
      <c r="M260" s="14" t="inlineStr">
        <is>
          <t>-</t>
        </is>
      </c>
      <c r="N260" s="14" t="inlineStr">
        <is>
          <t>-</t>
        </is>
      </c>
      <c r="O260" s="14" t="inlineStr">
        <is>
          <t>-</t>
        </is>
      </c>
      <c r="P260" s="14" t="inlineStr">
        <is>
          <t>-</t>
        </is>
      </c>
      <c r="Q260" s="15" t="inlineStr">
        <is>
          <t>-</t>
        </is>
      </c>
    </row>
    <row r="261">
      <c r="A261" s="48" t="inlineStr">
        <is>
          <t xml:space="preserve">SALE SACCHI SALTECHNO KG.25  </t>
        </is>
      </c>
      <c r="B261" s="16" t="inlineStr">
        <is>
          <t>-</t>
        </is>
      </c>
      <c r="C261" s="11" t="inlineStr">
        <is>
          <t>-</t>
        </is>
      </c>
      <c r="D261" s="11" t="inlineStr">
        <is>
          <t>-</t>
        </is>
      </c>
      <c r="E261" s="11" t="inlineStr">
        <is>
          <t>-</t>
        </is>
      </c>
      <c r="F261" s="11" t="inlineStr">
        <is>
          <t>-</t>
        </is>
      </c>
      <c r="G261" s="11" t="inlineStr">
        <is>
          <t>-</t>
        </is>
      </c>
      <c r="H261" s="11" t="inlineStr">
        <is>
          <t>-</t>
        </is>
      </c>
      <c r="I261" s="11" t="inlineStr">
        <is>
          <t>-</t>
        </is>
      </c>
      <c r="J261" s="11" t="inlineStr">
        <is>
          <t>-</t>
        </is>
      </c>
      <c r="K261" s="11" t="inlineStr">
        <is>
          <t>-</t>
        </is>
      </c>
      <c r="L261" s="11" t="inlineStr">
        <is>
          <t>-</t>
        </is>
      </c>
      <c r="M261" s="11" t="inlineStr">
        <is>
          <t>-</t>
        </is>
      </c>
      <c r="N261" s="11" t="inlineStr">
        <is>
          <t>-</t>
        </is>
      </c>
      <c r="O261" s="11" t="inlineStr">
        <is>
          <t>-</t>
        </is>
      </c>
      <c r="P261" s="11" t="inlineStr">
        <is>
          <t>-</t>
        </is>
      </c>
      <c r="Q261" s="12" t="inlineStr">
        <is>
          <t>-</t>
        </is>
      </c>
    </row>
    <row r="262">
      <c r="A262" s="47" t="n"/>
      <c r="B262" s="13" t="inlineStr">
        <is>
          <t>-</t>
        </is>
      </c>
      <c r="C262" s="14" t="inlineStr">
        <is>
          <t>-</t>
        </is>
      </c>
      <c r="D262" s="14" t="inlineStr">
        <is>
          <t>-</t>
        </is>
      </c>
      <c r="E262" s="14" t="inlineStr">
        <is>
          <t>-</t>
        </is>
      </c>
      <c r="F262" s="14" t="inlineStr">
        <is>
          <t>-</t>
        </is>
      </c>
      <c r="G262" s="14" t="inlineStr">
        <is>
          <t>-</t>
        </is>
      </c>
      <c r="H262" s="14" t="inlineStr">
        <is>
          <t>-</t>
        </is>
      </c>
      <c r="I262" s="14" t="inlineStr">
        <is>
          <t>-</t>
        </is>
      </c>
      <c r="J262" s="14" t="inlineStr">
        <is>
          <t>-</t>
        </is>
      </c>
      <c r="K262" s="14" t="inlineStr">
        <is>
          <t>-</t>
        </is>
      </c>
      <c r="L262" s="14" t="inlineStr">
        <is>
          <t>-</t>
        </is>
      </c>
      <c r="M262" s="14" t="inlineStr">
        <is>
          <t>-</t>
        </is>
      </c>
      <c r="N262" s="14" t="inlineStr">
        <is>
          <t>-</t>
        </is>
      </c>
      <c r="O262" s="14" t="inlineStr">
        <is>
          <t>-</t>
        </is>
      </c>
      <c r="P262" s="14" t="inlineStr">
        <is>
          <t>-</t>
        </is>
      </c>
      <c r="Q262" s="15" t="inlineStr">
        <is>
          <t>-</t>
        </is>
      </c>
    </row>
    <row r="263">
      <c r="A263" s="47" t="n"/>
      <c r="B263" s="16" t="inlineStr">
        <is>
          <t>-</t>
        </is>
      </c>
      <c r="C263" s="11" t="inlineStr">
        <is>
          <t>-</t>
        </is>
      </c>
      <c r="D263" s="11" t="inlineStr">
        <is>
          <t>-</t>
        </is>
      </c>
      <c r="E263" s="11" t="inlineStr">
        <is>
          <t>-</t>
        </is>
      </c>
      <c r="F263" s="11" t="inlineStr">
        <is>
          <t>-</t>
        </is>
      </c>
      <c r="G263" s="11" t="inlineStr">
        <is>
          <t>-</t>
        </is>
      </c>
      <c r="H263" s="11" t="inlineStr">
        <is>
          <t>-</t>
        </is>
      </c>
      <c r="I263" s="11" t="inlineStr">
        <is>
          <t>-</t>
        </is>
      </c>
      <c r="J263" s="11" t="inlineStr">
        <is>
          <t>-</t>
        </is>
      </c>
      <c r="K263" s="11" t="inlineStr">
        <is>
          <t>-</t>
        </is>
      </c>
      <c r="L263" s="11" t="inlineStr">
        <is>
          <t>-</t>
        </is>
      </c>
      <c r="M263" s="11" t="inlineStr">
        <is>
          <t>-</t>
        </is>
      </c>
      <c r="N263" s="11" t="inlineStr">
        <is>
          <t>-</t>
        </is>
      </c>
      <c r="O263" s="11" t="inlineStr">
        <is>
          <t>-</t>
        </is>
      </c>
      <c r="P263" s="11" t="inlineStr">
        <is>
          <t>-</t>
        </is>
      </c>
      <c r="Q263" s="12" t="inlineStr">
        <is>
          <t>-</t>
        </is>
      </c>
    </row>
    <row r="264">
      <c r="A264" s="47" t="n"/>
      <c r="B264" s="13" t="inlineStr">
        <is>
          <t>-</t>
        </is>
      </c>
      <c r="C264" s="14" t="inlineStr">
        <is>
          <t>-</t>
        </is>
      </c>
      <c r="D264" s="14" t="inlineStr">
        <is>
          <t>-</t>
        </is>
      </c>
      <c r="E264" s="14" t="inlineStr">
        <is>
          <t>-</t>
        </is>
      </c>
      <c r="F264" s="14" t="inlineStr">
        <is>
          <t>-</t>
        </is>
      </c>
      <c r="G264" s="14" t="inlineStr">
        <is>
          <t>-</t>
        </is>
      </c>
      <c r="H264" s="14" t="inlineStr">
        <is>
          <t>-</t>
        </is>
      </c>
      <c r="I264" s="14" t="inlineStr">
        <is>
          <t>-</t>
        </is>
      </c>
      <c r="J264" s="14" t="inlineStr">
        <is>
          <t>-</t>
        </is>
      </c>
      <c r="K264" s="14" t="inlineStr">
        <is>
          <t>-</t>
        </is>
      </c>
      <c r="L264" s="14" t="inlineStr">
        <is>
          <t>-</t>
        </is>
      </c>
      <c r="M264" s="14" t="inlineStr">
        <is>
          <t>-</t>
        </is>
      </c>
      <c r="N264" s="14" t="inlineStr">
        <is>
          <t>-</t>
        </is>
      </c>
      <c r="O264" s="14" t="inlineStr">
        <is>
          <t>-</t>
        </is>
      </c>
      <c r="P264" s="14" t="inlineStr">
        <is>
          <t>-</t>
        </is>
      </c>
      <c r="Q264" s="15" t="inlineStr">
        <is>
          <t>-</t>
        </is>
      </c>
    </row>
    <row r="265">
      <c r="A265" s="47" t="n"/>
      <c r="B265" s="16" t="inlineStr">
        <is>
          <t>-</t>
        </is>
      </c>
      <c r="C265" s="11" t="inlineStr">
        <is>
          <t>-</t>
        </is>
      </c>
      <c r="D265" s="11" t="inlineStr">
        <is>
          <t>-</t>
        </is>
      </c>
      <c r="E265" s="11" t="inlineStr">
        <is>
          <t>-</t>
        </is>
      </c>
      <c r="F265" s="11" t="inlineStr">
        <is>
          <t>-</t>
        </is>
      </c>
      <c r="G265" s="11" t="inlineStr">
        <is>
          <t>-</t>
        </is>
      </c>
      <c r="H265" s="11" t="inlineStr">
        <is>
          <t>-</t>
        </is>
      </c>
      <c r="I265" s="11" t="inlineStr">
        <is>
          <t>-</t>
        </is>
      </c>
      <c r="J265" s="11" t="inlineStr">
        <is>
          <t>-</t>
        </is>
      </c>
      <c r="K265" s="11" t="inlineStr">
        <is>
          <t>-</t>
        </is>
      </c>
      <c r="L265" s="11" t="inlineStr">
        <is>
          <t>-</t>
        </is>
      </c>
      <c r="M265" s="11" t="inlineStr">
        <is>
          <t>-</t>
        </is>
      </c>
      <c r="N265" s="11" t="inlineStr">
        <is>
          <t>-</t>
        </is>
      </c>
      <c r="O265" s="11" t="inlineStr">
        <is>
          <t>-</t>
        </is>
      </c>
      <c r="P265" s="11" t="inlineStr">
        <is>
          <t>-</t>
        </is>
      </c>
      <c r="Q265" s="12" t="inlineStr">
        <is>
          <t>-</t>
        </is>
      </c>
    </row>
    <row r="266">
      <c r="A266" s="47" t="n"/>
      <c r="B266" s="13" t="inlineStr">
        <is>
          <t>-</t>
        </is>
      </c>
      <c r="C266" s="14" t="inlineStr">
        <is>
          <t>-</t>
        </is>
      </c>
      <c r="D266" s="14" t="inlineStr">
        <is>
          <t>-</t>
        </is>
      </c>
      <c r="E266" s="14" t="inlineStr">
        <is>
          <t>-</t>
        </is>
      </c>
      <c r="F266" s="14" t="inlineStr">
        <is>
          <t>-</t>
        </is>
      </c>
      <c r="G266" s="14" t="inlineStr">
        <is>
          <t>-</t>
        </is>
      </c>
      <c r="H266" s="14" t="inlineStr">
        <is>
          <t>-</t>
        </is>
      </c>
      <c r="I266" s="14" t="inlineStr">
        <is>
          <t>-</t>
        </is>
      </c>
      <c r="J266" s="14" t="inlineStr">
        <is>
          <t>-</t>
        </is>
      </c>
      <c r="K266" s="14" t="inlineStr">
        <is>
          <t>-</t>
        </is>
      </c>
      <c r="L266" s="14" t="inlineStr">
        <is>
          <t>-</t>
        </is>
      </c>
      <c r="M266" s="14" t="inlineStr">
        <is>
          <t>-</t>
        </is>
      </c>
      <c r="N266" s="14" t="inlineStr">
        <is>
          <t>-</t>
        </is>
      </c>
      <c r="O266" s="14" t="inlineStr">
        <is>
          <t>-</t>
        </is>
      </c>
      <c r="P266" s="14" t="inlineStr">
        <is>
          <t>-</t>
        </is>
      </c>
      <c r="Q266" s="15" t="inlineStr">
        <is>
          <t>-</t>
        </is>
      </c>
    </row>
    <row r="267">
      <c r="A267" s="47" t="n"/>
      <c r="B267" s="16" t="inlineStr">
        <is>
          <t>-</t>
        </is>
      </c>
      <c r="C267" s="11" t="inlineStr">
        <is>
          <t>-</t>
        </is>
      </c>
      <c r="D267" s="11" t="inlineStr">
        <is>
          <t>-</t>
        </is>
      </c>
      <c r="E267" s="11" t="inlineStr">
        <is>
          <t>-</t>
        </is>
      </c>
      <c r="F267" s="11" t="inlineStr">
        <is>
          <t>-</t>
        </is>
      </c>
      <c r="G267" s="11" t="inlineStr">
        <is>
          <t>-</t>
        </is>
      </c>
      <c r="H267" s="11" t="inlineStr">
        <is>
          <t>-</t>
        </is>
      </c>
      <c r="I267" s="11" t="inlineStr">
        <is>
          <t>-</t>
        </is>
      </c>
      <c r="J267" s="11" t="inlineStr">
        <is>
          <t>-</t>
        </is>
      </c>
      <c r="K267" s="11" t="inlineStr">
        <is>
          <t>-</t>
        </is>
      </c>
      <c r="L267" s="11" t="inlineStr">
        <is>
          <t>-</t>
        </is>
      </c>
      <c r="M267" s="11" t="inlineStr">
        <is>
          <t>-</t>
        </is>
      </c>
      <c r="N267" s="11" t="inlineStr">
        <is>
          <t>-</t>
        </is>
      </c>
      <c r="O267" s="11" t="inlineStr">
        <is>
          <t>-</t>
        </is>
      </c>
      <c r="P267" s="11" t="inlineStr">
        <is>
          <t>-</t>
        </is>
      </c>
      <c r="Q267" s="12" t="inlineStr">
        <is>
          <t>-</t>
        </is>
      </c>
    </row>
    <row r="268">
      <c r="A268" s="47" t="n"/>
      <c r="B268" s="13" t="inlineStr">
        <is>
          <t>-</t>
        </is>
      </c>
      <c r="C268" s="14" t="inlineStr">
        <is>
          <t>-</t>
        </is>
      </c>
      <c r="D268" s="14" t="inlineStr">
        <is>
          <t>-</t>
        </is>
      </c>
      <c r="E268" s="14" t="inlineStr">
        <is>
          <t>-</t>
        </is>
      </c>
      <c r="F268" s="14" t="inlineStr">
        <is>
          <t>-</t>
        </is>
      </c>
      <c r="G268" s="14" t="inlineStr">
        <is>
          <t>-</t>
        </is>
      </c>
      <c r="H268" s="14" t="inlineStr">
        <is>
          <t>-</t>
        </is>
      </c>
      <c r="I268" s="14" t="inlineStr">
        <is>
          <t>-</t>
        </is>
      </c>
      <c r="J268" s="14" t="inlineStr">
        <is>
          <t>-</t>
        </is>
      </c>
      <c r="K268" s="14" t="inlineStr">
        <is>
          <t>-</t>
        </is>
      </c>
      <c r="L268" s="14" t="inlineStr">
        <is>
          <t>-</t>
        </is>
      </c>
      <c r="M268" s="14" t="inlineStr">
        <is>
          <t>-</t>
        </is>
      </c>
      <c r="N268" s="14" t="inlineStr">
        <is>
          <t>-</t>
        </is>
      </c>
      <c r="O268" s="14" t="inlineStr">
        <is>
          <t>-</t>
        </is>
      </c>
      <c r="P268" s="14" t="inlineStr">
        <is>
          <t>-</t>
        </is>
      </c>
      <c r="Q268" s="15" t="inlineStr">
        <is>
          <t>-</t>
        </is>
      </c>
    </row>
    <row r="269">
      <c r="A269" s="47" t="n"/>
      <c r="B269" s="16" t="inlineStr">
        <is>
          <t>-</t>
        </is>
      </c>
      <c r="C269" s="11" t="inlineStr">
        <is>
          <t>-</t>
        </is>
      </c>
      <c r="D269" s="11" t="inlineStr">
        <is>
          <t>-</t>
        </is>
      </c>
      <c r="E269" s="11" t="inlineStr">
        <is>
          <t>-</t>
        </is>
      </c>
      <c r="F269" s="11" t="inlineStr">
        <is>
          <t>-</t>
        </is>
      </c>
      <c r="G269" s="11" t="inlineStr">
        <is>
          <t>-</t>
        </is>
      </c>
      <c r="H269" s="11" t="inlineStr">
        <is>
          <t>-</t>
        </is>
      </c>
      <c r="I269" s="11" t="inlineStr">
        <is>
          <t>-</t>
        </is>
      </c>
      <c r="J269" s="11" t="inlineStr">
        <is>
          <t>-</t>
        </is>
      </c>
      <c r="K269" s="11" t="inlineStr">
        <is>
          <t>-</t>
        </is>
      </c>
      <c r="L269" s="11" t="inlineStr">
        <is>
          <t>-</t>
        </is>
      </c>
      <c r="M269" s="11" t="inlineStr">
        <is>
          <t>-</t>
        </is>
      </c>
      <c r="N269" s="11" t="inlineStr">
        <is>
          <t>-</t>
        </is>
      </c>
      <c r="O269" s="11" t="inlineStr">
        <is>
          <t>-</t>
        </is>
      </c>
      <c r="P269" s="11" t="inlineStr">
        <is>
          <t>-</t>
        </is>
      </c>
      <c r="Q269" s="12" t="inlineStr">
        <is>
          <t>-</t>
        </is>
      </c>
    </row>
    <row r="270">
      <c r="A270" s="47" t="n"/>
      <c r="B270" s="13" t="inlineStr">
        <is>
          <t>-</t>
        </is>
      </c>
      <c r="C270" s="14" t="inlineStr">
        <is>
          <t>-</t>
        </is>
      </c>
      <c r="D270" s="14" t="inlineStr">
        <is>
          <t>-</t>
        </is>
      </c>
      <c r="E270" s="14" t="inlineStr">
        <is>
          <t>-</t>
        </is>
      </c>
      <c r="F270" s="14" t="inlineStr">
        <is>
          <t>-</t>
        </is>
      </c>
      <c r="G270" s="14" t="inlineStr">
        <is>
          <t>-</t>
        </is>
      </c>
      <c r="H270" s="14" t="inlineStr">
        <is>
          <t>-</t>
        </is>
      </c>
      <c r="I270" s="14" t="inlineStr">
        <is>
          <t>-</t>
        </is>
      </c>
      <c r="J270" s="14" t="inlineStr">
        <is>
          <t>-</t>
        </is>
      </c>
      <c r="K270" s="14" t="inlineStr">
        <is>
          <t>-</t>
        </is>
      </c>
      <c r="L270" s="14" t="inlineStr">
        <is>
          <t>-</t>
        </is>
      </c>
      <c r="M270" s="14" t="inlineStr">
        <is>
          <t>-</t>
        </is>
      </c>
      <c r="N270" s="14" t="inlineStr">
        <is>
          <t>-</t>
        </is>
      </c>
      <c r="O270" s="14" t="inlineStr">
        <is>
          <t>-</t>
        </is>
      </c>
      <c r="P270" s="14" t="inlineStr">
        <is>
          <t>-</t>
        </is>
      </c>
      <c r="Q270" s="15" t="inlineStr">
        <is>
          <t>-</t>
        </is>
      </c>
    </row>
    <row r="271">
      <c r="A271" s="47" t="n"/>
      <c r="B271" s="16" t="inlineStr">
        <is>
          <t>-</t>
        </is>
      </c>
      <c r="C271" s="11" t="inlineStr">
        <is>
          <t>-</t>
        </is>
      </c>
      <c r="D271" s="11" t="inlineStr">
        <is>
          <t>-</t>
        </is>
      </c>
      <c r="E271" s="11" t="inlineStr">
        <is>
          <t>-</t>
        </is>
      </c>
      <c r="F271" s="11" t="inlineStr">
        <is>
          <t>-</t>
        </is>
      </c>
      <c r="G271" s="11" t="inlineStr">
        <is>
          <t>-</t>
        </is>
      </c>
      <c r="H271" s="11" t="inlineStr">
        <is>
          <t>-</t>
        </is>
      </c>
      <c r="I271" s="11" t="inlineStr">
        <is>
          <t>-</t>
        </is>
      </c>
      <c r="J271" s="11" t="inlineStr">
        <is>
          <t>-</t>
        </is>
      </c>
      <c r="K271" s="11" t="inlineStr">
        <is>
          <t>-</t>
        </is>
      </c>
      <c r="L271" s="11" t="inlineStr">
        <is>
          <t>-</t>
        </is>
      </c>
      <c r="M271" s="11" t="inlineStr">
        <is>
          <t>-</t>
        </is>
      </c>
      <c r="N271" s="11" t="inlineStr">
        <is>
          <t>-</t>
        </is>
      </c>
      <c r="O271" s="11" t="inlineStr">
        <is>
          <t>-</t>
        </is>
      </c>
      <c r="P271" s="11" t="inlineStr">
        <is>
          <t>-</t>
        </is>
      </c>
      <c r="Q271" s="12" t="inlineStr">
        <is>
          <t>-</t>
        </is>
      </c>
    </row>
    <row r="272">
      <c r="A272" s="47" t="n"/>
      <c r="B272" s="13" t="inlineStr">
        <is>
          <t>-</t>
        </is>
      </c>
      <c r="C272" s="14" t="inlineStr">
        <is>
          <t>-</t>
        </is>
      </c>
      <c r="D272" s="14" t="inlineStr">
        <is>
          <t>-</t>
        </is>
      </c>
      <c r="E272" s="14" t="inlineStr">
        <is>
          <t>-</t>
        </is>
      </c>
      <c r="F272" s="14" t="inlineStr">
        <is>
          <t>-</t>
        </is>
      </c>
      <c r="G272" s="14" t="inlineStr">
        <is>
          <t>-</t>
        </is>
      </c>
      <c r="H272" s="14" t="inlineStr">
        <is>
          <t>-</t>
        </is>
      </c>
      <c r="I272" s="14" t="inlineStr">
        <is>
          <t>-</t>
        </is>
      </c>
      <c r="J272" s="14" t="inlineStr">
        <is>
          <t>-</t>
        </is>
      </c>
      <c r="K272" s="14" t="inlineStr">
        <is>
          <t>-</t>
        </is>
      </c>
      <c r="L272" s="14" t="inlineStr">
        <is>
          <t>-</t>
        </is>
      </c>
      <c r="M272" s="14" t="inlineStr">
        <is>
          <t>-</t>
        </is>
      </c>
      <c r="N272" s="14" t="inlineStr">
        <is>
          <t>-</t>
        </is>
      </c>
      <c r="O272" s="14" t="inlineStr">
        <is>
          <t>-</t>
        </is>
      </c>
      <c r="P272" s="14" t="inlineStr">
        <is>
          <t>-</t>
        </is>
      </c>
      <c r="Q272" s="15" t="inlineStr">
        <is>
          <t>-</t>
        </is>
      </c>
    </row>
    <row r="273">
      <c r="A273" s="47" t="n"/>
      <c r="B273" s="16" t="inlineStr">
        <is>
          <t>-</t>
        </is>
      </c>
      <c r="C273" s="11" t="inlineStr">
        <is>
          <t>-</t>
        </is>
      </c>
      <c r="D273" s="11" t="inlineStr">
        <is>
          <t>-</t>
        </is>
      </c>
      <c r="E273" s="11" t="inlineStr">
        <is>
          <t>-</t>
        </is>
      </c>
      <c r="F273" s="11" t="inlineStr">
        <is>
          <t>-</t>
        </is>
      </c>
      <c r="G273" s="11" t="inlineStr">
        <is>
          <t>-</t>
        </is>
      </c>
      <c r="H273" s="11" t="inlineStr">
        <is>
          <t>-</t>
        </is>
      </c>
      <c r="I273" s="11" t="inlineStr">
        <is>
          <t>-</t>
        </is>
      </c>
      <c r="J273" s="11" t="inlineStr">
        <is>
          <t>-</t>
        </is>
      </c>
      <c r="K273" s="11" t="inlineStr">
        <is>
          <t>-</t>
        </is>
      </c>
      <c r="L273" s="11" t="inlineStr">
        <is>
          <t>-</t>
        </is>
      </c>
      <c r="M273" s="11" t="inlineStr">
        <is>
          <t>-</t>
        </is>
      </c>
      <c r="N273" s="11" t="inlineStr">
        <is>
          <t>-</t>
        </is>
      </c>
      <c r="O273" s="11" t="inlineStr">
        <is>
          <t>-</t>
        </is>
      </c>
      <c r="P273" s="11" t="inlineStr">
        <is>
          <t>-</t>
        </is>
      </c>
      <c r="Q273" s="12" t="inlineStr">
        <is>
          <t>-</t>
        </is>
      </c>
    </row>
    <row r="274" ht="36" customHeight="1" s="155">
      <c r="B274" s="9" t="inlineStr">
        <is>
          <t>salpicon di carne</t>
        </is>
      </c>
      <c r="C274" s="49">
        <f>_xlfn.XLOOKUP(A275,Magazzino!$D$1:$D$1500,Magazzino!$F$1:$F$1500,"",0,1)</f>
        <v/>
      </c>
      <c r="D274" s="50">
        <f>_xlfn.XLOOKUP(A276,Magazzino!$D$1:$D$1500,Magazzino!$F$1:$F$1500,"",0,1)</f>
        <v/>
      </c>
      <c r="E274" s="50">
        <f>_xlfn.XLOOKUP(A277,Magazzino!$D$1:$D$1500,Magazzino!$F$1:$F$1500,"",0,1)</f>
        <v/>
      </c>
      <c r="F274" s="50">
        <f>_xlfn.XLOOKUP(A278,Magazzino!$D$1:$D$1500,Magazzino!$F$1:$F$1500,"",0,1)</f>
        <v/>
      </c>
      <c r="G274" s="50">
        <f>_xlfn.XLOOKUP(A279,Magazzino!$D$1:$D$1500,Magazzino!$F$1:$F$1500,"",0,1)</f>
        <v/>
      </c>
      <c r="H274" s="50">
        <f>_xlfn.XLOOKUP(A280,Magazzino!$D$1:$D$1500,Magazzino!$F$1:$F$1500,"",0,1)</f>
        <v/>
      </c>
      <c r="I274" s="50">
        <f>_xlfn.XLOOKUP(A281,Magazzino!$D$1:$D$1500,Magazzino!$F$1:$F$1500,"",0,1)</f>
        <v/>
      </c>
      <c r="J274" s="50">
        <f>_xlfn.XLOOKUP(A282,Magazzino!$D$1:$D$1500,Magazzino!$F$1:$F$1500,"",0,1)</f>
        <v/>
      </c>
      <c r="K274" s="50">
        <f>_xlfn.XLOOKUP(A283,Magazzino!$D$1:$D$1500,Magazzino!$F$1:$F$1500,"",0,1)</f>
        <v/>
      </c>
      <c r="L274" s="50">
        <f>_xlfn.XLOOKUP(A284,Magazzino!$D$1:$D$1500,Magazzino!$F$1:$F$1500,"",0,1)</f>
        <v/>
      </c>
      <c r="M274" s="50">
        <f>_xlfn.XLOOKUP(A285,Magazzino!$D$1:$D$1500,Magazzino!$F$1:$F$1500,"",0,1)</f>
        <v/>
      </c>
      <c r="N274" s="50">
        <f>_xlfn.XLOOKUP(A286,Magazzino!$D$1:$D$1500,Magazzino!$F$1:$F$1500,"",0,1)</f>
        <v/>
      </c>
      <c r="O274" s="50">
        <f>_xlfn.XLOOKUP(A287,Magazzino!$D$1:$D$1500,Magazzino!$F$1:$F$1500,"",0,1)</f>
        <v/>
      </c>
      <c r="P274" s="50">
        <f>_xlfn.XLOOKUP(A288,Magazzino!$D$1:$D$1500,Magazzino!$F$1:$F$1500,"",0,1)</f>
        <v/>
      </c>
      <c r="Q274" s="51">
        <f>_xlfn.XLOOKUP(A289,Magazzino!$D$1:$D$1500,Magazzino!$F$1:$F$1500,"",0,1)</f>
        <v/>
      </c>
    </row>
    <row r="275">
      <c r="A275" s="47" t="inlineStr">
        <is>
          <t>tritato misto bovino/suino</t>
        </is>
      </c>
      <c r="B275" s="10" t="inlineStr">
        <is>
          <t>-</t>
        </is>
      </c>
      <c r="C275" s="11" t="inlineStr">
        <is>
          <t>-</t>
        </is>
      </c>
      <c r="D275" s="11" t="inlineStr">
        <is>
          <t>-</t>
        </is>
      </c>
      <c r="E275" s="11" t="inlineStr">
        <is>
          <t>-</t>
        </is>
      </c>
      <c r="F275" s="11" t="inlineStr">
        <is>
          <t>-</t>
        </is>
      </c>
      <c r="G275" s="11" t="inlineStr">
        <is>
          <t>-</t>
        </is>
      </c>
      <c r="H275" s="11" t="inlineStr">
        <is>
          <t>-</t>
        </is>
      </c>
      <c r="I275" s="11" t="inlineStr">
        <is>
          <t>-</t>
        </is>
      </c>
      <c r="J275" s="11" t="inlineStr">
        <is>
          <t>-</t>
        </is>
      </c>
      <c r="K275" s="11" t="inlineStr">
        <is>
          <t>-</t>
        </is>
      </c>
      <c r="L275" s="11" t="inlineStr">
        <is>
          <t>-</t>
        </is>
      </c>
      <c r="M275" s="11" t="inlineStr">
        <is>
          <t>-</t>
        </is>
      </c>
      <c r="N275" s="11" t="inlineStr">
        <is>
          <t>-</t>
        </is>
      </c>
      <c r="O275" s="11" t="inlineStr">
        <is>
          <t>-</t>
        </is>
      </c>
      <c r="P275" s="11" t="inlineStr">
        <is>
          <t>-</t>
        </is>
      </c>
      <c r="Q275" s="12" t="inlineStr">
        <is>
          <t>-</t>
        </is>
      </c>
    </row>
    <row r="276">
      <c r="A276" s="47" t="inlineStr">
        <is>
          <t>olio extravergine oliva</t>
        </is>
      </c>
      <c r="B276" s="13" t="inlineStr">
        <is>
          <t>-</t>
        </is>
      </c>
      <c r="C276" s="14" t="inlineStr">
        <is>
          <t>-</t>
        </is>
      </c>
      <c r="D276" s="14" t="inlineStr">
        <is>
          <t>-</t>
        </is>
      </c>
      <c r="E276" s="14" t="inlineStr">
        <is>
          <t>-</t>
        </is>
      </c>
      <c r="F276" s="14" t="inlineStr">
        <is>
          <t>-</t>
        </is>
      </c>
      <c r="G276" s="14" t="inlineStr">
        <is>
          <t>-</t>
        </is>
      </c>
      <c r="H276" s="14" t="inlineStr">
        <is>
          <t>-</t>
        </is>
      </c>
      <c r="I276" s="14" t="inlineStr">
        <is>
          <t>-</t>
        </is>
      </c>
      <c r="J276" s="14" t="inlineStr">
        <is>
          <t>-</t>
        </is>
      </c>
      <c r="K276" s="14" t="inlineStr">
        <is>
          <t>-</t>
        </is>
      </c>
      <c r="L276" s="14" t="inlineStr">
        <is>
          <t>-</t>
        </is>
      </c>
      <c r="M276" s="14" t="inlineStr">
        <is>
          <t>-</t>
        </is>
      </c>
      <c r="N276" s="14" t="inlineStr">
        <is>
          <t>-</t>
        </is>
      </c>
      <c r="O276" s="14" t="inlineStr">
        <is>
          <t>-</t>
        </is>
      </c>
      <c r="P276" s="14" t="inlineStr">
        <is>
          <t>-</t>
        </is>
      </c>
      <c r="Q276" s="15" t="inlineStr">
        <is>
          <t>-</t>
        </is>
      </c>
    </row>
    <row r="277">
      <c r="A277" s="47" t="inlineStr">
        <is>
          <t>salame</t>
        </is>
      </c>
      <c r="B277" s="16" t="inlineStr">
        <is>
          <t>-</t>
        </is>
      </c>
      <c r="C277" s="11" t="inlineStr">
        <is>
          <t>-</t>
        </is>
      </c>
      <c r="D277" s="11" t="inlineStr">
        <is>
          <t>-</t>
        </is>
      </c>
      <c r="E277" s="11" t="inlineStr">
        <is>
          <t>-</t>
        </is>
      </c>
      <c r="F277" s="11" t="inlineStr">
        <is>
          <t>-</t>
        </is>
      </c>
      <c r="G277" s="11" t="inlineStr">
        <is>
          <t>-</t>
        </is>
      </c>
      <c r="H277" s="11" t="inlineStr">
        <is>
          <t>-</t>
        </is>
      </c>
      <c r="I277" s="11" t="inlineStr">
        <is>
          <t>-</t>
        </is>
      </c>
      <c r="J277" s="11" t="inlineStr">
        <is>
          <t>-</t>
        </is>
      </c>
      <c r="K277" s="11" t="inlineStr">
        <is>
          <t>-</t>
        </is>
      </c>
      <c r="L277" s="11" t="inlineStr">
        <is>
          <t>-</t>
        </is>
      </c>
      <c r="M277" s="11" t="inlineStr">
        <is>
          <t>-</t>
        </is>
      </c>
      <c r="N277" s="11" t="inlineStr">
        <is>
          <t>-</t>
        </is>
      </c>
      <c r="O277" s="11" t="inlineStr">
        <is>
          <t>-</t>
        </is>
      </c>
      <c r="P277" s="11" t="inlineStr">
        <is>
          <t>-</t>
        </is>
      </c>
      <c r="Q277" s="12" t="inlineStr">
        <is>
          <t>-</t>
        </is>
      </c>
    </row>
    <row r="278">
      <c r="A278" s="47" t="inlineStr">
        <is>
          <t xml:space="preserve">PISELLI BONDUELLE GR.580X12  </t>
        </is>
      </c>
      <c r="B278" s="13" t="inlineStr">
        <is>
          <t>-</t>
        </is>
      </c>
      <c r="C278" s="14" t="inlineStr">
        <is>
          <t>-</t>
        </is>
      </c>
      <c r="D278" s="14" t="inlineStr">
        <is>
          <t>-</t>
        </is>
      </c>
      <c r="E278" s="14" t="inlineStr">
        <is>
          <t>-</t>
        </is>
      </c>
      <c r="F278" s="14" t="inlineStr">
        <is>
          <t>-</t>
        </is>
      </c>
      <c r="G278" s="14" t="inlineStr">
        <is>
          <t>-</t>
        </is>
      </c>
      <c r="H278" s="14" t="inlineStr">
        <is>
          <t>-</t>
        </is>
      </c>
      <c r="I278" s="14" t="inlineStr">
        <is>
          <t>-</t>
        </is>
      </c>
      <c r="J278" s="14" t="inlineStr">
        <is>
          <t>-</t>
        </is>
      </c>
      <c r="K278" s="14" t="inlineStr">
        <is>
          <t>-</t>
        </is>
      </c>
      <c r="L278" s="14" t="inlineStr">
        <is>
          <t>-</t>
        </is>
      </c>
      <c r="M278" s="14" t="inlineStr">
        <is>
          <t>-</t>
        </is>
      </c>
      <c r="N278" s="14" t="inlineStr">
        <is>
          <t>-</t>
        </is>
      </c>
      <c r="O278" s="14" t="inlineStr">
        <is>
          <t>-</t>
        </is>
      </c>
      <c r="P278" s="14" t="inlineStr">
        <is>
          <t>-</t>
        </is>
      </c>
      <c r="Q278" s="15" t="inlineStr">
        <is>
          <t>-</t>
        </is>
      </c>
    </row>
    <row r="279">
      <c r="A279" s="47" t="inlineStr">
        <is>
          <t>basilico / rosmarino /prezzemolo</t>
        </is>
      </c>
      <c r="B279" s="16" t="inlineStr">
        <is>
          <t>-</t>
        </is>
      </c>
      <c r="C279" s="11" t="inlineStr">
        <is>
          <t>-</t>
        </is>
      </c>
      <c r="D279" s="11" t="inlineStr">
        <is>
          <t>-</t>
        </is>
      </c>
      <c r="E279" s="11" t="inlineStr">
        <is>
          <t>-</t>
        </is>
      </c>
      <c r="F279" s="11" t="inlineStr">
        <is>
          <t>-</t>
        </is>
      </c>
      <c r="G279" s="11" t="inlineStr">
        <is>
          <t>-</t>
        </is>
      </c>
      <c r="H279" s="11" t="inlineStr">
        <is>
          <t>-</t>
        </is>
      </c>
      <c r="I279" s="11" t="inlineStr">
        <is>
          <t>-</t>
        </is>
      </c>
      <c r="J279" s="11" t="inlineStr">
        <is>
          <t>-</t>
        </is>
      </c>
      <c r="K279" s="11" t="inlineStr">
        <is>
          <t>-</t>
        </is>
      </c>
      <c r="L279" s="11" t="inlineStr">
        <is>
          <t>-</t>
        </is>
      </c>
      <c r="M279" s="11" t="inlineStr">
        <is>
          <t>-</t>
        </is>
      </c>
      <c r="N279" s="11" t="inlineStr">
        <is>
          <t>-</t>
        </is>
      </c>
      <c r="O279" s="11" t="inlineStr">
        <is>
          <t>-</t>
        </is>
      </c>
      <c r="P279" s="11" t="inlineStr">
        <is>
          <t>-</t>
        </is>
      </c>
      <c r="Q279" s="12" t="inlineStr">
        <is>
          <t>-</t>
        </is>
      </c>
    </row>
    <row r="280">
      <c r="A280" s="47" t="n"/>
      <c r="B280" s="13" t="inlineStr">
        <is>
          <t>-</t>
        </is>
      </c>
      <c r="C280" s="14" t="inlineStr">
        <is>
          <t>-</t>
        </is>
      </c>
      <c r="D280" s="14" t="inlineStr">
        <is>
          <t>-</t>
        </is>
      </c>
      <c r="E280" s="14" t="inlineStr">
        <is>
          <t>-</t>
        </is>
      </c>
      <c r="F280" s="14" t="inlineStr">
        <is>
          <t>-</t>
        </is>
      </c>
      <c r="G280" s="14" t="inlineStr">
        <is>
          <t>-</t>
        </is>
      </c>
      <c r="H280" s="14" t="inlineStr">
        <is>
          <t>-</t>
        </is>
      </c>
      <c r="I280" s="14" t="inlineStr">
        <is>
          <t>-</t>
        </is>
      </c>
      <c r="J280" s="14" t="inlineStr">
        <is>
          <t>-</t>
        </is>
      </c>
      <c r="K280" s="14" t="inlineStr">
        <is>
          <t>-</t>
        </is>
      </c>
      <c r="L280" s="14" t="inlineStr">
        <is>
          <t>-</t>
        </is>
      </c>
      <c r="M280" s="14" t="inlineStr">
        <is>
          <t>-</t>
        </is>
      </c>
      <c r="N280" s="14" t="inlineStr">
        <is>
          <t>-</t>
        </is>
      </c>
      <c r="O280" s="14" t="inlineStr">
        <is>
          <t>-</t>
        </is>
      </c>
      <c r="P280" s="14" t="inlineStr">
        <is>
          <t>-</t>
        </is>
      </c>
      <c r="Q280" s="15" t="inlineStr">
        <is>
          <t>-</t>
        </is>
      </c>
    </row>
    <row r="281">
      <c r="A281" s="47" t="n"/>
      <c r="B281" s="16" t="inlineStr">
        <is>
          <t>-</t>
        </is>
      </c>
      <c r="C281" s="11" t="inlineStr">
        <is>
          <t>-</t>
        </is>
      </c>
      <c r="D281" s="11" t="inlineStr">
        <is>
          <t>-</t>
        </is>
      </c>
      <c r="E281" s="11" t="inlineStr">
        <is>
          <t>-</t>
        </is>
      </c>
      <c r="F281" s="11" t="inlineStr">
        <is>
          <t>-</t>
        </is>
      </c>
      <c r="G281" s="11" t="inlineStr">
        <is>
          <t>-</t>
        </is>
      </c>
      <c r="H281" s="11" t="inlineStr">
        <is>
          <t>-</t>
        </is>
      </c>
      <c r="I281" s="11" t="inlineStr">
        <is>
          <t>-</t>
        </is>
      </c>
      <c r="J281" s="11" t="inlineStr">
        <is>
          <t>-</t>
        </is>
      </c>
      <c r="K281" s="11" t="inlineStr">
        <is>
          <t>-</t>
        </is>
      </c>
      <c r="L281" s="11" t="inlineStr">
        <is>
          <t>-</t>
        </is>
      </c>
      <c r="M281" s="11" t="inlineStr">
        <is>
          <t>-</t>
        </is>
      </c>
      <c r="N281" s="11" t="inlineStr">
        <is>
          <t>-</t>
        </is>
      </c>
      <c r="O281" s="11" t="inlineStr">
        <is>
          <t>-</t>
        </is>
      </c>
      <c r="P281" s="11" t="inlineStr">
        <is>
          <t>-</t>
        </is>
      </c>
      <c r="Q281" s="12" t="inlineStr">
        <is>
          <t>-</t>
        </is>
      </c>
    </row>
    <row r="282">
      <c r="A282" s="47" t="n"/>
      <c r="B282" s="13" t="inlineStr">
        <is>
          <t>-</t>
        </is>
      </c>
      <c r="C282" s="14" t="inlineStr">
        <is>
          <t>-</t>
        </is>
      </c>
      <c r="D282" s="14" t="inlineStr">
        <is>
          <t>-</t>
        </is>
      </c>
      <c r="E282" s="14" t="inlineStr">
        <is>
          <t>-</t>
        </is>
      </c>
      <c r="F282" s="14" t="inlineStr">
        <is>
          <t>-</t>
        </is>
      </c>
      <c r="G282" s="14" t="inlineStr">
        <is>
          <t>-</t>
        </is>
      </c>
      <c r="H282" s="14" t="inlineStr">
        <is>
          <t>-</t>
        </is>
      </c>
      <c r="I282" s="14" t="inlineStr">
        <is>
          <t>-</t>
        </is>
      </c>
      <c r="J282" s="14" t="inlineStr">
        <is>
          <t>-</t>
        </is>
      </c>
      <c r="K282" s="14" t="inlineStr">
        <is>
          <t>-</t>
        </is>
      </c>
      <c r="L282" s="14" t="inlineStr">
        <is>
          <t>-</t>
        </is>
      </c>
      <c r="M282" s="14" t="inlineStr">
        <is>
          <t>-</t>
        </is>
      </c>
      <c r="N282" s="14" t="inlineStr">
        <is>
          <t>-</t>
        </is>
      </c>
      <c r="O282" s="14" t="inlineStr">
        <is>
          <t>-</t>
        </is>
      </c>
      <c r="P282" s="14" t="inlineStr">
        <is>
          <t>-</t>
        </is>
      </c>
      <c r="Q282" s="15" t="inlineStr">
        <is>
          <t>-</t>
        </is>
      </c>
    </row>
    <row r="283">
      <c r="A283" s="47" t="n"/>
      <c r="B283" s="16" t="inlineStr">
        <is>
          <t>-</t>
        </is>
      </c>
      <c r="C283" s="11" t="inlineStr">
        <is>
          <t>-</t>
        </is>
      </c>
      <c r="D283" s="11" t="inlineStr">
        <is>
          <t>-</t>
        </is>
      </c>
      <c r="E283" s="11" t="inlineStr">
        <is>
          <t>-</t>
        </is>
      </c>
      <c r="F283" s="11" t="inlineStr">
        <is>
          <t>-</t>
        </is>
      </c>
      <c r="G283" s="11" t="inlineStr">
        <is>
          <t>-</t>
        </is>
      </c>
      <c r="H283" s="11" t="inlineStr">
        <is>
          <t>-</t>
        </is>
      </c>
      <c r="I283" s="11" t="inlineStr">
        <is>
          <t>-</t>
        </is>
      </c>
      <c r="J283" s="11" t="inlineStr">
        <is>
          <t>-</t>
        </is>
      </c>
      <c r="K283" s="11" t="inlineStr">
        <is>
          <t>-</t>
        </is>
      </c>
      <c r="L283" s="11" t="inlineStr">
        <is>
          <t>-</t>
        </is>
      </c>
      <c r="M283" s="11" t="inlineStr">
        <is>
          <t>-</t>
        </is>
      </c>
      <c r="N283" s="11" t="inlineStr">
        <is>
          <t>-</t>
        </is>
      </c>
      <c r="O283" s="11" t="inlineStr">
        <is>
          <t>-</t>
        </is>
      </c>
      <c r="P283" s="11" t="inlineStr">
        <is>
          <t>-</t>
        </is>
      </c>
      <c r="Q283" s="12" t="inlineStr">
        <is>
          <t>-</t>
        </is>
      </c>
    </row>
    <row r="284">
      <c r="A284" s="47" t="n"/>
      <c r="B284" s="13" t="inlineStr">
        <is>
          <t>-</t>
        </is>
      </c>
      <c r="C284" s="14" t="inlineStr">
        <is>
          <t>-</t>
        </is>
      </c>
      <c r="D284" s="14" t="inlineStr">
        <is>
          <t>-</t>
        </is>
      </c>
      <c r="E284" s="14" t="inlineStr">
        <is>
          <t>-</t>
        </is>
      </c>
      <c r="F284" s="14" t="inlineStr">
        <is>
          <t>-</t>
        </is>
      </c>
      <c r="G284" s="14" t="inlineStr">
        <is>
          <t>-</t>
        </is>
      </c>
      <c r="H284" s="14" t="inlineStr">
        <is>
          <t>-</t>
        </is>
      </c>
      <c r="I284" s="14" t="inlineStr">
        <is>
          <t>-</t>
        </is>
      </c>
      <c r="J284" s="14" t="inlineStr">
        <is>
          <t>-</t>
        </is>
      </c>
      <c r="K284" s="14" t="inlineStr">
        <is>
          <t>-</t>
        </is>
      </c>
      <c r="L284" s="14" t="inlineStr">
        <is>
          <t>-</t>
        </is>
      </c>
      <c r="M284" s="14" t="inlineStr">
        <is>
          <t>-</t>
        </is>
      </c>
      <c r="N284" s="14" t="inlineStr">
        <is>
          <t>-</t>
        </is>
      </c>
      <c r="O284" s="14" t="inlineStr">
        <is>
          <t>-</t>
        </is>
      </c>
      <c r="P284" s="14" t="inlineStr">
        <is>
          <t>-</t>
        </is>
      </c>
      <c r="Q284" s="15" t="inlineStr">
        <is>
          <t>-</t>
        </is>
      </c>
    </row>
    <row r="285">
      <c r="A285" s="47" t="n"/>
      <c r="B285" s="16" t="inlineStr">
        <is>
          <t>-</t>
        </is>
      </c>
      <c r="C285" s="11" t="inlineStr">
        <is>
          <t>-</t>
        </is>
      </c>
      <c r="D285" s="11" t="inlineStr">
        <is>
          <t>-</t>
        </is>
      </c>
      <c r="E285" s="11" t="inlineStr">
        <is>
          <t>-</t>
        </is>
      </c>
      <c r="F285" s="11" t="inlineStr">
        <is>
          <t>-</t>
        </is>
      </c>
      <c r="G285" s="11" t="inlineStr">
        <is>
          <t>-</t>
        </is>
      </c>
      <c r="H285" s="11" t="inlineStr">
        <is>
          <t>-</t>
        </is>
      </c>
      <c r="I285" s="11" t="inlineStr">
        <is>
          <t>-</t>
        </is>
      </c>
      <c r="J285" s="11" t="inlineStr">
        <is>
          <t>-</t>
        </is>
      </c>
      <c r="K285" s="11" t="inlineStr">
        <is>
          <t>-</t>
        </is>
      </c>
      <c r="L285" s="11" t="inlineStr">
        <is>
          <t>-</t>
        </is>
      </c>
      <c r="M285" s="11" t="inlineStr">
        <is>
          <t>-</t>
        </is>
      </c>
      <c r="N285" s="11" t="inlineStr">
        <is>
          <t>-</t>
        </is>
      </c>
      <c r="O285" s="11" t="inlineStr">
        <is>
          <t>-</t>
        </is>
      </c>
      <c r="P285" s="11" t="inlineStr">
        <is>
          <t>-</t>
        </is>
      </c>
      <c r="Q285" s="12" t="inlineStr">
        <is>
          <t>-</t>
        </is>
      </c>
    </row>
    <row r="286">
      <c r="A286" s="47" t="n"/>
      <c r="B286" s="13" t="inlineStr">
        <is>
          <t>-</t>
        </is>
      </c>
      <c r="C286" s="14" t="inlineStr">
        <is>
          <t>-</t>
        </is>
      </c>
      <c r="D286" s="14" t="inlineStr">
        <is>
          <t>-</t>
        </is>
      </c>
      <c r="E286" s="14" t="inlineStr">
        <is>
          <t>-</t>
        </is>
      </c>
      <c r="F286" s="14" t="inlineStr">
        <is>
          <t>-</t>
        </is>
      </c>
      <c r="G286" s="14" t="inlineStr">
        <is>
          <t>-</t>
        </is>
      </c>
      <c r="H286" s="14" t="inlineStr">
        <is>
          <t>-</t>
        </is>
      </c>
      <c r="I286" s="14" t="inlineStr">
        <is>
          <t>-</t>
        </is>
      </c>
      <c r="J286" s="14" t="inlineStr">
        <is>
          <t>-</t>
        </is>
      </c>
      <c r="K286" s="14" t="inlineStr">
        <is>
          <t>-</t>
        </is>
      </c>
      <c r="L286" s="14" t="inlineStr">
        <is>
          <t>-</t>
        </is>
      </c>
      <c r="M286" s="14" t="inlineStr">
        <is>
          <t>-</t>
        </is>
      </c>
      <c r="N286" s="14" t="inlineStr">
        <is>
          <t>-</t>
        </is>
      </c>
      <c r="O286" s="14" t="inlineStr">
        <is>
          <t>-</t>
        </is>
      </c>
      <c r="P286" s="14" t="inlineStr">
        <is>
          <t>-</t>
        </is>
      </c>
      <c r="Q286" s="15" t="inlineStr">
        <is>
          <t>-</t>
        </is>
      </c>
    </row>
    <row r="287">
      <c r="A287" s="47" t="n"/>
      <c r="B287" s="16" t="inlineStr">
        <is>
          <t>-</t>
        </is>
      </c>
      <c r="C287" s="11" t="inlineStr">
        <is>
          <t>-</t>
        </is>
      </c>
      <c r="D287" s="11" t="inlineStr">
        <is>
          <t>-</t>
        </is>
      </c>
      <c r="E287" s="11" t="inlineStr">
        <is>
          <t>-</t>
        </is>
      </c>
      <c r="F287" s="11" t="inlineStr">
        <is>
          <t>-</t>
        </is>
      </c>
      <c r="G287" s="11" t="inlineStr">
        <is>
          <t>-</t>
        </is>
      </c>
      <c r="H287" s="11" t="inlineStr">
        <is>
          <t>-</t>
        </is>
      </c>
      <c r="I287" s="11" t="inlineStr">
        <is>
          <t>-</t>
        </is>
      </c>
      <c r="J287" s="11" t="inlineStr">
        <is>
          <t>-</t>
        </is>
      </c>
      <c r="K287" s="11" t="inlineStr">
        <is>
          <t>-</t>
        </is>
      </c>
      <c r="L287" s="11" t="inlineStr">
        <is>
          <t>-</t>
        </is>
      </c>
      <c r="M287" s="11" t="inlineStr">
        <is>
          <t>-</t>
        </is>
      </c>
      <c r="N287" s="11" t="inlineStr">
        <is>
          <t>-</t>
        </is>
      </c>
      <c r="O287" s="11" t="inlineStr">
        <is>
          <t>-</t>
        </is>
      </c>
      <c r="P287" s="11" t="inlineStr">
        <is>
          <t>-</t>
        </is>
      </c>
      <c r="Q287" s="12" t="inlineStr">
        <is>
          <t>-</t>
        </is>
      </c>
    </row>
    <row r="288">
      <c r="A288" s="47" t="n"/>
      <c r="B288" s="13" t="inlineStr">
        <is>
          <t>-</t>
        </is>
      </c>
      <c r="C288" s="14" t="inlineStr">
        <is>
          <t>-</t>
        </is>
      </c>
      <c r="D288" s="14" t="inlineStr">
        <is>
          <t>-</t>
        </is>
      </c>
      <c r="E288" s="14" t="inlineStr">
        <is>
          <t>-</t>
        </is>
      </c>
      <c r="F288" s="14" t="inlineStr">
        <is>
          <t>-</t>
        </is>
      </c>
      <c r="G288" s="14" t="inlineStr">
        <is>
          <t>-</t>
        </is>
      </c>
      <c r="H288" s="14" t="inlineStr">
        <is>
          <t>-</t>
        </is>
      </c>
      <c r="I288" s="14" t="inlineStr">
        <is>
          <t>-</t>
        </is>
      </c>
      <c r="J288" s="14" t="inlineStr">
        <is>
          <t>-</t>
        </is>
      </c>
      <c r="K288" s="14" t="inlineStr">
        <is>
          <t>-</t>
        </is>
      </c>
      <c r="L288" s="14" t="inlineStr">
        <is>
          <t>-</t>
        </is>
      </c>
      <c r="M288" s="14" t="inlineStr">
        <is>
          <t>-</t>
        </is>
      </c>
      <c r="N288" s="14" t="inlineStr">
        <is>
          <t>-</t>
        </is>
      </c>
      <c r="O288" s="14" t="inlineStr">
        <is>
          <t>-</t>
        </is>
      </c>
      <c r="P288" s="14" t="inlineStr">
        <is>
          <t>-</t>
        </is>
      </c>
      <c r="Q288" s="15" t="inlineStr">
        <is>
          <t>-</t>
        </is>
      </c>
    </row>
    <row r="289">
      <c r="A289" s="47" t="n"/>
      <c r="B289" s="16" t="inlineStr">
        <is>
          <t>-</t>
        </is>
      </c>
      <c r="C289" s="11" t="inlineStr">
        <is>
          <t>-</t>
        </is>
      </c>
      <c r="D289" s="11" t="inlineStr">
        <is>
          <t>-</t>
        </is>
      </c>
      <c r="E289" s="11" t="inlineStr">
        <is>
          <t>-</t>
        </is>
      </c>
      <c r="F289" s="11" t="inlineStr">
        <is>
          <t>-</t>
        </is>
      </c>
      <c r="G289" s="11" t="inlineStr">
        <is>
          <t>-</t>
        </is>
      </c>
      <c r="H289" s="11" t="inlineStr">
        <is>
          <t>-</t>
        </is>
      </c>
      <c r="I289" s="11" t="inlineStr">
        <is>
          <t>-</t>
        </is>
      </c>
      <c r="J289" s="11" t="inlineStr">
        <is>
          <t>-</t>
        </is>
      </c>
      <c r="K289" s="11" t="inlineStr">
        <is>
          <t>-</t>
        </is>
      </c>
      <c r="L289" s="11" t="inlineStr">
        <is>
          <t>-</t>
        </is>
      </c>
      <c r="M289" s="11" t="inlineStr">
        <is>
          <t>-</t>
        </is>
      </c>
      <c r="N289" s="11" t="inlineStr">
        <is>
          <t>-</t>
        </is>
      </c>
      <c r="O289" s="11" t="inlineStr">
        <is>
          <t>-</t>
        </is>
      </c>
      <c r="P289" s="11" t="inlineStr">
        <is>
          <t>-</t>
        </is>
      </c>
      <c r="Q289" s="12" t="inlineStr">
        <is>
          <t>-</t>
        </is>
      </c>
    </row>
    <row r="290" ht="36" customHeight="1" s="155">
      <c r="B290" s="9" t="inlineStr">
        <is>
          <t>prosciutto cotto</t>
        </is>
      </c>
      <c r="C290" s="49">
        <f>_xlfn.XLOOKUP(A291,Magazzino!$D$1:$D$1500,Magazzino!$F$1:$F$1500,"",0,1)</f>
        <v/>
      </c>
      <c r="D290" s="50">
        <f>_xlfn.XLOOKUP(A292,Magazzino!$D$1:$D$1500,Magazzino!$F$1:$F$1500,"",0,1)</f>
        <v/>
      </c>
      <c r="E290" s="50">
        <f>_xlfn.XLOOKUP(A293,Magazzino!$D$1:$D$1500,Magazzino!$F$1:$F$1500,"",0,1)</f>
        <v/>
      </c>
      <c r="F290" s="50">
        <f>_xlfn.XLOOKUP(A294,Magazzino!$D$1:$D$1500,Magazzino!$F$1:$F$1500,"",0,1)</f>
        <v/>
      </c>
      <c r="G290" s="50">
        <f>_xlfn.XLOOKUP(A295,Magazzino!$D$1:$D$1500,Magazzino!$F$1:$F$1500,"",0,1)</f>
        <v/>
      </c>
      <c r="H290" s="50">
        <f>_xlfn.XLOOKUP(A296,Magazzino!$D$1:$D$1500,Magazzino!$F$1:$F$1500,"",0,1)</f>
        <v/>
      </c>
      <c r="I290" s="50">
        <f>_xlfn.XLOOKUP(A297,Magazzino!$D$1:$D$1500,Magazzino!$F$1:$F$1500,"",0,1)</f>
        <v/>
      </c>
      <c r="J290" s="50">
        <f>_xlfn.XLOOKUP(A298,Magazzino!$D$1:$D$1500,Magazzino!$F$1:$F$1500,"",0,1)</f>
        <v/>
      </c>
      <c r="K290" s="50">
        <f>_xlfn.XLOOKUP(A299,Magazzino!$D$1:$D$1500,Magazzino!$F$1:$F$1500,"",0,1)</f>
        <v/>
      </c>
      <c r="L290" s="50">
        <f>_xlfn.XLOOKUP(A300,Magazzino!$D$1:$D$1500,Magazzino!$F$1:$F$1500,"",0,1)</f>
        <v/>
      </c>
      <c r="M290" s="50">
        <f>_xlfn.XLOOKUP(A301,Magazzino!$D$1:$D$1500,Magazzino!$F$1:$F$1500,"",0,1)</f>
        <v/>
      </c>
      <c r="N290" s="50">
        <f>_xlfn.XLOOKUP(A302,Magazzino!$D$1:$D$1500,Magazzino!$F$1:$F$1500,"",0,1)</f>
        <v/>
      </c>
      <c r="O290" s="50">
        <f>_xlfn.XLOOKUP(A303,Magazzino!$D$1:$D$1500,Magazzino!$F$1:$F$1500,"",0,1)</f>
        <v/>
      </c>
      <c r="P290" s="50">
        <f>_xlfn.XLOOKUP(A304,Magazzino!$D$1:$D$1500,Magazzino!$F$1:$F$1500,"",0,1)</f>
        <v/>
      </c>
      <c r="Q290" s="51">
        <f>_xlfn.XLOOKUP(A305,Magazzino!$D$1:$D$1500,Magazzino!$F$1:$F$1500,"",0,1)</f>
        <v/>
      </c>
    </row>
    <row r="291">
      <c r="A291" s="47" t="inlineStr">
        <is>
          <t>p.cotto verde    rosafino</t>
        </is>
      </c>
      <c r="B291" s="10" t="inlineStr">
        <is>
          <t>-</t>
        </is>
      </c>
      <c r="C291" s="11" t="inlineStr">
        <is>
          <t>-</t>
        </is>
      </c>
      <c r="D291" s="11" t="inlineStr">
        <is>
          <t>-</t>
        </is>
      </c>
      <c r="E291" s="11" t="inlineStr">
        <is>
          <t>-</t>
        </is>
      </c>
      <c r="F291" s="11" t="inlineStr">
        <is>
          <t>-</t>
        </is>
      </c>
      <c r="G291" s="11" t="inlineStr">
        <is>
          <t>-</t>
        </is>
      </c>
      <c r="H291" s="11" t="inlineStr">
        <is>
          <t>-</t>
        </is>
      </c>
      <c r="I291" s="11" t="inlineStr">
        <is>
          <t>-</t>
        </is>
      </c>
      <c r="J291" s="11" t="inlineStr">
        <is>
          <t>-</t>
        </is>
      </c>
      <c r="K291" s="11" t="inlineStr">
        <is>
          <t>-</t>
        </is>
      </c>
      <c r="L291" s="11" t="inlineStr">
        <is>
          <t>-</t>
        </is>
      </c>
      <c r="M291" s="11" t="inlineStr">
        <is>
          <t>-</t>
        </is>
      </c>
      <c r="N291" s="11" t="inlineStr">
        <is>
          <t>-</t>
        </is>
      </c>
      <c r="O291" s="11" t="inlineStr">
        <is>
          <t>-</t>
        </is>
      </c>
      <c r="P291" s="11" t="inlineStr">
        <is>
          <t>-</t>
        </is>
      </c>
      <c r="Q291" s="12" t="inlineStr">
        <is>
          <t>-</t>
        </is>
      </c>
    </row>
    <row r="292">
      <c r="A292" s="47" t="n"/>
      <c r="B292" s="13" t="inlineStr">
        <is>
          <t>-</t>
        </is>
      </c>
      <c r="C292" s="14" t="inlineStr">
        <is>
          <t>-</t>
        </is>
      </c>
      <c r="D292" s="14" t="inlineStr">
        <is>
          <t>-</t>
        </is>
      </c>
      <c r="E292" s="14" t="inlineStr">
        <is>
          <t>-</t>
        </is>
      </c>
      <c r="F292" s="14" t="inlineStr">
        <is>
          <t>-</t>
        </is>
      </c>
      <c r="G292" s="14" t="inlineStr">
        <is>
          <t>-</t>
        </is>
      </c>
      <c r="H292" s="14" t="inlineStr">
        <is>
          <t>-</t>
        </is>
      </c>
      <c r="I292" s="14" t="inlineStr">
        <is>
          <t>-</t>
        </is>
      </c>
      <c r="J292" s="14" t="inlineStr">
        <is>
          <t>-</t>
        </is>
      </c>
      <c r="K292" s="14" t="inlineStr">
        <is>
          <t>-</t>
        </is>
      </c>
      <c r="L292" s="14" t="inlineStr">
        <is>
          <t>-</t>
        </is>
      </c>
      <c r="M292" s="14" t="inlineStr">
        <is>
          <t>-</t>
        </is>
      </c>
      <c r="N292" s="14" t="inlineStr">
        <is>
          <t>-</t>
        </is>
      </c>
      <c r="O292" s="14" t="inlineStr">
        <is>
          <t>-</t>
        </is>
      </c>
      <c r="P292" s="14" t="inlineStr">
        <is>
          <t>-</t>
        </is>
      </c>
      <c r="Q292" s="15" t="inlineStr">
        <is>
          <t>-</t>
        </is>
      </c>
    </row>
    <row r="293">
      <c r="A293" s="47" t="n"/>
      <c r="B293" s="16" t="inlineStr">
        <is>
          <t>-</t>
        </is>
      </c>
      <c r="C293" s="11" t="inlineStr">
        <is>
          <t>-</t>
        </is>
      </c>
      <c r="D293" s="11" t="inlineStr">
        <is>
          <t>-</t>
        </is>
      </c>
      <c r="E293" s="11" t="inlineStr">
        <is>
          <t>-</t>
        </is>
      </c>
      <c r="F293" s="11" t="inlineStr">
        <is>
          <t>-</t>
        </is>
      </c>
      <c r="G293" s="11" t="inlineStr">
        <is>
          <t>-</t>
        </is>
      </c>
      <c r="H293" s="11" t="inlineStr">
        <is>
          <t>-</t>
        </is>
      </c>
      <c r="I293" s="11" t="inlineStr">
        <is>
          <t>-</t>
        </is>
      </c>
      <c r="J293" s="11" t="inlineStr">
        <is>
          <t>-</t>
        </is>
      </c>
      <c r="K293" s="11" t="inlineStr">
        <is>
          <t>-</t>
        </is>
      </c>
      <c r="L293" s="11" t="inlineStr">
        <is>
          <t>-</t>
        </is>
      </c>
      <c r="M293" s="11" t="inlineStr">
        <is>
          <t>-</t>
        </is>
      </c>
      <c r="N293" s="11" t="inlineStr">
        <is>
          <t>-</t>
        </is>
      </c>
      <c r="O293" s="11" t="inlineStr">
        <is>
          <t>-</t>
        </is>
      </c>
      <c r="P293" s="11" t="inlineStr">
        <is>
          <t>-</t>
        </is>
      </c>
      <c r="Q293" s="12" t="inlineStr">
        <is>
          <t>-</t>
        </is>
      </c>
    </row>
    <row r="294">
      <c r="A294" s="47" t="n"/>
      <c r="B294" s="13" t="inlineStr">
        <is>
          <t>-</t>
        </is>
      </c>
      <c r="C294" s="14" t="inlineStr">
        <is>
          <t>-</t>
        </is>
      </c>
      <c r="D294" s="14" t="inlineStr">
        <is>
          <t>-</t>
        </is>
      </c>
      <c r="E294" s="14" t="inlineStr">
        <is>
          <t>-</t>
        </is>
      </c>
      <c r="F294" s="14" t="inlineStr">
        <is>
          <t>-</t>
        </is>
      </c>
      <c r="G294" s="14" t="inlineStr">
        <is>
          <t>-</t>
        </is>
      </c>
      <c r="H294" s="14" t="inlineStr">
        <is>
          <t>-</t>
        </is>
      </c>
      <c r="I294" s="14" t="inlineStr">
        <is>
          <t>-</t>
        </is>
      </c>
      <c r="J294" s="14" t="inlineStr">
        <is>
          <t>-</t>
        </is>
      </c>
      <c r="K294" s="14" t="inlineStr">
        <is>
          <t>-</t>
        </is>
      </c>
      <c r="L294" s="14" t="inlineStr">
        <is>
          <t>-</t>
        </is>
      </c>
      <c r="M294" s="14" t="inlineStr">
        <is>
          <t>-</t>
        </is>
      </c>
      <c r="N294" s="14" t="inlineStr">
        <is>
          <t>-</t>
        </is>
      </c>
      <c r="O294" s="14" t="inlineStr">
        <is>
          <t>-</t>
        </is>
      </c>
      <c r="P294" s="14" t="inlineStr">
        <is>
          <t>-</t>
        </is>
      </c>
      <c r="Q294" s="15" t="inlineStr">
        <is>
          <t>-</t>
        </is>
      </c>
    </row>
    <row r="295">
      <c r="A295" s="47" t="n"/>
      <c r="B295" s="16" t="inlineStr">
        <is>
          <t>-</t>
        </is>
      </c>
      <c r="C295" s="11" t="inlineStr">
        <is>
          <t>-</t>
        </is>
      </c>
      <c r="D295" s="11" t="inlineStr">
        <is>
          <t>-</t>
        </is>
      </c>
      <c r="E295" s="11" t="inlineStr">
        <is>
          <t>-</t>
        </is>
      </c>
      <c r="F295" s="11" t="inlineStr">
        <is>
          <t>-</t>
        </is>
      </c>
      <c r="G295" s="11" t="inlineStr">
        <is>
          <t>-</t>
        </is>
      </c>
      <c r="H295" s="11" t="inlineStr">
        <is>
          <t>-</t>
        </is>
      </c>
      <c r="I295" s="11" t="inlineStr">
        <is>
          <t>-</t>
        </is>
      </c>
      <c r="J295" s="11" t="inlineStr">
        <is>
          <t>-</t>
        </is>
      </c>
      <c r="K295" s="11" t="inlineStr">
        <is>
          <t>-</t>
        </is>
      </c>
      <c r="L295" s="11" t="inlineStr">
        <is>
          <t>-</t>
        </is>
      </c>
      <c r="M295" s="11" t="inlineStr">
        <is>
          <t>-</t>
        </is>
      </c>
      <c r="N295" s="11" t="inlineStr">
        <is>
          <t>-</t>
        </is>
      </c>
      <c r="O295" s="11" t="inlineStr">
        <is>
          <t>-</t>
        </is>
      </c>
      <c r="P295" s="11" t="inlineStr">
        <is>
          <t>-</t>
        </is>
      </c>
      <c r="Q295" s="12" t="inlineStr">
        <is>
          <t>-</t>
        </is>
      </c>
    </row>
    <row r="296">
      <c r="A296" s="47" t="n"/>
      <c r="B296" s="13" t="inlineStr">
        <is>
          <t>-</t>
        </is>
      </c>
      <c r="C296" s="14" t="inlineStr">
        <is>
          <t>-</t>
        </is>
      </c>
      <c r="D296" s="14" t="inlineStr">
        <is>
          <t>-</t>
        </is>
      </c>
      <c r="E296" s="14" t="inlineStr">
        <is>
          <t>-</t>
        </is>
      </c>
      <c r="F296" s="14" t="inlineStr">
        <is>
          <t>-</t>
        </is>
      </c>
      <c r="G296" s="14" t="inlineStr">
        <is>
          <t>-</t>
        </is>
      </c>
      <c r="H296" s="14" t="inlineStr">
        <is>
          <t>-</t>
        </is>
      </c>
      <c r="I296" s="14" t="inlineStr">
        <is>
          <t>-</t>
        </is>
      </c>
      <c r="J296" s="14" t="inlineStr">
        <is>
          <t>-</t>
        </is>
      </c>
      <c r="K296" s="14" t="inlineStr">
        <is>
          <t>-</t>
        </is>
      </c>
      <c r="L296" s="14" t="inlineStr">
        <is>
          <t>-</t>
        </is>
      </c>
      <c r="M296" s="14" t="inlineStr">
        <is>
          <t>-</t>
        </is>
      </c>
      <c r="N296" s="14" t="inlineStr">
        <is>
          <t>-</t>
        </is>
      </c>
      <c r="O296" s="14" t="inlineStr">
        <is>
          <t>-</t>
        </is>
      </c>
      <c r="P296" s="14" t="inlineStr">
        <is>
          <t>-</t>
        </is>
      </c>
      <c r="Q296" s="15" t="inlineStr">
        <is>
          <t>-</t>
        </is>
      </c>
    </row>
    <row r="297">
      <c r="A297" s="47" t="n"/>
      <c r="B297" s="16" t="inlineStr">
        <is>
          <t>-</t>
        </is>
      </c>
      <c r="C297" s="11" t="inlineStr">
        <is>
          <t>-</t>
        </is>
      </c>
      <c r="D297" s="11" t="inlineStr">
        <is>
          <t>-</t>
        </is>
      </c>
      <c r="E297" s="11" t="inlineStr">
        <is>
          <t>-</t>
        </is>
      </c>
      <c r="F297" s="11" t="inlineStr">
        <is>
          <t>-</t>
        </is>
      </c>
      <c r="G297" s="11" t="inlineStr">
        <is>
          <t>-</t>
        </is>
      </c>
      <c r="H297" s="11" t="inlineStr">
        <is>
          <t>-</t>
        </is>
      </c>
      <c r="I297" s="11" t="inlineStr">
        <is>
          <t>-</t>
        </is>
      </c>
      <c r="J297" s="11" t="inlineStr">
        <is>
          <t>-</t>
        </is>
      </c>
      <c r="K297" s="11" t="inlineStr">
        <is>
          <t>-</t>
        </is>
      </c>
      <c r="L297" s="11" t="inlineStr">
        <is>
          <t>-</t>
        </is>
      </c>
      <c r="M297" s="11" t="inlineStr">
        <is>
          <t>-</t>
        </is>
      </c>
      <c r="N297" s="11" t="inlineStr">
        <is>
          <t>-</t>
        </is>
      </c>
      <c r="O297" s="11" t="inlineStr">
        <is>
          <t>-</t>
        </is>
      </c>
      <c r="P297" s="11" t="inlineStr">
        <is>
          <t>-</t>
        </is>
      </c>
      <c r="Q297" s="12" t="inlineStr">
        <is>
          <t>-</t>
        </is>
      </c>
    </row>
    <row r="298">
      <c r="A298" s="47" t="n"/>
      <c r="B298" s="13" t="inlineStr">
        <is>
          <t>-</t>
        </is>
      </c>
      <c r="C298" s="14" t="inlineStr">
        <is>
          <t>-</t>
        </is>
      </c>
      <c r="D298" s="14" t="inlineStr">
        <is>
          <t>-</t>
        </is>
      </c>
      <c r="E298" s="14" t="inlineStr">
        <is>
          <t>-</t>
        </is>
      </c>
      <c r="F298" s="14" t="inlineStr">
        <is>
          <t>-</t>
        </is>
      </c>
      <c r="G298" s="14" t="inlineStr">
        <is>
          <t>-</t>
        </is>
      </c>
      <c r="H298" s="14" t="inlineStr">
        <is>
          <t>-</t>
        </is>
      </c>
      <c r="I298" s="14" t="inlineStr">
        <is>
          <t>-</t>
        </is>
      </c>
      <c r="J298" s="14" t="inlineStr">
        <is>
          <t>-</t>
        </is>
      </c>
      <c r="K298" s="14" t="inlineStr">
        <is>
          <t>-</t>
        </is>
      </c>
      <c r="L298" s="14" t="inlineStr">
        <is>
          <t>-</t>
        </is>
      </c>
      <c r="M298" s="14" t="inlineStr">
        <is>
          <t>-</t>
        </is>
      </c>
      <c r="N298" s="14" t="inlineStr">
        <is>
          <t>-</t>
        </is>
      </c>
      <c r="O298" s="14" t="inlineStr">
        <is>
          <t>-</t>
        </is>
      </c>
      <c r="P298" s="14" t="inlineStr">
        <is>
          <t>-</t>
        </is>
      </c>
      <c r="Q298" s="15" t="inlineStr">
        <is>
          <t>-</t>
        </is>
      </c>
    </row>
    <row r="299">
      <c r="A299" s="47" t="n"/>
      <c r="B299" s="16" t="inlineStr">
        <is>
          <t>-</t>
        </is>
      </c>
      <c r="C299" s="11" t="inlineStr">
        <is>
          <t>-</t>
        </is>
      </c>
      <c r="D299" s="11" t="inlineStr">
        <is>
          <t>-</t>
        </is>
      </c>
      <c r="E299" s="11" t="inlineStr">
        <is>
          <t>-</t>
        </is>
      </c>
      <c r="F299" s="11" t="inlineStr">
        <is>
          <t>-</t>
        </is>
      </c>
      <c r="G299" s="11" t="inlineStr">
        <is>
          <t>-</t>
        </is>
      </c>
      <c r="H299" s="11" t="inlineStr">
        <is>
          <t>-</t>
        </is>
      </c>
      <c r="I299" s="11" t="inlineStr">
        <is>
          <t>-</t>
        </is>
      </c>
      <c r="J299" s="11" t="inlineStr">
        <is>
          <t>-</t>
        </is>
      </c>
      <c r="K299" s="11" t="inlineStr">
        <is>
          <t>-</t>
        </is>
      </c>
      <c r="L299" s="11" t="inlineStr">
        <is>
          <t>-</t>
        </is>
      </c>
      <c r="M299" s="11" t="inlineStr">
        <is>
          <t>-</t>
        </is>
      </c>
      <c r="N299" s="11" t="inlineStr">
        <is>
          <t>-</t>
        </is>
      </c>
      <c r="O299" s="11" t="inlineStr">
        <is>
          <t>-</t>
        </is>
      </c>
      <c r="P299" s="11" t="inlineStr">
        <is>
          <t>-</t>
        </is>
      </c>
      <c r="Q299" s="12" t="inlineStr">
        <is>
          <t>-</t>
        </is>
      </c>
    </row>
    <row r="300">
      <c r="A300" s="47" t="n"/>
      <c r="B300" s="13" t="inlineStr">
        <is>
          <t>-</t>
        </is>
      </c>
      <c r="C300" s="14" t="inlineStr">
        <is>
          <t>-</t>
        </is>
      </c>
      <c r="D300" s="14" t="inlineStr">
        <is>
          <t>-</t>
        </is>
      </c>
      <c r="E300" s="14" t="inlineStr">
        <is>
          <t>-</t>
        </is>
      </c>
      <c r="F300" s="14" t="inlineStr">
        <is>
          <t>-</t>
        </is>
      </c>
      <c r="G300" s="14" t="inlineStr">
        <is>
          <t>-</t>
        </is>
      </c>
      <c r="H300" s="14" t="inlineStr">
        <is>
          <t>-</t>
        </is>
      </c>
      <c r="I300" s="14" t="inlineStr">
        <is>
          <t>-</t>
        </is>
      </c>
      <c r="J300" s="14" t="inlineStr">
        <is>
          <t>-</t>
        </is>
      </c>
      <c r="K300" s="14" t="inlineStr">
        <is>
          <t>-</t>
        </is>
      </c>
      <c r="L300" s="14" t="inlineStr">
        <is>
          <t>-</t>
        </is>
      </c>
      <c r="M300" s="14" t="inlineStr">
        <is>
          <t>-</t>
        </is>
      </c>
      <c r="N300" s="14" t="inlineStr">
        <is>
          <t>-</t>
        </is>
      </c>
      <c r="O300" s="14" t="inlineStr">
        <is>
          <t>-</t>
        </is>
      </c>
      <c r="P300" s="14" t="inlineStr">
        <is>
          <t>-</t>
        </is>
      </c>
      <c r="Q300" s="15" t="inlineStr">
        <is>
          <t>-</t>
        </is>
      </c>
    </row>
    <row r="301">
      <c r="A301" s="47" t="n"/>
      <c r="B301" s="16" t="inlineStr">
        <is>
          <t>-</t>
        </is>
      </c>
      <c r="C301" s="11" t="inlineStr">
        <is>
          <t>-</t>
        </is>
      </c>
      <c r="D301" s="11" t="inlineStr">
        <is>
          <t>-</t>
        </is>
      </c>
      <c r="E301" s="11" t="inlineStr">
        <is>
          <t>-</t>
        </is>
      </c>
      <c r="F301" s="11" t="inlineStr">
        <is>
          <t>-</t>
        </is>
      </c>
      <c r="G301" s="11" t="inlineStr">
        <is>
          <t>-</t>
        </is>
      </c>
      <c r="H301" s="11" t="inlineStr">
        <is>
          <t>-</t>
        </is>
      </c>
      <c r="I301" s="11" t="inlineStr">
        <is>
          <t>-</t>
        </is>
      </c>
      <c r="J301" s="11" t="inlineStr">
        <is>
          <t>-</t>
        </is>
      </c>
      <c r="K301" s="11" t="inlineStr">
        <is>
          <t>-</t>
        </is>
      </c>
      <c r="L301" s="11" t="inlineStr">
        <is>
          <t>-</t>
        </is>
      </c>
      <c r="M301" s="11" t="inlineStr">
        <is>
          <t>-</t>
        </is>
      </c>
      <c r="N301" s="11" t="inlineStr">
        <is>
          <t>-</t>
        </is>
      </c>
      <c r="O301" s="11" t="inlineStr">
        <is>
          <t>-</t>
        </is>
      </c>
      <c r="P301" s="11" t="inlineStr">
        <is>
          <t>-</t>
        </is>
      </c>
      <c r="Q301" s="12" t="inlineStr">
        <is>
          <t>-</t>
        </is>
      </c>
    </row>
    <row r="302">
      <c r="A302" s="47" t="n"/>
      <c r="B302" s="13" t="inlineStr">
        <is>
          <t>-</t>
        </is>
      </c>
      <c r="C302" s="14" t="inlineStr">
        <is>
          <t>-</t>
        </is>
      </c>
      <c r="D302" s="14" t="inlineStr">
        <is>
          <t>-</t>
        </is>
      </c>
      <c r="E302" s="14" t="inlineStr">
        <is>
          <t>-</t>
        </is>
      </c>
      <c r="F302" s="14" t="inlineStr">
        <is>
          <t>-</t>
        </is>
      </c>
      <c r="G302" s="14" t="inlineStr">
        <is>
          <t>-</t>
        </is>
      </c>
      <c r="H302" s="14" t="inlineStr">
        <is>
          <t>-</t>
        </is>
      </c>
      <c r="I302" s="14" t="inlineStr">
        <is>
          <t>-</t>
        </is>
      </c>
      <c r="J302" s="14" t="inlineStr">
        <is>
          <t>-</t>
        </is>
      </c>
      <c r="K302" s="14" t="inlineStr">
        <is>
          <t>-</t>
        </is>
      </c>
      <c r="L302" s="14" t="inlineStr">
        <is>
          <t>-</t>
        </is>
      </c>
      <c r="M302" s="14" t="inlineStr">
        <is>
          <t>-</t>
        </is>
      </c>
      <c r="N302" s="14" t="inlineStr">
        <is>
          <t>-</t>
        </is>
      </c>
      <c r="O302" s="14" t="inlineStr">
        <is>
          <t>-</t>
        </is>
      </c>
      <c r="P302" s="14" t="inlineStr">
        <is>
          <t>-</t>
        </is>
      </c>
      <c r="Q302" s="15" t="inlineStr">
        <is>
          <t>-</t>
        </is>
      </c>
    </row>
    <row r="303">
      <c r="A303" s="47" t="n"/>
      <c r="B303" s="16" t="inlineStr">
        <is>
          <t>-</t>
        </is>
      </c>
      <c r="C303" s="11" t="inlineStr">
        <is>
          <t>-</t>
        </is>
      </c>
      <c r="D303" s="11" t="inlineStr">
        <is>
          <t>-</t>
        </is>
      </c>
      <c r="E303" s="11" t="inlineStr">
        <is>
          <t>-</t>
        </is>
      </c>
      <c r="F303" s="11" t="inlineStr">
        <is>
          <t>-</t>
        </is>
      </c>
      <c r="G303" s="11" t="inlineStr">
        <is>
          <t>-</t>
        </is>
      </c>
      <c r="H303" s="11" t="inlineStr">
        <is>
          <t>-</t>
        </is>
      </c>
      <c r="I303" s="11" t="inlineStr">
        <is>
          <t>-</t>
        </is>
      </c>
      <c r="J303" s="11" t="inlineStr">
        <is>
          <t>-</t>
        </is>
      </c>
      <c r="K303" s="11" t="inlineStr">
        <is>
          <t>-</t>
        </is>
      </c>
      <c r="L303" s="11" t="inlineStr">
        <is>
          <t>-</t>
        </is>
      </c>
      <c r="M303" s="11" t="inlineStr">
        <is>
          <t>-</t>
        </is>
      </c>
      <c r="N303" s="11" t="inlineStr">
        <is>
          <t>-</t>
        </is>
      </c>
      <c r="O303" s="11" t="inlineStr">
        <is>
          <t>-</t>
        </is>
      </c>
      <c r="P303" s="11" t="inlineStr">
        <is>
          <t>-</t>
        </is>
      </c>
      <c r="Q303" s="12" t="inlineStr">
        <is>
          <t>-</t>
        </is>
      </c>
    </row>
    <row r="304">
      <c r="A304" s="47" t="n"/>
      <c r="B304" s="13" t="inlineStr">
        <is>
          <t>-</t>
        </is>
      </c>
      <c r="C304" s="14" t="inlineStr">
        <is>
          <t>-</t>
        </is>
      </c>
      <c r="D304" s="14" t="inlineStr">
        <is>
          <t>-</t>
        </is>
      </c>
      <c r="E304" s="14" t="inlineStr">
        <is>
          <t>-</t>
        </is>
      </c>
      <c r="F304" s="14" t="inlineStr">
        <is>
          <t>-</t>
        </is>
      </c>
      <c r="G304" s="14" t="inlineStr">
        <is>
          <t>-</t>
        </is>
      </c>
      <c r="H304" s="14" t="inlineStr">
        <is>
          <t>-</t>
        </is>
      </c>
      <c r="I304" s="14" t="inlineStr">
        <is>
          <t>-</t>
        </is>
      </c>
      <c r="J304" s="14" t="inlineStr">
        <is>
          <t>-</t>
        </is>
      </c>
      <c r="K304" s="14" t="inlineStr">
        <is>
          <t>-</t>
        </is>
      </c>
      <c r="L304" s="14" t="inlineStr">
        <is>
          <t>-</t>
        </is>
      </c>
      <c r="M304" s="14" t="inlineStr">
        <is>
          <t>-</t>
        </is>
      </c>
      <c r="N304" s="14" t="inlineStr">
        <is>
          <t>-</t>
        </is>
      </c>
      <c r="O304" s="14" t="inlineStr">
        <is>
          <t>-</t>
        </is>
      </c>
      <c r="P304" s="14" t="inlineStr">
        <is>
          <t>-</t>
        </is>
      </c>
      <c r="Q304" s="15" t="inlineStr">
        <is>
          <t>-</t>
        </is>
      </c>
    </row>
    <row r="305">
      <c r="A305" s="47" t="n"/>
      <c r="B305" s="16" t="inlineStr">
        <is>
          <t>-</t>
        </is>
      </c>
      <c r="C305" s="11" t="inlineStr">
        <is>
          <t>-</t>
        </is>
      </c>
      <c r="D305" s="11" t="inlineStr">
        <is>
          <t>-</t>
        </is>
      </c>
      <c r="E305" s="11" t="inlineStr">
        <is>
          <t>-</t>
        </is>
      </c>
      <c r="F305" s="11" t="inlineStr">
        <is>
          <t>-</t>
        </is>
      </c>
      <c r="G305" s="11" t="inlineStr">
        <is>
          <t>-</t>
        </is>
      </c>
      <c r="H305" s="11" t="inlineStr">
        <is>
          <t>-</t>
        </is>
      </c>
      <c r="I305" s="11" t="inlineStr">
        <is>
          <t>-</t>
        </is>
      </c>
      <c r="J305" s="11" t="inlineStr">
        <is>
          <t>-</t>
        </is>
      </c>
      <c r="K305" s="11" t="inlineStr">
        <is>
          <t>-</t>
        </is>
      </c>
      <c r="L305" s="11" t="inlineStr">
        <is>
          <t>-</t>
        </is>
      </c>
      <c r="M305" s="11" t="inlineStr">
        <is>
          <t>-</t>
        </is>
      </c>
      <c r="N305" s="11" t="inlineStr">
        <is>
          <t>-</t>
        </is>
      </c>
      <c r="O305" s="11" t="inlineStr">
        <is>
          <t>-</t>
        </is>
      </c>
      <c r="P305" s="11" t="inlineStr">
        <is>
          <t>-</t>
        </is>
      </c>
      <c r="Q305" s="12" t="inlineStr">
        <is>
          <t>-</t>
        </is>
      </c>
    </row>
    <row r="306" ht="36" customHeight="1" s="155">
      <c r="B306" s="9" t="inlineStr">
        <is>
          <t>prosciutto crudo dissossato</t>
        </is>
      </c>
      <c r="C306" s="49">
        <f>_xlfn.XLOOKUP(A307,Magazzino!$D$1:$D$1500,Magazzino!$F$1:$F$1500,"",0,1)</f>
        <v/>
      </c>
      <c r="D306" s="50">
        <f>_xlfn.XLOOKUP(A308,Magazzino!$D$1:$D$1500,Magazzino!$F$1:$F$1500,"",0,1)</f>
        <v/>
      </c>
      <c r="E306" s="50">
        <f>_xlfn.XLOOKUP(A309,Magazzino!$D$1:$D$1500,Magazzino!$F$1:$F$1500,"",0,1)</f>
        <v/>
      </c>
      <c r="F306" s="50">
        <f>_xlfn.XLOOKUP(A310,Magazzino!$D$1:$D$1500,Magazzino!$F$1:$F$1500,"",0,1)</f>
        <v/>
      </c>
      <c r="G306" s="50">
        <f>_xlfn.XLOOKUP(A311,Magazzino!$D$1:$D$1500,Magazzino!$F$1:$F$1500,"",0,1)</f>
        <v/>
      </c>
      <c r="H306" s="50">
        <f>_xlfn.XLOOKUP(A312,Magazzino!$D$1:$D$1500,Magazzino!$F$1:$F$1500,"",0,1)</f>
        <v/>
      </c>
      <c r="I306" s="50">
        <f>_xlfn.XLOOKUP(A313,Magazzino!$D$1:$D$1500,Magazzino!$F$1:$F$1500,"",0,1)</f>
        <v/>
      </c>
      <c r="J306" s="50">
        <f>_xlfn.XLOOKUP(A314,Magazzino!$D$1:$D$1500,Magazzino!$F$1:$F$1500,"",0,1)</f>
        <v/>
      </c>
      <c r="K306" s="50">
        <f>_xlfn.XLOOKUP(A315,Magazzino!$D$1:$D$1500,Magazzino!$F$1:$F$1500,"",0,1)</f>
        <v/>
      </c>
      <c r="L306" s="50">
        <f>_xlfn.XLOOKUP(A316,Magazzino!$D$1:$D$1500,Magazzino!$F$1:$F$1500,"",0,1)</f>
        <v/>
      </c>
      <c r="M306" s="50">
        <f>_xlfn.XLOOKUP(A317,Magazzino!$D$1:$D$1500,Magazzino!$F$1:$F$1500,"",0,1)</f>
        <v/>
      </c>
      <c r="N306" s="50">
        <f>_xlfn.XLOOKUP(A318,Magazzino!$D$1:$D$1500,Magazzino!$F$1:$F$1500,"",0,1)</f>
        <v/>
      </c>
      <c r="O306" s="50">
        <f>_xlfn.XLOOKUP(A319,Magazzino!$D$1:$D$1500,Magazzino!$F$1:$F$1500,"",0,1)</f>
        <v/>
      </c>
      <c r="P306" s="50">
        <f>_xlfn.XLOOKUP(A320,Magazzino!$D$1:$D$1500,Magazzino!$F$1:$F$1500,"",0,1)</f>
        <v/>
      </c>
      <c r="Q306" s="51">
        <f>_xlfn.XLOOKUP(A321,Magazzino!$D$1:$D$1500,Magazzino!$F$1:$F$1500,"",0,1)</f>
        <v/>
      </c>
    </row>
    <row r="307">
      <c r="A307" s="47" t="inlineStr">
        <is>
          <t>p.crudo s/o        assisi</t>
        </is>
      </c>
      <c r="B307" s="10" t="inlineStr">
        <is>
          <t>-</t>
        </is>
      </c>
      <c r="C307" s="11" t="inlineStr">
        <is>
          <t>-</t>
        </is>
      </c>
      <c r="D307" s="11" t="inlineStr">
        <is>
          <t>-</t>
        </is>
      </c>
      <c r="E307" s="11" t="inlineStr">
        <is>
          <t>-</t>
        </is>
      </c>
      <c r="F307" s="11" t="inlineStr">
        <is>
          <t>-</t>
        </is>
      </c>
      <c r="G307" s="11" t="inlineStr">
        <is>
          <t>-</t>
        </is>
      </c>
      <c r="H307" s="11" t="inlineStr">
        <is>
          <t>-</t>
        </is>
      </c>
      <c r="I307" s="11" t="inlineStr">
        <is>
          <t>-</t>
        </is>
      </c>
      <c r="J307" s="11" t="inlineStr">
        <is>
          <t>-</t>
        </is>
      </c>
      <c r="K307" s="11" t="inlineStr">
        <is>
          <t>-</t>
        </is>
      </c>
      <c r="L307" s="11" t="inlineStr">
        <is>
          <t>-</t>
        </is>
      </c>
      <c r="M307" s="11" t="inlineStr">
        <is>
          <t>-</t>
        </is>
      </c>
      <c r="N307" s="11" t="inlineStr">
        <is>
          <t>-</t>
        </is>
      </c>
      <c r="O307" s="11" t="inlineStr">
        <is>
          <t>-</t>
        </is>
      </c>
      <c r="P307" s="11" t="inlineStr">
        <is>
          <t>-</t>
        </is>
      </c>
      <c r="Q307" s="12" t="inlineStr">
        <is>
          <t>-</t>
        </is>
      </c>
    </row>
    <row r="308">
      <c r="A308" s="47" t="n"/>
      <c r="B308" s="13" t="inlineStr">
        <is>
          <t>-</t>
        </is>
      </c>
      <c r="C308" s="14" t="inlineStr">
        <is>
          <t>-</t>
        </is>
      </c>
      <c r="D308" s="14" t="inlineStr">
        <is>
          <t>-</t>
        </is>
      </c>
      <c r="E308" s="14" t="inlineStr">
        <is>
          <t>-</t>
        </is>
      </c>
      <c r="F308" s="14" t="inlineStr">
        <is>
          <t>-</t>
        </is>
      </c>
      <c r="G308" s="14" t="inlineStr">
        <is>
          <t>-</t>
        </is>
      </c>
      <c r="H308" s="14" t="inlineStr">
        <is>
          <t>-</t>
        </is>
      </c>
      <c r="I308" s="14" t="inlineStr">
        <is>
          <t>-</t>
        </is>
      </c>
      <c r="J308" s="14" t="inlineStr">
        <is>
          <t>-</t>
        </is>
      </c>
      <c r="K308" s="14" t="inlineStr">
        <is>
          <t>-</t>
        </is>
      </c>
      <c r="L308" s="14" t="inlineStr">
        <is>
          <t>-</t>
        </is>
      </c>
      <c r="M308" s="14" t="inlineStr">
        <is>
          <t>-</t>
        </is>
      </c>
      <c r="N308" s="14" t="inlineStr">
        <is>
          <t>-</t>
        </is>
      </c>
      <c r="O308" s="14" t="inlineStr">
        <is>
          <t>-</t>
        </is>
      </c>
      <c r="P308" s="14" t="inlineStr">
        <is>
          <t>-</t>
        </is>
      </c>
      <c r="Q308" s="15" t="inlineStr">
        <is>
          <t>-</t>
        </is>
      </c>
    </row>
    <row r="309">
      <c r="A309" s="47" t="n"/>
      <c r="B309" s="16" t="inlineStr">
        <is>
          <t>-</t>
        </is>
      </c>
      <c r="C309" s="11" t="inlineStr">
        <is>
          <t>-</t>
        </is>
      </c>
      <c r="D309" s="11" t="inlineStr">
        <is>
          <t>-</t>
        </is>
      </c>
      <c r="E309" s="11" t="inlineStr">
        <is>
          <t>-</t>
        </is>
      </c>
      <c r="F309" s="11" t="inlineStr">
        <is>
          <t>-</t>
        </is>
      </c>
      <c r="G309" s="11" t="inlineStr">
        <is>
          <t>-</t>
        </is>
      </c>
      <c r="H309" s="11" t="inlineStr">
        <is>
          <t>-</t>
        </is>
      </c>
      <c r="I309" s="11" t="inlineStr">
        <is>
          <t>-</t>
        </is>
      </c>
      <c r="J309" s="11" t="inlineStr">
        <is>
          <t>-</t>
        </is>
      </c>
      <c r="K309" s="11" t="inlineStr">
        <is>
          <t>-</t>
        </is>
      </c>
      <c r="L309" s="11" t="inlineStr">
        <is>
          <t>-</t>
        </is>
      </c>
      <c r="M309" s="11" t="inlineStr">
        <is>
          <t>-</t>
        </is>
      </c>
      <c r="N309" s="11" t="inlineStr">
        <is>
          <t>-</t>
        </is>
      </c>
      <c r="O309" s="11" t="inlineStr">
        <is>
          <t>-</t>
        </is>
      </c>
      <c r="P309" s="11" t="inlineStr">
        <is>
          <t>-</t>
        </is>
      </c>
      <c r="Q309" s="12" t="inlineStr">
        <is>
          <t>-</t>
        </is>
      </c>
    </row>
    <row r="310">
      <c r="A310" s="47" t="n"/>
      <c r="B310" s="13" t="inlineStr">
        <is>
          <t>-</t>
        </is>
      </c>
      <c r="C310" s="14" t="inlineStr">
        <is>
          <t>-</t>
        </is>
      </c>
      <c r="D310" s="14" t="inlineStr">
        <is>
          <t>-</t>
        </is>
      </c>
      <c r="E310" s="14" t="inlineStr">
        <is>
          <t>-</t>
        </is>
      </c>
      <c r="F310" s="14" t="inlineStr">
        <is>
          <t>-</t>
        </is>
      </c>
      <c r="G310" s="14" t="inlineStr">
        <is>
          <t>-</t>
        </is>
      </c>
      <c r="H310" s="14" t="inlineStr">
        <is>
          <t>-</t>
        </is>
      </c>
      <c r="I310" s="14" t="inlineStr">
        <is>
          <t>-</t>
        </is>
      </c>
      <c r="J310" s="14" t="inlineStr">
        <is>
          <t>-</t>
        </is>
      </c>
      <c r="K310" s="14" t="inlineStr">
        <is>
          <t>-</t>
        </is>
      </c>
      <c r="L310" s="14" t="inlineStr">
        <is>
          <t>-</t>
        </is>
      </c>
      <c r="M310" s="14" t="inlineStr">
        <is>
          <t>-</t>
        </is>
      </c>
      <c r="N310" s="14" t="inlineStr">
        <is>
          <t>-</t>
        </is>
      </c>
      <c r="O310" s="14" t="inlineStr">
        <is>
          <t>-</t>
        </is>
      </c>
      <c r="P310" s="14" t="inlineStr">
        <is>
          <t>-</t>
        </is>
      </c>
      <c r="Q310" s="15" t="inlineStr">
        <is>
          <t>-</t>
        </is>
      </c>
    </row>
    <row r="311">
      <c r="A311" s="47" t="n"/>
      <c r="B311" s="16" t="inlineStr">
        <is>
          <t>-</t>
        </is>
      </c>
      <c r="C311" s="11" t="inlineStr">
        <is>
          <t>-</t>
        </is>
      </c>
      <c r="D311" s="11" t="inlineStr">
        <is>
          <t>-</t>
        </is>
      </c>
      <c r="E311" s="11" t="inlineStr">
        <is>
          <t>-</t>
        </is>
      </c>
      <c r="F311" s="11" t="inlineStr">
        <is>
          <t>-</t>
        </is>
      </c>
      <c r="G311" s="11" t="inlineStr">
        <is>
          <t>-</t>
        </is>
      </c>
      <c r="H311" s="11" t="inlineStr">
        <is>
          <t>-</t>
        </is>
      </c>
      <c r="I311" s="11" t="inlineStr">
        <is>
          <t>-</t>
        </is>
      </c>
      <c r="J311" s="11" t="inlineStr">
        <is>
          <t>-</t>
        </is>
      </c>
      <c r="K311" s="11" t="inlineStr">
        <is>
          <t>-</t>
        </is>
      </c>
      <c r="L311" s="11" t="inlineStr">
        <is>
          <t>-</t>
        </is>
      </c>
      <c r="M311" s="11" t="inlineStr">
        <is>
          <t>-</t>
        </is>
      </c>
      <c r="N311" s="11" t="inlineStr">
        <is>
          <t>-</t>
        </is>
      </c>
      <c r="O311" s="11" t="inlineStr">
        <is>
          <t>-</t>
        </is>
      </c>
      <c r="P311" s="11" t="inlineStr">
        <is>
          <t>-</t>
        </is>
      </c>
      <c r="Q311" s="12" t="inlineStr">
        <is>
          <t>-</t>
        </is>
      </c>
    </row>
    <row r="312">
      <c r="A312" s="47" t="n"/>
      <c r="B312" s="13" t="inlineStr">
        <is>
          <t>-</t>
        </is>
      </c>
      <c r="C312" s="14" t="inlineStr">
        <is>
          <t>-</t>
        </is>
      </c>
      <c r="D312" s="14" t="inlineStr">
        <is>
          <t>-</t>
        </is>
      </c>
      <c r="E312" s="14" t="inlineStr">
        <is>
          <t>-</t>
        </is>
      </c>
      <c r="F312" s="14" t="inlineStr">
        <is>
          <t>-</t>
        </is>
      </c>
      <c r="G312" s="14" t="inlineStr">
        <is>
          <t>-</t>
        </is>
      </c>
      <c r="H312" s="14" t="inlineStr">
        <is>
          <t>-</t>
        </is>
      </c>
      <c r="I312" s="14" t="inlineStr">
        <is>
          <t>-</t>
        </is>
      </c>
      <c r="J312" s="14" t="inlineStr">
        <is>
          <t>-</t>
        </is>
      </c>
      <c r="K312" s="14" t="inlineStr">
        <is>
          <t>-</t>
        </is>
      </c>
      <c r="L312" s="14" t="inlineStr">
        <is>
          <t>-</t>
        </is>
      </c>
      <c r="M312" s="14" t="inlineStr">
        <is>
          <t>-</t>
        </is>
      </c>
      <c r="N312" s="14" t="inlineStr">
        <is>
          <t>-</t>
        </is>
      </c>
      <c r="O312" s="14" t="inlineStr">
        <is>
          <t>-</t>
        </is>
      </c>
      <c r="P312" s="14" t="inlineStr">
        <is>
          <t>-</t>
        </is>
      </c>
      <c r="Q312" s="15" t="inlineStr">
        <is>
          <t>-</t>
        </is>
      </c>
    </row>
    <row r="313">
      <c r="A313" s="47" t="n"/>
      <c r="B313" s="16" t="inlineStr">
        <is>
          <t>-</t>
        </is>
      </c>
      <c r="C313" s="11" t="inlineStr">
        <is>
          <t>-</t>
        </is>
      </c>
      <c r="D313" s="11" t="inlineStr">
        <is>
          <t>-</t>
        </is>
      </c>
      <c r="E313" s="11" t="inlineStr">
        <is>
          <t>-</t>
        </is>
      </c>
      <c r="F313" s="11" t="inlineStr">
        <is>
          <t>-</t>
        </is>
      </c>
      <c r="G313" s="11" t="inlineStr">
        <is>
          <t>-</t>
        </is>
      </c>
      <c r="H313" s="11" t="inlineStr">
        <is>
          <t>-</t>
        </is>
      </c>
      <c r="I313" s="11" t="inlineStr">
        <is>
          <t>-</t>
        </is>
      </c>
      <c r="J313" s="11" t="inlineStr">
        <is>
          <t>-</t>
        </is>
      </c>
      <c r="K313" s="11" t="inlineStr">
        <is>
          <t>-</t>
        </is>
      </c>
      <c r="L313" s="11" t="inlineStr">
        <is>
          <t>-</t>
        </is>
      </c>
      <c r="M313" s="11" t="inlineStr">
        <is>
          <t>-</t>
        </is>
      </c>
      <c r="N313" s="11" t="inlineStr">
        <is>
          <t>-</t>
        </is>
      </c>
      <c r="O313" s="11" t="inlineStr">
        <is>
          <t>-</t>
        </is>
      </c>
      <c r="P313" s="11" t="inlineStr">
        <is>
          <t>-</t>
        </is>
      </c>
      <c r="Q313" s="12" t="inlineStr">
        <is>
          <t>-</t>
        </is>
      </c>
    </row>
    <row r="314">
      <c r="A314" s="47" t="n"/>
      <c r="B314" s="13" t="inlineStr">
        <is>
          <t>-</t>
        </is>
      </c>
      <c r="C314" s="14" t="inlineStr">
        <is>
          <t>-</t>
        </is>
      </c>
      <c r="D314" s="14" t="inlineStr">
        <is>
          <t>-</t>
        </is>
      </c>
      <c r="E314" s="14" t="inlineStr">
        <is>
          <t>-</t>
        </is>
      </c>
      <c r="F314" s="14" t="inlineStr">
        <is>
          <t>-</t>
        </is>
      </c>
      <c r="G314" s="14" t="inlineStr">
        <is>
          <t>-</t>
        </is>
      </c>
      <c r="H314" s="14" t="inlineStr">
        <is>
          <t>-</t>
        </is>
      </c>
      <c r="I314" s="14" t="inlineStr">
        <is>
          <t>-</t>
        </is>
      </c>
      <c r="J314" s="14" t="inlineStr">
        <is>
          <t>-</t>
        </is>
      </c>
      <c r="K314" s="14" t="inlineStr">
        <is>
          <t>-</t>
        </is>
      </c>
      <c r="L314" s="14" t="inlineStr">
        <is>
          <t>-</t>
        </is>
      </c>
      <c r="M314" s="14" t="inlineStr">
        <is>
          <t>-</t>
        </is>
      </c>
      <c r="N314" s="14" t="inlineStr">
        <is>
          <t>-</t>
        </is>
      </c>
      <c r="O314" s="14" t="inlineStr">
        <is>
          <t>-</t>
        </is>
      </c>
      <c r="P314" s="14" t="inlineStr">
        <is>
          <t>-</t>
        </is>
      </c>
      <c r="Q314" s="15" t="inlineStr">
        <is>
          <t>-</t>
        </is>
      </c>
    </row>
    <row r="315">
      <c r="A315" s="47" t="n"/>
      <c r="B315" s="16" t="inlineStr">
        <is>
          <t>-</t>
        </is>
      </c>
      <c r="C315" s="11" t="inlineStr">
        <is>
          <t>-</t>
        </is>
      </c>
      <c r="D315" s="11" t="inlineStr">
        <is>
          <t>-</t>
        </is>
      </c>
      <c r="E315" s="11" t="inlineStr">
        <is>
          <t>-</t>
        </is>
      </c>
      <c r="F315" s="11" t="inlineStr">
        <is>
          <t>-</t>
        </is>
      </c>
      <c r="G315" s="11" t="inlineStr">
        <is>
          <t>-</t>
        </is>
      </c>
      <c r="H315" s="11" t="inlineStr">
        <is>
          <t>-</t>
        </is>
      </c>
      <c r="I315" s="11" t="inlineStr">
        <is>
          <t>-</t>
        </is>
      </c>
      <c r="J315" s="11" t="inlineStr">
        <is>
          <t>-</t>
        </is>
      </c>
      <c r="K315" s="11" t="inlineStr">
        <is>
          <t>-</t>
        </is>
      </c>
      <c r="L315" s="11" t="inlineStr">
        <is>
          <t>-</t>
        </is>
      </c>
      <c r="M315" s="11" t="inlineStr">
        <is>
          <t>-</t>
        </is>
      </c>
      <c r="N315" s="11" t="inlineStr">
        <is>
          <t>-</t>
        </is>
      </c>
      <c r="O315" s="11" t="inlineStr">
        <is>
          <t>-</t>
        </is>
      </c>
      <c r="P315" s="11" t="inlineStr">
        <is>
          <t>-</t>
        </is>
      </c>
      <c r="Q315" s="12" t="inlineStr">
        <is>
          <t>-</t>
        </is>
      </c>
    </row>
    <row r="316">
      <c r="A316" s="47" t="n"/>
      <c r="B316" s="13" t="inlineStr">
        <is>
          <t>-</t>
        </is>
      </c>
      <c r="C316" s="14" t="inlineStr">
        <is>
          <t>-</t>
        </is>
      </c>
      <c r="D316" s="14" t="inlineStr">
        <is>
          <t>-</t>
        </is>
      </c>
      <c r="E316" s="14" t="inlineStr">
        <is>
          <t>-</t>
        </is>
      </c>
      <c r="F316" s="14" t="inlineStr">
        <is>
          <t>-</t>
        </is>
      </c>
      <c r="G316" s="14" t="inlineStr">
        <is>
          <t>-</t>
        </is>
      </c>
      <c r="H316" s="14" t="inlineStr">
        <is>
          <t>-</t>
        </is>
      </c>
      <c r="I316" s="14" t="inlineStr">
        <is>
          <t>-</t>
        </is>
      </c>
      <c r="J316" s="14" t="inlineStr">
        <is>
          <t>-</t>
        </is>
      </c>
      <c r="K316" s="14" t="inlineStr">
        <is>
          <t>-</t>
        </is>
      </c>
      <c r="L316" s="14" t="inlineStr">
        <is>
          <t>-</t>
        </is>
      </c>
      <c r="M316" s="14" t="inlineStr">
        <is>
          <t>-</t>
        </is>
      </c>
      <c r="N316" s="14" t="inlineStr">
        <is>
          <t>-</t>
        </is>
      </c>
      <c r="O316" s="14" t="inlineStr">
        <is>
          <t>-</t>
        </is>
      </c>
      <c r="P316" s="14" t="inlineStr">
        <is>
          <t>-</t>
        </is>
      </c>
      <c r="Q316" s="15" t="inlineStr">
        <is>
          <t>-</t>
        </is>
      </c>
    </row>
    <row r="317">
      <c r="A317" s="47" t="n"/>
      <c r="B317" s="16" t="inlineStr">
        <is>
          <t>-</t>
        </is>
      </c>
      <c r="C317" s="11" t="inlineStr">
        <is>
          <t>-</t>
        </is>
      </c>
      <c r="D317" s="11" t="inlineStr">
        <is>
          <t>-</t>
        </is>
      </c>
      <c r="E317" s="11" t="inlineStr">
        <is>
          <t>-</t>
        </is>
      </c>
      <c r="F317" s="11" t="inlineStr">
        <is>
          <t>-</t>
        </is>
      </c>
      <c r="G317" s="11" t="inlineStr">
        <is>
          <t>-</t>
        </is>
      </c>
      <c r="H317" s="11" t="inlineStr">
        <is>
          <t>-</t>
        </is>
      </c>
      <c r="I317" s="11" t="inlineStr">
        <is>
          <t>-</t>
        </is>
      </c>
      <c r="J317" s="11" t="inlineStr">
        <is>
          <t>-</t>
        </is>
      </c>
      <c r="K317" s="11" t="inlineStr">
        <is>
          <t>-</t>
        </is>
      </c>
      <c r="L317" s="11" t="inlineStr">
        <is>
          <t>-</t>
        </is>
      </c>
      <c r="M317" s="11" t="inlineStr">
        <is>
          <t>-</t>
        </is>
      </c>
      <c r="N317" s="11" t="inlineStr">
        <is>
          <t>-</t>
        </is>
      </c>
      <c r="O317" s="11" t="inlineStr">
        <is>
          <t>-</t>
        </is>
      </c>
      <c r="P317" s="11" t="inlineStr">
        <is>
          <t>-</t>
        </is>
      </c>
      <c r="Q317" s="12" t="inlineStr">
        <is>
          <t>-</t>
        </is>
      </c>
    </row>
    <row r="318">
      <c r="A318" s="47" t="n"/>
      <c r="B318" s="13" t="inlineStr">
        <is>
          <t>-</t>
        </is>
      </c>
      <c r="C318" s="14" t="inlineStr">
        <is>
          <t>-</t>
        </is>
      </c>
      <c r="D318" s="14" t="inlineStr">
        <is>
          <t>-</t>
        </is>
      </c>
      <c r="E318" s="14" t="inlineStr">
        <is>
          <t>-</t>
        </is>
      </c>
      <c r="F318" s="14" t="inlineStr">
        <is>
          <t>-</t>
        </is>
      </c>
      <c r="G318" s="14" t="inlineStr">
        <is>
          <t>-</t>
        </is>
      </c>
      <c r="H318" s="14" t="inlineStr">
        <is>
          <t>-</t>
        </is>
      </c>
      <c r="I318" s="14" t="inlineStr">
        <is>
          <t>-</t>
        </is>
      </c>
      <c r="J318" s="14" t="inlineStr">
        <is>
          <t>-</t>
        </is>
      </c>
      <c r="K318" s="14" t="inlineStr">
        <is>
          <t>-</t>
        </is>
      </c>
      <c r="L318" s="14" t="inlineStr">
        <is>
          <t>-</t>
        </is>
      </c>
      <c r="M318" s="14" t="inlineStr">
        <is>
          <t>-</t>
        </is>
      </c>
      <c r="N318" s="14" t="inlineStr">
        <is>
          <t>-</t>
        </is>
      </c>
      <c r="O318" s="14" t="inlineStr">
        <is>
          <t>-</t>
        </is>
      </c>
      <c r="P318" s="14" t="inlineStr">
        <is>
          <t>-</t>
        </is>
      </c>
      <c r="Q318" s="15" t="inlineStr">
        <is>
          <t>-</t>
        </is>
      </c>
    </row>
    <row r="319">
      <c r="A319" s="47" t="n"/>
      <c r="B319" s="16" t="inlineStr">
        <is>
          <t>-</t>
        </is>
      </c>
      <c r="C319" s="11" t="inlineStr">
        <is>
          <t>-</t>
        </is>
      </c>
      <c r="D319" s="11" t="inlineStr">
        <is>
          <t>-</t>
        </is>
      </c>
      <c r="E319" s="11" t="inlineStr">
        <is>
          <t>-</t>
        </is>
      </c>
      <c r="F319" s="11" t="inlineStr">
        <is>
          <t>-</t>
        </is>
      </c>
      <c r="G319" s="11" t="inlineStr">
        <is>
          <t>-</t>
        </is>
      </c>
      <c r="H319" s="11" t="inlineStr">
        <is>
          <t>-</t>
        </is>
      </c>
      <c r="I319" s="11" t="inlineStr">
        <is>
          <t>-</t>
        </is>
      </c>
      <c r="J319" s="11" t="inlineStr">
        <is>
          <t>-</t>
        </is>
      </c>
      <c r="K319" s="11" t="inlineStr">
        <is>
          <t>-</t>
        </is>
      </c>
      <c r="L319" s="11" t="inlineStr">
        <is>
          <t>-</t>
        </is>
      </c>
      <c r="M319" s="11" t="inlineStr">
        <is>
          <t>-</t>
        </is>
      </c>
      <c r="N319" s="11" t="inlineStr">
        <is>
          <t>-</t>
        </is>
      </c>
      <c r="O319" s="11" t="inlineStr">
        <is>
          <t>-</t>
        </is>
      </c>
      <c r="P319" s="11" t="inlineStr">
        <is>
          <t>-</t>
        </is>
      </c>
      <c r="Q319" s="12" t="inlineStr">
        <is>
          <t>-</t>
        </is>
      </c>
    </row>
    <row r="320">
      <c r="A320" s="47" t="n"/>
      <c r="B320" s="13" t="inlineStr">
        <is>
          <t>-</t>
        </is>
      </c>
      <c r="C320" s="14" t="inlineStr">
        <is>
          <t>-</t>
        </is>
      </c>
      <c r="D320" s="14" t="inlineStr">
        <is>
          <t>-</t>
        </is>
      </c>
      <c r="E320" s="14" t="inlineStr">
        <is>
          <t>-</t>
        </is>
      </c>
      <c r="F320" s="14" t="inlineStr">
        <is>
          <t>-</t>
        </is>
      </c>
      <c r="G320" s="14" t="inlineStr">
        <is>
          <t>-</t>
        </is>
      </c>
      <c r="H320" s="14" t="inlineStr">
        <is>
          <t>-</t>
        </is>
      </c>
      <c r="I320" s="14" t="inlineStr">
        <is>
          <t>-</t>
        </is>
      </c>
      <c r="J320" s="14" t="inlineStr">
        <is>
          <t>-</t>
        </is>
      </c>
      <c r="K320" s="14" t="inlineStr">
        <is>
          <t>-</t>
        </is>
      </c>
      <c r="L320" s="14" t="inlineStr">
        <is>
          <t>-</t>
        </is>
      </c>
      <c r="M320" s="14" t="inlineStr">
        <is>
          <t>-</t>
        </is>
      </c>
      <c r="N320" s="14" t="inlineStr">
        <is>
          <t>-</t>
        </is>
      </c>
      <c r="O320" s="14" t="inlineStr">
        <is>
          <t>-</t>
        </is>
      </c>
      <c r="P320" s="14" t="inlineStr">
        <is>
          <t>-</t>
        </is>
      </c>
      <c r="Q320" s="15" t="inlineStr">
        <is>
          <t>-</t>
        </is>
      </c>
    </row>
    <row r="321">
      <c r="A321" s="47" t="n"/>
      <c r="B321" s="16" t="inlineStr">
        <is>
          <t>-</t>
        </is>
      </c>
      <c r="C321" s="11" t="inlineStr">
        <is>
          <t>-</t>
        </is>
      </c>
      <c r="D321" s="11" t="inlineStr">
        <is>
          <t>-</t>
        </is>
      </c>
      <c r="E321" s="11" t="inlineStr">
        <is>
          <t>-</t>
        </is>
      </c>
      <c r="F321" s="11" t="inlineStr">
        <is>
          <t>-</t>
        </is>
      </c>
      <c r="G321" s="11" t="inlineStr">
        <is>
          <t>-</t>
        </is>
      </c>
      <c r="H321" s="11" t="inlineStr">
        <is>
          <t>-</t>
        </is>
      </c>
      <c r="I321" s="11" t="inlineStr">
        <is>
          <t>-</t>
        </is>
      </c>
      <c r="J321" s="11" t="inlineStr">
        <is>
          <t>-</t>
        </is>
      </c>
      <c r="K321" s="11" t="inlineStr">
        <is>
          <t>-</t>
        </is>
      </c>
      <c r="L321" s="11" t="inlineStr">
        <is>
          <t>-</t>
        </is>
      </c>
      <c r="M321" s="11" t="inlineStr">
        <is>
          <t>-</t>
        </is>
      </c>
      <c r="N321" s="11" t="inlineStr">
        <is>
          <t>-</t>
        </is>
      </c>
      <c r="O321" s="11" t="inlineStr">
        <is>
          <t>-</t>
        </is>
      </c>
      <c r="P321" s="11" t="inlineStr">
        <is>
          <t>-</t>
        </is>
      </c>
      <c r="Q321" s="12" t="inlineStr">
        <is>
          <t>-</t>
        </is>
      </c>
    </row>
    <row r="322" ht="48" customHeight="1" s="155">
      <c r="B322" s="9" t="inlineStr">
        <is>
          <t>porchetta di ariccia</t>
        </is>
      </c>
      <c r="C322" s="49">
        <f>_xlfn.XLOOKUP(A323,Magazzino!$D$1:$D$1500,Magazzino!$F$1:$F$1500,"",0,1)</f>
        <v/>
      </c>
      <c r="D322" s="50">
        <f>_xlfn.XLOOKUP(A324,Magazzino!$D$1:$D$1500,Magazzino!$F$1:$F$1500,"",0,1)</f>
        <v/>
      </c>
      <c r="E322" s="50">
        <f>_xlfn.XLOOKUP(A325,Magazzino!$D$1:$D$1500,Magazzino!$F$1:$F$1500,"",0,1)</f>
        <v/>
      </c>
      <c r="F322" s="50">
        <f>_xlfn.XLOOKUP(A326,Magazzino!$D$1:$D$1500,Magazzino!$F$1:$F$1500,"",0,1)</f>
        <v/>
      </c>
      <c r="G322" s="50">
        <f>_xlfn.XLOOKUP(A327,Magazzino!$D$1:$D$1500,Magazzino!$F$1:$F$1500,"",0,1)</f>
        <v/>
      </c>
      <c r="H322" s="50">
        <f>_xlfn.XLOOKUP(A328,Magazzino!$D$1:$D$1500,Magazzino!$F$1:$F$1500,"",0,1)</f>
        <v/>
      </c>
      <c r="I322" s="50">
        <f>_xlfn.XLOOKUP(A329,Magazzino!$D$1:$D$1500,Magazzino!$F$1:$F$1500,"",0,1)</f>
        <v/>
      </c>
      <c r="J322" s="50">
        <f>_xlfn.XLOOKUP(A330,Magazzino!$D$1:$D$1500,Magazzino!$F$1:$F$1500,"",0,1)</f>
        <v/>
      </c>
      <c r="K322" s="50">
        <f>_xlfn.XLOOKUP(A331,Magazzino!$D$1:$D$1500,Magazzino!$F$1:$F$1500,"",0,1)</f>
        <v/>
      </c>
      <c r="L322" s="50">
        <f>_xlfn.XLOOKUP(A332,Magazzino!$D$1:$D$1500,Magazzino!$F$1:$F$1500,"",0,1)</f>
        <v/>
      </c>
      <c r="M322" s="50">
        <f>_xlfn.XLOOKUP(A333,Magazzino!$D$1:$D$1500,Magazzino!$F$1:$F$1500,"",0,1)</f>
        <v/>
      </c>
      <c r="N322" s="50">
        <f>_xlfn.XLOOKUP(A334,Magazzino!$D$1:$D$1500,Magazzino!$F$1:$F$1500,"",0,1)</f>
        <v/>
      </c>
      <c r="O322" s="50">
        <f>_xlfn.XLOOKUP(A335,Magazzino!$D$1:$D$1500,Magazzino!$F$1:$F$1500,"",0,1)</f>
        <v/>
      </c>
      <c r="P322" s="50">
        <f>_xlfn.XLOOKUP(A336,Magazzino!$D$1:$D$1500,Magazzino!$F$1:$F$1500,"",0,1)</f>
        <v/>
      </c>
      <c r="Q322" s="51">
        <f>_xlfn.XLOOKUP(A337,Magazzino!$D$1:$D$1500,Magazzino!$F$1:$F$1500,"",0,1)</f>
        <v/>
      </c>
    </row>
    <row r="323">
      <c r="A323" s="47" t="inlineStr">
        <is>
          <t>porch.montagna1/2 senfter</t>
        </is>
      </c>
      <c r="B323" s="10" t="inlineStr">
        <is>
          <t>-</t>
        </is>
      </c>
      <c r="C323" s="11" t="inlineStr">
        <is>
          <t>-</t>
        </is>
      </c>
      <c r="D323" s="11" t="inlineStr">
        <is>
          <t>-</t>
        </is>
      </c>
      <c r="E323" s="11" t="inlineStr">
        <is>
          <t>-</t>
        </is>
      </c>
      <c r="F323" s="11" t="inlineStr">
        <is>
          <t>-</t>
        </is>
      </c>
      <c r="G323" s="11" t="inlineStr">
        <is>
          <t>-</t>
        </is>
      </c>
      <c r="H323" s="11" t="inlineStr">
        <is>
          <t>-</t>
        </is>
      </c>
      <c r="I323" s="11" t="inlineStr">
        <is>
          <t>-</t>
        </is>
      </c>
      <c r="J323" s="11" t="inlineStr">
        <is>
          <t>-</t>
        </is>
      </c>
      <c r="K323" s="11" t="inlineStr">
        <is>
          <t>-</t>
        </is>
      </c>
      <c r="L323" s="11" t="inlineStr">
        <is>
          <t>-</t>
        </is>
      </c>
      <c r="M323" s="11" t="inlineStr">
        <is>
          <t>-</t>
        </is>
      </c>
      <c r="N323" s="11" t="inlineStr">
        <is>
          <t>-</t>
        </is>
      </c>
      <c r="O323" s="11" t="inlineStr">
        <is>
          <t>-</t>
        </is>
      </c>
      <c r="P323" s="11" t="inlineStr">
        <is>
          <t>-</t>
        </is>
      </c>
      <c r="Q323" s="12" t="inlineStr">
        <is>
          <t>-</t>
        </is>
      </c>
    </row>
    <row r="324">
      <c r="A324" s="47" t="n"/>
      <c r="B324" s="13" t="inlineStr">
        <is>
          <t>-</t>
        </is>
      </c>
      <c r="C324" s="14" t="inlineStr">
        <is>
          <t>-</t>
        </is>
      </c>
      <c r="D324" s="14" t="inlineStr">
        <is>
          <t>-</t>
        </is>
      </c>
      <c r="E324" s="14" t="inlineStr">
        <is>
          <t>-</t>
        </is>
      </c>
      <c r="F324" s="14" t="inlineStr">
        <is>
          <t>-</t>
        </is>
      </c>
      <c r="G324" s="14" t="inlineStr">
        <is>
          <t>-</t>
        </is>
      </c>
      <c r="H324" s="14" t="inlineStr">
        <is>
          <t>-</t>
        </is>
      </c>
      <c r="I324" s="14" t="inlineStr">
        <is>
          <t>-</t>
        </is>
      </c>
      <c r="J324" s="14" t="inlineStr">
        <is>
          <t>-</t>
        </is>
      </c>
      <c r="K324" s="14" t="inlineStr">
        <is>
          <t>-</t>
        </is>
      </c>
      <c r="L324" s="14" t="inlineStr">
        <is>
          <t>-</t>
        </is>
      </c>
      <c r="M324" s="14" t="inlineStr">
        <is>
          <t>-</t>
        </is>
      </c>
      <c r="N324" s="14" t="inlineStr">
        <is>
          <t>-</t>
        </is>
      </c>
      <c r="O324" s="14" t="inlineStr">
        <is>
          <t>-</t>
        </is>
      </c>
      <c r="P324" s="14" t="inlineStr">
        <is>
          <t>-</t>
        </is>
      </c>
      <c r="Q324" s="15" t="inlineStr">
        <is>
          <t>-</t>
        </is>
      </c>
    </row>
    <row r="325">
      <c r="A325" s="47" t="n"/>
      <c r="B325" s="16" t="inlineStr">
        <is>
          <t>-</t>
        </is>
      </c>
      <c r="C325" s="11" t="inlineStr">
        <is>
          <t>-</t>
        </is>
      </c>
      <c r="D325" s="11" t="inlineStr">
        <is>
          <t>-</t>
        </is>
      </c>
      <c r="E325" s="11" t="inlineStr">
        <is>
          <t>-</t>
        </is>
      </c>
      <c r="F325" s="11" t="inlineStr">
        <is>
          <t>-</t>
        </is>
      </c>
      <c r="G325" s="11" t="inlineStr">
        <is>
          <t>-</t>
        </is>
      </c>
      <c r="H325" s="11" t="inlineStr">
        <is>
          <t>-</t>
        </is>
      </c>
      <c r="I325" s="11" t="inlineStr">
        <is>
          <t>-</t>
        </is>
      </c>
      <c r="J325" s="11" t="inlineStr">
        <is>
          <t>-</t>
        </is>
      </c>
      <c r="K325" s="11" t="inlineStr">
        <is>
          <t>-</t>
        </is>
      </c>
      <c r="L325" s="11" t="inlineStr">
        <is>
          <t>-</t>
        </is>
      </c>
      <c r="M325" s="11" t="inlineStr">
        <is>
          <t>-</t>
        </is>
      </c>
      <c r="N325" s="11" t="inlineStr">
        <is>
          <t>-</t>
        </is>
      </c>
      <c r="O325" s="11" t="inlineStr">
        <is>
          <t>-</t>
        </is>
      </c>
      <c r="P325" s="11" t="inlineStr">
        <is>
          <t>-</t>
        </is>
      </c>
      <c r="Q325" s="12" t="inlineStr">
        <is>
          <t>-</t>
        </is>
      </c>
    </row>
    <row r="326">
      <c r="A326" s="47" t="n"/>
      <c r="B326" s="13" t="inlineStr">
        <is>
          <t>-</t>
        </is>
      </c>
      <c r="C326" s="14" t="inlineStr">
        <is>
          <t>-</t>
        </is>
      </c>
      <c r="D326" s="14" t="inlineStr">
        <is>
          <t>-</t>
        </is>
      </c>
      <c r="E326" s="14" t="inlineStr">
        <is>
          <t>-</t>
        </is>
      </c>
      <c r="F326" s="14" t="inlineStr">
        <is>
          <t>-</t>
        </is>
      </c>
      <c r="G326" s="14" t="inlineStr">
        <is>
          <t>-</t>
        </is>
      </c>
      <c r="H326" s="14" t="inlineStr">
        <is>
          <t>-</t>
        </is>
      </c>
      <c r="I326" s="14" t="inlineStr">
        <is>
          <t>-</t>
        </is>
      </c>
      <c r="J326" s="14" t="inlineStr">
        <is>
          <t>-</t>
        </is>
      </c>
      <c r="K326" s="14" t="inlineStr">
        <is>
          <t>-</t>
        </is>
      </c>
      <c r="L326" s="14" t="inlineStr">
        <is>
          <t>-</t>
        </is>
      </c>
      <c r="M326" s="14" t="inlineStr">
        <is>
          <t>-</t>
        </is>
      </c>
      <c r="N326" s="14" t="inlineStr">
        <is>
          <t>-</t>
        </is>
      </c>
      <c r="O326" s="14" t="inlineStr">
        <is>
          <t>-</t>
        </is>
      </c>
      <c r="P326" s="14" t="inlineStr">
        <is>
          <t>-</t>
        </is>
      </c>
      <c r="Q326" s="15" t="inlineStr">
        <is>
          <t>-</t>
        </is>
      </c>
    </row>
    <row r="327">
      <c r="A327" s="47" t="n"/>
      <c r="B327" s="16" t="inlineStr">
        <is>
          <t>-</t>
        </is>
      </c>
      <c r="C327" s="11" t="inlineStr">
        <is>
          <t>-</t>
        </is>
      </c>
      <c r="D327" s="11" t="inlineStr">
        <is>
          <t>-</t>
        </is>
      </c>
      <c r="E327" s="11" t="inlineStr">
        <is>
          <t>-</t>
        </is>
      </c>
      <c r="F327" s="11" t="inlineStr">
        <is>
          <t>-</t>
        </is>
      </c>
      <c r="G327" s="11" t="inlineStr">
        <is>
          <t>-</t>
        </is>
      </c>
      <c r="H327" s="11" t="inlineStr">
        <is>
          <t>-</t>
        </is>
      </c>
      <c r="I327" s="11" t="inlineStr">
        <is>
          <t>-</t>
        </is>
      </c>
      <c r="J327" s="11" t="inlineStr">
        <is>
          <t>-</t>
        </is>
      </c>
      <c r="K327" s="11" t="inlineStr">
        <is>
          <t>-</t>
        </is>
      </c>
      <c r="L327" s="11" t="inlineStr">
        <is>
          <t>-</t>
        </is>
      </c>
      <c r="M327" s="11" t="inlineStr">
        <is>
          <t>-</t>
        </is>
      </c>
      <c r="N327" s="11" t="inlineStr">
        <is>
          <t>-</t>
        </is>
      </c>
      <c r="O327" s="11" t="inlineStr">
        <is>
          <t>-</t>
        </is>
      </c>
      <c r="P327" s="11" t="inlineStr">
        <is>
          <t>-</t>
        </is>
      </c>
      <c r="Q327" s="12" t="inlineStr">
        <is>
          <t>-</t>
        </is>
      </c>
    </row>
    <row r="328">
      <c r="A328" s="47" t="n"/>
      <c r="B328" s="13" t="inlineStr">
        <is>
          <t>-</t>
        </is>
      </c>
      <c r="C328" s="14" t="inlineStr">
        <is>
          <t>-</t>
        </is>
      </c>
      <c r="D328" s="14" t="inlineStr">
        <is>
          <t>-</t>
        </is>
      </c>
      <c r="E328" s="14" t="inlineStr">
        <is>
          <t>-</t>
        </is>
      </c>
      <c r="F328" s="14" t="inlineStr">
        <is>
          <t>-</t>
        </is>
      </c>
      <c r="G328" s="14" t="inlineStr">
        <is>
          <t>-</t>
        </is>
      </c>
      <c r="H328" s="14" t="inlineStr">
        <is>
          <t>-</t>
        </is>
      </c>
      <c r="I328" s="14" t="inlineStr">
        <is>
          <t>-</t>
        </is>
      </c>
      <c r="J328" s="14" t="inlineStr">
        <is>
          <t>-</t>
        </is>
      </c>
      <c r="K328" s="14" t="inlineStr">
        <is>
          <t>-</t>
        </is>
      </c>
      <c r="L328" s="14" t="inlineStr">
        <is>
          <t>-</t>
        </is>
      </c>
      <c r="M328" s="14" t="inlineStr">
        <is>
          <t>-</t>
        </is>
      </c>
      <c r="N328" s="14" t="inlineStr">
        <is>
          <t>-</t>
        </is>
      </c>
      <c r="O328" s="14" t="inlineStr">
        <is>
          <t>-</t>
        </is>
      </c>
      <c r="P328" s="14" t="inlineStr">
        <is>
          <t>-</t>
        </is>
      </c>
      <c r="Q328" s="15" t="inlineStr">
        <is>
          <t>-</t>
        </is>
      </c>
    </row>
    <row r="329">
      <c r="A329" s="47" t="n"/>
      <c r="B329" s="16" t="inlineStr">
        <is>
          <t>-</t>
        </is>
      </c>
      <c r="C329" s="11" t="inlineStr">
        <is>
          <t>-</t>
        </is>
      </c>
      <c r="D329" s="11" t="inlineStr">
        <is>
          <t>-</t>
        </is>
      </c>
      <c r="E329" s="11" t="inlineStr">
        <is>
          <t>-</t>
        </is>
      </c>
      <c r="F329" s="11" t="inlineStr">
        <is>
          <t>-</t>
        </is>
      </c>
      <c r="G329" s="11" t="inlineStr">
        <is>
          <t>-</t>
        </is>
      </c>
      <c r="H329" s="11" t="inlineStr">
        <is>
          <t>-</t>
        </is>
      </c>
      <c r="I329" s="11" t="inlineStr">
        <is>
          <t>-</t>
        </is>
      </c>
      <c r="J329" s="11" t="inlineStr">
        <is>
          <t>-</t>
        </is>
      </c>
      <c r="K329" s="11" t="inlineStr">
        <is>
          <t>-</t>
        </is>
      </c>
      <c r="L329" s="11" t="inlineStr">
        <is>
          <t>-</t>
        </is>
      </c>
      <c r="M329" s="11" t="inlineStr">
        <is>
          <t>-</t>
        </is>
      </c>
      <c r="N329" s="11" t="inlineStr">
        <is>
          <t>-</t>
        </is>
      </c>
      <c r="O329" s="11" t="inlineStr">
        <is>
          <t>-</t>
        </is>
      </c>
      <c r="P329" s="11" t="inlineStr">
        <is>
          <t>-</t>
        </is>
      </c>
      <c r="Q329" s="12" t="inlineStr">
        <is>
          <t>-</t>
        </is>
      </c>
    </row>
    <row r="330">
      <c r="A330" s="47" t="n"/>
      <c r="B330" s="13" t="inlineStr">
        <is>
          <t>-</t>
        </is>
      </c>
      <c r="C330" s="14" t="inlineStr">
        <is>
          <t>-</t>
        </is>
      </c>
      <c r="D330" s="14" t="inlineStr">
        <is>
          <t>-</t>
        </is>
      </c>
      <c r="E330" s="14" t="inlineStr">
        <is>
          <t>-</t>
        </is>
      </c>
      <c r="F330" s="14" t="inlineStr">
        <is>
          <t>-</t>
        </is>
      </c>
      <c r="G330" s="14" t="inlineStr">
        <is>
          <t>-</t>
        </is>
      </c>
      <c r="H330" s="14" t="inlineStr">
        <is>
          <t>-</t>
        </is>
      </c>
      <c r="I330" s="14" t="inlineStr">
        <is>
          <t>-</t>
        </is>
      </c>
      <c r="J330" s="14" t="inlineStr">
        <is>
          <t>-</t>
        </is>
      </c>
      <c r="K330" s="14" t="inlineStr">
        <is>
          <t>-</t>
        </is>
      </c>
      <c r="L330" s="14" t="inlineStr">
        <is>
          <t>-</t>
        </is>
      </c>
      <c r="M330" s="14" t="inlineStr">
        <is>
          <t>-</t>
        </is>
      </c>
      <c r="N330" s="14" t="inlineStr">
        <is>
          <t>-</t>
        </is>
      </c>
      <c r="O330" s="14" t="inlineStr">
        <is>
          <t>-</t>
        </is>
      </c>
      <c r="P330" s="14" t="inlineStr">
        <is>
          <t>-</t>
        </is>
      </c>
      <c r="Q330" s="15" t="inlineStr">
        <is>
          <t>-</t>
        </is>
      </c>
    </row>
    <row r="331">
      <c r="A331" s="47" t="n"/>
      <c r="B331" s="16" t="inlineStr">
        <is>
          <t>-</t>
        </is>
      </c>
      <c r="C331" s="11" t="inlineStr">
        <is>
          <t>-</t>
        </is>
      </c>
      <c r="D331" s="11" t="inlineStr">
        <is>
          <t>-</t>
        </is>
      </c>
      <c r="E331" s="11" t="inlineStr">
        <is>
          <t>-</t>
        </is>
      </c>
      <c r="F331" s="11" t="inlineStr">
        <is>
          <t>-</t>
        </is>
      </c>
      <c r="G331" s="11" t="inlineStr">
        <is>
          <t>-</t>
        </is>
      </c>
      <c r="H331" s="11" t="inlineStr">
        <is>
          <t>-</t>
        </is>
      </c>
      <c r="I331" s="11" t="inlineStr">
        <is>
          <t>-</t>
        </is>
      </c>
      <c r="J331" s="11" t="inlineStr">
        <is>
          <t>-</t>
        </is>
      </c>
      <c r="K331" s="11" t="inlineStr">
        <is>
          <t>-</t>
        </is>
      </c>
      <c r="L331" s="11" t="inlineStr">
        <is>
          <t>-</t>
        </is>
      </c>
      <c r="M331" s="11" t="inlineStr">
        <is>
          <t>-</t>
        </is>
      </c>
      <c r="N331" s="11" t="inlineStr">
        <is>
          <t>-</t>
        </is>
      </c>
      <c r="O331" s="11" t="inlineStr">
        <is>
          <t>-</t>
        </is>
      </c>
      <c r="P331" s="11" t="inlineStr">
        <is>
          <t>-</t>
        </is>
      </c>
      <c r="Q331" s="12" t="inlineStr">
        <is>
          <t>-</t>
        </is>
      </c>
    </row>
    <row r="332">
      <c r="A332" s="47" t="n"/>
      <c r="B332" s="13" t="inlineStr">
        <is>
          <t>-</t>
        </is>
      </c>
      <c r="C332" s="14" t="inlineStr">
        <is>
          <t>-</t>
        </is>
      </c>
      <c r="D332" s="14" t="inlineStr">
        <is>
          <t>-</t>
        </is>
      </c>
      <c r="E332" s="14" t="inlineStr">
        <is>
          <t>-</t>
        </is>
      </c>
      <c r="F332" s="14" t="inlineStr">
        <is>
          <t>-</t>
        </is>
      </c>
      <c r="G332" s="14" t="inlineStr">
        <is>
          <t>-</t>
        </is>
      </c>
      <c r="H332" s="14" t="inlineStr">
        <is>
          <t>-</t>
        </is>
      </c>
      <c r="I332" s="14" t="inlineStr">
        <is>
          <t>-</t>
        </is>
      </c>
      <c r="J332" s="14" t="inlineStr">
        <is>
          <t>-</t>
        </is>
      </c>
      <c r="K332" s="14" t="inlineStr">
        <is>
          <t>-</t>
        </is>
      </c>
      <c r="L332" s="14" t="inlineStr">
        <is>
          <t>-</t>
        </is>
      </c>
      <c r="M332" s="14" t="inlineStr">
        <is>
          <t>-</t>
        </is>
      </c>
      <c r="N332" s="14" t="inlineStr">
        <is>
          <t>-</t>
        </is>
      </c>
      <c r="O332" s="14" t="inlineStr">
        <is>
          <t>-</t>
        </is>
      </c>
      <c r="P332" s="14" t="inlineStr">
        <is>
          <t>-</t>
        </is>
      </c>
      <c r="Q332" s="15" t="inlineStr">
        <is>
          <t>-</t>
        </is>
      </c>
    </row>
    <row r="333">
      <c r="A333" s="47" t="n"/>
      <c r="B333" s="16" t="inlineStr">
        <is>
          <t>-</t>
        </is>
      </c>
      <c r="C333" s="11" t="inlineStr">
        <is>
          <t>-</t>
        </is>
      </c>
      <c r="D333" s="11" t="inlineStr">
        <is>
          <t>-</t>
        </is>
      </c>
      <c r="E333" s="11" t="inlineStr">
        <is>
          <t>-</t>
        </is>
      </c>
      <c r="F333" s="11" t="inlineStr">
        <is>
          <t>-</t>
        </is>
      </c>
      <c r="G333" s="11" t="inlineStr">
        <is>
          <t>-</t>
        </is>
      </c>
      <c r="H333" s="11" t="inlineStr">
        <is>
          <t>-</t>
        </is>
      </c>
      <c r="I333" s="11" t="inlineStr">
        <is>
          <t>-</t>
        </is>
      </c>
      <c r="J333" s="11" t="inlineStr">
        <is>
          <t>-</t>
        </is>
      </c>
      <c r="K333" s="11" t="inlineStr">
        <is>
          <t>-</t>
        </is>
      </c>
      <c r="L333" s="11" t="inlineStr">
        <is>
          <t>-</t>
        </is>
      </c>
      <c r="M333" s="11" t="inlineStr">
        <is>
          <t>-</t>
        </is>
      </c>
      <c r="N333" s="11" t="inlineStr">
        <is>
          <t>-</t>
        </is>
      </c>
      <c r="O333" s="11" t="inlineStr">
        <is>
          <t>-</t>
        </is>
      </c>
      <c r="P333" s="11" t="inlineStr">
        <is>
          <t>-</t>
        </is>
      </c>
      <c r="Q333" s="12" t="inlineStr">
        <is>
          <t>-</t>
        </is>
      </c>
    </row>
    <row r="334">
      <c r="A334" s="47" t="n"/>
      <c r="B334" s="13" t="inlineStr">
        <is>
          <t>-</t>
        </is>
      </c>
      <c r="C334" s="14" t="inlineStr">
        <is>
          <t>-</t>
        </is>
      </c>
      <c r="D334" s="14" t="inlineStr">
        <is>
          <t>-</t>
        </is>
      </c>
      <c r="E334" s="14" t="inlineStr">
        <is>
          <t>-</t>
        </is>
      </c>
      <c r="F334" s="14" t="inlineStr">
        <is>
          <t>-</t>
        </is>
      </c>
      <c r="G334" s="14" t="inlineStr">
        <is>
          <t>-</t>
        </is>
      </c>
      <c r="H334" s="14" t="inlineStr">
        <is>
          <t>-</t>
        </is>
      </c>
      <c r="I334" s="14" t="inlineStr">
        <is>
          <t>-</t>
        </is>
      </c>
      <c r="J334" s="14" t="inlineStr">
        <is>
          <t>-</t>
        </is>
      </c>
      <c r="K334" s="14" t="inlineStr">
        <is>
          <t>-</t>
        </is>
      </c>
      <c r="L334" s="14" t="inlineStr">
        <is>
          <t>-</t>
        </is>
      </c>
      <c r="M334" s="14" t="inlineStr">
        <is>
          <t>-</t>
        </is>
      </c>
      <c r="N334" s="14" t="inlineStr">
        <is>
          <t>-</t>
        </is>
      </c>
      <c r="O334" s="14" t="inlineStr">
        <is>
          <t>-</t>
        </is>
      </c>
      <c r="P334" s="14" t="inlineStr">
        <is>
          <t>-</t>
        </is>
      </c>
      <c r="Q334" s="15" t="inlineStr">
        <is>
          <t>-</t>
        </is>
      </c>
    </row>
    <row r="335">
      <c r="A335" s="47" t="n"/>
      <c r="B335" s="16" t="inlineStr">
        <is>
          <t>-</t>
        </is>
      </c>
      <c r="C335" s="11" t="inlineStr">
        <is>
          <t>-</t>
        </is>
      </c>
      <c r="D335" s="11" t="inlineStr">
        <is>
          <t>-</t>
        </is>
      </c>
      <c r="E335" s="11" t="inlineStr">
        <is>
          <t>-</t>
        </is>
      </c>
      <c r="F335" s="11" t="inlineStr">
        <is>
          <t>-</t>
        </is>
      </c>
      <c r="G335" s="11" t="inlineStr">
        <is>
          <t>-</t>
        </is>
      </c>
      <c r="H335" s="11" t="inlineStr">
        <is>
          <t>-</t>
        </is>
      </c>
      <c r="I335" s="11" t="inlineStr">
        <is>
          <t>-</t>
        </is>
      </c>
      <c r="J335" s="11" t="inlineStr">
        <is>
          <t>-</t>
        </is>
      </c>
      <c r="K335" s="11" t="inlineStr">
        <is>
          <t>-</t>
        </is>
      </c>
      <c r="L335" s="11" t="inlineStr">
        <is>
          <t>-</t>
        </is>
      </c>
      <c r="M335" s="11" t="inlineStr">
        <is>
          <t>-</t>
        </is>
      </c>
      <c r="N335" s="11" t="inlineStr">
        <is>
          <t>-</t>
        </is>
      </c>
      <c r="O335" s="11" t="inlineStr">
        <is>
          <t>-</t>
        </is>
      </c>
      <c r="P335" s="11" t="inlineStr">
        <is>
          <t>-</t>
        </is>
      </c>
      <c r="Q335" s="12" t="inlineStr">
        <is>
          <t>-</t>
        </is>
      </c>
    </row>
    <row r="336">
      <c r="A336" s="47" t="n"/>
      <c r="B336" s="13" t="inlineStr">
        <is>
          <t>-</t>
        </is>
      </c>
      <c r="C336" s="14" t="inlineStr">
        <is>
          <t>-</t>
        </is>
      </c>
      <c r="D336" s="14" t="inlineStr">
        <is>
          <t>-</t>
        </is>
      </c>
      <c r="E336" s="14" t="inlineStr">
        <is>
          <t>-</t>
        </is>
      </c>
      <c r="F336" s="14" t="inlineStr">
        <is>
          <t>-</t>
        </is>
      </c>
      <c r="G336" s="14" t="inlineStr">
        <is>
          <t>-</t>
        </is>
      </c>
      <c r="H336" s="14" t="inlineStr">
        <is>
          <t>-</t>
        </is>
      </c>
      <c r="I336" s="14" t="inlineStr">
        <is>
          <t>-</t>
        </is>
      </c>
      <c r="J336" s="14" t="inlineStr">
        <is>
          <t>-</t>
        </is>
      </c>
      <c r="K336" s="14" t="inlineStr">
        <is>
          <t>-</t>
        </is>
      </c>
      <c r="L336" s="14" t="inlineStr">
        <is>
          <t>-</t>
        </is>
      </c>
      <c r="M336" s="14" t="inlineStr">
        <is>
          <t>-</t>
        </is>
      </c>
      <c r="N336" s="14" t="inlineStr">
        <is>
          <t>-</t>
        </is>
      </c>
      <c r="O336" s="14" t="inlineStr">
        <is>
          <t>-</t>
        </is>
      </c>
      <c r="P336" s="14" t="inlineStr">
        <is>
          <t>-</t>
        </is>
      </c>
      <c r="Q336" s="15" t="inlineStr">
        <is>
          <t>-</t>
        </is>
      </c>
    </row>
    <row r="337">
      <c r="A337" s="47" t="n"/>
      <c r="B337" s="16" t="inlineStr">
        <is>
          <t>-</t>
        </is>
      </c>
      <c r="C337" s="11" t="inlineStr">
        <is>
          <t>-</t>
        </is>
      </c>
      <c r="D337" s="11" t="inlineStr">
        <is>
          <t>-</t>
        </is>
      </c>
      <c r="E337" s="11" t="inlineStr">
        <is>
          <t>-</t>
        </is>
      </c>
      <c r="F337" s="11" t="inlineStr">
        <is>
          <t>-</t>
        </is>
      </c>
      <c r="G337" s="11" t="inlineStr">
        <is>
          <t>-</t>
        </is>
      </c>
      <c r="H337" s="11" t="inlineStr">
        <is>
          <t>-</t>
        </is>
      </c>
      <c r="I337" s="11" t="inlineStr">
        <is>
          <t>-</t>
        </is>
      </c>
      <c r="J337" s="11" t="inlineStr">
        <is>
          <t>-</t>
        </is>
      </c>
      <c r="K337" s="11" t="inlineStr">
        <is>
          <t>-</t>
        </is>
      </c>
      <c r="L337" s="11" t="inlineStr">
        <is>
          <t>-</t>
        </is>
      </c>
      <c r="M337" s="11" t="inlineStr">
        <is>
          <t>-</t>
        </is>
      </c>
      <c r="N337" s="11" t="inlineStr">
        <is>
          <t>-</t>
        </is>
      </c>
      <c r="O337" s="11" t="inlineStr">
        <is>
          <t>-</t>
        </is>
      </c>
      <c r="P337" s="11" t="inlineStr">
        <is>
          <t>-</t>
        </is>
      </c>
      <c r="Q337" s="12" t="inlineStr">
        <is>
          <t>-</t>
        </is>
      </c>
    </row>
    <row r="338" ht="36" customHeight="1" s="155">
      <c r="B338" s="9" t="inlineStr">
        <is>
          <t>salame napoletano</t>
        </is>
      </c>
      <c r="C338" s="49">
        <f>_xlfn.XLOOKUP(A339,Magazzino!$D$1:$D$1500,Magazzino!$F$1:$F$1500,"",0,1)</f>
        <v/>
      </c>
      <c r="D338" s="50">
        <f>_xlfn.XLOOKUP(A340,Magazzino!$D$1:$D$1500,Magazzino!$F$1:$F$1500,"",0,1)</f>
        <v/>
      </c>
      <c r="E338" s="50">
        <f>_xlfn.XLOOKUP(A341,Magazzino!$D$1:$D$1500,Magazzino!$F$1:$F$1500,"",0,1)</f>
        <v/>
      </c>
      <c r="F338" s="50">
        <f>_xlfn.XLOOKUP(A342,Magazzino!$D$1:$D$1500,Magazzino!$F$1:$F$1500,"",0,1)</f>
        <v/>
      </c>
      <c r="G338" s="50">
        <f>_xlfn.XLOOKUP(A343,Magazzino!$D$1:$D$1500,Magazzino!$F$1:$F$1500,"",0,1)</f>
        <v/>
      </c>
      <c r="H338" s="50">
        <f>_xlfn.XLOOKUP(A344,Magazzino!$D$1:$D$1500,Magazzino!$F$1:$F$1500,"",0,1)</f>
        <v/>
      </c>
      <c r="I338" s="50">
        <f>_xlfn.XLOOKUP(A345,Magazzino!$D$1:$D$1500,Magazzino!$F$1:$F$1500,"",0,1)</f>
        <v/>
      </c>
      <c r="J338" s="50">
        <f>_xlfn.XLOOKUP(A346,Magazzino!$D$1:$D$1500,Magazzino!$F$1:$F$1500,"",0,1)</f>
        <v/>
      </c>
      <c r="K338" s="50">
        <f>_xlfn.XLOOKUP(A347,Magazzino!$D$1:$D$1500,Magazzino!$F$1:$F$1500,"",0,1)</f>
        <v/>
      </c>
      <c r="L338" s="50">
        <f>_xlfn.XLOOKUP(A348,Magazzino!$D$1:$D$1500,Magazzino!$F$1:$F$1500,"",0,1)</f>
        <v/>
      </c>
      <c r="M338" s="50">
        <f>_xlfn.XLOOKUP(A349,Magazzino!$D$1:$D$1500,Magazzino!$F$1:$F$1500,"",0,1)</f>
        <v/>
      </c>
      <c r="N338" s="50">
        <f>_xlfn.XLOOKUP(A350,Magazzino!$D$1:$D$1500,Magazzino!$F$1:$F$1500,"",0,1)</f>
        <v/>
      </c>
      <c r="O338" s="50">
        <f>_xlfn.XLOOKUP(A351,Magazzino!$D$1:$D$1500,Magazzino!$F$1:$F$1500,"",0,1)</f>
        <v/>
      </c>
      <c r="P338" s="50">
        <f>_xlfn.XLOOKUP(A352,Magazzino!$D$1:$D$1500,Magazzino!$F$1:$F$1500,"",0,1)</f>
        <v/>
      </c>
      <c r="Q338" s="51">
        <f>_xlfn.XLOOKUP(A353,Magazzino!$D$1:$D$1500,Magazzino!$F$1:$F$1500,"",0,1)</f>
        <v/>
      </c>
    </row>
    <row r="339">
      <c r="A339" s="47" t="inlineStr">
        <is>
          <t>SALAME NAPOLI SV. SENDERO</t>
        </is>
      </c>
      <c r="B339" s="10" t="inlineStr">
        <is>
          <t>-</t>
        </is>
      </c>
      <c r="C339" s="11" t="inlineStr">
        <is>
          <t>-</t>
        </is>
      </c>
      <c r="D339" s="11" t="inlineStr">
        <is>
          <t>-</t>
        </is>
      </c>
      <c r="E339" s="11" t="inlineStr">
        <is>
          <t>-</t>
        </is>
      </c>
      <c r="F339" s="11" t="inlineStr">
        <is>
          <t>-</t>
        </is>
      </c>
      <c r="G339" s="11" t="inlineStr">
        <is>
          <t>-</t>
        </is>
      </c>
      <c r="H339" s="11" t="inlineStr">
        <is>
          <t>-</t>
        </is>
      </c>
      <c r="I339" s="11" t="inlineStr">
        <is>
          <t>-</t>
        </is>
      </c>
      <c r="J339" s="11" t="inlineStr">
        <is>
          <t>-</t>
        </is>
      </c>
      <c r="K339" s="11" t="inlineStr">
        <is>
          <t>-</t>
        </is>
      </c>
      <c r="L339" s="11" t="inlineStr">
        <is>
          <t>-</t>
        </is>
      </c>
      <c r="M339" s="11" t="inlineStr">
        <is>
          <t>-</t>
        </is>
      </c>
      <c r="N339" s="11" t="inlineStr">
        <is>
          <t>-</t>
        </is>
      </c>
      <c r="O339" s="11" t="inlineStr">
        <is>
          <t>-</t>
        </is>
      </c>
      <c r="P339" s="11" t="inlineStr">
        <is>
          <t>-</t>
        </is>
      </c>
      <c r="Q339" s="12" t="inlineStr">
        <is>
          <t>-</t>
        </is>
      </c>
    </row>
    <row r="340">
      <c r="A340" s="47" t="n"/>
      <c r="B340" s="13" t="inlineStr">
        <is>
          <t>-</t>
        </is>
      </c>
      <c r="C340" s="14" t="inlineStr">
        <is>
          <t>-</t>
        </is>
      </c>
      <c r="D340" s="14" t="inlineStr">
        <is>
          <t>-</t>
        </is>
      </c>
      <c r="E340" s="14" t="inlineStr">
        <is>
          <t>-</t>
        </is>
      </c>
      <c r="F340" s="14" t="inlineStr">
        <is>
          <t>-</t>
        </is>
      </c>
      <c r="G340" s="14" t="inlineStr">
        <is>
          <t>-</t>
        </is>
      </c>
      <c r="H340" s="14" t="inlineStr">
        <is>
          <t>-</t>
        </is>
      </c>
      <c r="I340" s="14" t="inlineStr">
        <is>
          <t>-</t>
        </is>
      </c>
      <c r="J340" s="14" t="inlineStr">
        <is>
          <t>-</t>
        </is>
      </c>
      <c r="K340" s="14" t="inlineStr">
        <is>
          <t>-</t>
        </is>
      </c>
      <c r="L340" s="14" t="inlineStr">
        <is>
          <t>-</t>
        </is>
      </c>
      <c r="M340" s="14" t="inlineStr">
        <is>
          <t>-</t>
        </is>
      </c>
      <c r="N340" s="14" t="inlineStr">
        <is>
          <t>-</t>
        </is>
      </c>
      <c r="O340" s="14" t="inlineStr">
        <is>
          <t>-</t>
        </is>
      </c>
      <c r="P340" s="14" t="inlineStr">
        <is>
          <t>-</t>
        </is>
      </c>
      <c r="Q340" s="15" t="inlineStr">
        <is>
          <t>-</t>
        </is>
      </c>
    </row>
    <row r="341">
      <c r="A341" s="47" t="n"/>
      <c r="B341" s="16" t="inlineStr">
        <is>
          <t>-</t>
        </is>
      </c>
      <c r="C341" s="11" t="inlineStr">
        <is>
          <t>-</t>
        </is>
      </c>
      <c r="D341" s="11" t="inlineStr">
        <is>
          <t>-</t>
        </is>
      </c>
      <c r="E341" s="11" t="inlineStr">
        <is>
          <t>-</t>
        </is>
      </c>
      <c r="F341" s="11" t="inlineStr">
        <is>
          <t>-</t>
        </is>
      </c>
      <c r="G341" s="11" t="inlineStr">
        <is>
          <t>-</t>
        </is>
      </c>
      <c r="H341" s="11" t="inlineStr">
        <is>
          <t>-</t>
        </is>
      </c>
      <c r="I341" s="11" t="inlineStr">
        <is>
          <t>-</t>
        </is>
      </c>
      <c r="J341" s="11" t="inlineStr">
        <is>
          <t>-</t>
        </is>
      </c>
      <c r="K341" s="11" t="inlineStr">
        <is>
          <t>-</t>
        </is>
      </c>
      <c r="L341" s="11" t="inlineStr">
        <is>
          <t>-</t>
        </is>
      </c>
      <c r="M341" s="11" t="inlineStr">
        <is>
          <t>-</t>
        </is>
      </c>
      <c r="N341" s="11" t="inlineStr">
        <is>
          <t>-</t>
        </is>
      </c>
      <c r="O341" s="11" t="inlineStr">
        <is>
          <t>-</t>
        </is>
      </c>
      <c r="P341" s="11" t="inlineStr">
        <is>
          <t>-</t>
        </is>
      </c>
      <c r="Q341" s="12" t="inlineStr">
        <is>
          <t>-</t>
        </is>
      </c>
    </row>
    <row r="342">
      <c r="A342" s="47" t="n"/>
      <c r="B342" s="13" t="inlineStr">
        <is>
          <t>-</t>
        </is>
      </c>
      <c r="C342" s="14" t="inlineStr">
        <is>
          <t>-</t>
        </is>
      </c>
      <c r="D342" s="14" t="inlineStr">
        <is>
          <t>-</t>
        </is>
      </c>
      <c r="E342" s="14" t="inlineStr">
        <is>
          <t>-</t>
        </is>
      </c>
      <c r="F342" s="14" t="inlineStr">
        <is>
          <t>-</t>
        </is>
      </c>
      <c r="G342" s="14" t="inlineStr">
        <is>
          <t>-</t>
        </is>
      </c>
      <c r="H342" s="14" t="inlineStr">
        <is>
          <t>-</t>
        </is>
      </c>
      <c r="I342" s="14" t="inlineStr">
        <is>
          <t>-</t>
        </is>
      </c>
      <c r="J342" s="14" t="inlineStr">
        <is>
          <t>-</t>
        </is>
      </c>
      <c r="K342" s="14" t="inlineStr">
        <is>
          <t>-</t>
        </is>
      </c>
      <c r="L342" s="14" t="inlineStr">
        <is>
          <t>-</t>
        </is>
      </c>
      <c r="M342" s="14" t="inlineStr">
        <is>
          <t>-</t>
        </is>
      </c>
      <c r="N342" s="14" t="inlineStr">
        <is>
          <t>-</t>
        </is>
      </c>
      <c r="O342" s="14" t="inlineStr">
        <is>
          <t>-</t>
        </is>
      </c>
      <c r="P342" s="14" t="inlineStr">
        <is>
          <t>-</t>
        </is>
      </c>
      <c r="Q342" s="15" t="inlineStr">
        <is>
          <t>-</t>
        </is>
      </c>
    </row>
    <row r="343">
      <c r="A343" s="47" t="n"/>
      <c r="B343" s="16" t="inlineStr">
        <is>
          <t>-</t>
        </is>
      </c>
      <c r="C343" s="11" t="inlineStr">
        <is>
          <t>-</t>
        </is>
      </c>
      <c r="D343" s="11" t="inlineStr">
        <is>
          <t>-</t>
        </is>
      </c>
      <c r="E343" s="11" t="inlineStr">
        <is>
          <t>-</t>
        </is>
      </c>
      <c r="F343" s="11" t="inlineStr">
        <is>
          <t>-</t>
        </is>
      </c>
      <c r="G343" s="11" t="inlineStr">
        <is>
          <t>-</t>
        </is>
      </c>
      <c r="H343" s="11" t="inlineStr">
        <is>
          <t>-</t>
        </is>
      </c>
      <c r="I343" s="11" t="inlineStr">
        <is>
          <t>-</t>
        </is>
      </c>
      <c r="J343" s="11" t="inlineStr">
        <is>
          <t>-</t>
        </is>
      </c>
      <c r="K343" s="11" t="inlineStr">
        <is>
          <t>-</t>
        </is>
      </c>
      <c r="L343" s="11" t="inlineStr">
        <is>
          <t>-</t>
        </is>
      </c>
      <c r="M343" s="11" t="inlineStr">
        <is>
          <t>-</t>
        </is>
      </c>
      <c r="N343" s="11" t="inlineStr">
        <is>
          <t>-</t>
        </is>
      </c>
      <c r="O343" s="11" t="inlineStr">
        <is>
          <t>-</t>
        </is>
      </c>
      <c r="P343" s="11" t="inlineStr">
        <is>
          <t>-</t>
        </is>
      </c>
      <c r="Q343" s="12" t="inlineStr">
        <is>
          <t>-</t>
        </is>
      </c>
    </row>
    <row r="344">
      <c r="A344" s="47" t="n"/>
      <c r="B344" s="13" t="inlineStr">
        <is>
          <t>-</t>
        </is>
      </c>
      <c r="C344" s="14" t="inlineStr">
        <is>
          <t>-</t>
        </is>
      </c>
      <c r="D344" s="14" t="inlineStr">
        <is>
          <t>-</t>
        </is>
      </c>
      <c r="E344" s="14" t="inlineStr">
        <is>
          <t>-</t>
        </is>
      </c>
      <c r="F344" s="14" t="inlineStr">
        <is>
          <t>-</t>
        </is>
      </c>
      <c r="G344" s="14" t="inlineStr">
        <is>
          <t>-</t>
        </is>
      </c>
      <c r="H344" s="14" t="inlineStr">
        <is>
          <t>-</t>
        </is>
      </c>
      <c r="I344" s="14" t="inlineStr">
        <is>
          <t>-</t>
        </is>
      </c>
      <c r="J344" s="14" t="inlineStr">
        <is>
          <t>-</t>
        </is>
      </c>
      <c r="K344" s="14" t="inlineStr">
        <is>
          <t>-</t>
        </is>
      </c>
      <c r="L344" s="14" t="inlineStr">
        <is>
          <t>-</t>
        </is>
      </c>
      <c r="M344" s="14" t="inlineStr">
        <is>
          <t>-</t>
        </is>
      </c>
      <c r="N344" s="14" t="inlineStr">
        <is>
          <t>-</t>
        </is>
      </c>
      <c r="O344" s="14" t="inlineStr">
        <is>
          <t>-</t>
        </is>
      </c>
      <c r="P344" s="14" t="inlineStr">
        <is>
          <t>-</t>
        </is>
      </c>
      <c r="Q344" s="15" t="inlineStr">
        <is>
          <t>-</t>
        </is>
      </c>
    </row>
    <row r="345">
      <c r="A345" s="47" t="n"/>
      <c r="B345" s="16" t="inlineStr">
        <is>
          <t>-</t>
        </is>
      </c>
      <c r="C345" s="11" t="inlineStr">
        <is>
          <t>-</t>
        </is>
      </c>
      <c r="D345" s="11" t="inlineStr">
        <is>
          <t>-</t>
        </is>
      </c>
      <c r="E345" s="11" t="inlineStr">
        <is>
          <t>-</t>
        </is>
      </c>
      <c r="F345" s="11" t="inlineStr">
        <is>
          <t>-</t>
        </is>
      </c>
      <c r="G345" s="11" t="inlineStr">
        <is>
          <t>-</t>
        </is>
      </c>
      <c r="H345" s="11" t="inlineStr">
        <is>
          <t>-</t>
        </is>
      </c>
      <c r="I345" s="11" t="inlineStr">
        <is>
          <t>-</t>
        </is>
      </c>
      <c r="J345" s="11" t="inlineStr">
        <is>
          <t>-</t>
        </is>
      </c>
      <c r="K345" s="11" t="inlineStr">
        <is>
          <t>-</t>
        </is>
      </c>
      <c r="L345" s="11" t="inlineStr">
        <is>
          <t>-</t>
        </is>
      </c>
      <c r="M345" s="11" t="inlineStr">
        <is>
          <t>-</t>
        </is>
      </c>
      <c r="N345" s="11" t="inlineStr">
        <is>
          <t>-</t>
        </is>
      </c>
      <c r="O345" s="11" t="inlineStr">
        <is>
          <t>-</t>
        </is>
      </c>
      <c r="P345" s="11" t="inlineStr">
        <is>
          <t>-</t>
        </is>
      </c>
      <c r="Q345" s="12" t="inlineStr">
        <is>
          <t>-</t>
        </is>
      </c>
    </row>
    <row r="346">
      <c r="A346" s="47" t="n"/>
      <c r="B346" s="13" t="inlineStr">
        <is>
          <t>-</t>
        </is>
      </c>
      <c r="C346" s="14" t="inlineStr">
        <is>
          <t>-</t>
        </is>
      </c>
      <c r="D346" s="14" t="inlineStr">
        <is>
          <t>-</t>
        </is>
      </c>
      <c r="E346" s="14" t="inlineStr">
        <is>
          <t>-</t>
        </is>
      </c>
      <c r="F346" s="14" t="inlineStr">
        <is>
          <t>-</t>
        </is>
      </c>
      <c r="G346" s="14" t="inlineStr">
        <is>
          <t>-</t>
        </is>
      </c>
      <c r="H346" s="14" t="inlineStr">
        <is>
          <t>-</t>
        </is>
      </c>
      <c r="I346" s="14" t="inlineStr">
        <is>
          <t>-</t>
        </is>
      </c>
      <c r="J346" s="14" t="inlineStr">
        <is>
          <t>-</t>
        </is>
      </c>
      <c r="K346" s="14" t="inlineStr">
        <is>
          <t>-</t>
        </is>
      </c>
      <c r="L346" s="14" t="inlineStr">
        <is>
          <t>-</t>
        </is>
      </c>
      <c r="M346" s="14" t="inlineStr">
        <is>
          <t>-</t>
        </is>
      </c>
      <c r="N346" s="14" t="inlineStr">
        <is>
          <t>-</t>
        </is>
      </c>
      <c r="O346" s="14" t="inlineStr">
        <is>
          <t>-</t>
        </is>
      </c>
      <c r="P346" s="14" t="inlineStr">
        <is>
          <t>-</t>
        </is>
      </c>
      <c r="Q346" s="15" t="inlineStr">
        <is>
          <t>-</t>
        </is>
      </c>
    </row>
    <row r="347">
      <c r="A347" s="47" t="n"/>
      <c r="B347" s="16" t="inlineStr">
        <is>
          <t>-</t>
        </is>
      </c>
      <c r="C347" s="11" t="inlineStr">
        <is>
          <t>-</t>
        </is>
      </c>
      <c r="D347" s="11" t="inlineStr">
        <is>
          <t>-</t>
        </is>
      </c>
      <c r="E347" s="11" t="inlineStr">
        <is>
          <t>-</t>
        </is>
      </c>
      <c r="F347" s="11" t="inlineStr">
        <is>
          <t>-</t>
        </is>
      </c>
      <c r="G347" s="11" t="inlineStr">
        <is>
          <t>-</t>
        </is>
      </c>
      <c r="H347" s="11" t="inlineStr">
        <is>
          <t>-</t>
        </is>
      </c>
      <c r="I347" s="11" t="inlineStr">
        <is>
          <t>-</t>
        </is>
      </c>
      <c r="J347" s="11" t="inlineStr">
        <is>
          <t>-</t>
        </is>
      </c>
      <c r="K347" s="11" t="inlineStr">
        <is>
          <t>-</t>
        </is>
      </c>
      <c r="L347" s="11" t="inlineStr">
        <is>
          <t>-</t>
        </is>
      </c>
      <c r="M347" s="11" t="inlineStr">
        <is>
          <t>-</t>
        </is>
      </c>
      <c r="N347" s="11" t="inlineStr">
        <is>
          <t>-</t>
        </is>
      </c>
      <c r="O347" s="11" t="inlineStr">
        <is>
          <t>-</t>
        </is>
      </c>
      <c r="P347" s="11" t="inlineStr">
        <is>
          <t>-</t>
        </is>
      </c>
      <c r="Q347" s="12" t="inlineStr">
        <is>
          <t>-</t>
        </is>
      </c>
    </row>
    <row r="348">
      <c r="A348" s="47" t="n"/>
      <c r="B348" s="13" t="inlineStr">
        <is>
          <t>-</t>
        </is>
      </c>
      <c r="C348" s="14" t="inlineStr">
        <is>
          <t>-</t>
        </is>
      </c>
      <c r="D348" s="14" t="inlineStr">
        <is>
          <t>-</t>
        </is>
      </c>
      <c r="E348" s="14" t="inlineStr">
        <is>
          <t>-</t>
        </is>
      </c>
      <c r="F348" s="14" t="inlineStr">
        <is>
          <t>-</t>
        </is>
      </c>
      <c r="G348" s="14" t="inlineStr">
        <is>
          <t>-</t>
        </is>
      </c>
      <c r="H348" s="14" t="inlineStr">
        <is>
          <t>-</t>
        </is>
      </c>
      <c r="I348" s="14" t="inlineStr">
        <is>
          <t>-</t>
        </is>
      </c>
      <c r="J348" s="14" t="inlineStr">
        <is>
          <t>-</t>
        </is>
      </c>
      <c r="K348" s="14" t="inlineStr">
        <is>
          <t>-</t>
        </is>
      </c>
      <c r="L348" s="14" t="inlineStr">
        <is>
          <t>-</t>
        </is>
      </c>
      <c r="M348" s="14" t="inlineStr">
        <is>
          <t>-</t>
        </is>
      </c>
      <c r="N348" s="14" t="inlineStr">
        <is>
          <t>-</t>
        </is>
      </c>
      <c r="O348" s="14" t="inlineStr">
        <is>
          <t>-</t>
        </is>
      </c>
      <c r="P348" s="14" t="inlineStr">
        <is>
          <t>-</t>
        </is>
      </c>
      <c r="Q348" s="15" t="inlineStr">
        <is>
          <t>-</t>
        </is>
      </c>
    </row>
    <row r="349">
      <c r="A349" s="47" t="n"/>
      <c r="B349" s="16" t="inlineStr">
        <is>
          <t>-</t>
        </is>
      </c>
      <c r="C349" s="11" t="inlineStr">
        <is>
          <t>-</t>
        </is>
      </c>
      <c r="D349" s="11" t="inlineStr">
        <is>
          <t>-</t>
        </is>
      </c>
      <c r="E349" s="11" t="inlineStr">
        <is>
          <t>-</t>
        </is>
      </c>
      <c r="F349" s="11" t="inlineStr">
        <is>
          <t>-</t>
        </is>
      </c>
      <c r="G349" s="11" t="inlineStr">
        <is>
          <t>-</t>
        </is>
      </c>
      <c r="H349" s="11" t="inlineStr">
        <is>
          <t>-</t>
        </is>
      </c>
      <c r="I349" s="11" t="inlineStr">
        <is>
          <t>-</t>
        </is>
      </c>
      <c r="J349" s="11" t="inlineStr">
        <is>
          <t>-</t>
        </is>
      </c>
      <c r="K349" s="11" t="inlineStr">
        <is>
          <t>-</t>
        </is>
      </c>
      <c r="L349" s="11" t="inlineStr">
        <is>
          <t>-</t>
        </is>
      </c>
      <c r="M349" s="11" t="inlineStr">
        <is>
          <t>-</t>
        </is>
      </c>
      <c r="N349" s="11" t="inlineStr">
        <is>
          <t>-</t>
        </is>
      </c>
      <c r="O349" s="11" t="inlineStr">
        <is>
          <t>-</t>
        </is>
      </c>
      <c r="P349" s="11" t="inlineStr">
        <is>
          <t>-</t>
        </is>
      </c>
      <c r="Q349" s="12" t="inlineStr">
        <is>
          <t>-</t>
        </is>
      </c>
    </row>
    <row r="350">
      <c r="A350" s="47" t="n"/>
      <c r="B350" s="13" t="inlineStr">
        <is>
          <t>-</t>
        </is>
      </c>
      <c r="C350" s="14" t="inlineStr">
        <is>
          <t>-</t>
        </is>
      </c>
      <c r="D350" s="14" t="inlineStr">
        <is>
          <t>-</t>
        </is>
      </c>
      <c r="E350" s="14" t="inlineStr">
        <is>
          <t>-</t>
        </is>
      </c>
      <c r="F350" s="14" t="inlineStr">
        <is>
          <t>-</t>
        </is>
      </c>
      <c r="G350" s="14" t="inlineStr">
        <is>
          <t>-</t>
        </is>
      </c>
      <c r="H350" s="14" t="inlineStr">
        <is>
          <t>-</t>
        </is>
      </c>
      <c r="I350" s="14" t="inlineStr">
        <is>
          <t>-</t>
        </is>
      </c>
      <c r="J350" s="14" t="inlineStr">
        <is>
          <t>-</t>
        </is>
      </c>
      <c r="K350" s="14" t="inlineStr">
        <is>
          <t>-</t>
        </is>
      </c>
      <c r="L350" s="14" t="inlineStr">
        <is>
          <t>-</t>
        </is>
      </c>
      <c r="M350" s="14" t="inlineStr">
        <is>
          <t>-</t>
        </is>
      </c>
      <c r="N350" s="14" t="inlineStr">
        <is>
          <t>-</t>
        </is>
      </c>
      <c r="O350" s="14" t="inlineStr">
        <is>
          <t>-</t>
        </is>
      </c>
      <c r="P350" s="14" t="inlineStr">
        <is>
          <t>-</t>
        </is>
      </c>
      <c r="Q350" s="15" t="inlineStr">
        <is>
          <t>-</t>
        </is>
      </c>
    </row>
    <row r="351">
      <c r="A351" s="47" t="n"/>
      <c r="B351" s="16" t="inlineStr">
        <is>
          <t>-</t>
        </is>
      </c>
      <c r="C351" s="11" t="inlineStr">
        <is>
          <t>-</t>
        </is>
      </c>
      <c r="D351" s="11" t="inlineStr">
        <is>
          <t>-</t>
        </is>
      </c>
      <c r="E351" s="11" t="inlineStr">
        <is>
          <t>-</t>
        </is>
      </c>
      <c r="F351" s="11" t="inlineStr">
        <is>
          <t>-</t>
        </is>
      </c>
      <c r="G351" s="11" t="inlineStr">
        <is>
          <t>-</t>
        </is>
      </c>
      <c r="H351" s="11" t="inlineStr">
        <is>
          <t>-</t>
        </is>
      </c>
      <c r="I351" s="11" t="inlineStr">
        <is>
          <t>-</t>
        </is>
      </c>
      <c r="J351" s="11" t="inlineStr">
        <is>
          <t>-</t>
        </is>
      </c>
      <c r="K351" s="11" t="inlineStr">
        <is>
          <t>-</t>
        </is>
      </c>
      <c r="L351" s="11" t="inlineStr">
        <is>
          <t>-</t>
        </is>
      </c>
      <c r="M351" s="11" t="inlineStr">
        <is>
          <t>-</t>
        </is>
      </c>
      <c r="N351" s="11" t="inlineStr">
        <is>
          <t>-</t>
        </is>
      </c>
      <c r="O351" s="11" t="inlineStr">
        <is>
          <t>-</t>
        </is>
      </c>
      <c r="P351" s="11" t="inlineStr">
        <is>
          <t>-</t>
        </is>
      </c>
      <c r="Q351" s="12" t="inlineStr">
        <is>
          <t>-</t>
        </is>
      </c>
    </row>
    <row r="352">
      <c r="A352" s="47" t="n"/>
      <c r="B352" s="13" t="inlineStr">
        <is>
          <t>-</t>
        </is>
      </c>
      <c r="C352" s="14" t="inlineStr">
        <is>
          <t>-</t>
        </is>
      </c>
      <c r="D352" s="14" t="inlineStr">
        <is>
          <t>-</t>
        </is>
      </c>
      <c r="E352" s="14" t="inlineStr">
        <is>
          <t>-</t>
        </is>
      </c>
      <c r="F352" s="14" t="inlineStr">
        <is>
          <t>-</t>
        </is>
      </c>
      <c r="G352" s="14" t="inlineStr">
        <is>
          <t>-</t>
        </is>
      </c>
      <c r="H352" s="14" t="inlineStr">
        <is>
          <t>-</t>
        </is>
      </c>
      <c r="I352" s="14" t="inlineStr">
        <is>
          <t>-</t>
        </is>
      </c>
      <c r="J352" s="14" t="inlineStr">
        <is>
          <t>-</t>
        </is>
      </c>
      <c r="K352" s="14" t="inlineStr">
        <is>
          <t>-</t>
        </is>
      </c>
      <c r="L352" s="14" t="inlineStr">
        <is>
          <t>-</t>
        </is>
      </c>
      <c r="M352" s="14" t="inlineStr">
        <is>
          <t>-</t>
        </is>
      </c>
      <c r="N352" s="14" t="inlineStr">
        <is>
          <t>-</t>
        </is>
      </c>
      <c r="O352" s="14" t="inlineStr">
        <is>
          <t>-</t>
        </is>
      </c>
      <c r="P352" s="14" t="inlineStr">
        <is>
          <t>-</t>
        </is>
      </c>
      <c r="Q352" s="15" t="inlineStr">
        <is>
          <t>-</t>
        </is>
      </c>
    </row>
    <row r="353">
      <c r="A353" s="47" t="n"/>
      <c r="B353" s="16" t="inlineStr">
        <is>
          <t>-</t>
        </is>
      </c>
      <c r="C353" s="11" t="inlineStr">
        <is>
          <t>-</t>
        </is>
      </c>
      <c r="D353" s="11" t="inlineStr">
        <is>
          <t>-</t>
        </is>
      </c>
      <c r="E353" s="11" t="inlineStr">
        <is>
          <t>-</t>
        </is>
      </c>
      <c r="F353" s="11" t="inlineStr">
        <is>
          <t>-</t>
        </is>
      </c>
      <c r="G353" s="11" t="inlineStr">
        <is>
          <t>-</t>
        </is>
      </c>
      <c r="H353" s="11" t="inlineStr">
        <is>
          <t>-</t>
        </is>
      </c>
      <c r="I353" s="11" t="inlineStr">
        <is>
          <t>-</t>
        </is>
      </c>
      <c r="J353" s="11" t="inlineStr">
        <is>
          <t>-</t>
        </is>
      </c>
      <c r="K353" s="11" t="inlineStr">
        <is>
          <t>-</t>
        </is>
      </c>
      <c r="L353" s="11" t="inlineStr">
        <is>
          <t>-</t>
        </is>
      </c>
      <c r="M353" s="11" t="inlineStr">
        <is>
          <t>-</t>
        </is>
      </c>
      <c r="N353" s="11" t="inlineStr">
        <is>
          <t>-</t>
        </is>
      </c>
      <c r="O353" s="11" t="inlineStr">
        <is>
          <t>-</t>
        </is>
      </c>
      <c r="P353" s="11" t="inlineStr">
        <is>
          <t>-</t>
        </is>
      </c>
      <c r="Q353" s="12" t="inlineStr">
        <is>
          <t>-</t>
        </is>
      </c>
    </row>
    <row r="354">
      <c r="B354" s="9" t="inlineStr">
        <is>
          <t>salame milanese</t>
        </is>
      </c>
      <c r="C354" s="49">
        <f>_xlfn.XLOOKUP(A355,Magazzino!$D$1:$D$1500,Magazzino!$F$1:$F$1500,"",0,1)</f>
        <v/>
      </c>
      <c r="D354" s="50">
        <f>_xlfn.XLOOKUP(A356,Magazzino!$D$1:$D$1500,Magazzino!$F$1:$F$1500,"",0,1)</f>
        <v/>
      </c>
      <c r="E354" s="50">
        <f>_xlfn.XLOOKUP(A357,Magazzino!$D$1:$D$1500,Magazzino!$F$1:$F$1500,"",0,1)</f>
        <v/>
      </c>
      <c r="F354" s="50">
        <f>_xlfn.XLOOKUP(A358,Magazzino!$D$1:$D$1500,Magazzino!$F$1:$F$1500,"",0,1)</f>
        <v/>
      </c>
      <c r="G354" s="50">
        <f>_xlfn.XLOOKUP(A359,Magazzino!$D$1:$D$1500,Magazzino!$F$1:$F$1500,"",0,1)</f>
        <v/>
      </c>
      <c r="H354" s="50">
        <f>_xlfn.XLOOKUP(A360,Magazzino!$D$1:$D$1500,Magazzino!$F$1:$F$1500,"",0,1)</f>
        <v/>
      </c>
      <c r="I354" s="50">
        <f>_xlfn.XLOOKUP(A361,Magazzino!$D$1:$D$1500,Magazzino!$F$1:$F$1500,"",0,1)</f>
        <v/>
      </c>
      <c r="J354" s="50">
        <f>_xlfn.XLOOKUP(A362,Magazzino!$D$1:$D$1500,Magazzino!$F$1:$F$1500,"",0,1)</f>
        <v/>
      </c>
      <c r="K354" s="50">
        <f>_xlfn.XLOOKUP(A363,Magazzino!$D$1:$D$1500,Magazzino!$F$1:$F$1500,"",0,1)</f>
        <v/>
      </c>
      <c r="L354" s="50">
        <f>_xlfn.XLOOKUP(A364,Magazzino!$D$1:$D$1500,Magazzino!$F$1:$F$1500,"",0,1)</f>
        <v/>
      </c>
      <c r="M354" s="50">
        <f>_xlfn.XLOOKUP(A365,Magazzino!$D$1:$D$1500,Magazzino!$F$1:$F$1500,"",0,1)</f>
        <v/>
      </c>
      <c r="N354" s="50">
        <f>_xlfn.XLOOKUP(A366,Magazzino!$D$1:$D$1500,Magazzino!$F$1:$F$1500,"",0,1)</f>
        <v/>
      </c>
      <c r="O354" s="50">
        <f>_xlfn.XLOOKUP(A367,Magazzino!$D$1:$D$1500,Magazzino!$F$1:$F$1500,"",0,1)</f>
        <v/>
      </c>
      <c r="P354" s="50">
        <f>_xlfn.XLOOKUP(A368,Magazzino!$D$1:$D$1500,Magazzino!$F$1:$F$1500,"",0,1)</f>
        <v/>
      </c>
      <c r="Q354" s="51">
        <f>_xlfn.XLOOKUP(A369,Magazzino!$D$1:$D$1500,Magazzino!$F$1:$F$1500,"",0,1)</f>
        <v/>
      </c>
    </row>
    <row r="355">
      <c r="B355" s="10" t="inlineStr">
        <is>
          <t>-</t>
        </is>
      </c>
      <c r="C355" s="11" t="inlineStr">
        <is>
          <t>-</t>
        </is>
      </c>
      <c r="D355" s="11" t="inlineStr">
        <is>
          <t>-</t>
        </is>
      </c>
      <c r="E355" s="11" t="inlineStr">
        <is>
          <t>-</t>
        </is>
      </c>
      <c r="F355" s="11" t="inlineStr">
        <is>
          <t>-</t>
        </is>
      </c>
      <c r="G355" s="11" t="inlineStr">
        <is>
          <t>-</t>
        </is>
      </c>
      <c r="H355" s="11" t="inlineStr">
        <is>
          <t>-</t>
        </is>
      </c>
      <c r="I355" s="11" t="inlineStr">
        <is>
          <t>-</t>
        </is>
      </c>
      <c r="J355" s="11" t="inlineStr">
        <is>
          <t>-</t>
        </is>
      </c>
      <c r="K355" s="11" t="inlineStr">
        <is>
          <t>-</t>
        </is>
      </c>
      <c r="L355" s="11" t="inlineStr">
        <is>
          <t>-</t>
        </is>
      </c>
      <c r="M355" s="11" t="inlineStr">
        <is>
          <t>-</t>
        </is>
      </c>
      <c r="N355" s="11" t="inlineStr">
        <is>
          <t>-</t>
        </is>
      </c>
      <c r="O355" s="11" t="inlineStr">
        <is>
          <t>-</t>
        </is>
      </c>
      <c r="P355" s="11" t="inlineStr">
        <is>
          <t>-</t>
        </is>
      </c>
      <c r="Q355" s="12" t="inlineStr">
        <is>
          <t>-</t>
        </is>
      </c>
    </row>
    <row r="356">
      <c r="A356" s="47" t="n"/>
      <c r="B356" s="13" t="inlineStr">
        <is>
          <t>-</t>
        </is>
      </c>
      <c r="C356" s="14" t="inlineStr">
        <is>
          <t>-</t>
        </is>
      </c>
      <c r="D356" s="14" t="inlineStr">
        <is>
          <t>-</t>
        </is>
      </c>
      <c r="E356" s="14" t="inlineStr">
        <is>
          <t>-</t>
        </is>
      </c>
      <c r="F356" s="14" t="inlineStr">
        <is>
          <t>-</t>
        </is>
      </c>
      <c r="G356" s="14" t="inlineStr">
        <is>
          <t>-</t>
        </is>
      </c>
      <c r="H356" s="14" t="inlineStr">
        <is>
          <t>-</t>
        </is>
      </c>
      <c r="I356" s="14" t="inlineStr">
        <is>
          <t>-</t>
        </is>
      </c>
      <c r="J356" s="14" t="inlineStr">
        <is>
          <t>-</t>
        </is>
      </c>
      <c r="K356" s="14" t="inlineStr">
        <is>
          <t>-</t>
        </is>
      </c>
      <c r="L356" s="14" t="inlineStr">
        <is>
          <t>-</t>
        </is>
      </c>
      <c r="M356" s="14" t="inlineStr">
        <is>
          <t>-</t>
        </is>
      </c>
      <c r="N356" s="14" t="inlineStr">
        <is>
          <t>-</t>
        </is>
      </c>
      <c r="O356" s="14" t="inlineStr">
        <is>
          <t>-</t>
        </is>
      </c>
      <c r="P356" s="14" t="inlineStr">
        <is>
          <t>-</t>
        </is>
      </c>
      <c r="Q356" s="15" t="inlineStr">
        <is>
          <t>-</t>
        </is>
      </c>
    </row>
    <row r="357">
      <c r="A357" s="47" t="n"/>
      <c r="B357" s="16" t="inlineStr">
        <is>
          <t>-</t>
        </is>
      </c>
      <c r="C357" s="11" t="inlineStr">
        <is>
          <t>-</t>
        </is>
      </c>
      <c r="D357" s="11" t="inlineStr">
        <is>
          <t>-</t>
        </is>
      </c>
      <c r="E357" s="11" t="inlineStr">
        <is>
          <t>-</t>
        </is>
      </c>
      <c r="F357" s="11" t="inlineStr">
        <is>
          <t>-</t>
        </is>
      </c>
      <c r="G357" s="11" t="inlineStr">
        <is>
          <t>-</t>
        </is>
      </c>
      <c r="H357" s="11" t="inlineStr">
        <is>
          <t>-</t>
        </is>
      </c>
      <c r="I357" s="11" t="inlineStr">
        <is>
          <t>-</t>
        </is>
      </c>
      <c r="J357" s="11" t="inlineStr">
        <is>
          <t>-</t>
        </is>
      </c>
      <c r="K357" s="11" t="inlineStr">
        <is>
          <t>-</t>
        </is>
      </c>
      <c r="L357" s="11" t="inlineStr">
        <is>
          <t>-</t>
        </is>
      </c>
      <c r="M357" s="11" t="inlineStr">
        <is>
          <t>-</t>
        </is>
      </c>
      <c r="N357" s="11" t="inlineStr">
        <is>
          <t>-</t>
        </is>
      </c>
      <c r="O357" s="11" t="inlineStr">
        <is>
          <t>-</t>
        </is>
      </c>
      <c r="P357" s="11" t="inlineStr">
        <is>
          <t>-</t>
        </is>
      </c>
      <c r="Q357" s="12" t="inlineStr">
        <is>
          <t>-</t>
        </is>
      </c>
    </row>
    <row r="358">
      <c r="A358" s="47" t="n"/>
      <c r="B358" s="13" t="inlineStr">
        <is>
          <t>-</t>
        </is>
      </c>
      <c r="C358" s="14" t="inlineStr">
        <is>
          <t>-</t>
        </is>
      </c>
      <c r="D358" s="14" t="inlineStr">
        <is>
          <t>-</t>
        </is>
      </c>
      <c r="E358" s="14" t="inlineStr">
        <is>
          <t>-</t>
        </is>
      </c>
      <c r="F358" s="14" t="inlineStr">
        <is>
          <t>-</t>
        </is>
      </c>
      <c r="G358" s="14" t="inlineStr">
        <is>
          <t>-</t>
        </is>
      </c>
      <c r="H358" s="14" t="inlineStr">
        <is>
          <t>-</t>
        </is>
      </c>
      <c r="I358" s="14" t="inlineStr">
        <is>
          <t>-</t>
        </is>
      </c>
      <c r="J358" s="14" t="inlineStr">
        <is>
          <t>-</t>
        </is>
      </c>
      <c r="K358" s="14" t="inlineStr">
        <is>
          <t>-</t>
        </is>
      </c>
      <c r="L358" s="14" t="inlineStr">
        <is>
          <t>-</t>
        </is>
      </c>
      <c r="M358" s="14" t="inlineStr">
        <is>
          <t>-</t>
        </is>
      </c>
      <c r="N358" s="14" t="inlineStr">
        <is>
          <t>-</t>
        </is>
      </c>
      <c r="O358" s="14" t="inlineStr">
        <is>
          <t>-</t>
        </is>
      </c>
      <c r="P358" s="14" t="inlineStr">
        <is>
          <t>-</t>
        </is>
      </c>
      <c r="Q358" s="15" t="inlineStr">
        <is>
          <t>-</t>
        </is>
      </c>
    </row>
    <row r="359">
      <c r="A359" s="47" t="n"/>
      <c r="B359" s="16" t="inlineStr">
        <is>
          <t>-</t>
        </is>
      </c>
      <c r="C359" s="11" t="inlineStr">
        <is>
          <t>-</t>
        </is>
      </c>
      <c r="D359" s="11" t="inlineStr">
        <is>
          <t>-</t>
        </is>
      </c>
      <c r="E359" s="11" t="inlineStr">
        <is>
          <t>-</t>
        </is>
      </c>
      <c r="F359" s="11" t="inlineStr">
        <is>
          <t>-</t>
        </is>
      </c>
      <c r="G359" s="11" t="inlineStr">
        <is>
          <t>-</t>
        </is>
      </c>
      <c r="H359" s="11" t="inlineStr">
        <is>
          <t>-</t>
        </is>
      </c>
      <c r="I359" s="11" t="inlineStr">
        <is>
          <t>-</t>
        </is>
      </c>
      <c r="J359" s="11" t="inlineStr">
        <is>
          <t>-</t>
        </is>
      </c>
      <c r="K359" s="11" t="inlineStr">
        <is>
          <t>-</t>
        </is>
      </c>
      <c r="L359" s="11" t="inlineStr">
        <is>
          <t>-</t>
        </is>
      </c>
      <c r="M359" s="11" t="inlineStr">
        <is>
          <t>-</t>
        </is>
      </c>
      <c r="N359" s="11" t="inlineStr">
        <is>
          <t>-</t>
        </is>
      </c>
      <c r="O359" s="11" t="inlineStr">
        <is>
          <t>-</t>
        </is>
      </c>
      <c r="P359" s="11" t="inlineStr">
        <is>
          <t>-</t>
        </is>
      </c>
      <c r="Q359" s="12" t="inlineStr">
        <is>
          <t>-</t>
        </is>
      </c>
    </row>
    <row r="360">
      <c r="A360" s="47" t="n"/>
      <c r="B360" s="13" t="inlineStr">
        <is>
          <t>-</t>
        </is>
      </c>
      <c r="C360" s="14" t="inlineStr">
        <is>
          <t>-</t>
        </is>
      </c>
      <c r="D360" s="14" t="inlineStr">
        <is>
          <t>-</t>
        </is>
      </c>
      <c r="E360" s="14" t="inlineStr">
        <is>
          <t>-</t>
        </is>
      </c>
      <c r="F360" s="14" t="inlineStr">
        <is>
          <t>-</t>
        </is>
      </c>
      <c r="G360" s="14" t="inlineStr">
        <is>
          <t>-</t>
        </is>
      </c>
      <c r="H360" s="14" t="inlineStr">
        <is>
          <t>-</t>
        </is>
      </c>
      <c r="I360" s="14" t="inlineStr">
        <is>
          <t>-</t>
        </is>
      </c>
      <c r="J360" s="14" t="inlineStr">
        <is>
          <t>-</t>
        </is>
      </c>
      <c r="K360" s="14" t="inlineStr">
        <is>
          <t>-</t>
        </is>
      </c>
      <c r="L360" s="14" t="inlineStr">
        <is>
          <t>-</t>
        </is>
      </c>
      <c r="M360" s="14" t="inlineStr">
        <is>
          <t>-</t>
        </is>
      </c>
      <c r="N360" s="14" t="inlineStr">
        <is>
          <t>-</t>
        </is>
      </c>
      <c r="O360" s="14" t="inlineStr">
        <is>
          <t>-</t>
        </is>
      </c>
      <c r="P360" s="14" t="inlineStr">
        <is>
          <t>-</t>
        </is>
      </c>
      <c r="Q360" s="15" t="inlineStr">
        <is>
          <t>-</t>
        </is>
      </c>
    </row>
    <row r="361">
      <c r="A361" s="47" t="n"/>
      <c r="B361" s="16" t="inlineStr">
        <is>
          <t>-</t>
        </is>
      </c>
      <c r="C361" s="11" t="inlineStr">
        <is>
          <t>-</t>
        </is>
      </c>
      <c r="D361" s="11" t="inlineStr">
        <is>
          <t>-</t>
        </is>
      </c>
      <c r="E361" s="11" t="inlineStr">
        <is>
          <t>-</t>
        </is>
      </c>
      <c r="F361" s="11" t="inlineStr">
        <is>
          <t>-</t>
        </is>
      </c>
      <c r="G361" s="11" t="inlineStr">
        <is>
          <t>-</t>
        </is>
      </c>
      <c r="H361" s="11" t="inlineStr">
        <is>
          <t>-</t>
        </is>
      </c>
      <c r="I361" s="11" t="inlineStr">
        <is>
          <t>-</t>
        </is>
      </c>
      <c r="J361" s="11" t="inlineStr">
        <is>
          <t>-</t>
        </is>
      </c>
      <c r="K361" s="11" t="inlineStr">
        <is>
          <t>-</t>
        </is>
      </c>
      <c r="L361" s="11" t="inlineStr">
        <is>
          <t>-</t>
        </is>
      </c>
      <c r="M361" s="11" t="inlineStr">
        <is>
          <t>-</t>
        </is>
      </c>
      <c r="N361" s="11" t="inlineStr">
        <is>
          <t>-</t>
        </is>
      </c>
      <c r="O361" s="11" t="inlineStr">
        <is>
          <t>-</t>
        </is>
      </c>
      <c r="P361" s="11" t="inlineStr">
        <is>
          <t>-</t>
        </is>
      </c>
      <c r="Q361" s="12" t="inlineStr">
        <is>
          <t>-</t>
        </is>
      </c>
    </row>
    <row r="362">
      <c r="A362" s="47" t="n"/>
      <c r="B362" s="13" t="inlineStr">
        <is>
          <t>-</t>
        </is>
      </c>
      <c r="C362" s="14" t="inlineStr">
        <is>
          <t>-</t>
        </is>
      </c>
      <c r="D362" s="14" t="inlineStr">
        <is>
          <t>-</t>
        </is>
      </c>
      <c r="E362" s="14" t="inlineStr">
        <is>
          <t>-</t>
        </is>
      </c>
      <c r="F362" s="14" t="inlineStr">
        <is>
          <t>-</t>
        </is>
      </c>
      <c r="G362" s="14" t="inlineStr">
        <is>
          <t>-</t>
        </is>
      </c>
      <c r="H362" s="14" t="inlineStr">
        <is>
          <t>-</t>
        </is>
      </c>
      <c r="I362" s="14" t="inlineStr">
        <is>
          <t>-</t>
        </is>
      </c>
      <c r="J362" s="14" t="inlineStr">
        <is>
          <t>-</t>
        </is>
      </c>
      <c r="K362" s="14" t="inlineStr">
        <is>
          <t>-</t>
        </is>
      </c>
      <c r="L362" s="14" t="inlineStr">
        <is>
          <t>-</t>
        </is>
      </c>
      <c r="M362" s="14" t="inlineStr">
        <is>
          <t>-</t>
        </is>
      </c>
      <c r="N362" s="14" t="inlineStr">
        <is>
          <t>-</t>
        </is>
      </c>
      <c r="O362" s="14" t="inlineStr">
        <is>
          <t>-</t>
        </is>
      </c>
      <c r="P362" s="14" t="inlineStr">
        <is>
          <t>-</t>
        </is>
      </c>
      <c r="Q362" s="15" t="inlineStr">
        <is>
          <t>-</t>
        </is>
      </c>
    </row>
    <row r="363">
      <c r="A363" s="47" t="n"/>
      <c r="B363" s="16" t="inlineStr">
        <is>
          <t>-</t>
        </is>
      </c>
      <c r="C363" s="11" t="inlineStr">
        <is>
          <t>-</t>
        </is>
      </c>
      <c r="D363" s="11" t="inlineStr">
        <is>
          <t>-</t>
        </is>
      </c>
      <c r="E363" s="11" t="inlineStr">
        <is>
          <t>-</t>
        </is>
      </c>
      <c r="F363" s="11" t="inlineStr">
        <is>
          <t>-</t>
        </is>
      </c>
      <c r="G363" s="11" t="inlineStr">
        <is>
          <t>-</t>
        </is>
      </c>
      <c r="H363" s="11" t="inlineStr">
        <is>
          <t>-</t>
        </is>
      </c>
      <c r="I363" s="11" t="inlineStr">
        <is>
          <t>-</t>
        </is>
      </c>
      <c r="J363" s="11" t="inlineStr">
        <is>
          <t>-</t>
        </is>
      </c>
      <c r="K363" s="11" t="inlineStr">
        <is>
          <t>-</t>
        </is>
      </c>
      <c r="L363" s="11" t="inlineStr">
        <is>
          <t>-</t>
        </is>
      </c>
      <c r="M363" s="11" t="inlineStr">
        <is>
          <t>-</t>
        </is>
      </c>
      <c r="N363" s="11" t="inlineStr">
        <is>
          <t>-</t>
        </is>
      </c>
      <c r="O363" s="11" t="inlineStr">
        <is>
          <t>-</t>
        </is>
      </c>
      <c r="P363" s="11" t="inlineStr">
        <is>
          <t>-</t>
        </is>
      </c>
      <c r="Q363" s="12" t="inlineStr">
        <is>
          <t>-</t>
        </is>
      </c>
    </row>
    <row r="364">
      <c r="A364" s="47" t="n"/>
      <c r="B364" s="13" t="inlineStr">
        <is>
          <t>-</t>
        </is>
      </c>
      <c r="C364" s="14" t="inlineStr">
        <is>
          <t>-</t>
        </is>
      </c>
      <c r="D364" s="14" t="inlineStr">
        <is>
          <t>-</t>
        </is>
      </c>
      <c r="E364" s="14" t="inlineStr">
        <is>
          <t>-</t>
        </is>
      </c>
      <c r="F364" s="14" t="inlineStr">
        <is>
          <t>-</t>
        </is>
      </c>
      <c r="G364" s="14" t="inlineStr">
        <is>
          <t>-</t>
        </is>
      </c>
      <c r="H364" s="14" t="inlineStr">
        <is>
          <t>-</t>
        </is>
      </c>
      <c r="I364" s="14" t="inlineStr">
        <is>
          <t>-</t>
        </is>
      </c>
      <c r="J364" s="14" t="inlineStr">
        <is>
          <t>-</t>
        </is>
      </c>
      <c r="K364" s="14" t="inlineStr">
        <is>
          <t>-</t>
        </is>
      </c>
      <c r="L364" s="14" t="inlineStr">
        <is>
          <t>-</t>
        </is>
      </c>
      <c r="M364" s="14" t="inlineStr">
        <is>
          <t>-</t>
        </is>
      </c>
      <c r="N364" s="14" t="inlineStr">
        <is>
          <t>-</t>
        </is>
      </c>
      <c r="O364" s="14" t="inlineStr">
        <is>
          <t>-</t>
        </is>
      </c>
      <c r="P364" s="14" t="inlineStr">
        <is>
          <t>-</t>
        </is>
      </c>
      <c r="Q364" s="15" t="inlineStr">
        <is>
          <t>-</t>
        </is>
      </c>
    </row>
    <row r="365">
      <c r="A365" s="47" t="n"/>
      <c r="B365" s="16" t="inlineStr">
        <is>
          <t>-</t>
        </is>
      </c>
      <c r="C365" s="11" t="inlineStr">
        <is>
          <t>-</t>
        </is>
      </c>
      <c r="D365" s="11" t="inlineStr">
        <is>
          <t>-</t>
        </is>
      </c>
      <c r="E365" s="11" t="inlineStr">
        <is>
          <t>-</t>
        </is>
      </c>
      <c r="F365" s="11" t="inlineStr">
        <is>
          <t>-</t>
        </is>
      </c>
      <c r="G365" s="11" t="inlineStr">
        <is>
          <t>-</t>
        </is>
      </c>
      <c r="H365" s="11" t="inlineStr">
        <is>
          <t>-</t>
        </is>
      </c>
      <c r="I365" s="11" t="inlineStr">
        <is>
          <t>-</t>
        </is>
      </c>
      <c r="J365" s="11" t="inlineStr">
        <is>
          <t>-</t>
        </is>
      </c>
      <c r="K365" s="11" t="inlineStr">
        <is>
          <t>-</t>
        </is>
      </c>
      <c r="L365" s="11" t="inlineStr">
        <is>
          <t>-</t>
        </is>
      </c>
      <c r="M365" s="11" t="inlineStr">
        <is>
          <t>-</t>
        </is>
      </c>
      <c r="N365" s="11" t="inlineStr">
        <is>
          <t>-</t>
        </is>
      </c>
      <c r="O365" s="11" t="inlineStr">
        <is>
          <t>-</t>
        </is>
      </c>
      <c r="P365" s="11" t="inlineStr">
        <is>
          <t>-</t>
        </is>
      </c>
      <c r="Q365" s="12" t="inlineStr">
        <is>
          <t>-</t>
        </is>
      </c>
    </row>
    <row r="366">
      <c r="A366" s="47" t="n"/>
      <c r="B366" s="13" t="inlineStr">
        <is>
          <t>-</t>
        </is>
      </c>
      <c r="C366" s="14" t="inlineStr">
        <is>
          <t>-</t>
        </is>
      </c>
      <c r="D366" s="14" t="inlineStr">
        <is>
          <t>-</t>
        </is>
      </c>
      <c r="E366" s="14" t="inlineStr">
        <is>
          <t>-</t>
        </is>
      </c>
      <c r="F366" s="14" t="inlineStr">
        <is>
          <t>-</t>
        </is>
      </c>
      <c r="G366" s="14" t="inlineStr">
        <is>
          <t>-</t>
        </is>
      </c>
      <c r="H366" s="14" t="inlineStr">
        <is>
          <t>-</t>
        </is>
      </c>
      <c r="I366" s="14" t="inlineStr">
        <is>
          <t>-</t>
        </is>
      </c>
      <c r="J366" s="14" t="inlineStr">
        <is>
          <t>-</t>
        </is>
      </c>
      <c r="K366" s="14" t="inlineStr">
        <is>
          <t>-</t>
        </is>
      </c>
      <c r="L366" s="14" t="inlineStr">
        <is>
          <t>-</t>
        </is>
      </c>
      <c r="M366" s="14" t="inlineStr">
        <is>
          <t>-</t>
        </is>
      </c>
      <c r="N366" s="14" t="inlineStr">
        <is>
          <t>-</t>
        </is>
      </c>
      <c r="O366" s="14" t="inlineStr">
        <is>
          <t>-</t>
        </is>
      </c>
      <c r="P366" s="14" t="inlineStr">
        <is>
          <t>-</t>
        </is>
      </c>
      <c r="Q366" s="15" t="inlineStr">
        <is>
          <t>-</t>
        </is>
      </c>
    </row>
    <row r="367">
      <c r="A367" s="47" t="n"/>
      <c r="B367" s="16" t="inlineStr">
        <is>
          <t>-</t>
        </is>
      </c>
      <c r="C367" s="11" t="inlineStr">
        <is>
          <t>-</t>
        </is>
      </c>
      <c r="D367" s="11" t="inlineStr">
        <is>
          <t>-</t>
        </is>
      </c>
      <c r="E367" s="11" t="inlineStr">
        <is>
          <t>-</t>
        </is>
      </c>
      <c r="F367" s="11" t="inlineStr">
        <is>
          <t>-</t>
        </is>
      </c>
      <c r="G367" s="11" t="inlineStr">
        <is>
          <t>-</t>
        </is>
      </c>
      <c r="H367" s="11" t="inlineStr">
        <is>
          <t>-</t>
        </is>
      </c>
      <c r="I367" s="11" t="inlineStr">
        <is>
          <t>-</t>
        </is>
      </c>
      <c r="J367" s="11" t="inlineStr">
        <is>
          <t>-</t>
        </is>
      </c>
      <c r="K367" s="11" t="inlineStr">
        <is>
          <t>-</t>
        </is>
      </c>
      <c r="L367" s="11" t="inlineStr">
        <is>
          <t>-</t>
        </is>
      </c>
      <c r="M367" s="11" t="inlineStr">
        <is>
          <t>-</t>
        </is>
      </c>
      <c r="N367" s="11" t="inlineStr">
        <is>
          <t>-</t>
        </is>
      </c>
      <c r="O367" s="11" t="inlineStr">
        <is>
          <t>-</t>
        </is>
      </c>
      <c r="P367" s="11" t="inlineStr">
        <is>
          <t>-</t>
        </is>
      </c>
      <c r="Q367" s="12" t="inlineStr">
        <is>
          <t>-</t>
        </is>
      </c>
    </row>
    <row r="368">
      <c r="A368" s="47" t="n"/>
      <c r="B368" s="13" t="inlineStr">
        <is>
          <t>-</t>
        </is>
      </c>
      <c r="C368" s="14" t="inlineStr">
        <is>
          <t>-</t>
        </is>
      </c>
      <c r="D368" s="14" t="inlineStr">
        <is>
          <t>-</t>
        </is>
      </c>
      <c r="E368" s="14" t="inlineStr">
        <is>
          <t>-</t>
        </is>
      </c>
      <c r="F368" s="14" t="inlineStr">
        <is>
          <t>-</t>
        </is>
      </c>
      <c r="G368" s="14" t="inlineStr">
        <is>
          <t>-</t>
        </is>
      </c>
      <c r="H368" s="14" t="inlineStr">
        <is>
          <t>-</t>
        </is>
      </c>
      <c r="I368" s="14" t="inlineStr">
        <is>
          <t>-</t>
        </is>
      </c>
      <c r="J368" s="14" t="inlineStr">
        <is>
          <t>-</t>
        </is>
      </c>
      <c r="K368" s="14" t="inlineStr">
        <is>
          <t>-</t>
        </is>
      </c>
      <c r="L368" s="14" t="inlineStr">
        <is>
          <t>-</t>
        </is>
      </c>
      <c r="M368" s="14" t="inlineStr">
        <is>
          <t>-</t>
        </is>
      </c>
      <c r="N368" s="14" t="inlineStr">
        <is>
          <t>-</t>
        </is>
      </c>
      <c r="O368" s="14" t="inlineStr">
        <is>
          <t>-</t>
        </is>
      </c>
      <c r="P368" s="14" t="inlineStr">
        <is>
          <t>-</t>
        </is>
      </c>
      <c r="Q368" s="15" t="inlineStr">
        <is>
          <t>-</t>
        </is>
      </c>
    </row>
    <row r="369">
      <c r="A369" s="47" t="n"/>
      <c r="B369" s="16" t="inlineStr">
        <is>
          <t>-</t>
        </is>
      </c>
      <c r="C369" s="11" t="inlineStr">
        <is>
          <t>-</t>
        </is>
      </c>
      <c r="D369" s="11" t="inlineStr">
        <is>
          <t>-</t>
        </is>
      </c>
      <c r="E369" s="11" t="inlineStr">
        <is>
          <t>-</t>
        </is>
      </c>
      <c r="F369" s="11" t="inlineStr">
        <is>
          <t>-</t>
        </is>
      </c>
      <c r="G369" s="11" t="inlineStr">
        <is>
          <t>-</t>
        </is>
      </c>
      <c r="H369" s="11" t="inlineStr">
        <is>
          <t>-</t>
        </is>
      </c>
      <c r="I369" s="11" t="inlineStr">
        <is>
          <t>-</t>
        </is>
      </c>
      <c r="J369" s="11" t="inlineStr">
        <is>
          <t>-</t>
        </is>
      </c>
      <c r="K369" s="11" t="inlineStr">
        <is>
          <t>-</t>
        </is>
      </c>
      <c r="L369" s="11" t="inlineStr">
        <is>
          <t>-</t>
        </is>
      </c>
      <c r="M369" s="11" t="inlineStr">
        <is>
          <t>-</t>
        </is>
      </c>
      <c r="N369" s="11" t="inlineStr">
        <is>
          <t>-</t>
        </is>
      </c>
      <c r="O369" s="11" t="inlineStr">
        <is>
          <t>-</t>
        </is>
      </c>
      <c r="P369" s="11" t="inlineStr">
        <is>
          <t>-</t>
        </is>
      </c>
      <c r="Q369" s="12" t="inlineStr">
        <is>
          <t>-</t>
        </is>
      </c>
    </row>
    <row r="370" ht="36" customHeight="1" s="155">
      <c r="B370" s="9" t="inlineStr">
        <is>
          <t>salsa cruda di pomodoro</t>
        </is>
      </c>
      <c r="C370" s="49">
        <f>_xlfn.XLOOKUP(A371,Magazzino!$D$1:$D$1500,Magazzino!$F$1:$F$1500,"",0,1)</f>
        <v/>
      </c>
      <c r="D370" s="50">
        <f>_xlfn.XLOOKUP(A372,Magazzino!$D$1:$D$1500,Magazzino!$F$1:$F$1500,"",0,1)</f>
        <v/>
      </c>
      <c r="E370" s="50">
        <f>_xlfn.XLOOKUP(A373,Magazzino!$D$1:$D$1500,Magazzino!$F$1:$F$1500,"",0,1)</f>
        <v/>
      </c>
      <c r="F370" s="50">
        <f>_xlfn.XLOOKUP(A374,Magazzino!$D$1:$D$1500,Magazzino!$F$1:$F$1500,"",0,1)</f>
        <v/>
      </c>
      <c r="G370" s="50">
        <f>_xlfn.XLOOKUP(A375,Magazzino!$D$1:$D$1500,Magazzino!$F$1:$F$1500,"",0,1)</f>
        <v/>
      </c>
      <c r="H370" s="50">
        <f>_xlfn.XLOOKUP(A376,Magazzino!$D$1:$D$1500,Magazzino!$F$1:$F$1500,"",0,1)</f>
        <v/>
      </c>
      <c r="I370" s="50">
        <f>_xlfn.XLOOKUP(A377,Magazzino!$D$1:$D$1500,Magazzino!$F$1:$F$1500,"",0,1)</f>
        <v/>
      </c>
      <c r="J370" s="50">
        <f>_xlfn.XLOOKUP(A378,Magazzino!$D$1:$D$1500,Magazzino!$F$1:$F$1500,"",0,1)</f>
        <v/>
      </c>
      <c r="K370" s="50">
        <f>_xlfn.XLOOKUP(A379,Magazzino!$D$1:$D$1500,Magazzino!$F$1:$F$1500,"",0,1)</f>
        <v/>
      </c>
      <c r="L370" s="50">
        <f>_xlfn.XLOOKUP(A380,Magazzino!$D$1:$D$1500,Magazzino!$F$1:$F$1500,"",0,1)</f>
        <v/>
      </c>
      <c r="M370" s="50">
        <f>_xlfn.XLOOKUP(A381,Magazzino!$D$1:$D$1500,Magazzino!$F$1:$F$1500,"",0,1)</f>
        <v/>
      </c>
      <c r="N370" s="50">
        <f>_xlfn.XLOOKUP(A382,Magazzino!$D$1:$D$1500,Magazzino!$F$1:$F$1500,"",0,1)</f>
        <v/>
      </c>
      <c r="O370" s="50">
        <f>_xlfn.XLOOKUP(A383,Magazzino!$D$1:$D$1500,Magazzino!$F$1:$F$1500,"",0,1)</f>
        <v/>
      </c>
      <c r="P370" s="50">
        <f>_xlfn.XLOOKUP(A384,Magazzino!$D$1:$D$1500,Magazzino!$F$1:$F$1500,"",0,1)</f>
        <v/>
      </c>
      <c r="Q370" s="51">
        <f>_xlfn.XLOOKUP(A385,Magazzino!$D$1:$D$1500,Magazzino!$F$1:$F$1500,"",0,1)</f>
        <v/>
      </c>
    </row>
    <row r="371">
      <c r="A371" s="47" t="inlineStr">
        <is>
          <t>pomodori</t>
        </is>
      </c>
      <c r="B371" s="10" t="inlineStr">
        <is>
          <t>-</t>
        </is>
      </c>
      <c r="C371" s="11" t="inlineStr">
        <is>
          <t>-</t>
        </is>
      </c>
      <c r="D371" s="11" t="inlineStr">
        <is>
          <t>-</t>
        </is>
      </c>
      <c r="E371" s="11" t="inlineStr">
        <is>
          <t>-</t>
        </is>
      </c>
      <c r="F371" s="11" t="inlineStr">
        <is>
          <t>-</t>
        </is>
      </c>
      <c r="G371" s="11" t="inlineStr">
        <is>
          <t>-</t>
        </is>
      </c>
      <c r="H371" s="11" t="inlineStr">
        <is>
          <t>-</t>
        </is>
      </c>
      <c r="I371" s="11" t="inlineStr">
        <is>
          <t>-</t>
        </is>
      </c>
      <c r="J371" s="11" t="inlineStr">
        <is>
          <t>-</t>
        </is>
      </c>
      <c r="K371" s="11" t="inlineStr">
        <is>
          <t>-</t>
        </is>
      </c>
      <c r="L371" s="11" t="inlineStr">
        <is>
          <t>-</t>
        </is>
      </c>
      <c r="M371" s="11" t="inlineStr">
        <is>
          <t>-</t>
        </is>
      </c>
      <c r="N371" s="11" t="inlineStr">
        <is>
          <t>-</t>
        </is>
      </c>
      <c r="O371" s="11" t="inlineStr">
        <is>
          <t>-</t>
        </is>
      </c>
      <c r="P371" s="11" t="inlineStr">
        <is>
          <t>-</t>
        </is>
      </c>
      <c r="Q371" s="12" t="inlineStr">
        <is>
          <t>-</t>
        </is>
      </c>
    </row>
    <row r="372">
      <c r="A372" s="48" t="inlineStr">
        <is>
          <t xml:space="preserve">SALE SACCHI SALTECHNO KG.25  </t>
        </is>
      </c>
      <c r="B372" s="13" t="inlineStr">
        <is>
          <t>-</t>
        </is>
      </c>
      <c r="C372" s="14" t="inlineStr">
        <is>
          <t>-</t>
        </is>
      </c>
      <c r="D372" s="14" t="inlineStr">
        <is>
          <t>-</t>
        </is>
      </c>
      <c r="E372" s="14" t="inlineStr">
        <is>
          <t>-</t>
        </is>
      </c>
      <c r="F372" s="14" t="inlineStr">
        <is>
          <t>-</t>
        </is>
      </c>
      <c r="G372" s="14" t="inlineStr">
        <is>
          <t>-</t>
        </is>
      </c>
      <c r="H372" s="14" t="inlineStr">
        <is>
          <t>-</t>
        </is>
      </c>
      <c r="I372" s="14" t="inlineStr">
        <is>
          <t>-</t>
        </is>
      </c>
      <c r="J372" s="14" t="inlineStr">
        <is>
          <t>-</t>
        </is>
      </c>
      <c r="K372" s="14" t="inlineStr">
        <is>
          <t>-</t>
        </is>
      </c>
      <c r="L372" s="14" t="inlineStr">
        <is>
          <t>-</t>
        </is>
      </c>
      <c r="M372" s="14" t="inlineStr">
        <is>
          <t>-</t>
        </is>
      </c>
      <c r="N372" s="14" t="inlineStr">
        <is>
          <t>-</t>
        </is>
      </c>
      <c r="O372" s="14" t="inlineStr">
        <is>
          <t>-</t>
        </is>
      </c>
      <c r="P372" s="14" t="inlineStr">
        <is>
          <t>-</t>
        </is>
      </c>
      <c r="Q372" s="15" t="inlineStr">
        <is>
          <t>-</t>
        </is>
      </c>
    </row>
    <row r="373">
      <c r="A373" s="47" t="inlineStr">
        <is>
          <t>olio extravergine oliva</t>
        </is>
      </c>
      <c r="B373" s="16" t="inlineStr">
        <is>
          <t>-</t>
        </is>
      </c>
      <c r="C373" s="11" t="inlineStr">
        <is>
          <t>-</t>
        </is>
      </c>
      <c r="D373" s="11" t="inlineStr">
        <is>
          <t>-</t>
        </is>
      </c>
      <c r="E373" s="11" t="inlineStr">
        <is>
          <t>-</t>
        </is>
      </c>
      <c r="F373" s="11" t="inlineStr">
        <is>
          <t>-</t>
        </is>
      </c>
      <c r="G373" s="11" t="inlineStr">
        <is>
          <t>-</t>
        </is>
      </c>
      <c r="H373" s="11" t="inlineStr">
        <is>
          <t>-</t>
        </is>
      </c>
      <c r="I373" s="11" t="inlineStr">
        <is>
          <t>-</t>
        </is>
      </c>
      <c r="J373" s="11" t="inlineStr">
        <is>
          <t>-</t>
        </is>
      </c>
      <c r="K373" s="11" t="inlineStr">
        <is>
          <t>-</t>
        </is>
      </c>
      <c r="L373" s="11" t="inlineStr">
        <is>
          <t>-</t>
        </is>
      </c>
      <c r="M373" s="11" t="inlineStr">
        <is>
          <t>-</t>
        </is>
      </c>
      <c r="N373" s="11" t="inlineStr">
        <is>
          <t>-</t>
        </is>
      </c>
      <c r="O373" s="11" t="inlineStr">
        <is>
          <t>-</t>
        </is>
      </c>
      <c r="P373" s="11" t="inlineStr">
        <is>
          <t>-</t>
        </is>
      </c>
      <c r="Q373" s="12" t="inlineStr">
        <is>
          <t>-</t>
        </is>
      </c>
    </row>
    <row r="374">
      <c r="A374" s="47" t="n"/>
      <c r="B374" s="13" t="inlineStr">
        <is>
          <t>-</t>
        </is>
      </c>
      <c r="C374" s="14" t="inlineStr">
        <is>
          <t>-</t>
        </is>
      </c>
      <c r="D374" s="14" t="inlineStr">
        <is>
          <t>-</t>
        </is>
      </c>
      <c r="E374" s="14" t="inlineStr">
        <is>
          <t>-</t>
        </is>
      </c>
      <c r="F374" s="14" t="inlineStr">
        <is>
          <t>-</t>
        </is>
      </c>
      <c r="G374" s="14" t="inlineStr">
        <is>
          <t>-</t>
        </is>
      </c>
      <c r="H374" s="14" t="inlineStr">
        <is>
          <t>-</t>
        </is>
      </c>
      <c r="I374" s="14" t="inlineStr">
        <is>
          <t>-</t>
        </is>
      </c>
      <c r="J374" s="14" t="inlineStr">
        <is>
          <t>-</t>
        </is>
      </c>
      <c r="K374" s="14" t="inlineStr">
        <is>
          <t>-</t>
        </is>
      </c>
      <c r="L374" s="14" t="inlineStr">
        <is>
          <t>-</t>
        </is>
      </c>
      <c r="M374" s="14" t="inlineStr">
        <is>
          <t>-</t>
        </is>
      </c>
      <c r="N374" s="14" t="inlineStr">
        <is>
          <t>-</t>
        </is>
      </c>
      <c r="O374" s="14" t="inlineStr">
        <is>
          <t>-</t>
        </is>
      </c>
      <c r="P374" s="14" t="inlineStr">
        <is>
          <t>-</t>
        </is>
      </c>
      <c r="Q374" s="15" t="inlineStr">
        <is>
          <t>-</t>
        </is>
      </c>
    </row>
    <row r="375">
      <c r="A375" s="47" t="n"/>
      <c r="B375" s="16" t="inlineStr">
        <is>
          <t>-</t>
        </is>
      </c>
      <c r="C375" s="11" t="inlineStr">
        <is>
          <t>-</t>
        </is>
      </c>
      <c r="D375" s="11" t="inlineStr">
        <is>
          <t>-</t>
        </is>
      </c>
      <c r="E375" s="11" t="inlineStr">
        <is>
          <t>-</t>
        </is>
      </c>
      <c r="F375" s="11" t="inlineStr">
        <is>
          <t>-</t>
        </is>
      </c>
      <c r="G375" s="11" t="inlineStr">
        <is>
          <t>-</t>
        </is>
      </c>
      <c r="H375" s="11" t="inlineStr">
        <is>
          <t>-</t>
        </is>
      </c>
      <c r="I375" s="11" t="inlineStr">
        <is>
          <t>-</t>
        </is>
      </c>
      <c r="J375" s="11" t="inlineStr">
        <is>
          <t>-</t>
        </is>
      </c>
      <c r="K375" s="11" t="inlineStr">
        <is>
          <t>-</t>
        </is>
      </c>
      <c r="L375" s="11" t="inlineStr">
        <is>
          <t>-</t>
        </is>
      </c>
      <c r="M375" s="11" t="inlineStr">
        <is>
          <t>-</t>
        </is>
      </c>
      <c r="N375" s="11" t="inlineStr">
        <is>
          <t>-</t>
        </is>
      </c>
      <c r="O375" s="11" t="inlineStr">
        <is>
          <t>-</t>
        </is>
      </c>
      <c r="P375" s="11" t="inlineStr">
        <is>
          <t>-</t>
        </is>
      </c>
      <c r="Q375" s="12" t="inlineStr">
        <is>
          <t>-</t>
        </is>
      </c>
    </row>
    <row r="376">
      <c r="A376" s="47" t="n"/>
      <c r="B376" s="13" t="inlineStr">
        <is>
          <t>-</t>
        </is>
      </c>
      <c r="C376" s="14" t="inlineStr">
        <is>
          <t>-</t>
        </is>
      </c>
      <c r="D376" s="14" t="inlineStr">
        <is>
          <t>-</t>
        </is>
      </c>
      <c r="E376" s="14" t="inlineStr">
        <is>
          <t>-</t>
        </is>
      </c>
      <c r="F376" s="14" t="inlineStr">
        <is>
          <t>-</t>
        </is>
      </c>
      <c r="G376" s="14" t="inlineStr">
        <is>
          <t>-</t>
        </is>
      </c>
      <c r="H376" s="14" t="inlineStr">
        <is>
          <t>-</t>
        </is>
      </c>
      <c r="I376" s="14" t="inlineStr">
        <is>
          <t>-</t>
        </is>
      </c>
      <c r="J376" s="14" t="inlineStr">
        <is>
          <t>-</t>
        </is>
      </c>
      <c r="K376" s="14" t="inlineStr">
        <is>
          <t>-</t>
        </is>
      </c>
      <c r="L376" s="14" t="inlineStr">
        <is>
          <t>-</t>
        </is>
      </c>
      <c r="M376" s="14" t="inlineStr">
        <is>
          <t>-</t>
        </is>
      </c>
      <c r="N376" s="14" t="inlineStr">
        <is>
          <t>-</t>
        </is>
      </c>
      <c r="O376" s="14" t="inlineStr">
        <is>
          <t>-</t>
        </is>
      </c>
      <c r="P376" s="14" t="inlineStr">
        <is>
          <t>-</t>
        </is>
      </c>
      <c r="Q376" s="15" t="inlineStr">
        <is>
          <t>-</t>
        </is>
      </c>
    </row>
    <row r="377">
      <c r="A377" s="47" t="n"/>
      <c r="B377" s="16" t="inlineStr">
        <is>
          <t>-</t>
        </is>
      </c>
      <c r="C377" s="11" t="inlineStr">
        <is>
          <t>-</t>
        </is>
      </c>
      <c r="D377" s="11" t="inlineStr">
        <is>
          <t>-</t>
        </is>
      </c>
      <c r="E377" s="11" t="inlineStr">
        <is>
          <t>-</t>
        </is>
      </c>
      <c r="F377" s="11" t="inlineStr">
        <is>
          <t>-</t>
        </is>
      </c>
      <c r="G377" s="11" t="inlineStr">
        <is>
          <t>-</t>
        </is>
      </c>
      <c r="H377" s="11" t="inlineStr">
        <is>
          <t>-</t>
        </is>
      </c>
      <c r="I377" s="11" t="inlineStr">
        <is>
          <t>-</t>
        </is>
      </c>
      <c r="J377" s="11" t="inlineStr">
        <is>
          <t>-</t>
        </is>
      </c>
      <c r="K377" s="11" t="inlineStr">
        <is>
          <t>-</t>
        </is>
      </c>
      <c r="L377" s="11" t="inlineStr">
        <is>
          <t>-</t>
        </is>
      </c>
      <c r="M377" s="11" t="inlineStr">
        <is>
          <t>-</t>
        </is>
      </c>
      <c r="N377" s="11" t="inlineStr">
        <is>
          <t>-</t>
        </is>
      </c>
      <c r="O377" s="11" t="inlineStr">
        <is>
          <t>-</t>
        </is>
      </c>
      <c r="P377" s="11" t="inlineStr">
        <is>
          <t>-</t>
        </is>
      </c>
      <c r="Q377" s="12" t="inlineStr">
        <is>
          <t>-</t>
        </is>
      </c>
    </row>
    <row r="378">
      <c r="A378" s="47" t="n"/>
      <c r="B378" s="13" t="inlineStr">
        <is>
          <t>-</t>
        </is>
      </c>
      <c r="C378" s="14" t="inlineStr">
        <is>
          <t>-</t>
        </is>
      </c>
      <c r="D378" s="14" t="inlineStr">
        <is>
          <t>-</t>
        </is>
      </c>
      <c r="E378" s="14" t="inlineStr">
        <is>
          <t>-</t>
        </is>
      </c>
      <c r="F378" s="14" t="inlineStr">
        <is>
          <t>-</t>
        </is>
      </c>
      <c r="G378" s="14" t="inlineStr">
        <is>
          <t>-</t>
        </is>
      </c>
      <c r="H378" s="14" t="inlineStr">
        <is>
          <t>-</t>
        </is>
      </c>
      <c r="I378" s="14" t="inlineStr">
        <is>
          <t>-</t>
        </is>
      </c>
      <c r="J378" s="14" t="inlineStr">
        <is>
          <t>-</t>
        </is>
      </c>
      <c r="K378" s="14" t="inlineStr">
        <is>
          <t>-</t>
        </is>
      </c>
      <c r="L378" s="14" t="inlineStr">
        <is>
          <t>-</t>
        </is>
      </c>
      <c r="M378" s="14" t="inlineStr">
        <is>
          <t>-</t>
        </is>
      </c>
      <c r="N378" s="14" t="inlineStr">
        <is>
          <t>-</t>
        </is>
      </c>
      <c r="O378" s="14" t="inlineStr">
        <is>
          <t>-</t>
        </is>
      </c>
      <c r="P378" s="14" t="inlineStr">
        <is>
          <t>-</t>
        </is>
      </c>
      <c r="Q378" s="15" t="inlineStr">
        <is>
          <t>-</t>
        </is>
      </c>
    </row>
    <row r="379">
      <c r="A379" s="47" t="n"/>
      <c r="B379" s="16" t="inlineStr">
        <is>
          <t>-</t>
        </is>
      </c>
      <c r="C379" s="11" t="inlineStr">
        <is>
          <t>-</t>
        </is>
      </c>
      <c r="D379" s="11" t="inlineStr">
        <is>
          <t>-</t>
        </is>
      </c>
      <c r="E379" s="11" t="inlineStr">
        <is>
          <t>-</t>
        </is>
      </c>
      <c r="F379" s="11" t="inlineStr">
        <is>
          <t>-</t>
        </is>
      </c>
      <c r="G379" s="11" t="inlineStr">
        <is>
          <t>-</t>
        </is>
      </c>
      <c r="H379" s="11" t="inlineStr">
        <is>
          <t>-</t>
        </is>
      </c>
      <c r="I379" s="11" t="inlineStr">
        <is>
          <t>-</t>
        </is>
      </c>
      <c r="J379" s="11" t="inlineStr">
        <is>
          <t>-</t>
        </is>
      </c>
      <c r="K379" s="11" t="inlineStr">
        <is>
          <t>-</t>
        </is>
      </c>
      <c r="L379" s="11" t="inlineStr">
        <is>
          <t>-</t>
        </is>
      </c>
      <c r="M379" s="11" t="inlineStr">
        <is>
          <t>-</t>
        </is>
      </c>
      <c r="N379" s="11" t="inlineStr">
        <is>
          <t>-</t>
        </is>
      </c>
      <c r="O379" s="11" t="inlineStr">
        <is>
          <t>-</t>
        </is>
      </c>
      <c r="P379" s="11" t="inlineStr">
        <is>
          <t>-</t>
        </is>
      </c>
      <c r="Q379" s="12" t="inlineStr">
        <is>
          <t>-</t>
        </is>
      </c>
    </row>
    <row r="380">
      <c r="A380" s="47" t="n"/>
      <c r="B380" s="13" t="inlineStr">
        <is>
          <t>-</t>
        </is>
      </c>
      <c r="C380" s="14" t="inlineStr">
        <is>
          <t>-</t>
        </is>
      </c>
      <c r="D380" s="14" t="inlineStr">
        <is>
          <t>-</t>
        </is>
      </c>
      <c r="E380" s="14" t="inlineStr">
        <is>
          <t>-</t>
        </is>
      </c>
      <c r="F380" s="14" t="inlineStr">
        <is>
          <t>-</t>
        </is>
      </c>
      <c r="G380" s="14" t="inlineStr">
        <is>
          <t>-</t>
        </is>
      </c>
      <c r="H380" s="14" t="inlineStr">
        <is>
          <t>-</t>
        </is>
      </c>
      <c r="I380" s="14" t="inlineStr">
        <is>
          <t>-</t>
        </is>
      </c>
      <c r="J380" s="14" t="inlineStr">
        <is>
          <t>-</t>
        </is>
      </c>
      <c r="K380" s="14" t="inlineStr">
        <is>
          <t>-</t>
        </is>
      </c>
      <c r="L380" s="14" t="inlineStr">
        <is>
          <t>-</t>
        </is>
      </c>
      <c r="M380" s="14" t="inlineStr">
        <is>
          <t>-</t>
        </is>
      </c>
      <c r="N380" s="14" t="inlineStr">
        <is>
          <t>-</t>
        </is>
      </c>
      <c r="O380" s="14" t="inlineStr">
        <is>
          <t>-</t>
        </is>
      </c>
      <c r="P380" s="14" t="inlineStr">
        <is>
          <t>-</t>
        </is>
      </c>
      <c r="Q380" s="15" t="inlineStr">
        <is>
          <t>-</t>
        </is>
      </c>
    </row>
    <row r="381">
      <c r="A381" s="47" t="n"/>
      <c r="B381" s="16" t="inlineStr">
        <is>
          <t>-</t>
        </is>
      </c>
      <c r="C381" s="11" t="inlineStr">
        <is>
          <t>-</t>
        </is>
      </c>
      <c r="D381" s="11" t="inlineStr">
        <is>
          <t>-</t>
        </is>
      </c>
      <c r="E381" s="11" t="inlineStr">
        <is>
          <t>-</t>
        </is>
      </c>
      <c r="F381" s="11" t="inlineStr">
        <is>
          <t>-</t>
        </is>
      </c>
      <c r="G381" s="11" t="inlineStr">
        <is>
          <t>-</t>
        </is>
      </c>
      <c r="H381" s="11" t="inlineStr">
        <is>
          <t>-</t>
        </is>
      </c>
      <c r="I381" s="11" t="inlineStr">
        <is>
          <t>-</t>
        </is>
      </c>
      <c r="J381" s="11" t="inlineStr">
        <is>
          <t>-</t>
        </is>
      </c>
      <c r="K381" s="11" t="inlineStr">
        <is>
          <t>-</t>
        </is>
      </c>
      <c r="L381" s="11" t="inlineStr">
        <is>
          <t>-</t>
        </is>
      </c>
      <c r="M381" s="11" t="inlineStr">
        <is>
          <t>-</t>
        </is>
      </c>
      <c r="N381" s="11" t="inlineStr">
        <is>
          <t>-</t>
        </is>
      </c>
      <c r="O381" s="11" t="inlineStr">
        <is>
          <t>-</t>
        </is>
      </c>
      <c r="P381" s="11" t="inlineStr">
        <is>
          <t>-</t>
        </is>
      </c>
      <c r="Q381" s="12" t="inlineStr">
        <is>
          <t>-</t>
        </is>
      </c>
    </row>
    <row r="382">
      <c r="A382" s="47" t="n"/>
      <c r="B382" s="13" t="inlineStr">
        <is>
          <t>-</t>
        </is>
      </c>
      <c r="C382" s="14" t="inlineStr">
        <is>
          <t>-</t>
        </is>
      </c>
      <c r="D382" s="14" t="inlineStr">
        <is>
          <t>-</t>
        </is>
      </c>
      <c r="E382" s="14" t="inlineStr">
        <is>
          <t>-</t>
        </is>
      </c>
      <c r="F382" s="14" t="inlineStr">
        <is>
          <t>-</t>
        </is>
      </c>
      <c r="G382" s="14" t="inlineStr">
        <is>
          <t>-</t>
        </is>
      </c>
      <c r="H382" s="14" t="inlineStr">
        <is>
          <t>-</t>
        </is>
      </c>
      <c r="I382" s="14" t="inlineStr">
        <is>
          <t>-</t>
        </is>
      </c>
      <c r="J382" s="14" t="inlineStr">
        <is>
          <t>-</t>
        </is>
      </c>
      <c r="K382" s="14" t="inlineStr">
        <is>
          <t>-</t>
        </is>
      </c>
      <c r="L382" s="14" t="inlineStr">
        <is>
          <t>-</t>
        </is>
      </c>
      <c r="M382" s="14" t="inlineStr">
        <is>
          <t>-</t>
        </is>
      </c>
      <c r="N382" s="14" t="inlineStr">
        <is>
          <t>-</t>
        </is>
      </c>
      <c r="O382" s="14" t="inlineStr">
        <is>
          <t>-</t>
        </is>
      </c>
      <c r="P382" s="14" t="inlineStr">
        <is>
          <t>-</t>
        </is>
      </c>
      <c r="Q382" s="15" t="inlineStr">
        <is>
          <t>-</t>
        </is>
      </c>
    </row>
    <row r="383">
      <c r="A383" s="47" t="n"/>
      <c r="B383" s="16" t="inlineStr">
        <is>
          <t>-</t>
        </is>
      </c>
      <c r="C383" s="11" t="inlineStr">
        <is>
          <t>-</t>
        </is>
      </c>
      <c r="D383" s="11" t="inlineStr">
        <is>
          <t>-</t>
        </is>
      </c>
      <c r="E383" s="11" t="inlineStr">
        <is>
          <t>-</t>
        </is>
      </c>
      <c r="F383" s="11" t="inlineStr">
        <is>
          <t>-</t>
        </is>
      </c>
      <c r="G383" s="11" t="inlineStr">
        <is>
          <t>-</t>
        </is>
      </c>
      <c r="H383" s="11" t="inlineStr">
        <is>
          <t>-</t>
        </is>
      </c>
      <c r="I383" s="11" t="inlineStr">
        <is>
          <t>-</t>
        </is>
      </c>
      <c r="J383" s="11" t="inlineStr">
        <is>
          <t>-</t>
        </is>
      </c>
      <c r="K383" s="11" t="inlineStr">
        <is>
          <t>-</t>
        </is>
      </c>
      <c r="L383" s="11" t="inlineStr">
        <is>
          <t>-</t>
        </is>
      </c>
      <c r="M383" s="11" t="inlineStr">
        <is>
          <t>-</t>
        </is>
      </c>
      <c r="N383" s="11" t="inlineStr">
        <is>
          <t>-</t>
        </is>
      </c>
      <c r="O383" s="11" t="inlineStr">
        <is>
          <t>-</t>
        </is>
      </c>
      <c r="P383" s="11" t="inlineStr">
        <is>
          <t>-</t>
        </is>
      </c>
      <c r="Q383" s="12" t="inlineStr">
        <is>
          <t>-</t>
        </is>
      </c>
    </row>
    <row r="384">
      <c r="A384" s="47" t="n"/>
      <c r="B384" s="13" t="inlineStr">
        <is>
          <t>-</t>
        </is>
      </c>
      <c r="C384" s="14" t="inlineStr">
        <is>
          <t>-</t>
        </is>
      </c>
      <c r="D384" s="14" t="inlineStr">
        <is>
          <t>-</t>
        </is>
      </c>
      <c r="E384" s="14" t="inlineStr">
        <is>
          <t>-</t>
        </is>
      </c>
      <c r="F384" s="14" t="inlineStr">
        <is>
          <t>-</t>
        </is>
      </c>
      <c r="G384" s="14" t="inlineStr">
        <is>
          <t>-</t>
        </is>
      </c>
      <c r="H384" s="14" t="inlineStr">
        <is>
          <t>-</t>
        </is>
      </c>
      <c r="I384" s="14" t="inlineStr">
        <is>
          <t>-</t>
        </is>
      </c>
      <c r="J384" s="14" t="inlineStr">
        <is>
          <t>-</t>
        </is>
      </c>
      <c r="K384" s="14" t="inlineStr">
        <is>
          <t>-</t>
        </is>
      </c>
      <c r="L384" s="14" t="inlineStr">
        <is>
          <t>-</t>
        </is>
      </c>
      <c r="M384" s="14" t="inlineStr">
        <is>
          <t>-</t>
        </is>
      </c>
      <c r="N384" s="14" t="inlineStr">
        <is>
          <t>-</t>
        </is>
      </c>
      <c r="O384" s="14" t="inlineStr">
        <is>
          <t>-</t>
        </is>
      </c>
      <c r="P384" s="14" t="inlineStr">
        <is>
          <t>-</t>
        </is>
      </c>
      <c r="Q384" s="15" t="inlineStr">
        <is>
          <t>-</t>
        </is>
      </c>
    </row>
    <row r="385">
      <c r="A385" s="47" t="n"/>
      <c r="B385" s="16" t="inlineStr">
        <is>
          <t>-</t>
        </is>
      </c>
      <c r="C385" s="11" t="inlineStr">
        <is>
          <t>-</t>
        </is>
      </c>
      <c r="D385" s="11" t="inlineStr">
        <is>
          <t>-</t>
        </is>
      </c>
      <c r="E385" s="11" t="inlineStr">
        <is>
          <t>-</t>
        </is>
      </c>
      <c r="F385" s="11" t="inlineStr">
        <is>
          <t>-</t>
        </is>
      </c>
      <c r="G385" s="11" t="inlineStr">
        <is>
          <t>-</t>
        </is>
      </c>
      <c r="H385" s="11" t="inlineStr">
        <is>
          <t>-</t>
        </is>
      </c>
      <c r="I385" s="11" t="inlineStr">
        <is>
          <t>-</t>
        </is>
      </c>
      <c r="J385" s="11" t="inlineStr">
        <is>
          <t>-</t>
        </is>
      </c>
      <c r="K385" s="11" t="inlineStr">
        <is>
          <t>-</t>
        </is>
      </c>
      <c r="L385" s="11" t="inlineStr">
        <is>
          <t>-</t>
        </is>
      </c>
      <c r="M385" s="11" t="inlineStr">
        <is>
          <t>-</t>
        </is>
      </c>
      <c r="N385" s="11" t="inlineStr">
        <is>
          <t>-</t>
        </is>
      </c>
      <c r="O385" s="11" t="inlineStr">
        <is>
          <t>-</t>
        </is>
      </c>
      <c r="P385" s="11" t="inlineStr">
        <is>
          <t>-</t>
        </is>
      </c>
      <c r="Q385" s="12" t="inlineStr">
        <is>
          <t>-</t>
        </is>
      </c>
    </row>
    <row r="386" ht="36" customHeight="1" s="155">
      <c r="B386" s="9" t="inlineStr">
        <is>
          <t>melanzane fritta involtino</t>
        </is>
      </c>
      <c r="C386" s="49">
        <f>_xlfn.XLOOKUP(A387,Magazzino!$D$1:$D$1500,Magazzino!$F$1:$F$1500,"",0,1)</f>
        <v/>
      </c>
      <c r="D386" s="50">
        <f>_xlfn.XLOOKUP(A388,Magazzino!$D$1:$D$1500,Magazzino!$F$1:$F$1500,"",0,1)</f>
        <v/>
      </c>
      <c r="E386" s="50">
        <f>_xlfn.XLOOKUP(A389,Magazzino!$D$1:$D$1500,Magazzino!$F$1:$F$1500,"",0,1)</f>
        <v/>
      </c>
      <c r="F386" s="50">
        <f>_xlfn.XLOOKUP(A390,Magazzino!$D$1:$D$1500,Magazzino!$F$1:$F$1500,"",0,1)</f>
        <v/>
      </c>
      <c r="G386" s="50">
        <f>_xlfn.XLOOKUP(A391,Magazzino!$D$1:$D$1500,Magazzino!$F$1:$F$1500,"",0,1)</f>
        <v/>
      </c>
      <c r="H386" s="50">
        <f>_xlfn.XLOOKUP(A392,Magazzino!$D$1:$D$1500,Magazzino!$F$1:$F$1500,"",0,1)</f>
        <v/>
      </c>
      <c r="I386" s="50">
        <f>_xlfn.XLOOKUP(A393,Magazzino!$D$1:$D$1500,Magazzino!$F$1:$F$1500,"",0,1)</f>
        <v/>
      </c>
      <c r="J386" s="50">
        <f>_xlfn.XLOOKUP(A394,Magazzino!$D$1:$D$1500,Magazzino!$F$1:$F$1500,"",0,1)</f>
        <v/>
      </c>
      <c r="K386" s="50">
        <f>_xlfn.XLOOKUP(A395,Magazzino!$D$1:$D$1500,Magazzino!$F$1:$F$1500,"",0,1)</f>
        <v/>
      </c>
      <c r="L386" s="50">
        <f>_xlfn.XLOOKUP(A396,Magazzino!$D$1:$D$1500,Magazzino!$F$1:$F$1500,"",0,1)</f>
        <v/>
      </c>
      <c r="M386" s="50">
        <f>_xlfn.XLOOKUP(A397,Magazzino!$D$1:$D$1500,Magazzino!$F$1:$F$1500,"",0,1)</f>
        <v/>
      </c>
      <c r="N386" s="50">
        <f>_xlfn.XLOOKUP(A398,Magazzino!$D$1:$D$1500,Magazzino!$F$1:$F$1500,"",0,1)</f>
        <v/>
      </c>
      <c r="O386" s="50">
        <f>_xlfn.XLOOKUP(A399,Magazzino!$D$1:$D$1500,Magazzino!$F$1:$F$1500,"",0,1)</f>
        <v/>
      </c>
      <c r="P386" s="50">
        <f>_xlfn.XLOOKUP(A400,Magazzino!$D$1:$D$1500,Magazzino!$F$1:$F$1500,"",0,1)</f>
        <v/>
      </c>
      <c r="Q386" s="51">
        <f>_xlfn.XLOOKUP(A401,Magazzino!$D$1:$D$1500,Magazzino!$F$1:$F$1500,"",0,1)</f>
        <v/>
      </c>
    </row>
    <row r="387">
      <c r="A387" s="47" t="inlineStr">
        <is>
          <t>melanzane</t>
        </is>
      </c>
      <c r="B387" s="10" t="inlineStr">
        <is>
          <t>-</t>
        </is>
      </c>
      <c r="C387" s="11" t="inlineStr">
        <is>
          <t>-</t>
        </is>
      </c>
      <c r="D387" s="11" t="inlineStr">
        <is>
          <t>-</t>
        </is>
      </c>
      <c r="E387" s="11" t="inlineStr">
        <is>
          <t>-</t>
        </is>
      </c>
      <c r="F387" s="11" t="inlineStr">
        <is>
          <t>-</t>
        </is>
      </c>
      <c r="G387" s="11" t="inlineStr">
        <is>
          <t>-</t>
        </is>
      </c>
      <c r="H387" s="11" t="inlineStr">
        <is>
          <t>-</t>
        </is>
      </c>
      <c r="I387" s="11" t="inlineStr">
        <is>
          <t>-</t>
        </is>
      </c>
      <c r="J387" s="11" t="inlineStr">
        <is>
          <t>-</t>
        </is>
      </c>
      <c r="K387" s="11" t="inlineStr">
        <is>
          <t>-</t>
        </is>
      </c>
      <c r="L387" s="11" t="inlineStr">
        <is>
          <t>-</t>
        </is>
      </c>
      <c r="M387" s="11" t="inlineStr">
        <is>
          <t>-</t>
        </is>
      </c>
      <c r="N387" s="11" t="inlineStr">
        <is>
          <t>-</t>
        </is>
      </c>
      <c r="O387" s="11" t="inlineStr">
        <is>
          <t>-</t>
        </is>
      </c>
      <c r="P387" s="11" t="inlineStr">
        <is>
          <t>-</t>
        </is>
      </c>
      <c r="Q387" s="12" t="inlineStr">
        <is>
          <t>-</t>
        </is>
      </c>
    </row>
    <row r="388">
      <c r="A388" s="48" t="inlineStr">
        <is>
          <t xml:space="preserve">SALE SACCHI SALTECHNO KG.25  </t>
        </is>
      </c>
      <c r="B388" s="13" t="inlineStr">
        <is>
          <t>-</t>
        </is>
      </c>
      <c r="C388" s="14" t="inlineStr">
        <is>
          <t>-</t>
        </is>
      </c>
      <c r="D388" s="14" t="inlineStr">
        <is>
          <t>-</t>
        </is>
      </c>
      <c r="E388" s="14" t="inlineStr">
        <is>
          <t>-</t>
        </is>
      </c>
      <c r="F388" s="14" t="inlineStr">
        <is>
          <t>-</t>
        </is>
      </c>
      <c r="G388" s="14" t="inlineStr">
        <is>
          <t>-</t>
        </is>
      </c>
      <c r="H388" s="14" t="inlineStr">
        <is>
          <t>-</t>
        </is>
      </c>
      <c r="I388" s="14" t="inlineStr">
        <is>
          <t>-</t>
        </is>
      </c>
      <c r="J388" s="14" t="inlineStr">
        <is>
          <t>-</t>
        </is>
      </c>
      <c r="K388" s="14" t="inlineStr">
        <is>
          <t>-</t>
        </is>
      </c>
      <c r="L388" s="14" t="inlineStr">
        <is>
          <t>-</t>
        </is>
      </c>
      <c r="M388" s="14" t="inlineStr">
        <is>
          <t>-</t>
        </is>
      </c>
      <c r="N388" s="14" t="inlineStr">
        <is>
          <t>-</t>
        </is>
      </c>
      <c r="O388" s="14" t="inlineStr">
        <is>
          <t>-</t>
        </is>
      </c>
      <c r="P388" s="14" t="inlineStr">
        <is>
          <t>-</t>
        </is>
      </c>
      <c r="Q388" s="15" t="inlineStr">
        <is>
          <t>-</t>
        </is>
      </c>
    </row>
    <row r="389">
      <c r="A389" s="47" t="inlineStr">
        <is>
          <t>olio extravergine oliva</t>
        </is>
      </c>
      <c r="B389" s="16" t="inlineStr">
        <is>
          <t>-</t>
        </is>
      </c>
      <c r="C389" s="11" t="inlineStr">
        <is>
          <t>-</t>
        </is>
      </c>
      <c r="D389" s="11" t="inlineStr">
        <is>
          <t>-</t>
        </is>
      </c>
      <c r="E389" s="11" t="inlineStr">
        <is>
          <t>-</t>
        </is>
      </c>
      <c r="F389" s="11" t="inlineStr">
        <is>
          <t>-</t>
        </is>
      </c>
      <c r="G389" s="11" t="inlineStr">
        <is>
          <t>-</t>
        </is>
      </c>
      <c r="H389" s="11" t="inlineStr">
        <is>
          <t>-</t>
        </is>
      </c>
      <c r="I389" s="11" t="inlineStr">
        <is>
          <t>-</t>
        </is>
      </c>
      <c r="J389" s="11" t="inlineStr">
        <is>
          <t>-</t>
        </is>
      </c>
      <c r="K389" s="11" t="inlineStr">
        <is>
          <t>-</t>
        </is>
      </c>
      <c r="L389" s="11" t="inlineStr">
        <is>
          <t>-</t>
        </is>
      </c>
      <c r="M389" s="11" t="inlineStr">
        <is>
          <t>-</t>
        </is>
      </c>
      <c r="N389" s="11" t="inlineStr">
        <is>
          <t>-</t>
        </is>
      </c>
      <c r="O389" s="11" t="inlineStr">
        <is>
          <t>-</t>
        </is>
      </c>
      <c r="P389" s="11" t="inlineStr">
        <is>
          <t>-</t>
        </is>
      </c>
      <c r="Q389" s="12" t="inlineStr">
        <is>
          <t>-</t>
        </is>
      </c>
    </row>
    <row r="390">
      <c r="A390" s="47" t="n"/>
      <c r="B390" s="13" t="inlineStr">
        <is>
          <t>-</t>
        </is>
      </c>
      <c r="C390" s="14" t="inlineStr">
        <is>
          <t>-</t>
        </is>
      </c>
      <c r="D390" s="14" t="inlineStr">
        <is>
          <t>-</t>
        </is>
      </c>
      <c r="E390" s="14" t="inlineStr">
        <is>
          <t>-</t>
        </is>
      </c>
      <c r="F390" s="14" t="inlineStr">
        <is>
          <t>-</t>
        </is>
      </c>
      <c r="G390" s="14" t="inlineStr">
        <is>
          <t>-</t>
        </is>
      </c>
      <c r="H390" s="14" t="inlineStr">
        <is>
          <t>-</t>
        </is>
      </c>
      <c r="I390" s="14" t="inlineStr">
        <is>
          <t>-</t>
        </is>
      </c>
      <c r="J390" s="14" t="inlineStr">
        <is>
          <t>-</t>
        </is>
      </c>
      <c r="K390" s="14" t="inlineStr">
        <is>
          <t>-</t>
        </is>
      </c>
      <c r="L390" s="14" t="inlineStr">
        <is>
          <t>-</t>
        </is>
      </c>
      <c r="M390" s="14" t="inlineStr">
        <is>
          <t>-</t>
        </is>
      </c>
      <c r="N390" s="14" t="inlineStr">
        <is>
          <t>-</t>
        </is>
      </c>
      <c r="O390" s="14" t="inlineStr">
        <is>
          <t>-</t>
        </is>
      </c>
      <c r="P390" s="14" t="inlineStr">
        <is>
          <t>-</t>
        </is>
      </c>
      <c r="Q390" s="15" t="inlineStr">
        <is>
          <t>-</t>
        </is>
      </c>
    </row>
    <row r="391">
      <c r="A391" s="47" t="n"/>
      <c r="B391" s="16" t="inlineStr">
        <is>
          <t>-</t>
        </is>
      </c>
      <c r="C391" s="11" t="inlineStr">
        <is>
          <t>-</t>
        </is>
      </c>
      <c r="D391" s="11" t="inlineStr">
        <is>
          <t>-</t>
        </is>
      </c>
      <c r="E391" s="11" t="inlineStr">
        <is>
          <t>-</t>
        </is>
      </c>
      <c r="F391" s="11" t="inlineStr">
        <is>
          <t>-</t>
        </is>
      </c>
      <c r="G391" s="11" t="inlineStr">
        <is>
          <t>-</t>
        </is>
      </c>
      <c r="H391" s="11" t="inlineStr">
        <is>
          <t>-</t>
        </is>
      </c>
      <c r="I391" s="11" t="inlineStr">
        <is>
          <t>-</t>
        </is>
      </c>
      <c r="J391" s="11" t="inlineStr">
        <is>
          <t>-</t>
        </is>
      </c>
      <c r="K391" s="11" t="inlineStr">
        <is>
          <t>-</t>
        </is>
      </c>
      <c r="L391" s="11" t="inlineStr">
        <is>
          <t>-</t>
        </is>
      </c>
      <c r="M391" s="11" t="inlineStr">
        <is>
          <t>-</t>
        </is>
      </c>
      <c r="N391" s="11" t="inlineStr">
        <is>
          <t>-</t>
        </is>
      </c>
      <c r="O391" s="11" t="inlineStr">
        <is>
          <t>-</t>
        </is>
      </c>
      <c r="P391" s="11" t="inlineStr">
        <is>
          <t>-</t>
        </is>
      </c>
      <c r="Q391" s="12" t="inlineStr">
        <is>
          <t>-</t>
        </is>
      </c>
    </row>
    <row r="392">
      <c r="A392" s="47" t="n"/>
      <c r="B392" s="13" t="inlineStr">
        <is>
          <t>-</t>
        </is>
      </c>
      <c r="C392" s="14" t="inlineStr">
        <is>
          <t>-</t>
        </is>
      </c>
      <c r="D392" s="14" t="inlineStr">
        <is>
          <t>-</t>
        </is>
      </c>
      <c r="E392" s="14" t="inlineStr">
        <is>
          <t>-</t>
        </is>
      </c>
      <c r="F392" s="14" t="inlineStr">
        <is>
          <t>-</t>
        </is>
      </c>
      <c r="G392" s="14" t="inlineStr">
        <is>
          <t>-</t>
        </is>
      </c>
      <c r="H392" s="14" t="inlineStr">
        <is>
          <t>-</t>
        </is>
      </c>
      <c r="I392" s="14" t="inlineStr">
        <is>
          <t>-</t>
        </is>
      </c>
      <c r="J392" s="14" t="inlineStr">
        <is>
          <t>-</t>
        </is>
      </c>
      <c r="K392" s="14" t="inlineStr">
        <is>
          <t>-</t>
        </is>
      </c>
      <c r="L392" s="14" t="inlineStr">
        <is>
          <t>-</t>
        </is>
      </c>
      <c r="M392" s="14" t="inlineStr">
        <is>
          <t>-</t>
        </is>
      </c>
      <c r="N392" s="14" t="inlineStr">
        <is>
          <t>-</t>
        </is>
      </c>
      <c r="O392" s="14" t="inlineStr">
        <is>
          <t>-</t>
        </is>
      </c>
      <c r="P392" s="14" t="inlineStr">
        <is>
          <t>-</t>
        </is>
      </c>
      <c r="Q392" s="15" t="inlineStr">
        <is>
          <t>-</t>
        </is>
      </c>
    </row>
    <row r="393">
      <c r="A393" s="47" t="n"/>
      <c r="B393" s="16" t="inlineStr">
        <is>
          <t>-</t>
        </is>
      </c>
      <c r="C393" s="11" t="inlineStr">
        <is>
          <t>-</t>
        </is>
      </c>
      <c r="D393" s="11" t="inlineStr">
        <is>
          <t>-</t>
        </is>
      </c>
      <c r="E393" s="11" t="inlineStr">
        <is>
          <t>-</t>
        </is>
      </c>
      <c r="F393" s="11" t="inlineStr">
        <is>
          <t>-</t>
        </is>
      </c>
      <c r="G393" s="11" t="inlineStr">
        <is>
          <t>-</t>
        </is>
      </c>
      <c r="H393" s="11" t="inlineStr">
        <is>
          <t>-</t>
        </is>
      </c>
      <c r="I393" s="11" t="inlineStr">
        <is>
          <t>-</t>
        </is>
      </c>
      <c r="J393" s="11" t="inlineStr">
        <is>
          <t>-</t>
        </is>
      </c>
      <c r="K393" s="11" t="inlineStr">
        <is>
          <t>-</t>
        </is>
      </c>
      <c r="L393" s="11" t="inlineStr">
        <is>
          <t>-</t>
        </is>
      </c>
      <c r="M393" s="11" t="inlineStr">
        <is>
          <t>-</t>
        </is>
      </c>
      <c r="N393" s="11" t="inlineStr">
        <is>
          <t>-</t>
        </is>
      </c>
      <c r="O393" s="11" t="inlineStr">
        <is>
          <t>-</t>
        </is>
      </c>
      <c r="P393" s="11" t="inlineStr">
        <is>
          <t>-</t>
        </is>
      </c>
      <c r="Q393" s="12" t="inlineStr">
        <is>
          <t>-</t>
        </is>
      </c>
    </row>
    <row r="394">
      <c r="A394" s="47" t="n"/>
      <c r="B394" s="13" t="inlineStr">
        <is>
          <t>-</t>
        </is>
      </c>
      <c r="C394" s="14" t="inlineStr">
        <is>
          <t>-</t>
        </is>
      </c>
      <c r="D394" s="14" t="inlineStr">
        <is>
          <t>-</t>
        </is>
      </c>
      <c r="E394" s="14" t="inlineStr">
        <is>
          <t>-</t>
        </is>
      </c>
      <c r="F394" s="14" t="inlineStr">
        <is>
          <t>-</t>
        </is>
      </c>
      <c r="G394" s="14" t="inlineStr">
        <is>
          <t>-</t>
        </is>
      </c>
      <c r="H394" s="14" t="inlineStr">
        <is>
          <t>-</t>
        </is>
      </c>
      <c r="I394" s="14" t="inlineStr">
        <is>
          <t>-</t>
        </is>
      </c>
      <c r="J394" s="14" t="inlineStr">
        <is>
          <t>-</t>
        </is>
      </c>
      <c r="K394" s="14" t="inlineStr">
        <is>
          <t>-</t>
        </is>
      </c>
      <c r="L394" s="14" t="inlineStr">
        <is>
          <t>-</t>
        </is>
      </c>
      <c r="M394" s="14" t="inlineStr">
        <is>
          <t>-</t>
        </is>
      </c>
      <c r="N394" s="14" t="inlineStr">
        <is>
          <t>-</t>
        </is>
      </c>
      <c r="O394" s="14" t="inlineStr">
        <is>
          <t>-</t>
        </is>
      </c>
      <c r="P394" s="14" t="inlineStr">
        <is>
          <t>-</t>
        </is>
      </c>
      <c r="Q394" s="15" t="inlineStr">
        <is>
          <t>-</t>
        </is>
      </c>
    </row>
    <row r="395">
      <c r="A395" s="47" t="n"/>
      <c r="B395" s="16" t="inlineStr">
        <is>
          <t>-</t>
        </is>
      </c>
      <c r="C395" s="11" t="inlineStr">
        <is>
          <t>-</t>
        </is>
      </c>
      <c r="D395" s="11" t="inlineStr">
        <is>
          <t>-</t>
        </is>
      </c>
      <c r="E395" s="11" t="inlineStr">
        <is>
          <t>-</t>
        </is>
      </c>
      <c r="F395" s="11" t="inlineStr">
        <is>
          <t>-</t>
        </is>
      </c>
      <c r="G395" s="11" t="inlineStr">
        <is>
          <t>-</t>
        </is>
      </c>
      <c r="H395" s="11" t="inlineStr">
        <is>
          <t>-</t>
        </is>
      </c>
      <c r="I395" s="11" t="inlineStr">
        <is>
          <t>-</t>
        </is>
      </c>
      <c r="J395" s="11" t="inlineStr">
        <is>
          <t>-</t>
        </is>
      </c>
      <c r="K395" s="11" t="inlineStr">
        <is>
          <t>-</t>
        </is>
      </c>
      <c r="L395" s="11" t="inlineStr">
        <is>
          <t>-</t>
        </is>
      </c>
      <c r="M395" s="11" t="inlineStr">
        <is>
          <t>-</t>
        </is>
      </c>
      <c r="N395" s="11" t="inlineStr">
        <is>
          <t>-</t>
        </is>
      </c>
      <c r="O395" s="11" t="inlineStr">
        <is>
          <t>-</t>
        </is>
      </c>
      <c r="P395" s="11" t="inlineStr">
        <is>
          <t>-</t>
        </is>
      </c>
      <c r="Q395" s="12" t="inlineStr">
        <is>
          <t>-</t>
        </is>
      </c>
    </row>
    <row r="396">
      <c r="A396" s="47" t="n"/>
      <c r="B396" s="13" t="inlineStr">
        <is>
          <t>-</t>
        </is>
      </c>
      <c r="C396" s="14" t="inlineStr">
        <is>
          <t>-</t>
        </is>
      </c>
      <c r="D396" s="14" t="inlineStr">
        <is>
          <t>-</t>
        </is>
      </c>
      <c r="E396" s="14" t="inlineStr">
        <is>
          <t>-</t>
        </is>
      </c>
      <c r="F396" s="14" t="inlineStr">
        <is>
          <t>-</t>
        </is>
      </c>
      <c r="G396" s="14" t="inlineStr">
        <is>
          <t>-</t>
        </is>
      </c>
      <c r="H396" s="14" t="inlineStr">
        <is>
          <t>-</t>
        </is>
      </c>
      <c r="I396" s="14" t="inlineStr">
        <is>
          <t>-</t>
        </is>
      </c>
      <c r="J396" s="14" t="inlineStr">
        <is>
          <t>-</t>
        </is>
      </c>
      <c r="K396" s="14" t="inlineStr">
        <is>
          <t>-</t>
        </is>
      </c>
      <c r="L396" s="14" t="inlineStr">
        <is>
          <t>-</t>
        </is>
      </c>
      <c r="M396" s="14" t="inlineStr">
        <is>
          <t>-</t>
        </is>
      </c>
      <c r="N396" s="14" t="inlineStr">
        <is>
          <t>-</t>
        </is>
      </c>
      <c r="O396" s="14" t="inlineStr">
        <is>
          <t>-</t>
        </is>
      </c>
      <c r="P396" s="14" t="inlineStr">
        <is>
          <t>-</t>
        </is>
      </c>
      <c r="Q396" s="15" t="inlineStr">
        <is>
          <t>-</t>
        </is>
      </c>
    </row>
    <row r="397">
      <c r="A397" s="47" t="n"/>
      <c r="B397" s="16" t="inlineStr">
        <is>
          <t>-</t>
        </is>
      </c>
      <c r="C397" s="11" t="inlineStr">
        <is>
          <t>-</t>
        </is>
      </c>
      <c r="D397" s="11" t="inlineStr">
        <is>
          <t>-</t>
        </is>
      </c>
      <c r="E397" s="11" t="inlineStr">
        <is>
          <t>-</t>
        </is>
      </c>
      <c r="F397" s="11" t="inlineStr">
        <is>
          <t>-</t>
        </is>
      </c>
      <c r="G397" s="11" t="inlineStr">
        <is>
          <t>-</t>
        </is>
      </c>
      <c r="H397" s="11" t="inlineStr">
        <is>
          <t>-</t>
        </is>
      </c>
      <c r="I397" s="11" t="inlineStr">
        <is>
          <t>-</t>
        </is>
      </c>
      <c r="J397" s="11" t="inlineStr">
        <is>
          <t>-</t>
        </is>
      </c>
      <c r="K397" s="11" t="inlineStr">
        <is>
          <t>-</t>
        </is>
      </c>
      <c r="L397" s="11" t="inlineStr">
        <is>
          <t>-</t>
        </is>
      </c>
      <c r="M397" s="11" t="inlineStr">
        <is>
          <t>-</t>
        </is>
      </c>
      <c r="N397" s="11" t="inlineStr">
        <is>
          <t>-</t>
        </is>
      </c>
      <c r="O397" s="11" t="inlineStr">
        <is>
          <t>-</t>
        </is>
      </c>
      <c r="P397" s="11" t="inlineStr">
        <is>
          <t>-</t>
        </is>
      </c>
      <c r="Q397" s="12" t="inlineStr">
        <is>
          <t>-</t>
        </is>
      </c>
    </row>
    <row r="398">
      <c r="A398" s="47" t="n"/>
      <c r="B398" s="13" t="inlineStr">
        <is>
          <t>-</t>
        </is>
      </c>
      <c r="C398" s="14" t="inlineStr">
        <is>
          <t>-</t>
        </is>
      </c>
      <c r="D398" s="14" t="inlineStr">
        <is>
          <t>-</t>
        </is>
      </c>
      <c r="E398" s="14" t="inlineStr">
        <is>
          <t>-</t>
        </is>
      </c>
      <c r="F398" s="14" t="inlineStr">
        <is>
          <t>-</t>
        </is>
      </c>
      <c r="G398" s="14" t="inlineStr">
        <is>
          <t>-</t>
        </is>
      </c>
      <c r="H398" s="14" t="inlineStr">
        <is>
          <t>-</t>
        </is>
      </c>
      <c r="I398" s="14" t="inlineStr">
        <is>
          <t>-</t>
        </is>
      </c>
      <c r="J398" s="14" t="inlineStr">
        <is>
          <t>-</t>
        </is>
      </c>
      <c r="K398" s="14" t="inlineStr">
        <is>
          <t>-</t>
        </is>
      </c>
      <c r="L398" s="14" t="inlineStr">
        <is>
          <t>-</t>
        </is>
      </c>
      <c r="M398" s="14" t="inlineStr">
        <is>
          <t>-</t>
        </is>
      </c>
      <c r="N398" s="14" t="inlineStr">
        <is>
          <t>-</t>
        </is>
      </c>
      <c r="O398" s="14" t="inlineStr">
        <is>
          <t>-</t>
        </is>
      </c>
      <c r="P398" s="14" t="inlineStr">
        <is>
          <t>-</t>
        </is>
      </c>
      <c r="Q398" s="15" t="inlineStr">
        <is>
          <t>-</t>
        </is>
      </c>
    </row>
    <row r="399">
      <c r="A399" s="47" t="n"/>
      <c r="B399" s="16" t="inlineStr">
        <is>
          <t>-</t>
        </is>
      </c>
      <c r="C399" s="11" t="inlineStr">
        <is>
          <t>-</t>
        </is>
      </c>
      <c r="D399" s="11" t="inlineStr">
        <is>
          <t>-</t>
        </is>
      </c>
      <c r="E399" s="11" t="inlineStr">
        <is>
          <t>-</t>
        </is>
      </c>
      <c r="F399" s="11" t="inlineStr">
        <is>
          <t>-</t>
        </is>
      </c>
      <c r="G399" s="11" t="inlineStr">
        <is>
          <t>-</t>
        </is>
      </c>
      <c r="H399" s="11" t="inlineStr">
        <is>
          <t>-</t>
        </is>
      </c>
      <c r="I399" s="11" t="inlineStr">
        <is>
          <t>-</t>
        </is>
      </c>
      <c r="J399" s="11" t="inlineStr">
        <is>
          <t>-</t>
        </is>
      </c>
      <c r="K399" s="11" t="inlineStr">
        <is>
          <t>-</t>
        </is>
      </c>
      <c r="L399" s="11" t="inlineStr">
        <is>
          <t>-</t>
        </is>
      </c>
      <c r="M399" s="11" t="inlineStr">
        <is>
          <t>-</t>
        </is>
      </c>
      <c r="N399" s="11" t="inlineStr">
        <is>
          <t>-</t>
        </is>
      </c>
      <c r="O399" s="11" t="inlineStr">
        <is>
          <t>-</t>
        </is>
      </c>
      <c r="P399" s="11" t="inlineStr">
        <is>
          <t>-</t>
        </is>
      </c>
      <c r="Q399" s="12" t="inlineStr">
        <is>
          <t>-</t>
        </is>
      </c>
    </row>
    <row r="400">
      <c r="A400" s="47" t="n"/>
      <c r="B400" s="13" t="inlineStr">
        <is>
          <t>-</t>
        </is>
      </c>
      <c r="C400" s="14" t="inlineStr">
        <is>
          <t>-</t>
        </is>
      </c>
      <c r="D400" s="14" t="inlineStr">
        <is>
          <t>-</t>
        </is>
      </c>
      <c r="E400" s="14" t="inlineStr">
        <is>
          <t>-</t>
        </is>
      </c>
      <c r="F400" s="14" t="inlineStr">
        <is>
          <t>-</t>
        </is>
      </c>
      <c r="G400" s="14" t="inlineStr">
        <is>
          <t>-</t>
        </is>
      </c>
      <c r="H400" s="14" t="inlineStr">
        <is>
          <t>-</t>
        </is>
      </c>
      <c r="I400" s="14" t="inlineStr">
        <is>
          <t>-</t>
        </is>
      </c>
      <c r="J400" s="14" t="inlineStr">
        <is>
          <t>-</t>
        </is>
      </c>
      <c r="K400" s="14" t="inlineStr">
        <is>
          <t>-</t>
        </is>
      </c>
      <c r="L400" s="14" t="inlineStr">
        <is>
          <t>-</t>
        </is>
      </c>
      <c r="M400" s="14" t="inlineStr">
        <is>
          <t>-</t>
        </is>
      </c>
      <c r="N400" s="14" t="inlineStr">
        <is>
          <t>-</t>
        </is>
      </c>
      <c r="O400" s="14" t="inlineStr">
        <is>
          <t>-</t>
        </is>
      </c>
      <c r="P400" s="14" t="inlineStr">
        <is>
          <t>-</t>
        </is>
      </c>
      <c r="Q400" s="15" t="inlineStr">
        <is>
          <t>-</t>
        </is>
      </c>
    </row>
    <row r="401">
      <c r="A401" s="47" t="n"/>
      <c r="B401" s="16" t="inlineStr">
        <is>
          <t>-</t>
        </is>
      </c>
      <c r="C401" s="11" t="inlineStr">
        <is>
          <t>-</t>
        </is>
      </c>
      <c r="D401" s="11" t="inlineStr">
        <is>
          <t>-</t>
        </is>
      </c>
      <c r="E401" s="11" t="inlineStr">
        <is>
          <t>-</t>
        </is>
      </c>
      <c r="F401" s="11" t="inlineStr">
        <is>
          <t>-</t>
        </is>
      </c>
      <c r="G401" s="11" t="inlineStr">
        <is>
          <t>-</t>
        </is>
      </c>
      <c r="H401" s="11" t="inlineStr">
        <is>
          <t>-</t>
        </is>
      </c>
      <c r="I401" s="11" t="inlineStr">
        <is>
          <t>-</t>
        </is>
      </c>
      <c r="J401" s="11" t="inlineStr">
        <is>
          <t>-</t>
        </is>
      </c>
      <c r="K401" s="11" t="inlineStr">
        <is>
          <t>-</t>
        </is>
      </c>
      <c r="L401" s="11" t="inlineStr">
        <is>
          <t>-</t>
        </is>
      </c>
      <c r="M401" s="11" t="inlineStr">
        <is>
          <t>-</t>
        </is>
      </c>
      <c r="N401" s="11" t="inlineStr">
        <is>
          <t>-</t>
        </is>
      </c>
      <c r="O401" s="11" t="inlineStr">
        <is>
          <t>-</t>
        </is>
      </c>
      <c r="P401" s="11" t="inlineStr">
        <is>
          <t>-</t>
        </is>
      </c>
      <c r="Q401" s="12" t="inlineStr">
        <is>
          <t>-</t>
        </is>
      </c>
    </row>
    <row r="402" ht="36" customHeight="1" s="155">
      <c r="B402" s="9" t="inlineStr">
        <is>
          <t>melanzana al forno</t>
        </is>
      </c>
      <c r="C402" s="49">
        <f>_xlfn.XLOOKUP(A403,Magazzino!$D$1:$D$1500,Magazzino!$F$1:$F$1500,"",0,1)</f>
        <v/>
      </c>
      <c r="D402" s="50">
        <f>_xlfn.XLOOKUP(A404,Magazzino!$D$1:$D$1500,Magazzino!$F$1:$F$1500,"",0,1)</f>
        <v/>
      </c>
      <c r="E402" s="50">
        <f>_xlfn.XLOOKUP(A405,Magazzino!$D$1:$D$1500,Magazzino!$F$1:$F$1500,"",0,1)</f>
        <v/>
      </c>
      <c r="F402" s="50">
        <f>_xlfn.XLOOKUP(A406,Magazzino!$D$1:$D$1500,Magazzino!$F$1:$F$1500,"",0,1)</f>
        <v/>
      </c>
      <c r="G402" s="50">
        <f>_xlfn.XLOOKUP(A407,Magazzino!$D$1:$D$1500,Magazzino!$F$1:$F$1500,"",0,1)</f>
        <v/>
      </c>
      <c r="H402" s="50">
        <f>_xlfn.XLOOKUP(A408,Magazzino!$D$1:$D$1500,Magazzino!$F$1:$F$1500,"",0,1)</f>
        <v/>
      </c>
      <c r="I402" s="50">
        <f>_xlfn.XLOOKUP(A409,Magazzino!$D$1:$D$1500,Magazzino!$F$1:$F$1500,"",0,1)</f>
        <v/>
      </c>
      <c r="J402" s="50">
        <f>_xlfn.XLOOKUP(A410,Magazzino!$D$1:$D$1500,Magazzino!$F$1:$F$1500,"",0,1)</f>
        <v/>
      </c>
      <c r="K402" s="50">
        <f>_xlfn.XLOOKUP(A411,Magazzino!$D$1:$D$1500,Magazzino!$F$1:$F$1500,"",0,1)</f>
        <v/>
      </c>
      <c r="L402" s="50">
        <f>_xlfn.XLOOKUP(A412,Magazzino!$D$1:$D$1500,Magazzino!$F$1:$F$1500,"",0,1)</f>
        <v/>
      </c>
      <c r="M402" s="50">
        <f>_xlfn.XLOOKUP(A413,Magazzino!$D$1:$D$1500,Magazzino!$F$1:$F$1500,"",0,1)</f>
        <v/>
      </c>
      <c r="N402" s="50">
        <f>_xlfn.XLOOKUP(A414,Magazzino!$D$1:$D$1500,Magazzino!$F$1:$F$1500,"",0,1)</f>
        <v/>
      </c>
      <c r="O402" s="50">
        <f>_xlfn.XLOOKUP(A415,Magazzino!$D$1:$D$1500,Magazzino!$F$1:$F$1500,"",0,1)</f>
        <v/>
      </c>
      <c r="P402" s="50">
        <f>_xlfn.XLOOKUP(A416,Magazzino!$D$1:$D$1500,Magazzino!$F$1:$F$1500,"",0,1)</f>
        <v/>
      </c>
      <c r="Q402" s="51">
        <f>_xlfn.XLOOKUP(A417,Magazzino!$D$1:$D$1500,Magazzino!$F$1:$F$1500,"",0,1)</f>
        <v/>
      </c>
    </row>
    <row r="403">
      <c r="A403" s="47" t="inlineStr">
        <is>
          <t>melanzane</t>
        </is>
      </c>
      <c r="B403" s="10" t="inlineStr">
        <is>
          <t>-</t>
        </is>
      </c>
      <c r="C403" s="11" t="inlineStr">
        <is>
          <t>-</t>
        </is>
      </c>
      <c r="D403" s="11" t="inlineStr">
        <is>
          <t>-</t>
        </is>
      </c>
      <c r="E403" s="11" t="inlineStr">
        <is>
          <t>-</t>
        </is>
      </c>
      <c r="F403" s="11" t="inlineStr">
        <is>
          <t>-</t>
        </is>
      </c>
      <c r="G403" s="11" t="inlineStr">
        <is>
          <t>-</t>
        </is>
      </c>
      <c r="H403" s="11" t="inlineStr">
        <is>
          <t>-</t>
        </is>
      </c>
      <c r="I403" s="11" t="inlineStr">
        <is>
          <t>-</t>
        </is>
      </c>
      <c r="J403" s="11" t="inlineStr">
        <is>
          <t>-</t>
        </is>
      </c>
      <c r="K403" s="11" t="inlineStr">
        <is>
          <t>-</t>
        </is>
      </c>
      <c r="L403" s="11" t="inlineStr">
        <is>
          <t>-</t>
        </is>
      </c>
      <c r="M403" s="11" t="inlineStr">
        <is>
          <t>-</t>
        </is>
      </c>
      <c r="N403" s="11" t="inlineStr">
        <is>
          <t>-</t>
        </is>
      </c>
      <c r="O403" s="11" t="inlineStr">
        <is>
          <t>-</t>
        </is>
      </c>
      <c r="P403" s="11" t="inlineStr">
        <is>
          <t>-</t>
        </is>
      </c>
      <c r="Q403" s="12" t="inlineStr">
        <is>
          <t>-</t>
        </is>
      </c>
    </row>
    <row r="404">
      <c r="A404" s="48" t="inlineStr">
        <is>
          <t xml:space="preserve">SALE SACCHI SALTECHNO KG.25  </t>
        </is>
      </c>
      <c r="B404" s="13" t="inlineStr">
        <is>
          <t>-</t>
        </is>
      </c>
      <c r="C404" s="14" t="inlineStr">
        <is>
          <t>-</t>
        </is>
      </c>
      <c r="D404" s="14" t="inlineStr">
        <is>
          <t>-</t>
        </is>
      </c>
      <c r="E404" s="14" t="inlineStr">
        <is>
          <t>-</t>
        </is>
      </c>
      <c r="F404" s="14" t="inlineStr">
        <is>
          <t>-</t>
        </is>
      </c>
      <c r="G404" s="14" t="inlineStr">
        <is>
          <t>-</t>
        </is>
      </c>
      <c r="H404" s="14" t="inlineStr">
        <is>
          <t>-</t>
        </is>
      </c>
      <c r="I404" s="14" t="inlineStr">
        <is>
          <t>-</t>
        </is>
      </c>
      <c r="J404" s="14" t="inlineStr">
        <is>
          <t>-</t>
        </is>
      </c>
      <c r="K404" s="14" t="inlineStr">
        <is>
          <t>-</t>
        </is>
      </c>
      <c r="L404" s="14" t="inlineStr">
        <is>
          <t>-</t>
        </is>
      </c>
      <c r="M404" s="14" t="inlineStr">
        <is>
          <t>-</t>
        </is>
      </c>
      <c r="N404" s="14" t="inlineStr">
        <is>
          <t>-</t>
        </is>
      </c>
      <c r="O404" s="14" t="inlineStr">
        <is>
          <t>-</t>
        </is>
      </c>
      <c r="P404" s="14" t="inlineStr">
        <is>
          <t>-</t>
        </is>
      </c>
      <c r="Q404" s="15" t="inlineStr">
        <is>
          <t>-</t>
        </is>
      </c>
    </row>
    <row r="405">
      <c r="A405" s="47" t="inlineStr">
        <is>
          <t>olio extravergine oliva</t>
        </is>
      </c>
      <c r="B405" s="16" t="inlineStr">
        <is>
          <t>-</t>
        </is>
      </c>
      <c r="C405" s="11" t="inlineStr">
        <is>
          <t>-</t>
        </is>
      </c>
      <c r="D405" s="11" t="inlineStr">
        <is>
          <t>-</t>
        </is>
      </c>
      <c r="E405" s="11" t="inlineStr">
        <is>
          <t>-</t>
        </is>
      </c>
      <c r="F405" s="11" t="inlineStr">
        <is>
          <t>-</t>
        </is>
      </c>
      <c r="G405" s="11" t="inlineStr">
        <is>
          <t>-</t>
        </is>
      </c>
      <c r="H405" s="11" t="inlineStr">
        <is>
          <t>-</t>
        </is>
      </c>
      <c r="I405" s="11" t="inlineStr">
        <is>
          <t>-</t>
        </is>
      </c>
      <c r="J405" s="11" t="inlineStr">
        <is>
          <t>-</t>
        </is>
      </c>
      <c r="K405" s="11" t="inlineStr">
        <is>
          <t>-</t>
        </is>
      </c>
      <c r="L405" s="11" t="inlineStr">
        <is>
          <t>-</t>
        </is>
      </c>
      <c r="M405" s="11" t="inlineStr">
        <is>
          <t>-</t>
        </is>
      </c>
      <c r="N405" s="11" t="inlineStr">
        <is>
          <t>-</t>
        </is>
      </c>
      <c r="O405" s="11" t="inlineStr">
        <is>
          <t>-</t>
        </is>
      </c>
      <c r="P405" s="11" t="inlineStr">
        <is>
          <t>-</t>
        </is>
      </c>
      <c r="Q405" s="12" t="inlineStr">
        <is>
          <t>-</t>
        </is>
      </c>
    </row>
    <row r="406">
      <c r="A406" s="47" t="n"/>
      <c r="B406" s="13" t="inlineStr">
        <is>
          <t>-</t>
        </is>
      </c>
      <c r="C406" s="14" t="inlineStr">
        <is>
          <t>-</t>
        </is>
      </c>
      <c r="D406" s="14" t="inlineStr">
        <is>
          <t>-</t>
        </is>
      </c>
      <c r="E406" s="14" t="inlineStr">
        <is>
          <t>-</t>
        </is>
      </c>
      <c r="F406" s="14" t="inlineStr">
        <is>
          <t>-</t>
        </is>
      </c>
      <c r="G406" s="14" t="inlineStr">
        <is>
          <t>-</t>
        </is>
      </c>
      <c r="H406" s="14" t="inlineStr">
        <is>
          <t>-</t>
        </is>
      </c>
      <c r="I406" s="14" t="inlineStr">
        <is>
          <t>-</t>
        </is>
      </c>
      <c r="J406" s="14" t="inlineStr">
        <is>
          <t>-</t>
        </is>
      </c>
      <c r="K406" s="14" t="inlineStr">
        <is>
          <t>-</t>
        </is>
      </c>
      <c r="L406" s="14" t="inlineStr">
        <is>
          <t>-</t>
        </is>
      </c>
      <c r="M406" s="14" t="inlineStr">
        <is>
          <t>-</t>
        </is>
      </c>
      <c r="N406" s="14" t="inlineStr">
        <is>
          <t>-</t>
        </is>
      </c>
      <c r="O406" s="14" t="inlineStr">
        <is>
          <t>-</t>
        </is>
      </c>
      <c r="P406" s="14" t="inlineStr">
        <is>
          <t>-</t>
        </is>
      </c>
      <c r="Q406" s="15" t="inlineStr">
        <is>
          <t>-</t>
        </is>
      </c>
    </row>
    <row r="407">
      <c r="A407" s="47" t="n"/>
      <c r="B407" s="16" t="inlineStr">
        <is>
          <t>-</t>
        </is>
      </c>
      <c r="C407" s="11" t="inlineStr">
        <is>
          <t>-</t>
        </is>
      </c>
      <c r="D407" s="11" t="inlineStr">
        <is>
          <t>-</t>
        </is>
      </c>
      <c r="E407" s="11" t="inlineStr">
        <is>
          <t>-</t>
        </is>
      </c>
      <c r="F407" s="11" t="inlineStr">
        <is>
          <t>-</t>
        </is>
      </c>
      <c r="G407" s="11" t="inlineStr">
        <is>
          <t>-</t>
        </is>
      </c>
      <c r="H407" s="11" t="inlineStr">
        <is>
          <t>-</t>
        </is>
      </c>
      <c r="I407" s="11" t="inlineStr">
        <is>
          <t>-</t>
        </is>
      </c>
      <c r="J407" s="11" t="inlineStr">
        <is>
          <t>-</t>
        </is>
      </c>
      <c r="K407" s="11" t="inlineStr">
        <is>
          <t>-</t>
        </is>
      </c>
      <c r="L407" s="11" t="inlineStr">
        <is>
          <t>-</t>
        </is>
      </c>
      <c r="M407" s="11" t="inlineStr">
        <is>
          <t>-</t>
        </is>
      </c>
      <c r="N407" s="11" t="inlineStr">
        <is>
          <t>-</t>
        </is>
      </c>
      <c r="O407" s="11" t="inlineStr">
        <is>
          <t>-</t>
        </is>
      </c>
      <c r="P407" s="11" t="inlineStr">
        <is>
          <t>-</t>
        </is>
      </c>
      <c r="Q407" s="12" t="inlineStr">
        <is>
          <t>-</t>
        </is>
      </c>
    </row>
    <row r="408">
      <c r="A408" s="47" t="n"/>
      <c r="B408" s="13" t="inlineStr">
        <is>
          <t>-</t>
        </is>
      </c>
      <c r="C408" s="14" t="inlineStr">
        <is>
          <t>-</t>
        </is>
      </c>
      <c r="D408" s="14" t="inlineStr">
        <is>
          <t>-</t>
        </is>
      </c>
      <c r="E408" s="14" t="inlineStr">
        <is>
          <t>-</t>
        </is>
      </c>
      <c r="F408" s="14" t="inlineStr">
        <is>
          <t>-</t>
        </is>
      </c>
      <c r="G408" s="14" t="inlineStr">
        <is>
          <t>-</t>
        </is>
      </c>
      <c r="H408" s="14" t="inlineStr">
        <is>
          <t>-</t>
        </is>
      </c>
      <c r="I408" s="14" t="inlineStr">
        <is>
          <t>-</t>
        </is>
      </c>
      <c r="J408" s="14" t="inlineStr">
        <is>
          <t>-</t>
        </is>
      </c>
      <c r="K408" s="14" t="inlineStr">
        <is>
          <t>-</t>
        </is>
      </c>
      <c r="L408" s="14" t="inlineStr">
        <is>
          <t>-</t>
        </is>
      </c>
      <c r="M408" s="14" t="inlineStr">
        <is>
          <t>-</t>
        </is>
      </c>
      <c r="N408" s="14" t="inlineStr">
        <is>
          <t>-</t>
        </is>
      </c>
      <c r="O408" s="14" t="inlineStr">
        <is>
          <t>-</t>
        </is>
      </c>
      <c r="P408" s="14" t="inlineStr">
        <is>
          <t>-</t>
        </is>
      </c>
      <c r="Q408" s="15" t="inlineStr">
        <is>
          <t>-</t>
        </is>
      </c>
    </row>
    <row r="409">
      <c r="A409" s="47" t="n"/>
      <c r="B409" s="16" t="inlineStr">
        <is>
          <t>-</t>
        </is>
      </c>
      <c r="C409" s="11" t="inlineStr">
        <is>
          <t>-</t>
        </is>
      </c>
      <c r="D409" s="11" t="inlineStr">
        <is>
          <t>-</t>
        </is>
      </c>
      <c r="E409" s="11" t="inlineStr">
        <is>
          <t>-</t>
        </is>
      </c>
      <c r="F409" s="11" t="inlineStr">
        <is>
          <t>-</t>
        </is>
      </c>
      <c r="G409" s="11" t="inlineStr">
        <is>
          <t>-</t>
        </is>
      </c>
      <c r="H409" s="11" t="inlineStr">
        <is>
          <t>-</t>
        </is>
      </c>
      <c r="I409" s="11" t="inlineStr">
        <is>
          <t>-</t>
        </is>
      </c>
      <c r="J409" s="11" t="inlineStr">
        <is>
          <t>-</t>
        </is>
      </c>
      <c r="K409" s="11" t="inlineStr">
        <is>
          <t>-</t>
        </is>
      </c>
      <c r="L409" s="11" t="inlineStr">
        <is>
          <t>-</t>
        </is>
      </c>
      <c r="M409" s="11" t="inlineStr">
        <is>
          <t>-</t>
        </is>
      </c>
      <c r="N409" s="11" t="inlineStr">
        <is>
          <t>-</t>
        </is>
      </c>
      <c r="O409" s="11" t="inlineStr">
        <is>
          <t>-</t>
        </is>
      </c>
      <c r="P409" s="11" t="inlineStr">
        <is>
          <t>-</t>
        </is>
      </c>
      <c r="Q409" s="12" t="inlineStr">
        <is>
          <t>-</t>
        </is>
      </c>
    </row>
    <row r="410">
      <c r="A410" s="47" t="n"/>
      <c r="B410" s="13" t="inlineStr">
        <is>
          <t>-</t>
        </is>
      </c>
      <c r="C410" s="14" t="inlineStr">
        <is>
          <t>-</t>
        </is>
      </c>
      <c r="D410" s="14" t="inlineStr">
        <is>
          <t>-</t>
        </is>
      </c>
      <c r="E410" s="14" t="inlineStr">
        <is>
          <t>-</t>
        </is>
      </c>
      <c r="F410" s="14" t="inlineStr">
        <is>
          <t>-</t>
        </is>
      </c>
      <c r="G410" s="14" t="inlineStr">
        <is>
          <t>-</t>
        </is>
      </c>
      <c r="H410" s="14" t="inlineStr">
        <is>
          <t>-</t>
        </is>
      </c>
      <c r="I410" s="14" t="inlineStr">
        <is>
          <t>-</t>
        </is>
      </c>
      <c r="J410" s="14" t="inlineStr">
        <is>
          <t>-</t>
        </is>
      </c>
      <c r="K410" s="14" t="inlineStr">
        <is>
          <t>-</t>
        </is>
      </c>
      <c r="L410" s="14" t="inlineStr">
        <is>
          <t>-</t>
        </is>
      </c>
      <c r="M410" s="14" t="inlineStr">
        <is>
          <t>-</t>
        </is>
      </c>
      <c r="N410" s="14" t="inlineStr">
        <is>
          <t>-</t>
        </is>
      </c>
      <c r="O410" s="14" t="inlineStr">
        <is>
          <t>-</t>
        </is>
      </c>
      <c r="P410" s="14" t="inlineStr">
        <is>
          <t>-</t>
        </is>
      </c>
      <c r="Q410" s="15" t="inlineStr">
        <is>
          <t>-</t>
        </is>
      </c>
    </row>
    <row r="411">
      <c r="A411" s="47" t="n"/>
      <c r="B411" s="16" t="inlineStr">
        <is>
          <t>-</t>
        </is>
      </c>
      <c r="C411" s="11" t="inlineStr">
        <is>
          <t>-</t>
        </is>
      </c>
      <c r="D411" s="11" t="inlineStr">
        <is>
          <t>-</t>
        </is>
      </c>
      <c r="E411" s="11" t="inlineStr">
        <is>
          <t>-</t>
        </is>
      </c>
      <c r="F411" s="11" t="inlineStr">
        <is>
          <t>-</t>
        </is>
      </c>
      <c r="G411" s="11" t="inlineStr">
        <is>
          <t>-</t>
        </is>
      </c>
      <c r="H411" s="11" t="inlineStr">
        <is>
          <t>-</t>
        </is>
      </c>
      <c r="I411" s="11" t="inlineStr">
        <is>
          <t>-</t>
        </is>
      </c>
      <c r="J411" s="11" t="inlineStr">
        <is>
          <t>-</t>
        </is>
      </c>
      <c r="K411" s="11" t="inlineStr">
        <is>
          <t>-</t>
        </is>
      </c>
      <c r="L411" s="11" t="inlineStr">
        <is>
          <t>-</t>
        </is>
      </c>
      <c r="M411" s="11" t="inlineStr">
        <is>
          <t>-</t>
        </is>
      </c>
      <c r="N411" s="11" t="inlineStr">
        <is>
          <t>-</t>
        </is>
      </c>
      <c r="O411" s="11" t="inlineStr">
        <is>
          <t>-</t>
        </is>
      </c>
      <c r="P411" s="11" t="inlineStr">
        <is>
          <t>-</t>
        </is>
      </c>
      <c r="Q411" s="12" t="inlineStr">
        <is>
          <t>-</t>
        </is>
      </c>
    </row>
    <row r="412">
      <c r="A412" s="47" t="n"/>
      <c r="B412" s="13" t="inlineStr">
        <is>
          <t>-</t>
        </is>
      </c>
      <c r="C412" s="14" t="inlineStr">
        <is>
          <t>-</t>
        </is>
      </c>
      <c r="D412" s="14" t="inlineStr">
        <is>
          <t>-</t>
        </is>
      </c>
      <c r="E412" s="14" t="inlineStr">
        <is>
          <t>-</t>
        </is>
      </c>
      <c r="F412" s="14" t="inlineStr">
        <is>
          <t>-</t>
        </is>
      </c>
      <c r="G412" s="14" t="inlineStr">
        <is>
          <t>-</t>
        </is>
      </c>
      <c r="H412" s="14" t="inlineStr">
        <is>
          <t>-</t>
        </is>
      </c>
      <c r="I412" s="14" t="inlineStr">
        <is>
          <t>-</t>
        </is>
      </c>
      <c r="J412" s="14" t="inlineStr">
        <is>
          <t>-</t>
        </is>
      </c>
      <c r="K412" s="14" t="inlineStr">
        <is>
          <t>-</t>
        </is>
      </c>
      <c r="L412" s="14" t="inlineStr">
        <is>
          <t>-</t>
        </is>
      </c>
      <c r="M412" s="14" t="inlineStr">
        <is>
          <t>-</t>
        </is>
      </c>
      <c r="N412" s="14" t="inlineStr">
        <is>
          <t>-</t>
        </is>
      </c>
      <c r="O412" s="14" t="inlineStr">
        <is>
          <t>-</t>
        </is>
      </c>
      <c r="P412" s="14" t="inlineStr">
        <is>
          <t>-</t>
        </is>
      </c>
      <c r="Q412" s="15" t="inlineStr">
        <is>
          <t>-</t>
        </is>
      </c>
    </row>
    <row r="413">
      <c r="A413" s="47" t="n"/>
      <c r="B413" s="16" t="inlineStr">
        <is>
          <t>-</t>
        </is>
      </c>
      <c r="C413" s="11" t="inlineStr">
        <is>
          <t>-</t>
        </is>
      </c>
      <c r="D413" s="11" t="inlineStr">
        <is>
          <t>-</t>
        </is>
      </c>
      <c r="E413" s="11" t="inlineStr">
        <is>
          <t>-</t>
        </is>
      </c>
      <c r="F413" s="11" t="inlineStr">
        <is>
          <t>-</t>
        </is>
      </c>
      <c r="G413" s="11" t="inlineStr">
        <is>
          <t>-</t>
        </is>
      </c>
      <c r="H413" s="11" t="inlineStr">
        <is>
          <t>-</t>
        </is>
      </c>
      <c r="I413" s="11" t="inlineStr">
        <is>
          <t>-</t>
        </is>
      </c>
      <c r="J413" s="11" t="inlineStr">
        <is>
          <t>-</t>
        </is>
      </c>
      <c r="K413" s="11" t="inlineStr">
        <is>
          <t>-</t>
        </is>
      </c>
      <c r="L413" s="11" t="inlineStr">
        <is>
          <t>-</t>
        </is>
      </c>
      <c r="M413" s="11" t="inlineStr">
        <is>
          <t>-</t>
        </is>
      </c>
      <c r="N413" s="11" t="inlineStr">
        <is>
          <t>-</t>
        </is>
      </c>
      <c r="O413" s="11" t="inlineStr">
        <is>
          <t>-</t>
        </is>
      </c>
      <c r="P413" s="11" t="inlineStr">
        <is>
          <t>-</t>
        </is>
      </c>
      <c r="Q413" s="12" t="inlineStr">
        <is>
          <t>-</t>
        </is>
      </c>
    </row>
    <row r="414">
      <c r="A414" s="47" t="n"/>
      <c r="B414" s="13" t="inlineStr">
        <is>
          <t>-</t>
        </is>
      </c>
      <c r="C414" s="14" t="inlineStr">
        <is>
          <t>-</t>
        </is>
      </c>
      <c r="D414" s="14" t="inlineStr">
        <is>
          <t>-</t>
        </is>
      </c>
      <c r="E414" s="14" t="inlineStr">
        <is>
          <t>-</t>
        </is>
      </c>
      <c r="F414" s="14" t="inlineStr">
        <is>
          <t>-</t>
        </is>
      </c>
      <c r="G414" s="14" t="inlineStr">
        <is>
          <t>-</t>
        </is>
      </c>
      <c r="H414" s="14" t="inlineStr">
        <is>
          <t>-</t>
        </is>
      </c>
      <c r="I414" s="14" t="inlineStr">
        <is>
          <t>-</t>
        </is>
      </c>
      <c r="J414" s="14" t="inlineStr">
        <is>
          <t>-</t>
        </is>
      </c>
      <c r="K414" s="14" t="inlineStr">
        <is>
          <t>-</t>
        </is>
      </c>
      <c r="L414" s="14" t="inlineStr">
        <is>
          <t>-</t>
        </is>
      </c>
      <c r="M414" s="14" t="inlineStr">
        <is>
          <t>-</t>
        </is>
      </c>
      <c r="N414" s="14" t="inlineStr">
        <is>
          <t>-</t>
        </is>
      </c>
      <c r="O414" s="14" t="inlineStr">
        <is>
          <t>-</t>
        </is>
      </c>
      <c r="P414" s="14" t="inlineStr">
        <is>
          <t>-</t>
        </is>
      </c>
      <c r="Q414" s="15" t="inlineStr">
        <is>
          <t>-</t>
        </is>
      </c>
    </row>
    <row r="415">
      <c r="A415" s="47" t="n"/>
      <c r="B415" s="16" t="inlineStr">
        <is>
          <t>-</t>
        </is>
      </c>
      <c r="C415" s="11" t="inlineStr">
        <is>
          <t>-</t>
        </is>
      </c>
      <c r="D415" s="11" t="inlineStr">
        <is>
          <t>-</t>
        </is>
      </c>
      <c r="E415" s="11" t="inlineStr">
        <is>
          <t>-</t>
        </is>
      </c>
      <c r="F415" s="11" t="inlineStr">
        <is>
          <t>-</t>
        </is>
      </c>
      <c r="G415" s="11" t="inlineStr">
        <is>
          <t>-</t>
        </is>
      </c>
      <c r="H415" s="11" t="inlineStr">
        <is>
          <t>-</t>
        </is>
      </c>
      <c r="I415" s="11" t="inlineStr">
        <is>
          <t>-</t>
        </is>
      </c>
      <c r="J415" s="11" t="inlineStr">
        <is>
          <t>-</t>
        </is>
      </c>
      <c r="K415" s="11" t="inlineStr">
        <is>
          <t>-</t>
        </is>
      </c>
      <c r="L415" s="11" t="inlineStr">
        <is>
          <t>-</t>
        </is>
      </c>
      <c r="M415" s="11" t="inlineStr">
        <is>
          <t>-</t>
        </is>
      </c>
      <c r="N415" s="11" t="inlineStr">
        <is>
          <t>-</t>
        </is>
      </c>
      <c r="O415" s="11" t="inlineStr">
        <is>
          <t>-</t>
        </is>
      </c>
      <c r="P415" s="11" t="inlineStr">
        <is>
          <t>-</t>
        </is>
      </c>
      <c r="Q415" s="12" t="inlineStr">
        <is>
          <t>-</t>
        </is>
      </c>
    </row>
    <row r="416">
      <c r="A416" s="47" t="n"/>
      <c r="B416" s="13" t="inlineStr">
        <is>
          <t>-</t>
        </is>
      </c>
      <c r="C416" s="14" t="inlineStr">
        <is>
          <t>-</t>
        </is>
      </c>
      <c r="D416" s="14" t="inlineStr">
        <is>
          <t>-</t>
        </is>
      </c>
      <c r="E416" s="14" t="inlineStr">
        <is>
          <t>-</t>
        </is>
      </c>
      <c r="F416" s="14" t="inlineStr">
        <is>
          <t>-</t>
        </is>
      </c>
      <c r="G416" s="14" t="inlineStr">
        <is>
          <t>-</t>
        </is>
      </c>
      <c r="H416" s="14" t="inlineStr">
        <is>
          <t>-</t>
        </is>
      </c>
      <c r="I416" s="14" t="inlineStr">
        <is>
          <t>-</t>
        </is>
      </c>
      <c r="J416" s="14" t="inlineStr">
        <is>
          <t>-</t>
        </is>
      </c>
      <c r="K416" s="14" t="inlineStr">
        <is>
          <t>-</t>
        </is>
      </c>
      <c r="L416" s="14" t="inlineStr">
        <is>
          <t>-</t>
        </is>
      </c>
      <c r="M416" s="14" t="inlineStr">
        <is>
          <t>-</t>
        </is>
      </c>
      <c r="N416" s="14" t="inlineStr">
        <is>
          <t>-</t>
        </is>
      </c>
      <c r="O416" s="14" t="inlineStr">
        <is>
          <t>-</t>
        </is>
      </c>
      <c r="P416" s="14" t="inlineStr">
        <is>
          <t>-</t>
        </is>
      </c>
      <c r="Q416" s="15" t="inlineStr">
        <is>
          <t>-</t>
        </is>
      </c>
    </row>
    <row r="417">
      <c r="A417" s="47" t="n"/>
      <c r="B417" s="16" t="inlineStr">
        <is>
          <t>-</t>
        </is>
      </c>
      <c r="C417" s="11" t="inlineStr">
        <is>
          <t>-</t>
        </is>
      </c>
      <c r="D417" s="11" t="inlineStr">
        <is>
          <t>-</t>
        </is>
      </c>
      <c r="E417" s="11" t="inlineStr">
        <is>
          <t>-</t>
        </is>
      </c>
      <c r="F417" s="11" t="inlineStr">
        <is>
          <t>-</t>
        </is>
      </c>
      <c r="G417" s="11" t="inlineStr">
        <is>
          <t>-</t>
        </is>
      </c>
      <c r="H417" s="11" t="inlineStr">
        <is>
          <t>-</t>
        </is>
      </c>
      <c r="I417" s="11" t="inlineStr">
        <is>
          <t>-</t>
        </is>
      </c>
      <c r="J417" s="11" t="inlineStr">
        <is>
          <t>-</t>
        </is>
      </c>
      <c r="K417" s="11" t="inlineStr">
        <is>
          <t>-</t>
        </is>
      </c>
      <c r="L417" s="11" t="inlineStr">
        <is>
          <t>-</t>
        </is>
      </c>
      <c r="M417" s="11" t="inlineStr">
        <is>
          <t>-</t>
        </is>
      </c>
      <c r="N417" s="11" t="inlineStr">
        <is>
          <t>-</t>
        </is>
      </c>
      <c r="O417" s="11" t="inlineStr">
        <is>
          <t>-</t>
        </is>
      </c>
      <c r="P417" s="11" t="inlineStr">
        <is>
          <t>-</t>
        </is>
      </c>
      <c r="Q417" s="12" t="inlineStr">
        <is>
          <t>-</t>
        </is>
      </c>
    </row>
    <row r="418" ht="36" customHeight="1" s="155">
      <c r="B418" s="9" t="inlineStr">
        <is>
          <t>zucca al forno</t>
        </is>
      </c>
      <c r="C418" s="49">
        <f>_xlfn.XLOOKUP(A419,Magazzino!$D$1:$D$1500,Magazzino!$F$1:$F$1500,"",0,1)</f>
        <v/>
      </c>
      <c r="D418" s="50">
        <f>_xlfn.XLOOKUP(A420,Magazzino!$D$1:$D$1500,Magazzino!$F$1:$F$1500,"",0,1)</f>
        <v/>
      </c>
      <c r="E418" s="50">
        <f>_xlfn.XLOOKUP(A421,Magazzino!$D$1:$D$1500,Magazzino!$F$1:$F$1500,"",0,1)</f>
        <v/>
      </c>
      <c r="F418" s="50">
        <f>_xlfn.XLOOKUP(A422,Magazzino!$D$1:$D$1500,Magazzino!$F$1:$F$1500,"",0,1)</f>
        <v/>
      </c>
      <c r="G418" s="50">
        <f>_xlfn.XLOOKUP(A423,Magazzino!$D$1:$D$1500,Magazzino!$F$1:$F$1500,"",0,1)</f>
        <v/>
      </c>
      <c r="H418" s="50">
        <f>_xlfn.XLOOKUP(A424,Magazzino!$D$1:$D$1500,Magazzino!$F$1:$F$1500,"",0,1)</f>
        <v/>
      </c>
      <c r="I418" s="50">
        <f>_xlfn.XLOOKUP(A425,Magazzino!$D$1:$D$1500,Magazzino!$F$1:$F$1500,"",0,1)</f>
        <v/>
      </c>
      <c r="J418" s="50">
        <f>_xlfn.XLOOKUP(A426,Magazzino!$D$1:$D$1500,Magazzino!$F$1:$F$1500,"",0,1)</f>
        <v/>
      </c>
      <c r="K418" s="50">
        <f>_xlfn.XLOOKUP(A427,Magazzino!$D$1:$D$1500,Magazzino!$F$1:$F$1500,"",0,1)</f>
        <v/>
      </c>
      <c r="L418" s="50">
        <f>_xlfn.XLOOKUP(A428,Magazzino!$D$1:$D$1500,Magazzino!$F$1:$F$1500,"",0,1)</f>
        <v/>
      </c>
      <c r="M418" s="50">
        <f>_xlfn.XLOOKUP(A429,Magazzino!$D$1:$D$1500,Magazzino!$F$1:$F$1500,"",0,1)</f>
        <v/>
      </c>
      <c r="N418" s="50">
        <f>_xlfn.XLOOKUP(A430,Magazzino!$D$1:$D$1500,Magazzino!$F$1:$F$1500,"",0,1)</f>
        <v/>
      </c>
      <c r="O418" s="50">
        <f>_xlfn.XLOOKUP(A431,Magazzino!$D$1:$D$1500,Magazzino!$F$1:$F$1500,"",0,1)</f>
        <v/>
      </c>
      <c r="P418" s="50">
        <f>_xlfn.XLOOKUP(A432,Magazzino!$D$1:$D$1500,Magazzino!$F$1:$F$1500,"",0,1)</f>
        <v/>
      </c>
      <c r="Q418" s="51">
        <f>_xlfn.XLOOKUP(A433,Magazzino!$D$1:$D$1500,Magazzino!$F$1:$F$1500,"",0,1)</f>
        <v/>
      </c>
    </row>
    <row r="419">
      <c r="A419" s="47" t="inlineStr">
        <is>
          <t>Zucchine L.0950-04/21-000040IT</t>
        </is>
      </c>
      <c r="B419" s="10" t="inlineStr">
        <is>
          <t>-</t>
        </is>
      </c>
      <c r="C419" s="11" t="inlineStr">
        <is>
          <t>-</t>
        </is>
      </c>
      <c r="D419" s="11" t="inlineStr">
        <is>
          <t>-</t>
        </is>
      </c>
      <c r="E419" s="11" t="inlineStr">
        <is>
          <t>-</t>
        </is>
      </c>
      <c r="F419" s="11" t="inlineStr">
        <is>
          <t>-</t>
        </is>
      </c>
      <c r="G419" s="11" t="inlineStr">
        <is>
          <t>-</t>
        </is>
      </c>
      <c r="H419" s="11" t="inlineStr">
        <is>
          <t>-</t>
        </is>
      </c>
      <c r="I419" s="11" t="inlineStr">
        <is>
          <t>-</t>
        </is>
      </c>
      <c r="J419" s="11" t="inlineStr">
        <is>
          <t>-</t>
        </is>
      </c>
      <c r="K419" s="11" t="inlineStr">
        <is>
          <t>-</t>
        </is>
      </c>
      <c r="L419" s="11" t="inlineStr">
        <is>
          <t>-</t>
        </is>
      </c>
      <c r="M419" s="11" t="inlineStr">
        <is>
          <t>-</t>
        </is>
      </c>
      <c r="N419" s="11" t="inlineStr">
        <is>
          <t>-</t>
        </is>
      </c>
      <c r="O419" s="11" t="inlineStr">
        <is>
          <t>-</t>
        </is>
      </c>
      <c r="P419" s="11" t="inlineStr">
        <is>
          <t>-</t>
        </is>
      </c>
      <c r="Q419" s="12" t="inlineStr">
        <is>
          <t>-</t>
        </is>
      </c>
    </row>
    <row r="420">
      <c r="A420" s="47" t="inlineStr">
        <is>
          <t>olio extravergine oliva</t>
        </is>
      </c>
      <c r="B420" s="13" t="inlineStr">
        <is>
          <t>-</t>
        </is>
      </c>
      <c r="C420" s="14" t="inlineStr">
        <is>
          <t>-</t>
        </is>
      </c>
      <c r="D420" s="14" t="inlineStr">
        <is>
          <t>-</t>
        </is>
      </c>
      <c r="E420" s="14" t="inlineStr">
        <is>
          <t>-</t>
        </is>
      </c>
      <c r="F420" s="14" t="inlineStr">
        <is>
          <t>-</t>
        </is>
      </c>
      <c r="G420" s="14" t="inlineStr">
        <is>
          <t>-</t>
        </is>
      </c>
      <c r="H420" s="14" t="inlineStr">
        <is>
          <t>-</t>
        </is>
      </c>
      <c r="I420" s="14" t="inlineStr">
        <is>
          <t>-</t>
        </is>
      </c>
      <c r="J420" s="14" t="inlineStr">
        <is>
          <t>-</t>
        </is>
      </c>
      <c r="K420" s="14" t="inlineStr">
        <is>
          <t>-</t>
        </is>
      </c>
      <c r="L420" s="14" t="inlineStr">
        <is>
          <t>-</t>
        </is>
      </c>
      <c r="M420" s="14" t="inlineStr">
        <is>
          <t>-</t>
        </is>
      </c>
      <c r="N420" s="14" t="inlineStr">
        <is>
          <t>-</t>
        </is>
      </c>
      <c r="O420" s="14" t="inlineStr">
        <is>
          <t>-</t>
        </is>
      </c>
      <c r="P420" s="14" t="inlineStr">
        <is>
          <t>-</t>
        </is>
      </c>
      <c r="Q420" s="15" t="inlineStr">
        <is>
          <t>-</t>
        </is>
      </c>
    </row>
    <row r="421">
      <c r="A421" s="48" t="inlineStr">
        <is>
          <t xml:space="preserve">SALE SACCHI SALTECHNO KG.25  </t>
        </is>
      </c>
      <c r="B421" s="16" t="inlineStr">
        <is>
          <t>-</t>
        </is>
      </c>
      <c r="C421" s="11" t="inlineStr">
        <is>
          <t>-</t>
        </is>
      </c>
      <c r="D421" s="11" t="inlineStr">
        <is>
          <t>-</t>
        </is>
      </c>
      <c r="E421" s="11" t="inlineStr">
        <is>
          <t>-</t>
        </is>
      </c>
      <c r="F421" s="11" t="inlineStr">
        <is>
          <t>-</t>
        </is>
      </c>
      <c r="G421" s="11" t="inlineStr">
        <is>
          <t>-</t>
        </is>
      </c>
      <c r="H421" s="11" t="inlineStr">
        <is>
          <t>-</t>
        </is>
      </c>
      <c r="I421" s="11" t="inlineStr">
        <is>
          <t>-</t>
        </is>
      </c>
      <c r="J421" s="11" t="inlineStr">
        <is>
          <t>-</t>
        </is>
      </c>
      <c r="K421" s="11" t="inlineStr">
        <is>
          <t>-</t>
        </is>
      </c>
      <c r="L421" s="11" t="inlineStr">
        <is>
          <t>-</t>
        </is>
      </c>
      <c r="M421" s="11" t="inlineStr">
        <is>
          <t>-</t>
        </is>
      </c>
      <c r="N421" s="11" t="inlineStr">
        <is>
          <t>-</t>
        </is>
      </c>
      <c r="O421" s="11" t="inlineStr">
        <is>
          <t>-</t>
        </is>
      </c>
      <c r="P421" s="11" t="inlineStr">
        <is>
          <t>-</t>
        </is>
      </c>
      <c r="Q421" s="12" t="inlineStr">
        <is>
          <t>-</t>
        </is>
      </c>
    </row>
    <row r="422">
      <c r="A422" s="47" t="inlineStr">
        <is>
          <t>basilico / rosmarino /prezzemolo</t>
        </is>
      </c>
      <c r="B422" s="13" t="inlineStr">
        <is>
          <t>-</t>
        </is>
      </c>
      <c r="C422" s="14" t="inlineStr">
        <is>
          <t>-</t>
        </is>
      </c>
      <c r="D422" s="14" t="inlineStr">
        <is>
          <t>-</t>
        </is>
      </c>
      <c r="E422" s="14" t="inlineStr">
        <is>
          <t>-</t>
        </is>
      </c>
      <c r="F422" s="14" t="inlineStr">
        <is>
          <t>-</t>
        </is>
      </c>
      <c r="G422" s="14" t="inlineStr">
        <is>
          <t>-</t>
        </is>
      </c>
      <c r="H422" s="14" t="inlineStr">
        <is>
          <t>-</t>
        </is>
      </c>
      <c r="I422" s="14" t="inlineStr">
        <is>
          <t>-</t>
        </is>
      </c>
      <c r="J422" s="14" t="inlineStr">
        <is>
          <t>-</t>
        </is>
      </c>
      <c r="K422" s="14" t="inlineStr">
        <is>
          <t>-</t>
        </is>
      </c>
      <c r="L422" s="14" t="inlineStr">
        <is>
          <t>-</t>
        </is>
      </c>
      <c r="M422" s="14" t="inlineStr">
        <is>
          <t>-</t>
        </is>
      </c>
      <c r="N422" s="14" t="inlineStr">
        <is>
          <t>-</t>
        </is>
      </c>
      <c r="O422" s="14" t="inlineStr">
        <is>
          <t>-</t>
        </is>
      </c>
      <c r="P422" s="14" t="inlineStr">
        <is>
          <t>-</t>
        </is>
      </c>
      <c r="Q422" s="15" t="inlineStr">
        <is>
          <t>-</t>
        </is>
      </c>
    </row>
    <row r="423">
      <c r="A423" s="47" t="n"/>
      <c r="B423" s="16" t="inlineStr">
        <is>
          <t>-</t>
        </is>
      </c>
      <c r="C423" s="11" t="inlineStr">
        <is>
          <t>-</t>
        </is>
      </c>
      <c r="D423" s="11" t="inlineStr">
        <is>
          <t>-</t>
        </is>
      </c>
      <c r="E423" s="11" t="inlineStr">
        <is>
          <t>-</t>
        </is>
      </c>
      <c r="F423" s="11" t="inlineStr">
        <is>
          <t>-</t>
        </is>
      </c>
      <c r="G423" s="11" t="inlineStr">
        <is>
          <t>-</t>
        </is>
      </c>
      <c r="H423" s="11" t="inlineStr">
        <is>
          <t>-</t>
        </is>
      </c>
      <c r="I423" s="11" t="inlineStr">
        <is>
          <t>-</t>
        </is>
      </c>
      <c r="J423" s="11" t="inlineStr">
        <is>
          <t>-</t>
        </is>
      </c>
      <c r="K423" s="11" t="inlineStr">
        <is>
          <t>-</t>
        </is>
      </c>
      <c r="L423" s="11" t="inlineStr">
        <is>
          <t>-</t>
        </is>
      </c>
      <c r="M423" s="11" t="inlineStr">
        <is>
          <t>-</t>
        </is>
      </c>
      <c r="N423" s="11" t="inlineStr">
        <is>
          <t>-</t>
        </is>
      </c>
      <c r="O423" s="11" t="inlineStr">
        <is>
          <t>-</t>
        </is>
      </c>
      <c r="P423" s="11" t="inlineStr">
        <is>
          <t>-</t>
        </is>
      </c>
      <c r="Q423" s="12" t="inlineStr">
        <is>
          <t>-</t>
        </is>
      </c>
    </row>
    <row r="424">
      <c r="A424" s="47" t="n"/>
      <c r="B424" s="13" t="inlineStr">
        <is>
          <t>-</t>
        </is>
      </c>
      <c r="C424" s="14" t="inlineStr">
        <is>
          <t>-</t>
        </is>
      </c>
      <c r="D424" s="14" t="inlineStr">
        <is>
          <t>-</t>
        </is>
      </c>
      <c r="E424" s="14" t="inlineStr">
        <is>
          <t>-</t>
        </is>
      </c>
      <c r="F424" s="14" t="inlineStr">
        <is>
          <t>-</t>
        </is>
      </c>
      <c r="G424" s="14" t="inlineStr">
        <is>
          <t>-</t>
        </is>
      </c>
      <c r="H424" s="14" t="inlineStr">
        <is>
          <t>-</t>
        </is>
      </c>
      <c r="I424" s="14" t="inlineStr">
        <is>
          <t>-</t>
        </is>
      </c>
      <c r="J424" s="14" t="inlineStr">
        <is>
          <t>-</t>
        </is>
      </c>
      <c r="K424" s="14" t="inlineStr">
        <is>
          <t>-</t>
        </is>
      </c>
      <c r="L424" s="14" t="inlineStr">
        <is>
          <t>-</t>
        </is>
      </c>
      <c r="M424" s="14" t="inlineStr">
        <is>
          <t>-</t>
        </is>
      </c>
      <c r="N424" s="14" t="inlineStr">
        <is>
          <t>-</t>
        </is>
      </c>
      <c r="O424" s="14" t="inlineStr">
        <is>
          <t>-</t>
        </is>
      </c>
      <c r="P424" s="14" t="inlineStr">
        <is>
          <t>-</t>
        </is>
      </c>
      <c r="Q424" s="15" t="inlineStr">
        <is>
          <t>-</t>
        </is>
      </c>
    </row>
    <row r="425">
      <c r="A425" s="47" t="n"/>
      <c r="B425" s="16" t="inlineStr">
        <is>
          <t>-</t>
        </is>
      </c>
      <c r="C425" s="11" t="inlineStr">
        <is>
          <t>-</t>
        </is>
      </c>
      <c r="D425" s="11" t="inlineStr">
        <is>
          <t>-</t>
        </is>
      </c>
      <c r="E425" s="11" t="inlineStr">
        <is>
          <t>-</t>
        </is>
      </c>
      <c r="F425" s="11" t="inlineStr">
        <is>
          <t>-</t>
        </is>
      </c>
      <c r="G425" s="11" t="inlineStr">
        <is>
          <t>-</t>
        </is>
      </c>
      <c r="H425" s="11" t="inlineStr">
        <is>
          <t>-</t>
        </is>
      </c>
      <c r="I425" s="11" t="inlineStr">
        <is>
          <t>-</t>
        </is>
      </c>
      <c r="J425" s="11" t="inlineStr">
        <is>
          <t>-</t>
        </is>
      </c>
      <c r="K425" s="11" t="inlineStr">
        <is>
          <t>-</t>
        </is>
      </c>
      <c r="L425" s="11" t="inlineStr">
        <is>
          <t>-</t>
        </is>
      </c>
      <c r="M425" s="11" t="inlineStr">
        <is>
          <t>-</t>
        </is>
      </c>
      <c r="N425" s="11" t="inlineStr">
        <is>
          <t>-</t>
        </is>
      </c>
      <c r="O425" s="11" t="inlineStr">
        <is>
          <t>-</t>
        </is>
      </c>
      <c r="P425" s="11" t="inlineStr">
        <is>
          <t>-</t>
        </is>
      </c>
      <c r="Q425" s="12" t="inlineStr">
        <is>
          <t>-</t>
        </is>
      </c>
    </row>
    <row r="426">
      <c r="A426" s="47" t="n"/>
      <c r="B426" s="13" t="inlineStr">
        <is>
          <t>-</t>
        </is>
      </c>
      <c r="C426" s="14" t="inlineStr">
        <is>
          <t>-</t>
        </is>
      </c>
      <c r="D426" s="14" t="inlineStr">
        <is>
          <t>-</t>
        </is>
      </c>
      <c r="E426" s="14" t="inlineStr">
        <is>
          <t>-</t>
        </is>
      </c>
      <c r="F426" s="14" t="inlineStr">
        <is>
          <t>-</t>
        </is>
      </c>
      <c r="G426" s="14" t="inlineStr">
        <is>
          <t>-</t>
        </is>
      </c>
      <c r="H426" s="14" t="inlineStr">
        <is>
          <t>-</t>
        </is>
      </c>
      <c r="I426" s="14" t="inlineStr">
        <is>
          <t>-</t>
        </is>
      </c>
      <c r="J426" s="14" t="inlineStr">
        <is>
          <t>-</t>
        </is>
      </c>
      <c r="K426" s="14" t="inlineStr">
        <is>
          <t>-</t>
        </is>
      </c>
      <c r="L426" s="14" t="inlineStr">
        <is>
          <t>-</t>
        </is>
      </c>
      <c r="M426" s="14" t="inlineStr">
        <is>
          <t>-</t>
        </is>
      </c>
      <c r="N426" s="14" t="inlineStr">
        <is>
          <t>-</t>
        </is>
      </c>
      <c r="O426" s="14" t="inlineStr">
        <is>
          <t>-</t>
        </is>
      </c>
      <c r="P426" s="14" t="inlineStr">
        <is>
          <t>-</t>
        </is>
      </c>
      <c r="Q426" s="15" t="inlineStr">
        <is>
          <t>-</t>
        </is>
      </c>
    </row>
    <row r="427">
      <c r="A427" s="47" t="n"/>
      <c r="B427" s="16" t="inlineStr">
        <is>
          <t>-</t>
        </is>
      </c>
      <c r="C427" s="11" t="inlineStr">
        <is>
          <t>-</t>
        </is>
      </c>
      <c r="D427" s="11" t="inlineStr">
        <is>
          <t>-</t>
        </is>
      </c>
      <c r="E427" s="11" t="inlineStr">
        <is>
          <t>-</t>
        </is>
      </c>
      <c r="F427" s="11" t="inlineStr">
        <is>
          <t>-</t>
        </is>
      </c>
      <c r="G427" s="11" t="inlineStr">
        <is>
          <t>-</t>
        </is>
      </c>
      <c r="H427" s="11" t="inlineStr">
        <is>
          <t>-</t>
        </is>
      </c>
      <c r="I427" s="11" t="inlineStr">
        <is>
          <t>-</t>
        </is>
      </c>
      <c r="J427" s="11" t="inlineStr">
        <is>
          <t>-</t>
        </is>
      </c>
      <c r="K427" s="11" t="inlineStr">
        <is>
          <t>-</t>
        </is>
      </c>
      <c r="L427" s="11" t="inlineStr">
        <is>
          <t>-</t>
        </is>
      </c>
      <c r="M427" s="11" t="inlineStr">
        <is>
          <t>-</t>
        </is>
      </c>
      <c r="N427" s="11" t="inlineStr">
        <is>
          <t>-</t>
        </is>
      </c>
      <c r="O427" s="11" t="inlineStr">
        <is>
          <t>-</t>
        </is>
      </c>
      <c r="P427" s="11" t="inlineStr">
        <is>
          <t>-</t>
        </is>
      </c>
      <c r="Q427" s="12" t="inlineStr">
        <is>
          <t>-</t>
        </is>
      </c>
    </row>
    <row r="428">
      <c r="A428" s="47" t="n"/>
      <c r="B428" s="13" t="inlineStr">
        <is>
          <t>-</t>
        </is>
      </c>
      <c r="C428" s="14" t="inlineStr">
        <is>
          <t>-</t>
        </is>
      </c>
      <c r="D428" s="14" t="inlineStr">
        <is>
          <t>-</t>
        </is>
      </c>
      <c r="E428" s="14" t="inlineStr">
        <is>
          <t>-</t>
        </is>
      </c>
      <c r="F428" s="14" t="inlineStr">
        <is>
          <t>-</t>
        </is>
      </c>
      <c r="G428" s="14" t="inlineStr">
        <is>
          <t>-</t>
        </is>
      </c>
      <c r="H428" s="14" t="inlineStr">
        <is>
          <t>-</t>
        </is>
      </c>
      <c r="I428" s="14" t="inlineStr">
        <is>
          <t>-</t>
        </is>
      </c>
      <c r="J428" s="14" t="inlineStr">
        <is>
          <t>-</t>
        </is>
      </c>
      <c r="K428" s="14" t="inlineStr">
        <is>
          <t>-</t>
        </is>
      </c>
      <c r="L428" s="14" t="inlineStr">
        <is>
          <t>-</t>
        </is>
      </c>
      <c r="M428" s="14" t="inlineStr">
        <is>
          <t>-</t>
        </is>
      </c>
      <c r="N428" s="14" t="inlineStr">
        <is>
          <t>-</t>
        </is>
      </c>
      <c r="O428" s="14" t="inlineStr">
        <is>
          <t>-</t>
        </is>
      </c>
      <c r="P428" s="14" t="inlineStr">
        <is>
          <t>-</t>
        </is>
      </c>
      <c r="Q428" s="15" t="inlineStr">
        <is>
          <t>-</t>
        </is>
      </c>
    </row>
    <row r="429">
      <c r="A429" s="47" t="n"/>
      <c r="B429" s="16" t="inlineStr">
        <is>
          <t>-</t>
        </is>
      </c>
      <c r="C429" s="11" t="inlineStr">
        <is>
          <t>-</t>
        </is>
      </c>
      <c r="D429" s="11" t="inlineStr">
        <is>
          <t>-</t>
        </is>
      </c>
      <c r="E429" s="11" t="inlineStr">
        <is>
          <t>-</t>
        </is>
      </c>
      <c r="F429" s="11" t="inlineStr">
        <is>
          <t>-</t>
        </is>
      </c>
      <c r="G429" s="11" t="inlineStr">
        <is>
          <t>-</t>
        </is>
      </c>
      <c r="H429" s="11" t="inlineStr">
        <is>
          <t>-</t>
        </is>
      </c>
      <c r="I429" s="11" t="inlineStr">
        <is>
          <t>-</t>
        </is>
      </c>
      <c r="J429" s="11" t="inlineStr">
        <is>
          <t>-</t>
        </is>
      </c>
      <c r="K429" s="11" t="inlineStr">
        <is>
          <t>-</t>
        </is>
      </c>
      <c r="L429" s="11" t="inlineStr">
        <is>
          <t>-</t>
        </is>
      </c>
      <c r="M429" s="11" t="inlineStr">
        <is>
          <t>-</t>
        </is>
      </c>
      <c r="N429" s="11" t="inlineStr">
        <is>
          <t>-</t>
        </is>
      </c>
      <c r="O429" s="11" t="inlineStr">
        <is>
          <t>-</t>
        </is>
      </c>
      <c r="P429" s="11" t="inlineStr">
        <is>
          <t>-</t>
        </is>
      </c>
      <c r="Q429" s="12" t="inlineStr">
        <is>
          <t>-</t>
        </is>
      </c>
    </row>
    <row r="430">
      <c r="A430" s="47" t="n"/>
      <c r="B430" s="13" t="inlineStr">
        <is>
          <t>-</t>
        </is>
      </c>
      <c r="C430" s="14" t="inlineStr">
        <is>
          <t>-</t>
        </is>
      </c>
      <c r="D430" s="14" t="inlineStr">
        <is>
          <t>-</t>
        </is>
      </c>
      <c r="E430" s="14" t="inlineStr">
        <is>
          <t>-</t>
        </is>
      </c>
      <c r="F430" s="14" t="inlineStr">
        <is>
          <t>-</t>
        </is>
      </c>
      <c r="G430" s="14" t="inlineStr">
        <is>
          <t>-</t>
        </is>
      </c>
      <c r="H430" s="14" t="inlineStr">
        <is>
          <t>-</t>
        </is>
      </c>
      <c r="I430" s="14" t="inlineStr">
        <is>
          <t>-</t>
        </is>
      </c>
      <c r="J430" s="14" t="inlineStr">
        <is>
          <t>-</t>
        </is>
      </c>
      <c r="K430" s="14" t="inlineStr">
        <is>
          <t>-</t>
        </is>
      </c>
      <c r="L430" s="14" t="inlineStr">
        <is>
          <t>-</t>
        </is>
      </c>
      <c r="M430" s="14" t="inlineStr">
        <is>
          <t>-</t>
        </is>
      </c>
      <c r="N430" s="14" t="inlineStr">
        <is>
          <t>-</t>
        </is>
      </c>
      <c r="O430" s="14" t="inlineStr">
        <is>
          <t>-</t>
        </is>
      </c>
      <c r="P430" s="14" t="inlineStr">
        <is>
          <t>-</t>
        </is>
      </c>
      <c r="Q430" s="15" t="inlineStr">
        <is>
          <t>-</t>
        </is>
      </c>
    </row>
    <row r="431">
      <c r="A431" s="47" t="n"/>
      <c r="B431" s="16" t="inlineStr">
        <is>
          <t>-</t>
        </is>
      </c>
      <c r="C431" s="11" t="inlineStr">
        <is>
          <t>-</t>
        </is>
      </c>
      <c r="D431" s="11" t="inlineStr">
        <is>
          <t>-</t>
        </is>
      </c>
      <c r="E431" s="11" t="inlineStr">
        <is>
          <t>-</t>
        </is>
      </c>
      <c r="F431" s="11" t="inlineStr">
        <is>
          <t>-</t>
        </is>
      </c>
      <c r="G431" s="11" t="inlineStr">
        <is>
          <t>-</t>
        </is>
      </c>
      <c r="H431" s="11" t="inlineStr">
        <is>
          <t>-</t>
        </is>
      </c>
      <c r="I431" s="11" t="inlineStr">
        <is>
          <t>-</t>
        </is>
      </c>
      <c r="J431" s="11" t="inlineStr">
        <is>
          <t>-</t>
        </is>
      </c>
      <c r="K431" s="11" t="inlineStr">
        <is>
          <t>-</t>
        </is>
      </c>
      <c r="L431" s="11" t="inlineStr">
        <is>
          <t>-</t>
        </is>
      </c>
      <c r="M431" s="11" t="inlineStr">
        <is>
          <t>-</t>
        </is>
      </c>
      <c r="N431" s="11" t="inlineStr">
        <is>
          <t>-</t>
        </is>
      </c>
      <c r="O431" s="11" t="inlineStr">
        <is>
          <t>-</t>
        </is>
      </c>
      <c r="P431" s="11" t="inlineStr">
        <is>
          <t>-</t>
        </is>
      </c>
      <c r="Q431" s="12" t="inlineStr">
        <is>
          <t>-</t>
        </is>
      </c>
    </row>
    <row r="432">
      <c r="A432" s="47" t="n"/>
      <c r="B432" s="13" t="inlineStr">
        <is>
          <t>-</t>
        </is>
      </c>
      <c r="C432" s="14" t="inlineStr">
        <is>
          <t>-</t>
        </is>
      </c>
      <c r="D432" s="14" t="inlineStr">
        <is>
          <t>-</t>
        </is>
      </c>
      <c r="E432" s="14" t="inlineStr">
        <is>
          <t>-</t>
        </is>
      </c>
      <c r="F432" s="14" t="inlineStr">
        <is>
          <t>-</t>
        </is>
      </c>
      <c r="G432" s="14" t="inlineStr">
        <is>
          <t>-</t>
        </is>
      </c>
      <c r="H432" s="14" t="inlineStr">
        <is>
          <t>-</t>
        </is>
      </c>
      <c r="I432" s="14" t="inlineStr">
        <is>
          <t>-</t>
        </is>
      </c>
      <c r="J432" s="14" t="inlineStr">
        <is>
          <t>-</t>
        </is>
      </c>
      <c r="K432" s="14" t="inlineStr">
        <is>
          <t>-</t>
        </is>
      </c>
      <c r="L432" s="14" t="inlineStr">
        <is>
          <t>-</t>
        </is>
      </c>
      <c r="M432" s="14" t="inlineStr">
        <is>
          <t>-</t>
        </is>
      </c>
      <c r="N432" s="14" t="inlineStr">
        <is>
          <t>-</t>
        </is>
      </c>
      <c r="O432" s="14" t="inlineStr">
        <is>
          <t>-</t>
        </is>
      </c>
      <c r="P432" s="14" t="inlineStr">
        <is>
          <t>-</t>
        </is>
      </c>
      <c r="Q432" s="15" t="inlineStr">
        <is>
          <t>-</t>
        </is>
      </c>
    </row>
    <row r="433">
      <c r="A433" s="47" t="n"/>
      <c r="B433" s="16" t="inlineStr">
        <is>
          <t>-</t>
        </is>
      </c>
      <c r="C433" s="11" t="inlineStr">
        <is>
          <t>-</t>
        </is>
      </c>
      <c r="D433" s="11" t="inlineStr">
        <is>
          <t>-</t>
        </is>
      </c>
      <c r="E433" s="11" t="inlineStr">
        <is>
          <t>-</t>
        </is>
      </c>
      <c r="F433" s="11" t="inlineStr">
        <is>
          <t>-</t>
        </is>
      </c>
      <c r="G433" s="11" t="inlineStr">
        <is>
          <t>-</t>
        </is>
      </c>
      <c r="H433" s="11" t="inlineStr">
        <is>
          <t>-</t>
        </is>
      </c>
      <c r="I433" s="11" t="inlineStr">
        <is>
          <t>-</t>
        </is>
      </c>
      <c r="J433" s="11" t="inlineStr">
        <is>
          <t>-</t>
        </is>
      </c>
      <c r="K433" s="11" t="inlineStr">
        <is>
          <t>-</t>
        </is>
      </c>
      <c r="L433" s="11" t="inlineStr">
        <is>
          <t>-</t>
        </is>
      </c>
      <c r="M433" s="11" t="inlineStr">
        <is>
          <t>-</t>
        </is>
      </c>
      <c r="N433" s="11" t="inlineStr">
        <is>
          <t>-</t>
        </is>
      </c>
      <c r="O433" s="11" t="inlineStr">
        <is>
          <t>-</t>
        </is>
      </c>
      <c r="P433" s="11" t="inlineStr">
        <is>
          <t>-</t>
        </is>
      </c>
      <c r="Q433" s="12" t="inlineStr">
        <is>
          <t>-</t>
        </is>
      </c>
    </row>
    <row r="434" ht="36" customHeight="1" s="155">
      <c r="B434" s="9" t="inlineStr">
        <is>
          <t>funghi trifolati</t>
        </is>
      </c>
      <c r="C434" s="49">
        <f>_xlfn.XLOOKUP(A435,Magazzino!$D$1:$D$1500,Magazzino!$F$1:$F$1500,"",0,1)</f>
        <v/>
      </c>
      <c r="D434" s="50">
        <f>_xlfn.XLOOKUP(A436,Magazzino!$D$1:$D$1500,Magazzino!$F$1:$F$1500,"",0,1)</f>
        <v/>
      </c>
      <c r="E434" s="50">
        <f>_xlfn.XLOOKUP(A437,Magazzino!$D$1:$D$1500,Magazzino!$F$1:$F$1500,"",0,1)</f>
        <v/>
      </c>
      <c r="F434" s="50">
        <f>_xlfn.XLOOKUP(A438,Magazzino!$D$1:$D$1500,Magazzino!$F$1:$F$1500,"",0,1)</f>
        <v/>
      </c>
      <c r="G434" s="50">
        <f>_xlfn.XLOOKUP(A439,Magazzino!$D$1:$D$1500,Magazzino!$F$1:$F$1500,"",0,1)</f>
        <v/>
      </c>
      <c r="H434" s="50">
        <f>_xlfn.XLOOKUP(A440,Magazzino!$D$1:$D$1500,Magazzino!$F$1:$F$1500,"",0,1)</f>
        <v/>
      </c>
      <c r="I434" s="50">
        <f>_xlfn.XLOOKUP(A441,Magazzino!$D$1:$D$1500,Magazzino!$F$1:$F$1500,"",0,1)</f>
        <v/>
      </c>
      <c r="J434" s="50">
        <f>_xlfn.XLOOKUP(A442,Magazzino!$D$1:$D$1500,Magazzino!$F$1:$F$1500,"",0,1)</f>
        <v/>
      </c>
      <c r="K434" s="50">
        <f>_xlfn.XLOOKUP(A443,Magazzino!$D$1:$D$1500,Magazzino!$F$1:$F$1500,"",0,1)</f>
        <v/>
      </c>
      <c r="L434" s="50">
        <f>_xlfn.XLOOKUP(A444,Magazzino!$D$1:$D$1500,Magazzino!$F$1:$F$1500,"",0,1)</f>
        <v/>
      </c>
      <c r="M434" s="50">
        <f>_xlfn.XLOOKUP(A445,Magazzino!$D$1:$D$1500,Magazzino!$F$1:$F$1500,"",0,1)</f>
        <v/>
      </c>
      <c r="N434" s="50">
        <f>_xlfn.XLOOKUP(A446,Magazzino!$D$1:$D$1500,Magazzino!$F$1:$F$1500,"",0,1)</f>
        <v/>
      </c>
      <c r="O434" s="50">
        <f>_xlfn.XLOOKUP(A447,Magazzino!$D$1:$D$1500,Magazzino!$F$1:$F$1500,"",0,1)</f>
        <v/>
      </c>
      <c r="P434" s="50">
        <f>_xlfn.XLOOKUP(A448,Magazzino!$D$1:$D$1500,Magazzino!$F$1:$F$1500,"",0,1)</f>
        <v/>
      </c>
      <c r="Q434" s="51">
        <f>_xlfn.XLOOKUP(A449,Magazzino!$D$1:$D$1500,Magazzino!$F$1:$F$1500,"",0,1)</f>
        <v/>
      </c>
    </row>
    <row r="435">
      <c r="A435" s="47" t="n"/>
      <c r="B435" s="10" t="inlineStr">
        <is>
          <t>-</t>
        </is>
      </c>
      <c r="C435" s="11" t="inlineStr">
        <is>
          <t>-</t>
        </is>
      </c>
      <c r="D435" s="11" t="inlineStr">
        <is>
          <t>-</t>
        </is>
      </c>
      <c r="E435" s="11" t="inlineStr">
        <is>
          <t>-</t>
        </is>
      </c>
      <c r="F435" s="11" t="inlineStr">
        <is>
          <t>-</t>
        </is>
      </c>
      <c r="G435" s="11" t="inlineStr">
        <is>
          <t>-</t>
        </is>
      </c>
      <c r="H435" s="11" t="inlineStr">
        <is>
          <t>-</t>
        </is>
      </c>
      <c r="I435" s="11" t="inlineStr">
        <is>
          <t>-</t>
        </is>
      </c>
      <c r="J435" s="11" t="inlineStr">
        <is>
          <t>-</t>
        </is>
      </c>
      <c r="K435" s="11" t="inlineStr">
        <is>
          <t>-</t>
        </is>
      </c>
      <c r="L435" s="11" t="inlineStr">
        <is>
          <t>-</t>
        </is>
      </c>
      <c r="M435" s="11" t="inlineStr">
        <is>
          <t>-</t>
        </is>
      </c>
      <c r="N435" s="11" t="inlineStr">
        <is>
          <t>-</t>
        </is>
      </c>
      <c r="O435" s="11" t="inlineStr">
        <is>
          <t>-</t>
        </is>
      </c>
      <c r="P435" s="11" t="inlineStr">
        <is>
          <t>-</t>
        </is>
      </c>
      <c r="Q435" s="12" t="inlineStr">
        <is>
          <t>-</t>
        </is>
      </c>
    </row>
    <row r="436">
      <c r="A436" s="48" t="inlineStr">
        <is>
          <t xml:space="preserve">SALE SACCHI SALTECHNO KG.25  </t>
        </is>
      </c>
      <c r="B436" s="13" t="inlineStr">
        <is>
          <t>-</t>
        </is>
      </c>
      <c r="C436" s="14" t="inlineStr">
        <is>
          <t>-</t>
        </is>
      </c>
      <c r="D436" s="14" t="inlineStr">
        <is>
          <t>-</t>
        </is>
      </c>
      <c r="E436" s="14" t="inlineStr">
        <is>
          <t>-</t>
        </is>
      </c>
      <c r="F436" s="14" t="inlineStr">
        <is>
          <t>-</t>
        </is>
      </c>
      <c r="G436" s="14" t="inlineStr">
        <is>
          <t>-</t>
        </is>
      </c>
      <c r="H436" s="14" t="inlineStr">
        <is>
          <t>-</t>
        </is>
      </c>
      <c r="I436" s="14" t="inlineStr">
        <is>
          <t>-</t>
        </is>
      </c>
      <c r="J436" s="14" t="inlineStr">
        <is>
          <t>-</t>
        </is>
      </c>
      <c r="K436" s="14" t="inlineStr">
        <is>
          <t>-</t>
        </is>
      </c>
      <c r="L436" s="14" t="inlineStr">
        <is>
          <t>-</t>
        </is>
      </c>
      <c r="M436" s="14" t="inlineStr">
        <is>
          <t>-</t>
        </is>
      </c>
      <c r="N436" s="14" t="inlineStr">
        <is>
          <t>-</t>
        </is>
      </c>
      <c r="O436" s="14" t="inlineStr">
        <is>
          <t>-</t>
        </is>
      </c>
      <c r="P436" s="14" t="inlineStr">
        <is>
          <t>-</t>
        </is>
      </c>
      <c r="Q436" s="15" t="inlineStr">
        <is>
          <t>-</t>
        </is>
      </c>
    </row>
    <row r="437">
      <c r="A437" s="47" t="inlineStr">
        <is>
          <t>olio extravergine oliva</t>
        </is>
      </c>
      <c r="B437" s="16" t="inlineStr">
        <is>
          <t>-</t>
        </is>
      </c>
      <c r="C437" s="11" t="inlineStr">
        <is>
          <t>-</t>
        </is>
      </c>
      <c r="D437" s="11" t="inlineStr">
        <is>
          <t>-</t>
        </is>
      </c>
      <c r="E437" s="11" t="inlineStr">
        <is>
          <t>-</t>
        </is>
      </c>
      <c r="F437" s="11" t="inlineStr">
        <is>
          <t>-</t>
        </is>
      </c>
      <c r="G437" s="11" t="inlineStr">
        <is>
          <t>-</t>
        </is>
      </c>
      <c r="H437" s="11" t="inlineStr">
        <is>
          <t>-</t>
        </is>
      </c>
      <c r="I437" s="11" t="inlineStr">
        <is>
          <t>-</t>
        </is>
      </c>
      <c r="J437" s="11" t="inlineStr">
        <is>
          <t>-</t>
        </is>
      </c>
      <c r="K437" s="11" t="inlineStr">
        <is>
          <t>-</t>
        </is>
      </c>
      <c r="L437" s="11" t="inlineStr">
        <is>
          <t>-</t>
        </is>
      </c>
      <c r="M437" s="11" t="inlineStr">
        <is>
          <t>-</t>
        </is>
      </c>
      <c r="N437" s="11" t="inlineStr">
        <is>
          <t>-</t>
        </is>
      </c>
      <c r="O437" s="11" t="inlineStr">
        <is>
          <t>-</t>
        </is>
      </c>
      <c r="P437" s="11" t="inlineStr">
        <is>
          <t>-</t>
        </is>
      </c>
      <c r="Q437" s="12" t="inlineStr">
        <is>
          <t>-</t>
        </is>
      </c>
    </row>
    <row r="438">
      <c r="A438" s="47" t="inlineStr">
        <is>
          <t>basilico / rosmarino /prezzemolo</t>
        </is>
      </c>
      <c r="B438" s="13" t="inlineStr">
        <is>
          <t>-</t>
        </is>
      </c>
      <c r="C438" s="14" t="inlineStr">
        <is>
          <t>-</t>
        </is>
      </c>
      <c r="D438" s="14" t="inlineStr">
        <is>
          <t>-</t>
        </is>
      </c>
      <c r="E438" s="14" t="inlineStr">
        <is>
          <t>-</t>
        </is>
      </c>
      <c r="F438" s="14" t="inlineStr">
        <is>
          <t>-</t>
        </is>
      </c>
      <c r="G438" s="14" t="inlineStr">
        <is>
          <t>-</t>
        </is>
      </c>
      <c r="H438" s="14" t="inlineStr">
        <is>
          <t>-</t>
        </is>
      </c>
      <c r="I438" s="14" t="inlineStr">
        <is>
          <t>-</t>
        </is>
      </c>
      <c r="J438" s="14" t="inlineStr">
        <is>
          <t>-</t>
        </is>
      </c>
      <c r="K438" s="14" t="inlineStr">
        <is>
          <t>-</t>
        </is>
      </c>
      <c r="L438" s="14" t="inlineStr">
        <is>
          <t>-</t>
        </is>
      </c>
      <c r="M438" s="14" t="inlineStr">
        <is>
          <t>-</t>
        </is>
      </c>
      <c r="N438" s="14" t="inlineStr">
        <is>
          <t>-</t>
        </is>
      </c>
      <c r="O438" s="14" t="inlineStr">
        <is>
          <t>-</t>
        </is>
      </c>
      <c r="P438" s="14" t="inlineStr">
        <is>
          <t>-</t>
        </is>
      </c>
      <c r="Q438" s="15" t="inlineStr">
        <is>
          <t>-</t>
        </is>
      </c>
    </row>
    <row r="439">
      <c r="A439" s="47" t="n"/>
      <c r="B439" s="16" t="inlineStr">
        <is>
          <t>-</t>
        </is>
      </c>
      <c r="C439" s="11" t="inlineStr">
        <is>
          <t>-</t>
        </is>
      </c>
      <c r="D439" s="11" t="inlineStr">
        <is>
          <t>-</t>
        </is>
      </c>
      <c r="E439" s="11" t="inlineStr">
        <is>
          <t>-</t>
        </is>
      </c>
      <c r="F439" s="11" t="inlineStr">
        <is>
          <t>-</t>
        </is>
      </c>
      <c r="G439" s="11" t="inlineStr">
        <is>
          <t>-</t>
        </is>
      </c>
      <c r="H439" s="11" t="inlineStr">
        <is>
          <t>-</t>
        </is>
      </c>
      <c r="I439" s="11" t="inlineStr">
        <is>
          <t>-</t>
        </is>
      </c>
      <c r="J439" s="11" t="inlineStr">
        <is>
          <t>-</t>
        </is>
      </c>
      <c r="K439" s="11" t="inlineStr">
        <is>
          <t>-</t>
        </is>
      </c>
      <c r="L439" s="11" t="inlineStr">
        <is>
          <t>-</t>
        </is>
      </c>
      <c r="M439" s="11" t="inlineStr">
        <is>
          <t>-</t>
        </is>
      </c>
      <c r="N439" s="11" t="inlineStr">
        <is>
          <t>-</t>
        </is>
      </c>
      <c r="O439" s="11" t="inlineStr">
        <is>
          <t>-</t>
        </is>
      </c>
      <c r="P439" s="11" t="inlineStr">
        <is>
          <t>-</t>
        </is>
      </c>
      <c r="Q439" s="12" t="inlineStr">
        <is>
          <t>-</t>
        </is>
      </c>
    </row>
    <row r="440">
      <c r="A440" s="47" t="n"/>
      <c r="B440" s="13" t="inlineStr">
        <is>
          <t>-</t>
        </is>
      </c>
      <c r="C440" s="14" t="inlineStr">
        <is>
          <t>-</t>
        </is>
      </c>
      <c r="D440" s="14" t="inlineStr">
        <is>
          <t>-</t>
        </is>
      </c>
      <c r="E440" s="14" t="inlineStr">
        <is>
          <t>-</t>
        </is>
      </c>
      <c r="F440" s="14" t="inlineStr">
        <is>
          <t>-</t>
        </is>
      </c>
      <c r="G440" s="14" t="inlineStr">
        <is>
          <t>-</t>
        </is>
      </c>
      <c r="H440" s="14" t="inlineStr">
        <is>
          <t>-</t>
        </is>
      </c>
      <c r="I440" s="14" t="inlineStr">
        <is>
          <t>-</t>
        </is>
      </c>
      <c r="J440" s="14" t="inlineStr">
        <is>
          <t>-</t>
        </is>
      </c>
      <c r="K440" s="14" t="inlineStr">
        <is>
          <t>-</t>
        </is>
      </c>
      <c r="L440" s="14" t="inlineStr">
        <is>
          <t>-</t>
        </is>
      </c>
      <c r="M440" s="14" t="inlineStr">
        <is>
          <t>-</t>
        </is>
      </c>
      <c r="N440" s="14" t="inlineStr">
        <is>
          <t>-</t>
        </is>
      </c>
      <c r="O440" s="14" t="inlineStr">
        <is>
          <t>-</t>
        </is>
      </c>
      <c r="P440" s="14" t="inlineStr">
        <is>
          <t>-</t>
        </is>
      </c>
      <c r="Q440" s="15" t="inlineStr">
        <is>
          <t>-</t>
        </is>
      </c>
    </row>
    <row r="441">
      <c r="A441" s="47" t="n"/>
      <c r="B441" s="16" t="inlineStr">
        <is>
          <t>-</t>
        </is>
      </c>
      <c r="C441" s="11" t="inlineStr">
        <is>
          <t>-</t>
        </is>
      </c>
      <c r="D441" s="11" t="inlineStr">
        <is>
          <t>-</t>
        </is>
      </c>
      <c r="E441" s="11" t="inlineStr">
        <is>
          <t>-</t>
        </is>
      </c>
      <c r="F441" s="11" t="inlineStr">
        <is>
          <t>-</t>
        </is>
      </c>
      <c r="G441" s="11" t="inlineStr">
        <is>
          <t>-</t>
        </is>
      </c>
      <c r="H441" s="11" t="inlineStr">
        <is>
          <t>-</t>
        </is>
      </c>
      <c r="I441" s="11" t="inlineStr">
        <is>
          <t>-</t>
        </is>
      </c>
      <c r="J441" s="11" t="inlineStr">
        <is>
          <t>-</t>
        </is>
      </c>
      <c r="K441" s="11" t="inlineStr">
        <is>
          <t>-</t>
        </is>
      </c>
      <c r="L441" s="11" t="inlineStr">
        <is>
          <t>-</t>
        </is>
      </c>
      <c r="M441" s="11" t="inlineStr">
        <is>
          <t>-</t>
        </is>
      </c>
      <c r="N441" s="11" t="inlineStr">
        <is>
          <t>-</t>
        </is>
      </c>
      <c r="O441" s="11" t="inlineStr">
        <is>
          <t>-</t>
        </is>
      </c>
      <c r="P441" s="11" t="inlineStr">
        <is>
          <t>-</t>
        </is>
      </c>
      <c r="Q441" s="12" t="inlineStr">
        <is>
          <t>-</t>
        </is>
      </c>
    </row>
    <row r="442">
      <c r="A442" s="47" t="n"/>
      <c r="B442" s="13" t="inlineStr">
        <is>
          <t>-</t>
        </is>
      </c>
      <c r="C442" s="14" t="inlineStr">
        <is>
          <t>-</t>
        </is>
      </c>
      <c r="D442" s="14" t="inlineStr">
        <is>
          <t>-</t>
        </is>
      </c>
      <c r="E442" s="14" t="inlineStr">
        <is>
          <t>-</t>
        </is>
      </c>
      <c r="F442" s="14" t="inlineStr">
        <is>
          <t>-</t>
        </is>
      </c>
      <c r="G442" s="14" t="inlineStr">
        <is>
          <t>-</t>
        </is>
      </c>
      <c r="H442" s="14" t="inlineStr">
        <is>
          <t>-</t>
        </is>
      </c>
      <c r="I442" s="14" t="inlineStr">
        <is>
          <t>-</t>
        </is>
      </c>
      <c r="J442" s="14" t="inlineStr">
        <is>
          <t>-</t>
        </is>
      </c>
      <c r="K442" s="14" t="inlineStr">
        <is>
          <t>-</t>
        </is>
      </c>
      <c r="L442" s="14" t="inlineStr">
        <is>
          <t>-</t>
        </is>
      </c>
      <c r="M442" s="14" t="inlineStr">
        <is>
          <t>-</t>
        </is>
      </c>
      <c r="N442" s="14" t="inlineStr">
        <is>
          <t>-</t>
        </is>
      </c>
      <c r="O442" s="14" t="inlineStr">
        <is>
          <t>-</t>
        </is>
      </c>
      <c r="P442" s="14" t="inlineStr">
        <is>
          <t>-</t>
        </is>
      </c>
      <c r="Q442" s="15" t="inlineStr">
        <is>
          <t>-</t>
        </is>
      </c>
    </row>
    <row r="443">
      <c r="A443" s="47" t="n"/>
      <c r="B443" s="16" t="inlineStr">
        <is>
          <t>-</t>
        </is>
      </c>
      <c r="C443" s="11" t="inlineStr">
        <is>
          <t>-</t>
        </is>
      </c>
      <c r="D443" s="11" t="inlineStr">
        <is>
          <t>-</t>
        </is>
      </c>
      <c r="E443" s="11" t="inlineStr">
        <is>
          <t>-</t>
        </is>
      </c>
      <c r="F443" s="11" t="inlineStr">
        <is>
          <t>-</t>
        </is>
      </c>
      <c r="G443" s="11" t="inlineStr">
        <is>
          <t>-</t>
        </is>
      </c>
      <c r="H443" s="11" t="inlineStr">
        <is>
          <t>-</t>
        </is>
      </c>
      <c r="I443" s="11" t="inlineStr">
        <is>
          <t>-</t>
        </is>
      </c>
      <c r="J443" s="11" t="inlineStr">
        <is>
          <t>-</t>
        </is>
      </c>
      <c r="K443" s="11" t="inlineStr">
        <is>
          <t>-</t>
        </is>
      </c>
      <c r="L443" s="11" t="inlineStr">
        <is>
          <t>-</t>
        </is>
      </c>
      <c r="M443" s="11" t="inlineStr">
        <is>
          <t>-</t>
        </is>
      </c>
      <c r="N443" s="11" t="inlineStr">
        <is>
          <t>-</t>
        </is>
      </c>
      <c r="O443" s="11" t="inlineStr">
        <is>
          <t>-</t>
        </is>
      </c>
      <c r="P443" s="11" t="inlineStr">
        <is>
          <t>-</t>
        </is>
      </c>
      <c r="Q443" s="12" t="inlineStr">
        <is>
          <t>-</t>
        </is>
      </c>
    </row>
    <row r="444">
      <c r="A444" s="47" t="n"/>
      <c r="B444" s="13" t="inlineStr">
        <is>
          <t>-</t>
        </is>
      </c>
      <c r="C444" s="14" t="inlineStr">
        <is>
          <t>-</t>
        </is>
      </c>
      <c r="D444" s="14" t="inlineStr">
        <is>
          <t>-</t>
        </is>
      </c>
      <c r="E444" s="14" t="inlineStr">
        <is>
          <t>-</t>
        </is>
      </c>
      <c r="F444" s="14" t="inlineStr">
        <is>
          <t>-</t>
        </is>
      </c>
      <c r="G444" s="14" t="inlineStr">
        <is>
          <t>-</t>
        </is>
      </c>
      <c r="H444" s="14" t="inlineStr">
        <is>
          <t>-</t>
        </is>
      </c>
      <c r="I444" s="14" t="inlineStr">
        <is>
          <t>-</t>
        </is>
      </c>
      <c r="J444" s="14" t="inlineStr">
        <is>
          <t>-</t>
        </is>
      </c>
      <c r="K444" s="14" t="inlineStr">
        <is>
          <t>-</t>
        </is>
      </c>
      <c r="L444" s="14" t="inlineStr">
        <is>
          <t>-</t>
        </is>
      </c>
      <c r="M444" s="14" t="inlineStr">
        <is>
          <t>-</t>
        </is>
      </c>
      <c r="N444" s="14" t="inlineStr">
        <is>
          <t>-</t>
        </is>
      </c>
      <c r="O444" s="14" t="inlineStr">
        <is>
          <t>-</t>
        </is>
      </c>
      <c r="P444" s="14" t="inlineStr">
        <is>
          <t>-</t>
        </is>
      </c>
      <c r="Q444" s="15" t="inlineStr">
        <is>
          <t>-</t>
        </is>
      </c>
    </row>
    <row r="445">
      <c r="A445" s="47" t="n"/>
      <c r="B445" s="16" t="inlineStr">
        <is>
          <t>-</t>
        </is>
      </c>
      <c r="C445" s="11" t="inlineStr">
        <is>
          <t>-</t>
        </is>
      </c>
      <c r="D445" s="11" t="inlineStr">
        <is>
          <t>-</t>
        </is>
      </c>
      <c r="E445" s="11" t="inlineStr">
        <is>
          <t>-</t>
        </is>
      </c>
      <c r="F445" s="11" t="inlineStr">
        <is>
          <t>-</t>
        </is>
      </c>
      <c r="G445" s="11" t="inlineStr">
        <is>
          <t>-</t>
        </is>
      </c>
      <c r="H445" s="11" t="inlineStr">
        <is>
          <t>-</t>
        </is>
      </c>
      <c r="I445" s="11" t="inlineStr">
        <is>
          <t>-</t>
        </is>
      </c>
      <c r="J445" s="11" t="inlineStr">
        <is>
          <t>-</t>
        </is>
      </c>
      <c r="K445" s="11" t="inlineStr">
        <is>
          <t>-</t>
        </is>
      </c>
      <c r="L445" s="11" t="inlineStr">
        <is>
          <t>-</t>
        </is>
      </c>
      <c r="M445" s="11" t="inlineStr">
        <is>
          <t>-</t>
        </is>
      </c>
      <c r="N445" s="11" t="inlineStr">
        <is>
          <t>-</t>
        </is>
      </c>
      <c r="O445" s="11" t="inlineStr">
        <is>
          <t>-</t>
        </is>
      </c>
      <c r="P445" s="11" t="inlineStr">
        <is>
          <t>-</t>
        </is>
      </c>
      <c r="Q445" s="12" t="inlineStr">
        <is>
          <t>-</t>
        </is>
      </c>
    </row>
    <row r="446">
      <c r="A446" s="47" t="n"/>
      <c r="B446" s="13" t="inlineStr">
        <is>
          <t>-</t>
        </is>
      </c>
      <c r="C446" s="14" t="inlineStr">
        <is>
          <t>-</t>
        </is>
      </c>
      <c r="D446" s="14" t="inlineStr">
        <is>
          <t>-</t>
        </is>
      </c>
      <c r="E446" s="14" t="inlineStr">
        <is>
          <t>-</t>
        </is>
      </c>
      <c r="F446" s="14" t="inlineStr">
        <is>
          <t>-</t>
        </is>
      </c>
      <c r="G446" s="14" t="inlineStr">
        <is>
          <t>-</t>
        </is>
      </c>
      <c r="H446" s="14" t="inlineStr">
        <is>
          <t>-</t>
        </is>
      </c>
      <c r="I446" s="14" t="inlineStr">
        <is>
          <t>-</t>
        </is>
      </c>
      <c r="J446" s="14" t="inlineStr">
        <is>
          <t>-</t>
        </is>
      </c>
      <c r="K446" s="14" t="inlineStr">
        <is>
          <t>-</t>
        </is>
      </c>
      <c r="L446" s="14" t="inlineStr">
        <is>
          <t>-</t>
        </is>
      </c>
      <c r="M446" s="14" t="inlineStr">
        <is>
          <t>-</t>
        </is>
      </c>
      <c r="N446" s="14" t="inlineStr">
        <is>
          <t>-</t>
        </is>
      </c>
      <c r="O446" s="14" t="inlineStr">
        <is>
          <t>-</t>
        </is>
      </c>
      <c r="P446" s="14" t="inlineStr">
        <is>
          <t>-</t>
        </is>
      </c>
      <c r="Q446" s="15" t="inlineStr">
        <is>
          <t>-</t>
        </is>
      </c>
    </row>
    <row r="447">
      <c r="A447" s="47" t="n"/>
      <c r="B447" s="16" t="inlineStr">
        <is>
          <t>-</t>
        </is>
      </c>
      <c r="C447" s="11" t="inlineStr">
        <is>
          <t>-</t>
        </is>
      </c>
      <c r="D447" s="11" t="inlineStr">
        <is>
          <t>-</t>
        </is>
      </c>
      <c r="E447" s="11" t="inlineStr">
        <is>
          <t>-</t>
        </is>
      </c>
      <c r="F447" s="11" t="inlineStr">
        <is>
          <t>-</t>
        </is>
      </c>
      <c r="G447" s="11" t="inlineStr">
        <is>
          <t>-</t>
        </is>
      </c>
      <c r="H447" s="11" t="inlineStr">
        <is>
          <t>-</t>
        </is>
      </c>
      <c r="I447" s="11" t="inlineStr">
        <is>
          <t>-</t>
        </is>
      </c>
      <c r="J447" s="11" t="inlineStr">
        <is>
          <t>-</t>
        </is>
      </c>
      <c r="K447" s="11" t="inlineStr">
        <is>
          <t>-</t>
        </is>
      </c>
      <c r="L447" s="11" t="inlineStr">
        <is>
          <t>-</t>
        </is>
      </c>
      <c r="M447" s="11" t="inlineStr">
        <is>
          <t>-</t>
        </is>
      </c>
      <c r="N447" s="11" t="inlineStr">
        <is>
          <t>-</t>
        </is>
      </c>
      <c r="O447" s="11" t="inlineStr">
        <is>
          <t>-</t>
        </is>
      </c>
      <c r="P447" s="11" t="inlineStr">
        <is>
          <t>-</t>
        </is>
      </c>
      <c r="Q447" s="12" t="inlineStr">
        <is>
          <t>-</t>
        </is>
      </c>
    </row>
    <row r="448">
      <c r="A448" s="47" t="n"/>
      <c r="B448" s="13" t="inlineStr">
        <is>
          <t>-</t>
        </is>
      </c>
      <c r="C448" s="14" t="inlineStr">
        <is>
          <t>-</t>
        </is>
      </c>
      <c r="D448" s="14" t="inlineStr">
        <is>
          <t>-</t>
        </is>
      </c>
      <c r="E448" s="14" t="inlineStr">
        <is>
          <t>-</t>
        </is>
      </c>
      <c r="F448" s="14" t="inlineStr">
        <is>
          <t>-</t>
        </is>
      </c>
      <c r="G448" s="14" t="inlineStr">
        <is>
          <t>-</t>
        </is>
      </c>
      <c r="H448" s="14" t="inlineStr">
        <is>
          <t>-</t>
        </is>
      </c>
      <c r="I448" s="14" t="inlineStr">
        <is>
          <t>-</t>
        </is>
      </c>
      <c r="J448" s="14" t="inlineStr">
        <is>
          <t>-</t>
        </is>
      </c>
      <c r="K448" s="14" t="inlineStr">
        <is>
          <t>-</t>
        </is>
      </c>
      <c r="L448" s="14" t="inlineStr">
        <is>
          <t>-</t>
        </is>
      </c>
      <c r="M448" s="14" t="inlineStr">
        <is>
          <t>-</t>
        </is>
      </c>
      <c r="N448" s="14" t="inlineStr">
        <is>
          <t>-</t>
        </is>
      </c>
      <c r="O448" s="14" t="inlineStr">
        <is>
          <t>-</t>
        </is>
      </c>
      <c r="P448" s="14" t="inlineStr">
        <is>
          <t>-</t>
        </is>
      </c>
      <c r="Q448" s="15" t="inlineStr">
        <is>
          <t>-</t>
        </is>
      </c>
    </row>
    <row r="449">
      <c r="A449" s="47" t="n"/>
      <c r="B449" s="16" t="inlineStr">
        <is>
          <t>-</t>
        </is>
      </c>
      <c r="C449" s="11" t="inlineStr">
        <is>
          <t>-</t>
        </is>
      </c>
      <c r="D449" s="11" t="inlineStr">
        <is>
          <t>-</t>
        </is>
      </c>
      <c r="E449" s="11" t="inlineStr">
        <is>
          <t>-</t>
        </is>
      </c>
      <c r="F449" s="11" t="inlineStr">
        <is>
          <t>-</t>
        </is>
      </c>
      <c r="G449" s="11" t="inlineStr">
        <is>
          <t>-</t>
        </is>
      </c>
      <c r="H449" s="11" t="inlineStr">
        <is>
          <t>-</t>
        </is>
      </c>
      <c r="I449" s="11" t="inlineStr">
        <is>
          <t>-</t>
        </is>
      </c>
      <c r="J449" s="11" t="inlineStr">
        <is>
          <t>-</t>
        </is>
      </c>
      <c r="K449" s="11" t="inlineStr">
        <is>
          <t>-</t>
        </is>
      </c>
      <c r="L449" s="11" t="inlineStr">
        <is>
          <t>-</t>
        </is>
      </c>
      <c r="M449" s="11" t="inlineStr">
        <is>
          <t>-</t>
        </is>
      </c>
      <c r="N449" s="11" t="inlineStr">
        <is>
          <t>-</t>
        </is>
      </c>
      <c r="O449" s="11" t="inlineStr">
        <is>
          <t>-</t>
        </is>
      </c>
      <c r="P449" s="11" t="inlineStr">
        <is>
          <t>-</t>
        </is>
      </c>
      <c r="Q449" s="12" t="inlineStr">
        <is>
          <t>-</t>
        </is>
      </c>
    </row>
    <row r="450" ht="36" customHeight="1" s="155">
      <c r="B450" s="9" t="inlineStr">
        <is>
          <t>wrustel di suino</t>
        </is>
      </c>
      <c r="C450" s="49">
        <f>_xlfn.XLOOKUP(A451,Magazzino!$D$1:$D$1500,Magazzino!$F$1:$F$1500,"",0,1)</f>
        <v/>
      </c>
      <c r="D450" s="50">
        <f>_xlfn.XLOOKUP(A452,Magazzino!$D$1:$D$1500,Magazzino!$F$1:$F$1500,"",0,1)</f>
        <v/>
      </c>
      <c r="E450" s="50">
        <f>_xlfn.XLOOKUP(A453,Magazzino!$D$1:$D$1500,Magazzino!$F$1:$F$1500,"",0,1)</f>
        <v/>
      </c>
      <c r="F450" s="50">
        <f>_xlfn.XLOOKUP(A454,Magazzino!$D$1:$D$1500,Magazzino!$F$1:$F$1500,"",0,1)</f>
        <v/>
      </c>
      <c r="G450" s="50">
        <f>_xlfn.XLOOKUP(A455,Magazzino!$D$1:$D$1500,Magazzino!$F$1:$F$1500,"",0,1)</f>
        <v/>
      </c>
      <c r="H450" s="50">
        <f>_xlfn.XLOOKUP(A456,Magazzino!$D$1:$D$1500,Magazzino!$F$1:$F$1500,"",0,1)</f>
        <v/>
      </c>
      <c r="I450" s="50">
        <f>_xlfn.XLOOKUP(A457,Magazzino!$D$1:$D$1500,Magazzino!$F$1:$F$1500,"",0,1)</f>
        <v/>
      </c>
      <c r="J450" s="50">
        <f>_xlfn.XLOOKUP(A458,Magazzino!$D$1:$D$1500,Magazzino!$F$1:$F$1500,"",0,1)</f>
        <v/>
      </c>
      <c r="K450" s="50">
        <f>_xlfn.XLOOKUP(A459,Magazzino!$D$1:$D$1500,Magazzino!$F$1:$F$1500,"",0,1)</f>
        <v/>
      </c>
      <c r="L450" s="50">
        <f>_xlfn.XLOOKUP(A460,Magazzino!$D$1:$D$1500,Magazzino!$F$1:$F$1500,"",0,1)</f>
        <v/>
      </c>
      <c r="M450" s="50">
        <f>_xlfn.XLOOKUP(A461,Magazzino!$D$1:$D$1500,Magazzino!$F$1:$F$1500,"",0,1)</f>
        <v/>
      </c>
      <c r="N450" s="50">
        <f>_xlfn.XLOOKUP(A462,Magazzino!$D$1:$D$1500,Magazzino!$F$1:$F$1500,"",0,1)</f>
        <v/>
      </c>
      <c r="O450" s="50">
        <f>_xlfn.XLOOKUP(A463,Magazzino!$D$1:$D$1500,Magazzino!$F$1:$F$1500,"",0,1)</f>
        <v/>
      </c>
      <c r="P450" s="50">
        <f>_xlfn.XLOOKUP(A464,Magazzino!$D$1:$D$1500,Magazzino!$F$1:$F$1500,"",0,1)</f>
        <v/>
      </c>
      <c r="Q450" s="51">
        <f>_xlfn.XLOOKUP(A465,Magazzino!$D$1:$D$1500,Magazzino!$F$1:$F$1500,"",0,1)</f>
        <v/>
      </c>
    </row>
    <row r="451">
      <c r="A451" s="47" t="inlineStr">
        <is>
          <t>wrustel</t>
        </is>
      </c>
      <c r="B451" s="10" t="inlineStr">
        <is>
          <t>-</t>
        </is>
      </c>
      <c r="C451" s="11" t="inlineStr">
        <is>
          <t>-</t>
        </is>
      </c>
      <c r="D451" s="11" t="inlineStr">
        <is>
          <t>-</t>
        </is>
      </c>
      <c r="E451" s="11" t="inlineStr">
        <is>
          <t>-</t>
        </is>
      </c>
      <c r="F451" s="11" t="inlineStr">
        <is>
          <t>-</t>
        </is>
      </c>
      <c r="G451" s="11" t="inlineStr">
        <is>
          <t>-</t>
        </is>
      </c>
      <c r="H451" s="11" t="inlineStr">
        <is>
          <t>-</t>
        </is>
      </c>
      <c r="I451" s="11" t="inlineStr">
        <is>
          <t>-</t>
        </is>
      </c>
      <c r="J451" s="11" t="inlineStr">
        <is>
          <t>-</t>
        </is>
      </c>
      <c r="K451" s="11" t="inlineStr">
        <is>
          <t>-</t>
        </is>
      </c>
      <c r="L451" s="11" t="inlineStr">
        <is>
          <t>-</t>
        </is>
      </c>
      <c r="M451" s="11" t="inlineStr">
        <is>
          <t>-</t>
        </is>
      </c>
      <c r="N451" s="11" t="inlineStr">
        <is>
          <t>-</t>
        </is>
      </c>
      <c r="O451" s="11" t="inlineStr">
        <is>
          <t>-</t>
        </is>
      </c>
      <c r="P451" s="11" t="inlineStr">
        <is>
          <t>-</t>
        </is>
      </c>
      <c r="Q451" s="12" t="inlineStr">
        <is>
          <t>-</t>
        </is>
      </c>
    </row>
    <row r="452">
      <c r="A452" s="47" t="n"/>
      <c r="B452" s="13" t="inlineStr">
        <is>
          <t>-</t>
        </is>
      </c>
      <c r="C452" s="14" t="inlineStr">
        <is>
          <t>-</t>
        </is>
      </c>
      <c r="D452" s="14" t="inlineStr">
        <is>
          <t>-</t>
        </is>
      </c>
      <c r="E452" s="14" t="inlineStr">
        <is>
          <t>-</t>
        </is>
      </c>
      <c r="F452" s="14" t="inlineStr">
        <is>
          <t>-</t>
        </is>
      </c>
      <c r="G452" s="14" t="inlineStr">
        <is>
          <t>-</t>
        </is>
      </c>
      <c r="H452" s="14" t="inlineStr">
        <is>
          <t>-</t>
        </is>
      </c>
      <c r="I452" s="14" t="inlineStr">
        <is>
          <t>-</t>
        </is>
      </c>
      <c r="J452" s="14" t="inlineStr">
        <is>
          <t>-</t>
        </is>
      </c>
      <c r="K452" s="14" t="inlineStr">
        <is>
          <t>-</t>
        </is>
      </c>
      <c r="L452" s="14" t="inlineStr">
        <is>
          <t>-</t>
        </is>
      </c>
      <c r="M452" s="14" t="inlineStr">
        <is>
          <t>-</t>
        </is>
      </c>
      <c r="N452" s="14" t="inlineStr">
        <is>
          <t>-</t>
        </is>
      </c>
      <c r="O452" s="14" t="inlineStr">
        <is>
          <t>-</t>
        </is>
      </c>
      <c r="P452" s="14" t="inlineStr">
        <is>
          <t>-</t>
        </is>
      </c>
      <c r="Q452" s="15" t="inlineStr">
        <is>
          <t>-</t>
        </is>
      </c>
    </row>
    <row r="453">
      <c r="A453" s="47" t="n"/>
      <c r="B453" s="16" t="inlineStr">
        <is>
          <t>-</t>
        </is>
      </c>
      <c r="C453" s="11" t="inlineStr">
        <is>
          <t>-</t>
        </is>
      </c>
      <c r="D453" s="11" t="inlineStr">
        <is>
          <t>-</t>
        </is>
      </c>
      <c r="E453" s="11" t="inlineStr">
        <is>
          <t>-</t>
        </is>
      </c>
      <c r="F453" s="11" t="inlineStr">
        <is>
          <t>-</t>
        </is>
      </c>
      <c r="G453" s="11" t="inlineStr">
        <is>
          <t>-</t>
        </is>
      </c>
      <c r="H453" s="11" t="inlineStr">
        <is>
          <t>-</t>
        </is>
      </c>
      <c r="I453" s="11" t="inlineStr">
        <is>
          <t>-</t>
        </is>
      </c>
      <c r="J453" s="11" t="inlineStr">
        <is>
          <t>-</t>
        </is>
      </c>
      <c r="K453" s="11" t="inlineStr">
        <is>
          <t>-</t>
        </is>
      </c>
      <c r="L453" s="11" t="inlineStr">
        <is>
          <t>-</t>
        </is>
      </c>
      <c r="M453" s="11" t="inlineStr">
        <is>
          <t>-</t>
        </is>
      </c>
      <c r="N453" s="11" t="inlineStr">
        <is>
          <t>-</t>
        </is>
      </c>
      <c r="O453" s="11" t="inlineStr">
        <is>
          <t>-</t>
        </is>
      </c>
      <c r="P453" s="11" t="inlineStr">
        <is>
          <t>-</t>
        </is>
      </c>
      <c r="Q453" s="12" t="inlineStr">
        <is>
          <t>-</t>
        </is>
      </c>
    </row>
    <row r="454">
      <c r="A454" s="47" t="n"/>
      <c r="B454" s="13" t="inlineStr">
        <is>
          <t>-</t>
        </is>
      </c>
      <c r="C454" s="14" t="inlineStr">
        <is>
          <t>-</t>
        </is>
      </c>
      <c r="D454" s="14" t="inlineStr">
        <is>
          <t>-</t>
        </is>
      </c>
      <c r="E454" s="14" t="inlineStr">
        <is>
          <t>-</t>
        </is>
      </c>
      <c r="F454" s="14" t="inlineStr">
        <is>
          <t>-</t>
        </is>
      </c>
      <c r="G454" s="14" t="inlineStr">
        <is>
          <t>-</t>
        </is>
      </c>
      <c r="H454" s="14" t="inlineStr">
        <is>
          <t>-</t>
        </is>
      </c>
      <c r="I454" s="14" t="inlineStr">
        <is>
          <t>-</t>
        </is>
      </c>
      <c r="J454" s="14" t="inlineStr">
        <is>
          <t>-</t>
        </is>
      </c>
      <c r="K454" s="14" t="inlineStr">
        <is>
          <t>-</t>
        </is>
      </c>
      <c r="L454" s="14" t="inlineStr">
        <is>
          <t>-</t>
        </is>
      </c>
      <c r="M454" s="14" t="inlineStr">
        <is>
          <t>-</t>
        </is>
      </c>
      <c r="N454" s="14" t="inlineStr">
        <is>
          <t>-</t>
        </is>
      </c>
      <c r="O454" s="14" t="inlineStr">
        <is>
          <t>-</t>
        </is>
      </c>
      <c r="P454" s="14" t="inlineStr">
        <is>
          <t>-</t>
        </is>
      </c>
      <c r="Q454" s="15" t="inlineStr">
        <is>
          <t>-</t>
        </is>
      </c>
    </row>
    <row r="455">
      <c r="A455" s="47" t="n"/>
      <c r="B455" s="16" t="inlineStr">
        <is>
          <t>-</t>
        </is>
      </c>
      <c r="C455" s="11" t="inlineStr">
        <is>
          <t>-</t>
        </is>
      </c>
      <c r="D455" s="11" t="inlineStr">
        <is>
          <t>-</t>
        </is>
      </c>
      <c r="E455" s="11" t="inlineStr">
        <is>
          <t>-</t>
        </is>
      </c>
      <c r="F455" s="11" t="inlineStr">
        <is>
          <t>-</t>
        </is>
      </c>
      <c r="G455" s="11" t="inlineStr">
        <is>
          <t>-</t>
        </is>
      </c>
      <c r="H455" s="11" t="inlineStr">
        <is>
          <t>-</t>
        </is>
      </c>
      <c r="I455" s="11" t="inlineStr">
        <is>
          <t>-</t>
        </is>
      </c>
      <c r="J455" s="11" t="inlineStr">
        <is>
          <t>-</t>
        </is>
      </c>
      <c r="K455" s="11" t="inlineStr">
        <is>
          <t>-</t>
        </is>
      </c>
      <c r="L455" s="11" t="inlineStr">
        <is>
          <t>-</t>
        </is>
      </c>
      <c r="M455" s="11" t="inlineStr">
        <is>
          <t>-</t>
        </is>
      </c>
      <c r="N455" s="11" t="inlineStr">
        <is>
          <t>-</t>
        </is>
      </c>
      <c r="O455" s="11" t="inlineStr">
        <is>
          <t>-</t>
        </is>
      </c>
      <c r="P455" s="11" t="inlineStr">
        <is>
          <t>-</t>
        </is>
      </c>
      <c r="Q455" s="12" t="inlineStr">
        <is>
          <t>-</t>
        </is>
      </c>
    </row>
    <row r="456">
      <c r="A456" s="47" t="n"/>
      <c r="B456" s="13" t="inlineStr">
        <is>
          <t>-</t>
        </is>
      </c>
      <c r="C456" s="14" t="inlineStr">
        <is>
          <t>-</t>
        </is>
      </c>
      <c r="D456" s="14" t="inlineStr">
        <is>
          <t>-</t>
        </is>
      </c>
      <c r="E456" s="14" t="inlineStr">
        <is>
          <t>-</t>
        </is>
      </c>
      <c r="F456" s="14" t="inlineStr">
        <is>
          <t>-</t>
        </is>
      </c>
      <c r="G456" s="14" t="inlineStr">
        <is>
          <t>-</t>
        </is>
      </c>
      <c r="H456" s="14" t="inlineStr">
        <is>
          <t>-</t>
        </is>
      </c>
      <c r="I456" s="14" t="inlineStr">
        <is>
          <t>-</t>
        </is>
      </c>
      <c r="J456" s="14" t="inlineStr">
        <is>
          <t>-</t>
        </is>
      </c>
      <c r="K456" s="14" t="inlineStr">
        <is>
          <t>-</t>
        </is>
      </c>
      <c r="L456" s="14" t="inlineStr">
        <is>
          <t>-</t>
        </is>
      </c>
      <c r="M456" s="14" t="inlineStr">
        <is>
          <t>-</t>
        </is>
      </c>
      <c r="N456" s="14" t="inlineStr">
        <is>
          <t>-</t>
        </is>
      </c>
      <c r="O456" s="14" t="inlineStr">
        <is>
          <t>-</t>
        </is>
      </c>
      <c r="P456" s="14" t="inlineStr">
        <is>
          <t>-</t>
        </is>
      </c>
      <c r="Q456" s="15" t="inlineStr">
        <is>
          <t>-</t>
        </is>
      </c>
    </row>
    <row r="457">
      <c r="A457" s="47" t="n"/>
      <c r="B457" s="16" t="inlineStr">
        <is>
          <t>-</t>
        </is>
      </c>
      <c r="C457" s="11" t="inlineStr">
        <is>
          <t>-</t>
        </is>
      </c>
      <c r="D457" s="11" t="inlineStr">
        <is>
          <t>-</t>
        </is>
      </c>
      <c r="E457" s="11" t="inlineStr">
        <is>
          <t>-</t>
        </is>
      </c>
      <c r="F457" s="11" t="inlineStr">
        <is>
          <t>-</t>
        </is>
      </c>
      <c r="G457" s="11" t="inlineStr">
        <is>
          <t>-</t>
        </is>
      </c>
      <c r="H457" s="11" t="inlineStr">
        <is>
          <t>-</t>
        </is>
      </c>
      <c r="I457" s="11" t="inlineStr">
        <is>
          <t>-</t>
        </is>
      </c>
      <c r="J457" s="11" t="inlineStr">
        <is>
          <t>-</t>
        </is>
      </c>
      <c r="K457" s="11" t="inlineStr">
        <is>
          <t>-</t>
        </is>
      </c>
      <c r="L457" s="11" t="inlineStr">
        <is>
          <t>-</t>
        </is>
      </c>
      <c r="M457" s="11" t="inlineStr">
        <is>
          <t>-</t>
        </is>
      </c>
      <c r="N457" s="11" t="inlineStr">
        <is>
          <t>-</t>
        </is>
      </c>
      <c r="O457" s="11" t="inlineStr">
        <is>
          <t>-</t>
        </is>
      </c>
      <c r="P457" s="11" t="inlineStr">
        <is>
          <t>-</t>
        </is>
      </c>
      <c r="Q457" s="12" t="inlineStr">
        <is>
          <t>-</t>
        </is>
      </c>
    </row>
    <row r="458">
      <c r="A458" s="47" t="n"/>
      <c r="B458" s="13" t="inlineStr">
        <is>
          <t>-</t>
        </is>
      </c>
      <c r="C458" s="14" t="inlineStr">
        <is>
          <t>-</t>
        </is>
      </c>
      <c r="D458" s="14" t="inlineStr">
        <is>
          <t>-</t>
        </is>
      </c>
      <c r="E458" s="14" t="inlineStr">
        <is>
          <t>-</t>
        </is>
      </c>
      <c r="F458" s="14" t="inlineStr">
        <is>
          <t>-</t>
        </is>
      </c>
      <c r="G458" s="14" t="inlineStr">
        <is>
          <t>-</t>
        </is>
      </c>
      <c r="H458" s="14" t="inlineStr">
        <is>
          <t>-</t>
        </is>
      </c>
      <c r="I458" s="14" t="inlineStr">
        <is>
          <t>-</t>
        </is>
      </c>
      <c r="J458" s="14" t="inlineStr">
        <is>
          <t>-</t>
        </is>
      </c>
      <c r="K458" s="14" t="inlineStr">
        <is>
          <t>-</t>
        </is>
      </c>
      <c r="L458" s="14" t="inlineStr">
        <is>
          <t>-</t>
        </is>
      </c>
      <c r="M458" s="14" t="inlineStr">
        <is>
          <t>-</t>
        </is>
      </c>
      <c r="N458" s="14" t="inlineStr">
        <is>
          <t>-</t>
        </is>
      </c>
      <c r="O458" s="14" t="inlineStr">
        <is>
          <t>-</t>
        </is>
      </c>
      <c r="P458" s="14" t="inlineStr">
        <is>
          <t>-</t>
        </is>
      </c>
      <c r="Q458" s="15" t="inlineStr">
        <is>
          <t>-</t>
        </is>
      </c>
    </row>
    <row r="459">
      <c r="A459" s="47" t="n"/>
      <c r="B459" s="16" t="inlineStr">
        <is>
          <t>-</t>
        </is>
      </c>
      <c r="C459" s="11" t="inlineStr">
        <is>
          <t>-</t>
        </is>
      </c>
      <c r="D459" s="11" t="inlineStr">
        <is>
          <t>-</t>
        </is>
      </c>
      <c r="E459" s="11" t="inlineStr">
        <is>
          <t>-</t>
        </is>
      </c>
      <c r="F459" s="11" t="inlineStr">
        <is>
          <t>-</t>
        </is>
      </c>
      <c r="G459" s="11" t="inlineStr">
        <is>
          <t>-</t>
        </is>
      </c>
      <c r="H459" s="11" t="inlineStr">
        <is>
          <t>-</t>
        </is>
      </c>
      <c r="I459" s="11" t="inlineStr">
        <is>
          <t>-</t>
        </is>
      </c>
      <c r="J459" s="11" t="inlineStr">
        <is>
          <t>-</t>
        </is>
      </c>
      <c r="K459" s="11" t="inlineStr">
        <is>
          <t>-</t>
        </is>
      </c>
      <c r="L459" s="11" t="inlineStr">
        <is>
          <t>-</t>
        </is>
      </c>
      <c r="M459" s="11" t="inlineStr">
        <is>
          <t>-</t>
        </is>
      </c>
      <c r="N459" s="11" t="inlineStr">
        <is>
          <t>-</t>
        </is>
      </c>
      <c r="O459" s="11" t="inlineStr">
        <is>
          <t>-</t>
        </is>
      </c>
      <c r="P459" s="11" t="inlineStr">
        <is>
          <t>-</t>
        </is>
      </c>
      <c r="Q459" s="12" t="inlineStr">
        <is>
          <t>-</t>
        </is>
      </c>
    </row>
    <row r="460">
      <c r="A460" s="47" t="n"/>
      <c r="B460" s="13" t="inlineStr">
        <is>
          <t>-</t>
        </is>
      </c>
      <c r="C460" s="14" t="inlineStr">
        <is>
          <t>-</t>
        </is>
      </c>
      <c r="D460" s="14" t="inlineStr">
        <is>
          <t>-</t>
        </is>
      </c>
      <c r="E460" s="14" t="inlineStr">
        <is>
          <t>-</t>
        </is>
      </c>
      <c r="F460" s="14" t="inlineStr">
        <is>
          <t>-</t>
        </is>
      </c>
      <c r="G460" s="14" t="inlineStr">
        <is>
          <t>-</t>
        </is>
      </c>
      <c r="H460" s="14" t="inlineStr">
        <is>
          <t>-</t>
        </is>
      </c>
      <c r="I460" s="14" t="inlineStr">
        <is>
          <t>-</t>
        </is>
      </c>
      <c r="J460" s="14" t="inlineStr">
        <is>
          <t>-</t>
        </is>
      </c>
      <c r="K460" s="14" t="inlineStr">
        <is>
          <t>-</t>
        </is>
      </c>
      <c r="L460" s="14" t="inlineStr">
        <is>
          <t>-</t>
        </is>
      </c>
      <c r="M460" s="14" t="inlineStr">
        <is>
          <t>-</t>
        </is>
      </c>
      <c r="N460" s="14" t="inlineStr">
        <is>
          <t>-</t>
        </is>
      </c>
      <c r="O460" s="14" t="inlineStr">
        <is>
          <t>-</t>
        </is>
      </c>
      <c r="P460" s="14" t="inlineStr">
        <is>
          <t>-</t>
        </is>
      </c>
      <c r="Q460" s="15" t="inlineStr">
        <is>
          <t>-</t>
        </is>
      </c>
    </row>
    <row r="461">
      <c r="A461" s="47" t="n"/>
      <c r="B461" s="16" t="inlineStr">
        <is>
          <t>-</t>
        </is>
      </c>
      <c r="C461" s="11" t="inlineStr">
        <is>
          <t>-</t>
        </is>
      </c>
      <c r="D461" s="11" t="inlineStr">
        <is>
          <t>-</t>
        </is>
      </c>
      <c r="E461" s="11" t="inlineStr">
        <is>
          <t>-</t>
        </is>
      </c>
      <c r="F461" s="11" t="inlineStr">
        <is>
          <t>-</t>
        </is>
      </c>
      <c r="G461" s="11" t="inlineStr">
        <is>
          <t>-</t>
        </is>
      </c>
      <c r="H461" s="11" t="inlineStr">
        <is>
          <t>-</t>
        </is>
      </c>
      <c r="I461" s="11" t="inlineStr">
        <is>
          <t>-</t>
        </is>
      </c>
      <c r="J461" s="11" t="inlineStr">
        <is>
          <t>-</t>
        </is>
      </c>
      <c r="K461" s="11" t="inlineStr">
        <is>
          <t>-</t>
        </is>
      </c>
      <c r="L461" s="11" t="inlineStr">
        <is>
          <t>-</t>
        </is>
      </c>
      <c r="M461" s="11" t="inlineStr">
        <is>
          <t>-</t>
        </is>
      </c>
      <c r="N461" s="11" t="inlineStr">
        <is>
          <t>-</t>
        </is>
      </c>
      <c r="O461" s="11" t="inlineStr">
        <is>
          <t>-</t>
        </is>
      </c>
      <c r="P461" s="11" t="inlineStr">
        <is>
          <t>-</t>
        </is>
      </c>
      <c r="Q461" s="12" t="inlineStr">
        <is>
          <t>-</t>
        </is>
      </c>
    </row>
    <row r="462">
      <c r="A462" s="47" t="n"/>
      <c r="B462" s="13" t="inlineStr">
        <is>
          <t>-</t>
        </is>
      </c>
      <c r="C462" s="14" t="inlineStr">
        <is>
          <t>-</t>
        </is>
      </c>
      <c r="D462" s="14" t="inlineStr">
        <is>
          <t>-</t>
        </is>
      </c>
      <c r="E462" s="14" t="inlineStr">
        <is>
          <t>-</t>
        </is>
      </c>
      <c r="F462" s="14" t="inlineStr">
        <is>
          <t>-</t>
        </is>
      </c>
      <c r="G462" s="14" t="inlineStr">
        <is>
          <t>-</t>
        </is>
      </c>
      <c r="H462" s="14" t="inlineStr">
        <is>
          <t>-</t>
        </is>
      </c>
      <c r="I462" s="14" t="inlineStr">
        <is>
          <t>-</t>
        </is>
      </c>
      <c r="J462" s="14" t="inlineStr">
        <is>
          <t>-</t>
        </is>
      </c>
      <c r="K462" s="14" t="inlineStr">
        <is>
          <t>-</t>
        </is>
      </c>
      <c r="L462" s="14" t="inlineStr">
        <is>
          <t>-</t>
        </is>
      </c>
      <c r="M462" s="14" t="inlineStr">
        <is>
          <t>-</t>
        </is>
      </c>
      <c r="N462" s="14" t="inlineStr">
        <is>
          <t>-</t>
        </is>
      </c>
      <c r="O462" s="14" t="inlineStr">
        <is>
          <t>-</t>
        </is>
      </c>
      <c r="P462" s="14" t="inlineStr">
        <is>
          <t>-</t>
        </is>
      </c>
      <c r="Q462" s="15" t="inlineStr">
        <is>
          <t>-</t>
        </is>
      </c>
    </row>
    <row r="463">
      <c r="A463" s="47" t="n"/>
      <c r="B463" s="16" t="inlineStr">
        <is>
          <t>-</t>
        </is>
      </c>
      <c r="C463" s="11" t="inlineStr">
        <is>
          <t>-</t>
        </is>
      </c>
      <c r="D463" s="11" t="inlineStr">
        <is>
          <t>-</t>
        </is>
      </c>
      <c r="E463" s="11" t="inlineStr">
        <is>
          <t>-</t>
        </is>
      </c>
      <c r="F463" s="11" t="inlineStr">
        <is>
          <t>-</t>
        </is>
      </c>
      <c r="G463" s="11" t="inlineStr">
        <is>
          <t>-</t>
        </is>
      </c>
      <c r="H463" s="11" t="inlineStr">
        <is>
          <t>-</t>
        </is>
      </c>
      <c r="I463" s="11" t="inlineStr">
        <is>
          <t>-</t>
        </is>
      </c>
      <c r="J463" s="11" t="inlineStr">
        <is>
          <t>-</t>
        </is>
      </c>
      <c r="K463" s="11" t="inlineStr">
        <is>
          <t>-</t>
        </is>
      </c>
      <c r="L463" s="11" t="inlineStr">
        <is>
          <t>-</t>
        </is>
      </c>
      <c r="M463" s="11" t="inlineStr">
        <is>
          <t>-</t>
        </is>
      </c>
      <c r="N463" s="11" t="inlineStr">
        <is>
          <t>-</t>
        </is>
      </c>
      <c r="O463" s="11" t="inlineStr">
        <is>
          <t>-</t>
        </is>
      </c>
      <c r="P463" s="11" t="inlineStr">
        <is>
          <t>-</t>
        </is>
      </c>
      <c r="Q463" s="12" t="inlineStr">
        <is>
          <t>-</t>
        </is>
      </c>
    </row>
    <row r="464">
      <c r="A464" s="47" t="n"/>
      <c r="B464" s="13" t="inlineStr">
        <is>
          <t>-</t>
        </is>
      </c>
      <c r="C464" s="14" t="inlineStr">
        <is>
          <t>-</t>
        </is>
      </c>
      <c r="D464" s="14" t="inlineStr">
        <is>
          <t>-</t>
        </is>
      </c>
      <c r="E464" s="14" t="inlineStr">
        <is>
          <t>-</t>
        </is>
      </c>
      <c r="F464" s="14" t="inlineStr">
        <is>
          <t>-</t>
        </is>
      </c>
      <c r="G464" s="14" t="inlineStr">
        <is>
          <t>-</t>
        </is>
      </c>
      <c r="H464" s="14" t="inlineStr">
        <is>
          <t>-</t>
        </is>
      </c>
      <c r="I464" s="14" t="inlineStr">
        <is>
          <t>-</t>
        </is>
      </c>
      <c r="J464" s="14" t="inlineStr">
        <is>
          <t>-</t>
        </is>
      </c>
      <c r="K464" s="14" t="inlineStr">
        <is>
          <t>-</t>
        </is>
      </c>
      <c r="L464" s="14" t="inlineStr">
        <is>
          <t>-</t>
        </is>
      </c>
      <c r="M464" s="14" t="inlineStr">
        <is>
          <t>-</t>
        </is>
      </c>
      <c r="N464" s="14" t="inlineStr">
        <is>
          <t>-</t>
        </is>
      </c>
      <c r="O464" s="14" t="inlineStr">
        <is>
          <t>-</t>
        </is>
      </c>
      <c r="P464" s="14" t="inlineStr">
        <is>
          <t>-</t>
        </is>
      </c>
      <c r="Q464" s="15" t="inlineStr">
        <is>
          <t>-</t>
        </is>
      </c>
    </row>
    <row r="465">
      <c r="A465" s="47" t="n"/>
      <c r="B465" s="16" t="inlineStr">
        <is>
          <t>-</t>
        </is>
      </c>
      <c r="C465" s="11" t="inlineStr">
        <is>
          <t>-</t>
        </is>
      </c>
      <c r="D465" s="11" t="inlineStr">
        <is>
          <t>-</t>
        </is>
      </c>
      <c r="E465" s="11" t="inlineStr">
        <is>
          <t>-</t>
        </is>
      </c>
      <c r="F465" s="11" t="inlineStr">
        <is>
          <t>-</t>
        </is>
      </c>
      <c r="G465" s="11" t="inlineStr">
        <is>
          <t>-</t>
        </is>
      </c>
      <c r="H465" s="11" t="inlineStr">
        <is>
          <t>-</t>
        </is>
      </c>
      <c r="I465" s="11" t="inlineStr">
        <is>
          <t>-</t>
        </is>
      </c>
      <c r="J465" s="11" t="inlineStr">
        <is>
          <t>-</t>
        </is>
      </c>
      <c r="K465" s="11" t="inlineStr">
        <is>
          <t>-</t>
        </is>
      </c>
      <c r="L465" s="11" t="inlineStr">
        <is>
          <t>-</t>
        </is>
      </c>
      <c r="M465" s="11" t="inlineStr">
        <is>
          <t>-</t>
        </is>
      </c>
      <c r="N465" s="11" t="inlineStr">
        <is>
          <t>-</t>
        </is>
      </c>
      <c r="O465" s="11" t="inlineStr">
        <is>
          <t>-</t>
        </is>
      </c>
      <c r="P465" s="11" t="inlineStr">
        <is>
          <t>-</t>
        </is>
      </c>
      <c r="Q465" s="12" t="inlineStr">
        <is>
          <t>-</t>
        </is>
      </c>
    </row>
    <row r="466" ht="24" customHeight="1" s="155">
      <c r="B466" s="9" t="inlineStr">
        <is>
          <t>crema pasticciera</t>
        </is>
      </c>
      <c r="C466" s="49">
        <f>_xlfn.XLOOKUP(A467,Magazzino!$D$1:$D$1500,Magazzino!$F$1:$F$1500,"",0,1)</f>
        <v/>
      </c>
      <c r="D466" s="50">
        <f>_xlfn.XLOOKUP(A468,Magazzino!$D$1:$D$1500,Magazzino!$F$1:$F$1500,"",0,1)</f>
        <v/>
      </c>
      <c r="E466" s="50">
        <f>_xlfn.XLOOKUP(A469,Magazzino!$D$1:$D$1500,Magazzino!$F$1:$F$1500,"",0,1)</f>
        <v/>
      </c>
      <c r="F466" s="50">
        <f>_xlfn.XLOOKUP(A470,Magazzino!$D$1:$D$1500,Magazzino!$F$1:$F$1500,"",0,1)</f>
        <v/>
      </c>
      <c r="G466" s="50">
        <f>_xlfn.XLOOKUP(A471,Magazzino!$D$1:$D$1500,Magazzino!$F$1:$F$1500,"",0,1)</f>
        <v/>
      </c>
      <c r="H466" s="50">
        <f>_xlfn.XLOOKUP(A472,Magazzino!$D$1:$D$1500,Magazzino!$F$1:$F$1500,"",0,1)</f>
        <v/>
      </c>
      <c r="I466" s="50">
        <f>_xlfn.XLOOKUP(A473,Magazzino!$D$1:$D$1500,Magazzino!$F$1:$F$1500,"",0,1)</f>
        <v/>
      </c>
      <c r="J466" s="50">
        <f>_xlfn.XLOOKUP(A474,Magazzino!$D$1:$D$1500,Magazzino!$F$1:$F$1500,"",0,1)</f>
        <v/>
      </c>
      <c r="K466" s="50">
        <f>_xlfn.XLOOKUP(A475,Magazzino!$D$1:$D$1500,Magazzino!$F$1:$F$1500,"",0,1)</f>
        <v/>
      </c>
      <c r="L466" s="50">
        <f>_xlfn.XLOOKUP(A476,Magazzino!$D$1:$D$1500,Magazzino!$F$1:$F$1500,"",0,1)</f>
        <v/>
      </c>
      <c r="M466" s="50">
        <f>_xlfn.XLOOKUP(A477,Magazzino!$D$1:$D$1500,Magazzino!$F$1:$F$1500,"",0,1)</f>
        <v/>
      </c>
      <c r="N466" s="50">
        <f>_xlfn.XLOOKUP(A478,Magazzino!$D$1:$D$1500,Magazzino!$F$1:$F$1500,"",0,1)</f>
        <v/>
      </c>
      <c r="O466" s="50">
        <f>_xlfn.XLOOKUP(A479,Magazzino!$D$1:$D$1500,Magazzino!$F$1:$F$1500,"",0,1)</f>
        <v/>
      </c>
      <c r="P466" s="50">
        <f>_xlfn.XLOOKUP(A480,Magazzino!$D$1:$D$1500,Magazzino!$F$1:$F$1500,"",0,1)</f>
        <v/>
      </c>
      <c r="Q466" s="51">
        <f>_xlfn.XLOOKUP(A481,Magazzino!$D$1:$D$1500,Magazzino!$F$1:$F$1500,"",0,1)</f>
        <v/>
      </c>
    </row>
    <row r="467">
      <c r="A467" s="47" t="inlineStr">
        <is>
          <t>amido</t>
        </is>
      </c>
      <c r="B467" s="10" t="inlineStr">
        <is>
          <t>-</t>
        </is>
      </c>
      <c r="C467" s="11" t="inlineStr">
        <is>
          <t>-</t>
        </is>
      </c>
      <c r="D467" s="11" t="inlineStr">
        <is>
          <t>-</t>
        </is>
      </c>
      <c r="E467" s="11" t="inlineStr">
        <is>
          <t>-</t>
        </is>
      </c>
      <c r="F467" s="11" t="inlineStr">
        <is>
          <t>-</t>
        </is>
      </c>
      <c r="G467" s="11" t="inlineStr">
        <is>
          <t>-</t>
        </is>
      </c>
      <c r="H467" s="11" t="inlineStr">
        <is>
          <t>-</t>
        </is>
      </c>
      <c r="I467" s="11" t="inlineStr">
        <is>
          <t>-</t>
        </is>
      </c>
      <c r="J467" s="11" t="inlineStr">
        <is>
          <t>-</t>
        </is>
      </c>
      <c r="K467" s="11" t="inlineStr">
        <is>
          <t>-</t>
        </is>
      </c>
      <c r="L467" s="11" t="inlineStr">
        <is>
          <t>-</t>
        </is>
      </c>
      <c r="M467" s="11" t="inlineStr">
        <is>
          <t>-</t>
        </is>
      </c>
      <c r="N467" s="11" t="inlineStr">
        <is>
          <t>-</t>
        </is>
      </c>
      <c r="O467" s="11" t="inlineStr">
        <is>
          <t>-</t>
        </is>
      </c>
      <c r="P467" s="11" t="inlineStr">
        <is>
          <t>-</t>
        </is>
      </c>
      <c r="Q467" s="12" t="inlineStr">
        <is>
          <t>-</t>
        </is>
      </c>
    </row>
    <row r="468">
      <c r="A468" s="47" t="inlineStr">
        <is>
          <t>zucchero semolato</t>
        </is>
      </c>
      <c r="B468" s="13" t="inlineStr">
        <is>
          <t>-</t>
        </is>
      </c>
      <c r="C468" s="14" t="inlineStr">
        <is>
          <t>-</t>
        </is>
      </c>
      <c r="D468" s="14" t="inlineStr">
        <is>
          <t>-</t>
        </is>
      </c>
      <c r="E468" s="14" t="inlineStr">
        <is>
          <t>-</t>
        </is>
      </c>
      <c r="F468" s="14" t="inlineStr">
        <is>
          <t>-</t>
        </is>
      </c>
      <c r="G468" s="14" t="inlineStr">
        <is>
          <t>-</t>
        </is>
      </c>
      <c r="H468" s="14" t="inlineStr">
        <is>
          <t>-</t>
        </is>
      </c>
      <c r="I468" s="14" t="inlineStr">
        <is>
          <t>-</t>
        </is>
      </c>
      <c r="J468" s="14" t="inlineStr">
        <is>
          <t>-</t>
        </is>
      </c>
      <c r="K468" s="14" t="inlineStr">
        <is>
          <t>-</t>
        </is>
      </c>
      <c r="L468" s="14" t="inlineStr">
        <is>
          <t>-</t>
        </is>
      </c>
      <c r="M468" s="14" t="inlineStr">
        <is>
          <t>-</t>
        </is>
      </c>
      <c r="N468" s="14" t="inlineStr">
        <is>
          <t>-</t>
        </is>
      </c>
      <c r="O468" s="14" t="inlineStr">
        <is>
          <t>-</t>
        </is>
      </c>
      <c r="P468" s="14" t="inlineStr">
        <is>
          <t>-</t>
        </is>
      </c>
      <c r="Q468" s="15" t="inlineStr">
        <is>
          <t>-</t>
        </is>
      </c>
    </row>
    <row r="469">
      <c r="A469" s="47" t="inlineStr">
        <is>
          <t>tuorlo d'uovo pastorizzato</t>
        </is>
      </c>
      <c r="B469" s="16" t="inlineStr">
        <is>
          <t>-</t>
        </is>
      </c>
      <c r="C469" s="11" t="inlineStr">
        <is>
          <t>-</t>
        </is>
      </c>
      <c r="D469" s="11" t="inlineStr">
        <is>
          <t>-</t>
        </is>
      </c>
      <c r="E469" s="11" t="inlineStr">
        <is>
          <t>-</t>
        </is>
      </c>
      <c r="F469" s="11" t="inlineStr">
        <is>
          <t>-</t>
        </is>
      </c>
      <c r="G469" s="11" t="inlineStr">
        <is>
          <t>-</t>
        </is>
      </c>
      <c r="H469" s="11" t="inlineStr">
        <is>
          <t>-</t>
        </is>
      </c>
      <c r="I469" s="11" t="inlineStr">
        <is>
          <t>-</t>
        </is>
      </c>
      <c r="J469" s="11" t="inlineStr">
        <is>
          <t>-</t>
        </is>
      </c>
      <c r="K469" s="11" t="inlineStr">
        <is>
          <t>-</t>
        </is>
      </c>
      <c r="L469" s="11" t="inlineStr">
        <is>
          <t>-</t>
        </is>
      </c>
      <c r="M469" s="11" t="inlineStr">
        <is>
          <t>-</t>
        </is>
      </c>
      <c r="N469" s="11" t="inlineStr">
        <is>
          <t>-</t>
        </is>
      </c>
      <c r="O469" s="11" t="inlineStr">
        <is>
          <t>-</t>
        </is>
      </c>
      <c r="P469" s="11" t="inlineStr">
        <is>
          <t>-</t>
        </is>
      </c>
      <c r="Q469" s="12" t="inlineStr">
        <is>
          <t>-</t>
        </is>
      </c>
    </row>
    <row r="470">
      <c r="A470" s="47" t="inlineStr">
        <is>
          <t>latte   1500 int.uht  yma</t>
        </is>
      </c>
      <c r="B470" s="13" t="inlineStr">
        <is>
          <t>-</t>
        </is>
      </c>
      <c r="C470" s="14" t="inlineStr">
        <is>
          <t>-</t>
        </is>
      </c>
      <c r="D470" s="14" t="inlineStr">
        <is>
          <t>-</t>
        </is>
      </c>
      <c r="E470" s="14" t="inlineStr">
        <is>
          <t>-</t>
        </is>
      </c>
      <c r="F470" s="14" t="inlineStr">
        <is>
          <t>-</t>
        </is>
      </c>
      <c r="G470" s="14" t="inlineStr">
        <is>
          <t>-</t>
        </is>
      </c>
      <c r="H470" s="14" t="inlineStr">
        <is>
          <t>-</t>
        </is>
      </c>
      <c r="I470" s="14" t="inlineStr">
        <is>
          <t>-</t>
        </is>
      </c>
      <c r="J470" s="14" t="inlineStr">
        <is>
          <t>-</t>
        </is>
      </c>
      <c r="K470" s="14" t="inlineStr">
        <is>
          <t>-</t>
        </is>
      </c>
      <c r="L470" s="14" t="inlineStr">
        <is>
          <t>-</t>
        </is>
      </c>
      <c r="M470" s="14" t="inlineStr">
        <is>
          <t>-</t>
        </is>
      </c>
      <c r="N470" s="14" t="inlineStr">
        <is>
          <t>-</t>
        </is>
      </c>
      <c r="O470" s="14" t="inlineStr">
        <is>
          <t>-</t>
        </is>
      </c>
      <c r="P470" s="14" t="inlineStr">
        <is>
          <t>-</t>
        </is>
      </c>
      <c r="Q470" s="15" t="inlineStr">
        <is>
          <t>-</t>
        </is>
      </c>
    </row>
    <row r="471">
      <c r="A471" s="47" t="n"/>
      <c r="B471" s="16" t="inlineStr">
        <is>
          <t>-</t>
        </is>
      </c>
      <c r="C471" s="11" t="inlineStr">
        <is>
          <t>-</t>
        </is>
      </c>
      <c r="D471" s="11" t="inlineStr">
        <is>
          <t>-</t>
        </is>
      </c>
      <c r="E471" s="11" t="inlineStr">
        <is>
          <t>-</t>
        </is>
      </c>
      <c r="F471" s="11" t="inlineStr">
        <is>
          <t>-</t>
        </is>
      </c>
      <c r="G471" s="11" t="inlineStr">
        <is>
          <t>-</t>
        </is>
      </c>
      <c r="H471" s="11" t="inlineStr">
        <is>
          <t>-</t>
        </is>
      </c>
      <c r="I471" s="11" t="inlineStr">
        <is>
          <t>-</t>
        </is>
      </c>
      <c r="J471" s="11" t="inlineStr">
        <is>
          <t>-</t>
        </is>
      </c>
      <c r="K471" s="11" t="inlineStr">
        <is>
          <t>-</t>
        </is>
      </c>
      <c r="L471" s="11" t="inlineStr">
        <is>
          <t>-</t>
        </is>
      </c>
      <c r="M471" s="11" t="inlineStr">
        <is>
          <t>-</t>
        </is>
      </c>
      <c r="N471" s="11" t="inlineStr">
        <is>
          <t>-</t>
        </is>
      </c>
      <c r="O471" s="11" t="inlineStr">
        <is>
          <t>-</t>
        </is>
      </c>
      <c r="P471" s="11" t="inlineStr">
        <is>
          <t>-</t>
        </is>
      </c>
      <c r="Q471" s="12" t="inlineStr">
        <is>
          <t>-</t>
        </is>
      </c>
    </row>
    <row r="472">
      <c r="A472" s="47" t="n"/>
      <c r="B472" s="13" t="inlineStr">
        <is>
          <t>-</t>
        </is>
      </c>
      <c r="C472" s="14" t="inlineStr">
        <is>
          <t>-</t>
        </is>
      </c>
      <c r="D472" s="14" t="inlineStr">
        <is>
          <t>-</t>
        </is>
      </c>
      <c r="E472" s="14" t="inlineStr">
        <is>
          <t>-</t>
        </is>
      </c>
      <c r="F472" s="14" t="inlineStr">
        <is>
          <t>-</t>
        </is>
      </c>
      <c r="G472" s="14" t="inlineStr">
        <is>
          <t>-</t>
        </is>
      </c>
      <c r="H472" s="14" t="inlineStr">
        <is>
          <t>-</t>
        </is>
      </c>
      <c r="I472" s="14" t="inlineStr">
        <is>
          <t>-</t>
        </is>
      </c>
      <c r="J472" s="14" t="inlineStr">
        <is>
          <t>-</t>
        </is>
      </c>
      <c r="K472" s="14" t="inlineStr">
        <is>
          <t>-</t>
        </is>
      </c>
      <c r="L472" s="14" t="inlineStr">
        <is>
          <t>-</t>
        </is>
      </c>
      <c r="M472" s="14" t="inlineStr">
        <is>
          <t>-</t>
        </is>
      </c>
      <c r="N472" s="14" t="inlineStr">
        <is>
          <t>-</t>
        </is>
      </c>
      <c r="O472" s="14" t="inlineStr">
        <is>
          <t>-</t>
        </is>
      </c>
      <c r="P472" s="14" t="inlineStr">
        <is>
          <t>-</t>
        </is>
      </c>
      <c r="Q472" s="15" t="inlineStr">
        <is>
          <t>-</t>
        </is>
      </c>
    </row>
    <row r="473">
      <c r="A473" s="47" t="n"/>
      <c r="B473" s="16" t="inlineStr">
        <is>
          <t>-</t>
        </is>
      </c>
      <c r="C473" s="11" t="inlineStr">
        <is>
          <t>-</t>
        </is>
      </c>
      <c r="D473" s="11" t="inlineStr">
        <is>
          <t>-</t>
        </is>
      </c>
      <c r="E473" s="11" t="inlineStr">
        <is>
          <t>-</t>
        </is>
      </c>
      <c r="F473" s="11" t="inlineStr">
        <is>
          <t>-</t>
        </is>
      </c>
      <c r="G473" s="11" t="inlineStr">
        <is>
          <t>-</t>
        </is>
      </c>
      <c r="H473" s="11" t="inlineStr">
        <is>
          <t>-</t>
        </is>
      </c>
      <c r="I473" s="11" t="inlineStr">
        <is>
          <t>-</t>
        </is>
      </c>
      <c r="J473" s="11" t="inlineStr">
        <is>
          <t>-</t>
        </is>
      </c>
      <c r="K473" s="11" t="inlineStr">
        <is>
          <t>-</t>
        </is>
      </c>
      <c r="L473" s="11" t="inlineStr">
        <is>
          <t>-</t>
        </is>
      </c>
      <c r="M473" s="11" t="inlineStr">
        <is>
          <t>-</t>
        </is>
      </c>
      <c r="N473" s="11" t="inlineStr">
        <is>
          <t>-</t>
        </is>
      </c>
      <c r="O473" s="11" t="inlineStr">
        <is>
          <t>-</t>
        </is>
      </c>
      <c r="P473" s="11" t="inlineStr">
        <is>
          <t>-</t>
        </is>
      </c>
      <c r="Q473" s="12" t="inlineStr">
        <is>
          <t>-</t>
        </is>
      </c>
    </row>
    <row r="474">
      <c r="A474" s="47" t="n"/>
      <c r="B474" s="13" t="inlineStr">
        <is>
          <t>-</t>
        </is>
      </c>
      <c r="C474" s="14" t="inlineStr">
        <is>
          <t>-</t>
        </is>
      </c>
      <c r="D474" s="14" t="inlineStr">
        <is>
          <t>-</t>
        </is>
      </c>
      <c r="E474" s="14" t="inlineStr">
        <is>
          <t>-</t>
        </is>
      </c>
      <c r="F474" s="14" t="inlineStr">
        <is>
          <t>-</t>
        </is>
      </c>
      <c r="G474" s="14" t="inlineStr">
        <is>
          <t>-</t>
        </is>
      </c>
      <c r="H474" s="14" t="inlineStr">
        <is>
          <t>-</t>
        </is>
      </c>
      <c r="I474" s="14" t="inlineStr">
        <is>
          <t>-</t>
        </is>
      </c>
      <c r="J474" s="14" t="inlineStr">
        <is>
          <t>-</t>
        </is>
      </c>
      <c r="K474" s="14" t="inlineStr">
        <is>
          <t>-</t>
        </is>
      </c>
      <c r="L474" s="14" t="inlineStr">
        <is>
          <t>-</t>
        </is>
      </c>
      <c r="M474" s="14" t="inlineStr">
        <is>
          <t>-</t>
        </is>
      </c>
      <c r="N474" s="14" t="inlineStr">
        <is>
          <t>-</t>
        </is>
      </c>
      <c r="O474" s="14" t="inlineStr">
        <is>
          <t>-</t>
        </is>
      </c>
      <c r="P474" s="14" t="inlineStr">
        <is>
          <t>-</t>
        </is>
      </c>
      <c r="Q474" s="15" t="inlineStr">
        <is>
          <t>-</t>
        </is>
      </c>
    </row>
    <row r="475">
      <c r="A475" s="47" t="n"/>
      <c r="B475" s="16" t="inlineStr">
        <is>
          <t>-</t>
        </is>
      </c>
      <c r="C475" s="11" t="inlineStr">
        <is>
          <t>-</t>
        </is>
      </c>
      <c r="D475" s="11" t="inlineStr">
        <is>
          <t>-</t>
        </is>
      </c>
      <c r="E475" s="11" t="inlineStr">
        <is>
          <t>-</t>
        </is>
      </c>
      <c r="F475" s="11" t="inlineStr">
        <is>
          <t>-</t>
        </is>
      </c>
      <c r="G475" s="11" t="inlineStr">
        <is>
          <t>-</t>
        </is>
      </c>
      <c r="H475" s="11" t="inlineStr">
        <is>
          <t>-</t>
        </is>
      </c>
      <c r="I475" s="11" t="inlineStr">
        <is>
          <t>-</t>
        </is>
      </c>
      <c r="J475" s="11" t="inlineStr">
        <is>
          <t>-</t>
        </is>
      </c>
      <c r="K475" s="11" t="inlineStr">
        <is>
          <t>-</t>
        </is>
      </c>
      <c r="L475" s="11" t="inlineStr">
        <is>
          <t>-</t>
        </is>
      </c>
      <c r="M475" s="11" t="inlineStr">
        <is>
          <t>-</t>
        </is>
      </c>
      <c r="N475" s="11" t="inlineStr">
        <is>
          <t>-</t>
        </is>
      </c>
      <c r="O475" s="11" t="inlineStr">
        <is>
          <t>-</t>
        </is>
      </c>
      <c r="P475" s="11" t="inlineStr">
        <is>
          <t>-</t>
        </is>
      </c>
      <c r="Q475" s="12" t="inlineStr">
        <is>
          <t>-</t>
        </is>
      </c>
    </row>
    <row r="476">
      <c r="A476" s="47" t="n"/>
      <c r="B476" s="13" t="inlineStr">
        <is>
          <t>-</t>
        </is>
      </c>
      <c r="C476" s="14" t="inlineStr">
        <is>
          <t>-</t>
        </is>
      </c>
      <c r="D476" s="14" t="inlineStr">
        <is>
          <t>-</t>
        </is>
      </c>
      <c r="E476" s="14" t="inlineStr">
        <is>
          <t>-</t>
        </is>
      </c>
      <c r="F476" s="14" t="inlineStr">
        <is>
          <t>-</t>
        </is>
      </c>
      <c r="G476" s="14" t="inlineStr">
        <is>
          <t>-</t>
        </is>
      </c>
      <c r="H476" s="14" t="inlineStr">
        <is>
          <t>-</t>
        </is>
      </c>
      <c r="I476" s="14" t="inlineStr">
        <is>
          <t>-</t>
        </is>
      </c>
      <c r="J476" s="14" t="inlineStr">
        <is>
          <t>-</t>
        </is>
      </c>
      <c r="K476" s="14" t="inlineStr">
        <is>
          <t>-</t>
        </is>
      </c>
      <c r="L476" s="14" t="inlineStr">
        <is>
          <t>-</t>
        </is>
      </c>
      <c r="M476" s="14" t="inlineStr">
        <is>
          <t>-</t>
        </is>
      </c>
      <c r="N476" s="14" t="inlineStr">
        <is>
          <t>-</t>
        </is>
      </c>
      <c r="O476" s="14" t="inlineStr">
        <is>
          <t>-</t>
        </is>
      </c>
      <c r="P476" s="14" t="inlineStr">
        <is>
          <t>-</t>
        </is>
      </c>
      <c r="Q476" s="15" t="inlineStr">
        <is>
          <t>-</t>
        </is>
      </c>
    </row>
    <row r="477">
      <c r="A477" s="47" t="n"/>
      <c r="B477" s="16" t="inlineStr">
        <is>
          <t>-</t>
        </is>
      </c>
      <c r="C477" s="11" t="inlineStr">
        <is>
          <t>-</t>
        </is>
      </c>
      <c r="D477" s="11" t="inlineStr">
        <is>
          <t>-</t>
        </is>
      </c>
      <c r="E477" s="11" t="inlineStr">
        <is>
          <t>-</t>
        </is>
      </c>
      <c r="F477" s="11" t="inlineStr">
        <is>
          <t>-</t>
        </is>
      </c>
      <c r="G477" s="11" t="inlineStr">
        <is>
          <t>-</t>
        </is>
      </c>
      <c r="H477" s="11" t="inlineStr">
        <is>
          <t>-</t>
        </is>
      </c>
      <c r="I477" s="11" t="inlineStr">
        <is>
          <t>-</t>
        </is>
      </c>
      <c r="J477" s="11" t="inlineStr">
        <is>
          <t>-</t>
        </is>
      </c>
      <c r="K477" s="11" t="inlineStr">
        <is>
          <t>-</t>
        </is>
      </c>
      <c r="L477" s="11" t="inlineStr">
        <is>
          <t>-</t>
        </is>
      </c>
      <c r="M477" s="11" t="inlineStr">
        <is>
          <t>-</t>
        </is>
      </c>
      <c r="N477" s="11" t="inlineStr">
        <is>
          <t>-</t>
        </is>
      </c>
      <c r="O477" s="11" t="inlineStr">
        <is>
          <t>-</t>
        </is>
      </c>
      <c r="P477" s="11" t="inlineStr">
        <is>
          <t>-</t>
        </is>
      </c>
      <c r="Q477" s="12" t="inlineStr">
        <is>
          <t>-</t>
        </is>
      </c>
    </row>
    <row r="478">
      <c r="A478" s="47" t="n"/>
      <c r="B478" s="13" t="inlineStr">
        <is>
          <t>-</t>
        </is>
      </c>
      <c r="C478" s="14" t="inlineStr">
        <is>
          <t>-</t>
        </is>
      </c>
      <c r="D478" s="14" t="inlineStr">
        <is>
          <t>-</t>
        </is>
      </c>
      <c r="E478" s="14" t="inlineStr">
        <is>
          <t>-</t>
        </is>
      </c>
      <c r="F478" s="14" t="inlineStr">
        <is>
          <t>-</t>
        </is>
      </c>
      <c r="G478" s="14" t="inlineStr">
        <is>
          <t>-</t>
        </is>
      </c>
      <c r="H478" s="14" t="inlineStr">
        <is>
          <t>-</t>
        </is>
      </c>
      <c r="I478" s="14" t="inlineStr">
        <is>
          <t>-</t>
        </is>
      </c>
      <c r="J478" s="14" t="inlineStr">
        <is>
          <t>-</t>
        </is>
      </c>
      <c r="K478" s="14" t="inlineStr">
        <is>
          <t>-</t>
        </is>
      </c>
      <c r="L478" s="14" t="inlineStr">
        <is>
          <t>-</t>
        </is>
      </c>
      <c r="M478" s="14" t="inlineStr">
        <is>
          <t>-</t>
        </is>
      </c>
      <c r="N478" s="14" t="inlineStr">
        <is>
          <t>-</t>
        </is>
      </c>
      <c r="O478" s="14" t="inlineStr">
        <is>
          <t>-</t>
        </is>
      </c>
      <c r="P478" s="14" t="inlineStr">
        <is>
          <t>-</t>
        </is>
      </c>
      <c r="Q478" s="15" t="inlineStr">
        <is>
          <t>-</t>
        </is>
      </c>
    </row>
    <row r="479">
      <c r="A479" s="47" t="n"/>
      <c r="B479" s="16" t="inlineStr">
        <is>
          <t>-</t>
        </is>
      </c>
      <c r="C479" s="11" t="inlineStr">
        <is>
          <t>-</t>
        </is>
      </c>
      <c r="D479" s="11" t="inlineStr">
        <is>
          <t>-</t>
        </is>
      </c>
      <c r="E479" s="11" t="inlineStr">
        <is>
          <t>-</t>
        </is>
      </c>
      <c r="F479" s="11" t="inlineStr">
        <is>
          <t>-</t>
        </is>
      </c>
      <c r="G479" s="11" t="inlineStr">
        <is>
          <t>-</t>
        </is>
      </c>
      <c r="H479" s="11" t="inlineStr">
        <is>
          <t>-</t>
        </is>
      </c>
      <c r="I479" s="11" t="inlineStr">
        <is>
          <t>-</t>
        </is>
      </c>
      <c r="J479" s="11" t="inlineStr">
        <is>
          <t>-</t>
        </is>
      </c>
      <c r="K479" s="11" t="inlineStr">
        <is>
          <t>-</t>
        </is>
      </c>
      <c r="L479" s="11" t="inlineStr">
        <is>
          <t>-</t>
        </is>
      </c>
      <c r="M479" s="11" t="inlineStr">
        <is>
          <t>-</t>
        </is>
      </c>
      <c r="N479" s="11" t="inlineStr">
        <is>
          <t>-</t>
        </is>
      </c>
      <c r="O479" s="11" t="inlineStr">
        <is>
          <t>-</t>
        </is>
      </c>
      <c r="P479" s="11" t="inlineStr">
        <is>
          <t>-</t>
        </is>
      </c>
      <c r="Q479" s="12" t="inlineStr">
        <is>
          <t>-</t>
        </is>
      </c>
    </row>
    <row r="480">
      <c r="A480" s="47" t="n"/>
      <c r="B480" s="13" t="inlineStr">
        <is>
          <t>-</t>
        </is>
      </c>
      <c r="C480" s="14" t="inlineStr">
        <is>
          <t>-</t>
        </is>
      </c>
      <c r="D480" s="14" t="inlineStr">
        <is>
          <t>-</t>
        </is>
      </c>
      <c r="E480" s="14" t="inlineStr">
        <is>
          <t>-</t>
        </is>
      </c>
      <c r="F480" s="14" t="inlineStr">
        <is>
          <t>-</t>
        </is>
      </c>
      <c r="G480" s="14" t="inlineStr">
        <is>
          <t>-</t>
        </is>
      </c>
      <c r="H480" s="14" t="inlineStr">
        <is>
          <t>-</t>
        </is>
      </c>
      <c r="I480" s="14" t="inlineStr">
        <is>
          <t>-</t>
        </is>
      </c>
      <c r="J480" s="14" t="inlineStr">
        <is>
          <t>-</t>
        </is>
      </c>
      <c r="K480" s="14" t="inlineStr">
        <is>
          <t>-</t>
        </is>
      </c>
      <c r="L480" s="14" t="inlineStr">
        <is>
          <t>-</t>
        </is>
      </c>
      <c r="M480" s="14" t="inlineStr">
        <is>
          <t>-</t>
        </is>
      </c>
      <c r="N480" s="14" t="inlineStr">
        <is>
          <t>-</t>
        </is>
      </c>
      <c r="O480" s="14" t="inlineStr">
        <is>
          <t>-</t>
        </is>
      </c>
      <c r="P480" s="14" t="inlineStr">
        <is>
          <t>-</t>
        </is>
      </c>
      <c r="Q480" s="15" t="inlineStr">
        <is>
          <t>-</t>
        </is>
      </c>
    </row>
    <row r="481">
      <c r="A481" s="47" t="n"/>
      <c r="B481" s="16" t="inlineStr">
        <is>
          <t>-</t>
        </is>
      </c>
      <c r="C481" s="11" t="inlineStr">
        <is>
          <t>-</t>
        </is>
      </c>
      <c r="D481" s="11" t="inlineStr">
        <is>
          <t>-</t>
        </is>
      </c>
      <c r="E481" s="11" t="inlineStr">
        <is>
          <t>-</t>
        </is>
      </c>
      <c r="F481" s="11" t="inlineStr">
        <is>
          <t>-</t>
        </is>
      </c>
      <c r="G481" s="11" t="inlineStr">
        <is>
          <t>-</t>
        </is>
      </c>
      <c r="H481" s="11" t="inlineStr">
        <is>
          <t>-</t>
        </is>
      </c>
      <c r="I481" s="11" t="inlineStr">
        <is>
          <t>-</t>
        </is>
      </c>
      <c r="J481" s="11" t="inlineStr">
        <is>
          <t>-</t>
        </is>
      </c>
      <c r="K481" s="11" t="inlineStr">
        <is>
          <t>-</t>
        </is>
      </c>
      <c r="L481" s="11" t="inlineStr">
        <is>
          <t>-</t>
        </is>
      </c>
      <c r="M481" s="11" t="inlineStr">
        <is>
          <t>-</t>
        </is>
      </c>
      <c r="N481" s="11" t="inlineStr">
        <is>
          <t>-</t>
        </is>
      </c>
      <c r="O481" s="11" t="inlineStr">
        <is>
          <t>-</t>
        </is>
      </c>
      <c r="P481" s="11" t="inlineStr">
        <is>
          <t>-</t>
        </is>
      </c>
      <c r="Q481" s="12" t="inlineStr">
        <is>
          <t>-</t>
        </is>
      </c>
    </row>
    <row r="482" ht="36" customHeight="1" s="155">
      <c r="B482" s="9" t="inlineStr">
        <is>
          <t>babà</t>
        </is>
      </c>
      <c r="C482" s="49">
        <f>_xlfn.XLOOKUP(A483,Magazzino!$D$1:$D$1500,Magazzino!$F$1:$F$1500,"",0,1)</f>
        <v/>
      </c>
      <c r="D482" s="50">
        <f>_xlfn.XLOOKUP(A484,Magazzino!$D$1:$D$1500,Magazzino!$F$1:$F$1500,"",0,1)</f>
        <v/>
      </c>
      <c r="E482" s="50">
        <f>_xlfn.XLOOKUP(A485,Magazzino!$D$1:$D$1500,Magazzino!$F$1:$F$1500,"",0,1)</f>
        <v/>
      </c>
      <c r="F482" s="50">
        <f>_xlfn.XLOOKUP(A486,Magazzino!$D$1:$D$1500,Magazzino!$F$1:$F$1500,"",0,1)</f>
        <v/>
      </c>
      <c r="G482" s="50">
        <f>_xlfn.XLOOKUP(A487,Magazzino!$D$1:$D$1500,Magazzino!$F$1:$F$1500,"",0,1)</f>
        <v/>
      </c>
      <c r="H482" s="50">
        <f>_xlfn.XLOOKUP(A488,Magazzino!$D$1:$D$1500,Magazzino!$F$1:$F$1500,"",0,1)</f>
        <v/>
      </c>
      <c r="I482" s="50">
        <f>_xlfn.XLOOKUP(A489,Magazzino!$D$1:$D$1500,Magazzino!$F$1:$F$1500,"",0,1)</f>
        <v/>
      </c>
      <c r="J482" s="50">
        <f>_xlfn.XLOOKUP(A490,Magazzino!$D$1:$D$1500,Magazzino!$F$1:$F$1500,"",0,1)</f>
        <v/>
      </c>
      <c r="K482" s="50">
        <f>_xlfn.XLOOKUP(A491,Magazzino!$D$1:$D$1500,Magazzino!$F$1:$F$1500,"",0,1)</f>
        <v/>
      </c>
      <c r="L482" s="50">
        <f>_xlfn.XLOOKUP(A492,Magazzino!$D$1:$D$1500,Magazzino!$F$1:$F$1500,"",0,1)</f>
        <v/>
      </c>
      <c r="M482" s="50">
        <f>_xlfn.XLOOKUP(A493,Magazzino!$D$1:$D$1500,Magazzino!$F$1:$F$1500,"",0,1)</f>
        <v/>
      </c>
      <c r="N482" s="50">
        <f>_xlfn.XLOOKUP(A494,Magazzino!$D$1:$D$1500,Magazzino!$F$1:$F$1500,"",0,1)</f>
        <v/>
      </c>
      <c r="O482" s="50">
        <f>_xlfn.XLOOKUP(A495,Magazzino!$D$1:$D$1500,Magazzino!$F$1:$F$1500,"",0,1)</f>
        <v/>
      </c>
      <c r="P482" s="50">
        <f>_xlfn.XLOOKUP(A496,Magazzino!$D$1:$D$1500,Magazzino!$F$1:$F$1500,"",0,1)</f>
        <v/>
      </c>
      <c r="Q482" s="51">
        <f>_xlfn.XLOOKUP(A497,Magazzino!$D$1:$D$1500,Magazzino!$F$1:$F$1500,"",0,1)</f>
        <v/>
      </c>
    </row>
    <row r="483">
      <c r="A483" s="47" t="inlineStr">
        <is>
          <t xml:space="preserve">FARINA 0/MAN. CAPUTO DA KG.25  </t>
        </is>
      </c>
      <c r="B483" s="10" t="inlineStr">
        <is>
          <t>-</t>
        </is>
      </c>
      <c r="C483" s="11" t="inlineStr">
        <is>
          <t>-</t>
        </is>
      </c>
      <c r="D483" s="11" t="inlineStr">
        <is>
          <t>-</t>
        </is>
      </c>
      <c r="E483" s="11" t="inlineStr">
        <is>
          <t>-</t>
        </is>
      </c>
      <c r="F483" s="11" t="inlineStr">
        <is>
          <t>-</t>
        </is>
      </c>
      <c r="G483" s="11" t="inlineStr">
        <is>
          <t>-</t>
        </is>
      </c>
      <c r="H483" s="11" t="inlineStr">
        <is>
          <t>-</t>
        </is>
      </c>
      <c r="I483" s="11" t="inlineStr">
        <is>
          <t>-</t>
        </is>
      </c>
      <c r="J483" s="11" t="inlineStr">
        <is>
          <t>-</t>
        </is>
      </c>
      <c r="K483" s="11" t="inlineStr">
        <is>
          <t>-</t>
        </is>
      </c>
      <c r="L483" s="11" t="inlineStr">
        <is>
          <t>-</t>
        </is>
      </c>
      <c r="M483" s="11" t="inlineStr">
        <is>
          <t>-</t>
        </is>
      </c>
      <c r="N483" s="11" t="inlineStr">
        <is>
          <t>-</t>
        </is>
      </c>
      <c r="O483" s="11" t="inlineStr">
        <is>
          <t>-</t>
        </is>
      </c>
      <c r="P483" s="11" t="inlineStr">
        <is>
          <t>-</t>
        </is>
      </c>
      <c r="Q483" s="12" t="inlineStr">
        <is>
          <t>-</t>
        </is>
      </c>
    </row>
    <row r="484">
      <c r="A484" s="48" t="inlineStr">
        <is>
          <t xml:space="preserve">SALE SACCHI SALTECHNO KG.25  </t>
        </is>
      </c>
      <c r="B484" s="13" t="inlineStr">
        <is>
          <t>-</t>
        </is>
      </c>
      <c r="C484" s="14" t="inlineStr">
        <is>
          <t>-</t>
        </is>
      </c>
      <c r="D484" s="14" t="inlineStr">
        <is>
          <t>-</t>
        </is>
      </c>
      <c r="E484" s="14" t="inlineStr">
        <is>
          <t>-</t>
        </is>
      </c>
      <c r="F484" s="14" t="inlineStr">
        <is>
          <t>-</t>
        </is>
      </c>
      <c r="G484" s="14" t="inlineStr">
        <is>
          <t>-</t>
        </is>
      </c>
      <c r="H484" s="14" t="inlineStr">
        <is>
          <t>-</t>
        </is>
      </c>
      <c r="I484" s="14" t="inlineStr">
        <is>
          <t>-</t>
        </is>
      </c>
      <c r="J484" s="14" t="inlineStr">
        <is>
          <t>-</t>
        </is>
      </c>
      <c r="K484" s="14" t="inlineStr">
        <is>
          <t>-</t>
        </is>
      </c>
      <c r="L484" s="14" t="inlineStr">
        <is>
          <t>-</t>
        </is>
      </c>
      <c r="M484" s="14" t="inlineStr">
        <is>
          <t>-</t>
        </is>
      </c>
      <c r="N484" s="14" t="inlineStr">
        <is>
          <t>-</t>
        </is>
      </c>
      <c r="O484" s="14" t="inlineStr">
        <is>
          <t>-</t>
        </is>
      </c>
      <c r="P484" s="14" t="inlineStr">
        <is>
          <t>-</t>
        </is>
      </c>
      <c r="Q484" s="15" t="inlineStr">
        <is>
          <t>-</t>
        </is>
      </c>
    </row>
    <row r="485">
      <c r="A485" s="47" t="inlineStr">
        <is>
          <t>margarina crema</t>
        </is>
      </c>
      <c r="B485" s="16" t="inlineStr">
        <is>
          <t>-</t>
        </is>
      </c>
      <c r="C485" s="11" t="inlineStr">
        <is>
          <t>-</t>
        </is>
      </c>
      <c r="D485" s="11" t="inlineStr">
        <is>
          <t>-</t>
        </is>
      </c>
      <c r="E485" s="11" t="inlineStr">
        <is>
          <t>-</t>
        </is>
      </c>
      <c r="F485" s="11" t="inlineStr">
        <is>
          <t>-</t>
        </is>
      </c>
      <c r="G485" s="11" t="inlineStr">
        <is>
          <t>-</t>
        </is>
      </c>
      <c r="H485" s="11" t="inlineStr">
        <is>
          <t>-</t>
        </is>
      </c>
      <c r="I485" s="11" t="inlineStr">
        <is>
          <t>-</t>
        </is>
      </c>
      <c r="J485" s="11" t="inlineStr">
        <is>
          <t>-</t>
        </is>
      </c>
      <c r="K485" s="11" t="inlineStr">
        <is>
          <t>-</t>
        </is>
      </c>
      <c r="L485" s="11" t="inlineStr">
        <is>
          <t>-</t>
        </is>
      </c>
      <c r="M485" s="11" t="inlineStr">
        <is>
          <t>-</t>
        </is>
      </c>
      <c r="N485" s="11" t="inlineStr">
        <is>
          <t>-</t>
        </is>
      </c>
      <c r="O485" s="11" t="inlineStr">
        <is>
          <t>-</t>
        </is>
      </c>
      <c r="P485" s="11" t="inlineStr">
        <is>
          <t>-</t>
        </is>
      </c>
      <c r="Q485" s="12" t="inlineStr">
        <is>
          <t>-</t>
        </is>
      </c>
    </row>
    <row r="486">
      <c r="A486" s="47" t="inlineStr">
        <is>
          <t>tuorlo d'uovo pastorizzato</t>
        </is>
      </c>
      <c r="B486" s="13" t="inlineStr">
        <is>
          <t>-</t>
        </is>
      </c>
      <c r="C486" s="14" t="inlineStr">
        <is>
          <t>-</t>
        </is>
      </c>
      <c r="D486" s="14" t="inlineStr">
        <is>
          <t>-</t>
        </is>
      </c>
      <c r="E486" s="14" t="inlineStr">
        <is>
          <t>-</t>
        </is>
      </c>
      <c r="F486" s="14" t="inlineStr">
        <is>
          <t>-</t>
        </is>
      </c>
      <c r="G486" s="14" t="inlineStr">
        <is>
          <t>-</t>
        </is>
      </c>
      <c r="H486" s="14" t="inlineStr">
        <is>
          <t>-</t>
        </is>
      </c>
      <c r="I486" s="14" t="inlineStr">
        <is>
          <t>-</t>
        </is>
      </c>
      <c r="J486" s="14" t="inlineStr">
        <is>
          <t>-</t>
        </is>
      </c>
      <c r="K486" s="14" t="inlineStr">
        <is>
          <t>-</t>
        </is>
      </c>
      <c r="L486" s="14" t="inlineStr">
        <is>
          <t>-</t>
        </is>
      </c>
      <c r="M486" s="14" t="inlineStr">
        <is>
          <t>-</t>
        </is>
      </c>
      <c r="N486" s="14" t="inlineStr">
        <is>
          <t>-</t>
        </is>
      </c>
      <c r="O486" s="14" t="inlineStr">
        <is>
          <t>-</t>
        </is>
      </c>
      <c r="P486" s="14" t="inlineStr">
        <is>
          <t>-</t>
        </is>
      </c>
      <c r="Q486" s="15" t="inlineStr">
        <is>
          <t>-</t>
        </is>
      </c>
    </row>
    <row r="487">
      <c r="A487" s="47" t="inlineStr">
        <is>
          <t>LIEVITO x 2.5kg</t>
        </is>
      </c>
      <c r="B487" s="16" t="inlineStr">
        <is>
          <t>-</t>
        </is>
      </c>
      <c r="C487" s="11" t="inlineStr">
        <is>
          <t>-</t>
        </is>
      </c>
      <c r="D487" s="11" t="inlineStr">
        <is>
          <t>-</t>
        </is>
      </c>
      <c r="E487" s="11" t="inlineStr">
        <is>
          <t>-</t>
        </is>
      </c>
      <c r="F487" s="11" t="inlineStr">
        <is>
          <t>-</t>
        </is>
      </c>
      <c r="G487" s="11" t="inlineStr">
        <is>
          <t>-</t>
        </is>
      </c>
      <c r="H487" s="11" t="inlineStr">
        <is>
          <t>-</t>
        </is>
      </c>
      <c r="I487" s="11" t="inlineStr">
        <is>
          <t>-</t>
        </is>
      </c>
      <c r="J487" s="11" t="inlineStr">
        <is>
          <t>-</t>
        </is>
      </c>
      <c r="K487" s="11" t="inlineStr">
        <is>
          <t>-</t>
        </is>
      </c>
      <c r="L487" s="11" t="inlineStr">
        <is>
          <t>-</t>
        </is>
      </c>
      <c r="M487" s="11" t="inlineStr">
        <is>
          <t>-</t>
        </is>
      </c>
      <c r="N487" s="11" t="inlineStr">
        <is>
          <t>-</t>
        </is>
      </c>
      <c r="O487" s="11" t="inlineStr">
        <is>
          <t>-</t>
        </is>
      </c>
      <c r="P487" s="11" t="inlineStr">
        <is>
          <t>-</t>
        </is>
      </c>
      <c r="Q487" s="12" t="inlineStr">
        <is>
          <t>-</t>
        </is>
      </c>
    </row>
    <row r="488">
      <c r="A488" s="47" t="n"/>
      <c r="B488" s="13" t="inlineStr">
        <is>
          <t>-</t>
        </is>
      </c>
      <c r="C488" s="14" t="inlineStr">
        <is>
          <t>-</t>
        </is>
      </c>
      <c r="D488" s="14" t="inlineStr">
        <is>
          <t>-</t>
        </is>
      </c>
      <c r="E488" s="14" t="inlineStr">
        <is>
          <t>-</t>
        </is>
      </c>
      <c r="F488" s="14" t="inlineStr">
        <is>
          <t>-</t>
        </is>
      </c>
      <c r="G488" s="14" t="inlineStr">
        <is>
          <t>-</t>
        </is>
      </c>
      <c r="H488" s="14" t="inlineStr">
        <is>
          <t>-</t>
        </is>
      </c>
      <c r="I488" s="14" t="inlineStr">
        <is>
          <t>-</t>
        </is>
      </c>
      <c r="J488" s="14" t="inlineStr">
        <is>
          <t>-</t>
        </is>
      </c>
      <c r="K488" s="14" t="inlineStr">
        <is>
          <t>-</t>
        </is>
      </c>
      <c r="L488" s="14" t="inlineStr">
        <is>
          <t>-</t>
        </is>
      </c>
      <c r="M488" s="14" t="inlineStr">
        <is>
          <t>-</t>
        </is>
      </c>
      <c r="N488" s="14" t="inlineStr">
        <is>
          <t>-</t>
        </is>
      </c>
      <c r="O488" s="14" t="inlineStr">
        <is>
          <t>-</t>
        </is>
      </c>
      <c r="P488" s="14" t="inlineStr">
        <is>
          <t>-</t>
        </is>
      </c>
      <c r="Q488" s="15" t="inlineStr">
        <is>
          <t>-</t>
        </is>
      </c>
    </row>
    <row r="489">
      <c r="A489" s="47" t="n"/>
      <c r="B489" s="16" t="inlineStr">
        <is>
          <t>-</t>
        </is>
      </c>
      <c r="C489" s="11" t="inlineStr">
        <is>
          <t>-</t>
        </is>
      </c>
      <c r="D489" s="11" t="inlineStr">
        <is>
          <t>-</t>
        </is>
      </c>
      <c r="E489" s="11" t="inlineStr">
        <is>
          <t>-</t>
        </is>
      </c>
      <c r="F489" s="11" t="inlineStr">
        <is>
          <t>-</t>
        </is>
      </c>
      <c r="G489" s="11" t="inlineStr">
        <is>
          <t>-</t>
        </is>
      </c>
      <c r="H489" s="11" t="inlineStr">
        <is>
          <t>-</t>
        </is>
      </c>
      <c r="I489" s="11" t="inlineStr">
        <is>
          <t>-</t>
        </is>
      </c>
      <c r="J489" s="11" t="inlineStr">
        <is>
          <t>-</t>
        </is>
      </c>
      <c r="K489" s="11" t="inlineStr">
        <is>
          <t>-</t>
        </is>
      </c>
      <c r="L489" s="11" t="inlineStr">
        <is>
          <t>-</t>
        </is>
      </c>
      <c r="M489" s="11" t="inlineStr">
        <is>
          <t>-</t>
        </is>
      </c>
      <c r="N489" s="11" t="inlineStr">
        <is>
          <t>-</t>
        </is>
      </c>
      <c r="O489" s="11" t="inlineStr">
        <is>
          <t>-</t>
        </is>
      </c>
      <c r="P489" s="11" t="inlineStr">
        <is>
          <t>-</t>
        </is>
      </c>
      <c r="Q489" s="12" t="inlineStr">
        <is>
          <t>-</t>
        </is>
      </c>
    </row>
    <row r="490">
      <c r="A490" s="47" t="n"/>
      <c r="B490" s="13" t="inlineStr">
        <is>
          <t>-</t>
        </is>
      </c>
      <c r="C490" s="14" t="inlineStr">
        <is>
          <t>-</t>
        </is>
      </c>
      <c r="D490" s="14" t="inlineStr">
        <is>
          <t>-</t>
        </is>
      </c>
      <c r="E490" s="14" t="inlineStr">
        <is>
          <t>-</t>
        </is>
      </c>
      <c r="F490" s="14" t="inlineStr">
        <is>
          <t>-</t>
        </is>
      </c>
      <c r="G490" s="14" t="inlineStr">
        <is>
          <t>-</t>
        </is>
      </c>
      <c r="H490" s="14" t="inlineStr">
        <is>
          <t>-</t>
        </is>
      </c>
      <c r="I490" s="14" t="inlineStr">
        <is>
          <t>-</t>
        </is>
      </c>
      <c r="J490" s="14" t="inlineStr">
        <is>
          <t>-</t>
        </is>
      </c>
      <c r="K490" s="14" t="inlineStr">
        <is>
          <t>-</t>
        </is>
      </c>
      <c r="L490" s="14" t="inlineStr">
        <is>
          <t>-</t>
        </is>
      </c>
      <c r="M490" s="14" t="inlineStr">
        <is>
          <t>-</t>
        </is>
      </c>
      <c r="N490" s="14" t="inlineStr">
        <is>
          <t>-</t>
        </is>
      </c>
      <c r="O490" s="14" t="inlineStr">
        <is>
          <t>-</t>
        </is>
      </c>
      <c r="P490" s="14" t="inlineStr">
        <is>
          <t>-</t>
        </is>
      </c>
      <c r="Q490" s="15" t="inlineStr">
        <is>
          <t>-</t>
        </is>
      </c>
    </row>
    <row r="491">
      <c r="A491" s="47" t="n"/>
      <c r="B491" s="16" t="inlineStr">
        <is>
          <t>-</t>
        </is>
      </c>
      <c r="C491" s="11" t="inlineStr">
        <is>
          <t>-</t>
        </is>
      </c>
      <c r="D491" s="11" t="inlineStr">
        <is>
          <t>-</t>
        </is>
      </c>
      <c r="E491" s="11" t="inlineStr">
        <is>
          <t>-</t>
        </is>
      </c>
      <c r="F491" s="11" t="inlineStr">
        <is>
          <t>-</t>
        </is>
      </c>
      <c r="G491" s="11" t="inlineStr">
        <is>
          <t>-</t>
        </is>
      </c>
      <c r="H491" s="11" t="inlineStr">
        <is>
          <t>-</t>
        </is>
      </c>
      <c r="I491" s="11" t="inlineStr">
        <is>
          <t>-</t>
        </is>
      </c>
      <c r="J491" s="11" t="inlineStr">
        <is>
          <t>-</t>
        </is>
      </c>
      <c r="K491" s="11" t="inlineStr">
        <is>
          <t>-</t>
        </is>
      </c>
      <c r="L491" s="11" t="inlineStr">
        <is>
          <t>-</t>
        </is>
      </c>
      <c r="M491" s="11" t="inlineStr">
        <is>
          <t>-</t>
        </is>
      </c>
      <c r="N491" s="11" t="inlineStr">
        <is>
          <t>-</t>
        </is>
      </c>
      <c r="O491" s="11" t="inlineStr">
        <is>
          <t>-</t>
        </is>
      </c>
      <c r="P491" s="11" t="inlineStr">
        <is>
          <t>-</t>
        </is>
      </c>
      <c r="Q491" s="12" t="inlineStr">
        <is>
          <t>-</t>
        </is>
      </c>
    </row>
    <row r="492">
      <c r="A492" s="47" t="n"/>
      <c r="B492" s="13" t="inlineStr">
        <is>
          <t>-</t>
        </is>
      </c>
      <c r="C492" s="14" t="inlineStr">
        <is>
          <t>-</t>
        </is>
      </c>
      <c r="D492" s="14" t="inlineStr">
        <is>
          <t>-</t>
        </is>
      </c>
      <c r="E492" s="14" t="inlineStr">
        <is>
          <t>-</t>
        </is>
      </c>
      <c r="F492" s="14" t="inlineStr">
        <is>
          <t>-</t>
        </is>
      </c>
      <c r="G492" s="14" t="inlineStr">
        <is>
          <t>-</t>
        </is>
      </c>
      <c r="H492" s="14" t="inlineStr">
        <is>
          <t>-</t>
        </is>
      </c>
      <c r="I492" s="14" t="inlineStr">
        <is>
          <t>-</t>
        </is>
      </c>
      <c r="J492" s="14" t="inlineStr">
        <is>
          <t>-</t>
        </is>
      </c>
      <c r="K492" s="14" t="inlineStr">
        <is>
          <t>-</t>
        </is>
      </c>
      <c r="L492" s="14" t="inlineStr">
        <is>
          <t>-</t>
        </is>
      </c>
      <c r="M492" s="14" t="inlineStr">
        <is>
          <t>-</t>
        </is>
      </c>
      <c r="N492" s="14" t="inlineStr">
        <is>
          <t>-</t>
        </is>
      </c>
      <c r="O492" s="14" t="inlineStr">
        <is>
          <t>-</t>
        </is>
      </c>
      <c r="P492" s="14" t="inlineStr">
        <is>
          <t>-</t>
        </is>
      </c>
      <c r="Q492" s="15" t="inlineStr">
        <is>
          <t>-</t>
        </is>
      </c>
    </row>
    <row r="493">
      <c r="A493" s="47" t="n"/>
      <c r="B493" s="16" t="inlineStr">
        <is>
          <t>-</t>
        </is>
      </c>
      <c r="C493" s="11" t="inlineStr">
        <is>
          <t>-</t>
        </is>
      </c>
      <c r="D493" s="11" t="inlineStr">
        <is>
          <t>-</t>
        </is>
      </c>
      <c r="E493" s="11" t="inlineStr">
        <is>
          <t>-</t>
        </is>
      </c>
      <c r="F493" s="11" t="inlineStr">
        <is>
          <t>-</t>
        </is>
      </c>
      <c r="G493" s="11" t="inlineStr">
        <is>
          <t>-</t>
        </is>
      </c>
      <c r="H493" s="11" t="inlineStr">
        <is>
          <t>-</t>
        </is>
      </c>
      <c r="I493" s="11" t="inlineStr">
        <is>
          <t>-</t>
        </is>
      </c>
      <c r="J493" s="11" t="inlineStr">
        <is>
          <t>-</t>
        </is>
      </c>
      <c r="K493" s="11" t="inlineStr">
        <is>
          <t>-</t>
        </is>
      </c>
      <c r="L493" s="11" t="inlineStr">
        <is>
          <t>-</t>
        </is>
      </c>
      <c r="M493" s="11" t="inlineStr">
        <is>
          <t>-</t>
        </is>
      </c>
      <c r="N493" s="11" t="inlineStr">
        <is>
          <t>-</t>
        </is>
      </c>
      <c r="O493" s="11" t="inlineStr">
        <is>
          <t>-</t>
        </is>
      </c>
      <c r="P493" s="11" t="inlineStr">
        <is>
          <t>-</t>
        </is>
      </c>
      <c r="Q493" s="12" t="inlineStr">
        <is>
          <t>-</t>
        </is>
      </c>
    </row>
    <row r="494">
      <c r="A494" s="47" t="n"/>
      <c r="B494" s="13" t="inlineStr">
        <is>
          <t>-</t>
        </is>
      </c>
      <c r="C494" s="14" t="inlineStr">
        <is>
          <t>-</t>
        </is>
      </c>
      <c r="D494" s="14" t="inlineStr">
        <is>
          <t>-</t>
        </is>
      </c>
      <c r="E494" s="14" t="inlineStr">
        <is>
          <t>-</t>
        </is>
      </c>
      <c r="F494" s="14" t="inlineStr">
        <is>
          <t>-</t>
        </is>
      </c>
      <c r="G494" s="14" t="inlineStr">
        <is>
          <t>-</t>
        </is>
      </c>
      <c r="H494" s="14" t="inlineStr">
        <is>
          <t>-</t>
        </is>
      </c>
      <c r="I494" s="14" t="inlineStr">
        <is>
          <t>-</t>
        </is>
      </c>
      <c r="J494" s="14" t="inlineStr">
        <is>
          <t>-</t>
        </is>
      </c>
      <c r="K494" s="14" t="inlineStr">
        <is>
          <t>-</t>
        </is>
      </c>
      <c r="L494" s="14" t="inlineStr">
        <is>
          <t>-</t>
        </is>
      </c>
      <c r="M494" s="14" t="inlineStr">
        <is>
          <t>-</t>
        </is>
      </c>
      <c r="N494" s="14" t="inlineStr">
        <is>
          <t>-</t>
        </is>
      </c>
      <c r="O494" s="14" t="inlineStr">
        <is>
          <t>-</t>
        </is>
      </c>
      <c r="P494" s="14" t="inlineStr">
        <is>
          <t>-</t>
        </is>
      </c>
      <c r="Q494" s="15" t="inlineStr">
        <is>
          <t>-</t>
        </is>
      </c>
    </row>
    <row r="495">
      <c r="A495" s="47" t="n"/>
      <c r="B495" s="16" t="inlineStr">
        <is>
          <t>-</t>
        </is>
      </c>
      <c r="C495" s="11" t="inlineStr">
        <is>
          <t>-</t>
        </is>
      </c>
      <c r="D495" s="11" t="inlineStr">
        <is>
          <t>-</t>
        </is>
      </c>
      <c r="E495" s="11" t="inlineStr">
        <is>
          <t>-</t>
        </is>
      </c>
      <c r="F495" s="11" t="inlineStr">
        <is>
          <t>-</t>
        </is>
      </c>
      <c r="G495" s="11" t="inlineStr">
        <is>
          <t>-</t>
        </is>
      </c>
      <c r="H495" s="11" t="inlineStr">
        <is>
          <t>-</t>
        </is>
      </c>
      <c r="I495" s="11" t="inlineStr">
        <is>
          <t>-</t>
        </is>
      </c>
      <c r="J495" s="11" t="inlineStr">
        <is>
          <t>-</t>
        </is>
      </c>
      <c r="K495" s="11" t="inlineStr">
        <is>
          <t>-</t>
        </is>
      </c>
      <c r="L495" s="11" t="inlineStr">
        <is>
          <t>-</t>
        </is>
      </c>
      <c r="M495" s="11" t="inlineStr">
        <is>
          <t>-</t>
        </is>
      </c>
      <c r="N495" s="11" t="inlineStr">
        <is>
          <t>-</t>
        </is>
      </c>
      <c r="O495" s="11" t="inlineStr">
        <is>
          <t>-</t>
        </is>
      </c>
      <c r="P495" s="11" t="inlineStr">
        <is>
          <t>-</t>
        </is>
      </c>
      <c r="Q495" s="12" t="inlineStr">
        <is>
          <t>-</t>
        </is>
      </c>
    </row>
    <row r="496">
      <c r="A496" s="47" t="n"/>
      <c r="B496" s="13" t="inlineStr">
        <is>
          <t>-</t>
        </is>
      </c>
      <c r="C496" s="14" t="inlineStr">
        <is>
          <t>-</t>
        </is>
      </c>
      <c r="D496" s="14" t="inlineStr">
        <is>
          <t>-</t>
        </is>
      </c>
      <c r="E496" s="14" t="inlineStr">
        <is>
          <t>-</t>
        </is>
      </c>
      <c r="F496" s="14" t="inlineStr">
        <is>
          <t>-</t>
        </is>
      </c>
      <c r="G496" s="14" t="inlineStr">
        <is>
          <t>-</t>
        </is>
      </c>
      <c r="H496" s="14" t="inlineStr">
        <is>
          <t>-</t>
        </is>
      </c>
      <c r="I496" s="14" t="inlineStr">
        <is>
          <t>-</t>
        </is>
      </c>
      <c r="J496" s="14" t="inlineStr">
        <is>
          <t>-</t>
        </is>
      </c>
      <c r="K496" s="14" t="inlineStr">
        <is>
          <t>-</t>
        </is>
      </c>
      <c r="L496" s="14" t="inlineStr">
        <is>
          <t>-</t>
        </is>
      </c>
      <c r="M496" s="14" t="inlineStr">
        <is>
          <t>-</t>
        </is>
      </c>
      <c r="N496" s="14" t="inlineStr">
        <is>
          <t>-</t>
        </is>
      </c>
      <c r="O496" s="14" t="inlineStr">
        <is>
          <t>-</t>
        </is>
      </c>
      <c r="P496" s="14" t="inlineStr">
        <is>
          <t>-</t>
        </is>
      </c>
      <c r="Q496" s="15" t="inlineStr">
        <is>
          <t>-</t>
        </is>
      </c>
    </row>
    <row r="497">
      <c r="A497" s="47" t="n"/>
      <c r="B497" s="16" t="inlineStr">
        <is>
          <t>-</t>
        </is>
      </c>
      <c r="C497" s="11" t="inlineStr">
        <is>
          <t>-</t>
        </is>
      </c>
      <c r="D497" s="11" t="inlineStr">
        <is>
          <t>-</t>
        </is>
      </c>
      <c r="E497" s="11" t="inlineStr">
        <is>
          <t>-</t>
        </is>
      </c>
      <c r="F497" s="11" t="inlineStr">
        <is>
          <t>-</t>
        </is>
      </c>
      <c r="G497" s="11" t="inlineStr">
        <is>
          <t>-</t>
        </is>
      </c>
      <c r="H497" s="11" t="inlineStr">
        <is>
          <t>-</t>
        </is>
      </c>
      <c r="I497" s="11" t="inlineStr">
        <is>
          <t>-</t>
        </is>
      </c>
      <c r="J497" s="11" t="inlineStr">
        <is>
          <t>-</t>
        </is>
      </c>
      <c r="K497" s="11" t="inlineStr">
        <is>
          <t>-</t>
        </is>
      </c>
      <c r="L497" s="11" t="inlineStr">
        <is>
          <t>-</t>
        </is>
      </c>
      <c r="M497" s="11" t="inlineStr">
        <is>
          <t>-</t>
        </is>
      </c>
      <c r="N497" s="11" t="inlineStr">
        <is>
          <t>-</t>
        </is>
      </c>
      <c r="O497" s="11" t="inlineStr">
        <is>
          <t>-</t>
        </is>
      </c>
      <c r="P497" s="11" t="inlineStr">
        <is>
          <t>-</t>
        </is>
      </c>
      <c r="Q497" s="12" t="inlineStr">
        <is>
          <t>-</t>
        </is>
      </c>
    </row>
    <row r="498" ht="48" customHeight="1" s="155">
      <c r="B498" s="9" t="inlineStr">
        <is>
          <t>babà misù</t>
        </is>
      </c>
      <c r="C498" s="49">
        <f>_xlfn.XLOOKUP(A499,Magazzino!$D$1:$D$1500,Magazzino!$F$1:$F$1500,"",0,1)</f>
        <v/>
      </c>
      <c r="D498" s="50">
        <f>_xlfn.XLOOKUP(A500,Magazzino!$D$1:$D$1500,Magazzino!$F$1:$F$1500,"",0,1)</f>
        <v/>
      </c>
      <c r="E498" s="50">
        <f>_xlfn.XLOOKUP(A501,Magazzino!$D$1:$D$1500,Magazzino!$F$1:$F$1500,"",0,1)</f>
        <v/>
      </c>
      <c r="F498" s="50">
        <f>_xlfn.XLOOKUP(A502,Magazzino!$D$1:$D$1500,Magazzino!$F$1:$F$1500,"",0,1)</f>
        <v/>
      </c>
      <c r="G498" s="50">
        <f>_xlfn.XLOOKUP(A503,Magazzino!$D$1:$D$1500,Magazzino!$F$1:$F$1500,"",0,1)</f>
        <v/>
      </c>
      <c r="H498" s="50">
        <f>_xlfn.XLOOKUP(A504,Magazzino!$D$1:$D$1500,Magazzino!$F$1:$F$1500,"",0,1)</f>
        <v/>
      </c>
      <c r="I498" s="50">
        <f>_xlfn.XLOOKUP(A505,Magazzino!$D$1:$D$1500,Magazzino!$F$1:$F$1500,"",0,1)</f>
        <v/>
      </c>
      <c r="J498" s="50">
        <f>_xlfn.XLOOKUP(A506,Magazzino!$D$1:$D$1500,Magazzino!$F$1:$F$1500,"",0,1)</f>
        <v/>
      </c>
      <c r="K498" s="50">
        <f>_xlfn.XLOOKUP(A507,Magazzino!$D$1:$D$1500,Magazzino!$F$1:$F$1500,"",0,1)</f>
        <v/>
      </c>
      <c r="L498" s="50">
        <f>_xlfn.XLOOKUP(A508,Magazzino!$D$1:$D$1500,Magazzino!$F$1:$F$1500,"",0,1)</f>
        <v/>
      </c>
      <c r="M498" s="50">
        <f>_xlfn.XLOOKUP(A509,Magazzino!$D$1:$D$1500,Magazzino!$F$1:$F$1500,"",0,1)</f>
        <v/>
      </c>
      <c r="N498" s="50">
        <f>_xlfn.XLOOKUP(A510,Magazzino!$D$1:$D$1500,Magazzino!$F$1:$F$1500,"",0,1)</f>
        <v/>
      </c>
      <c r="O498" s="50">
        <f>_xlfn.XLOOKUP(A511,Magazzino!$D$1:$D$1500,Magazzino!$F$1:$F$1500,"",0,1)</f>
        <v/>
      </c>
      <c r="P498" s="50">
        <f>_xlfn.XLOOKUP(A512,Magazzino!$D$1:$D$1500,Magazzino!$F$1:$F$1500,"",0,1)</f>
        <v/>
      </c>
      <c r="Q498" s="51">
        <f>_xlfn.XLOOKUP(A513,Magazzino!$D$1:$D$1500,Magazzino!$F$1:$F$1500,"",0,1)</f>
        <v/>
      </c>
    </row>
    <row r="499">
      <c r="A499" s="47" t="inlineStr">
        <is>
          <t xml:space="preserve">FARINA 0/MAN. CAPUTO DA KG.25  </t>
        </is>
      </c>
      <c r="B499" s="10" t="inlineStr">
        <is>
          <t>-</t>
        </is>
      </c>
      <c r="C499" s="11" t="inlineStr">
        <is>
          <t>-</t>
        </is>
      </c>
      <c r="D499" s="11" t="inlineStr">
        <is>
          <t>-</t>
        </is>
      </c>
      <c r="E499" s="11" t="inlineStr">
        <is>
          <t>-</t>
        </is>
      </c>
      <c r="F499" s="11" t="inlineStr">
        <is>
          <t>-</t>
        </is>
      </c>
      <c r="G499" s="11" t="inlineStr">
        <is>
          <t>-</t>
        </is>
      </c>
      <c r="H499" s="11" t="inlineStr">
        <is>
          <t>-</t>
        </is>
      </c>
      <c r="I499" s="11" t="inlineStr">
        <is>
          <t>-</t>
        </is>
      </c>
      <c r="J499" s="11" t="inlineStr">
        <is>
          <t>-</t>
        </is>
      </c>
      <c r="K499" s="11" t="inlineStr">
        <is>
          <t>-</t>
        </is>
      </c>
      <c r="L499" s="11" t="inlineStr">
        <is>
          <t>-</t>
        </is>
      </c>
      <c r="M499" s="11" t="inlineStr">
        <is>
          <t>-</t>
        </is>
      </c>
      <c r="N499" s="11" t="inlineStr">
        <is>
          <t>-</t>
        </is>
      </c>
      <c r="O499" s="11" t="inlineStr">
        <is>
          <t>-</t>
        </is>
      </c>
      <c r="P499" s="11" t="inlineStr">
        <is>
          <t>-</t>
        </is>
      </c>
      <c r="Q499" s="12" t="inlineStr">
        <is>
          <t>-</t>
        </is>
      </c>
    </row>
    <row r="500">
      <c r="A500" s="48" t="inlineStr">
        <is>
          <t xml:space="preserve">SALE SACCHI SALTECHNO KG.25  </t>
        </is>
      </c>
      <c r="B500" s="13" t="inlineStr">
        <is>
          <t>-</t>
        </is>
      </c>
      <c r="C500" s="14" t="inlineStr">
        <is>
          <t>-</t>
        </is>
      </c>
      <c r="D500" s="14" t="inlineStr">
        <is>
          <t>-</t>
        </is>
      </c>
      <c r="E500" s="14" t="inlineStr">
        <is>
          <t>-</t>
        </is>
      </c>
      <c r="F500" s="14" t="inlineStr">
        <is>
          <t>-</t>
        </is>
      </c>
      <c r="G500" s="14" t="inlineStr">
        <is>
          <t>-</t>
        </is>
      </c>
      <c r="H500" s="14" t="inlineStr">
        <is>
          <t>-</t>
        </is>
      </c>
      <c r="I500" s="14" t="inlineStr">
        <is>
          <t>-</t>
        </is>
      </c>
      <c r="J500" s="14" t="inlineStr">
        <is>
          <t>-</t>
        </is>
      </c>
      <c r="K500" s="14" t="inlineStr">
        <is>
          <t>-</t>
        </is>
      </c>
      <c r="L500" s="14" t="inlineStr">
        <is>
          <t>-</t>
        </is>
      </c>
      <c r="M500" s="14" t="inlineStr">
        <is>
          <t>-</t>
        </is>
      </c>
      <c r="N500" s="14" t="inlineStr">
        <is>
          <t>-</t>
        </is>
      </c>
      <c r="O500" s="14" t="inlineStr">
        <is>
          <t>-</t>
        </is>
      </c>
      <c r="P500" s="14" t="inlineStr">
        <is>
          <t>-</t>
        </is>
      </c>
      <c r="Q500" s="15" t="inlineStr">
        <is>
          <t>-</t>
        </is>
      </c>
    </row>
    <row r="501">
      <c r="A501" s="47" t="inlineStr">
        <is>
          <t>margarina crema</t>
        </is>
      </c>
      <c r="B501" s="16" t="inlineStr">
        <is>
          <t>-</t>
        </is>
      </c>
      <c r="C501" s="11" t="inlineStr">
        <is>
          <t>-</t>
        </is>
      </c>
      <c r="D501" s="11" t="inlineStr">
        <is>
          <t>-</t>
        </is>
      </c>
      <c r="E501" s="11" t="inlineStr">
        <is>
          <t>-</t>
        </is>
      </c>
      <c r="F501" s="11" t="inlineStr">
        <is>
          <t>-</t>
        </is>
      </c>
      <c r="G501" s="11" t="inlineStr">
        <is>
          <t>-</t>
        </is>
      </c>
      <c r="H501" s="11" t="inlineStr">
        <is>
          <t>-</t>
        </is>
      </c>
      <c r="I501" s="11" t="inlineStr">
        <is>
          <t>-</t>
        </is>
      </c>
      <c r="J501" s="11" t="inlineStr">
        <is>
          <t>-</t>
        </is>
      </c>
      <c r="K501" s="11" t="inlineStr">
        <is>
          <t>-</t>
        </is>
      </c>
      <c r="L501" s="11" t="inlineStr">
        <is>
          <t>-</t>
        </is>
      </c>
      <c r="M501" s="11" t="inlineStr">
        <is>
          <t>-</t>
        </is>
      </c>
      <c r="N501" s="11" t="inlineStr">
        <is>
          <t>-</t>
        </is>
      </c>
      <c r="O501" s="11" t="inlineStr">
        <is>
          <t>-</t>
        </is>
      </c>
      <c r="P501" s="11" t="inlineStr">
        <is>
          <t>-</t>
        </is>
      </c>
      <c r="Q501" s="12" t="inlineStr">
        <is>
          <t>-</t>
        </is>
      </c>
    </row>
    <row r="502">
      <c r="A502" s="47" t="inlineStr">
        <is>
          <t>tuorlo d'uovo pastorizzato</t>
        </is>
      </c>
      <c r="B502" s="13" t="inlineStr">
        <is>
          <t>-</t>
        </is>
      </c>
      <c r="C502" s="14" t="inlineStr">
        <is>
          <t>-</t>
        </is>
      </c>
      <c r="D502" s="14" t="inlineStr">
        <is>
          <t>-</t>
        </is>
      </c>
      <c r="E502" s="14" t="inlineStr">
        <is>
          <t>-</t>
        </is>
      </c>
      <c r="F502" s="14" t="inlineStr">
        <is>
          <t>-</t>
        </is>
      </c>
      <c r="G502" s="14" t="inlineStr">
        <is>
          <t>-</t>
        </is>
      </c>
      <c r="H502" s="14" t="inlineStr">
        <is>
          <t>-</t>
        </is>
      </c>
      <c r="I502" s="14" t="inlineStr">
        <is>
          <t>-</t>
        </is>
      </c>
      <c r="J502" s="14" t="inlineStr">
        <is>
          <t>-</t>
        </is>
      </c>
      <c r="K502" s="14" t="inlineStr">
        <is>
          <t>-</t>
        </is>
      </c>
      <c r="L502" s="14" t="inlineStr">
        <is>
          <t>-</t>
        </is>
      </c>
      <c r="M502" s="14" t="inlineStr">
        <is>
          <t>-</t>
        </is>
      </c>
      <c r="N502" s="14" t="inlineStr">
        <is>
          <t>-</t>
        </is>
      </c>
      <c r="O502" s="14" t="inlineStr">
        <is>
          <t>-</t>
        </is>
      </c>
      <c r="P502" s="14" t="inlineStr">
        <is>
          <t>-</t>
        </is>
      </c>
      <c r="Q502" s="15" t="inlineStr">
        <is>
          <t>-</t>
        </is>
      </c>
    </row>
    <row r="503">
      <c r="A503" s="47" t="inlineStr">
        <is>
          <t>LIEVITO x 2.5kg</t>
        </is>
      </c>
      <c r="B503" s="16" t="inlineStr">
        <is>
          <t>-</t>
        </is>
      </c>
      <c r="C503" s="11" t="inlineStr">
        <is>
          <t>-</t>
        </is>
      </c>
      <c r="D503" s="11" t="inlineStr">
        <is>
          <t>-</t>
        </is>
      </c>
      <c r="E503" s="11" t="inlineStr">
        <is>
          <t>-</t>
        </is>
      </c>
      <c r="F503" s="11" t="inlineStr">
        <is>
          <t>-</t>
        </is>
      </c>
      <c r="G503" s="11" t="inlineStr">
        <is>
          <t>-</t>
        </is>
      </c>
      <c r="H503" s="11" t="inlineStr">
        <is>
          <t>-</t>
        </is>
      </c>
      <c r="I503" s="11" t="inlineStr">
        <is>
          <t>-</t>
        </is>
      </c>
      <c r="J503" s="11" t="inlineStr">
        <is>
          <t>-</t>
        </is>
      </c>
      <c r="K503" s="11" t="inlineStr">
        <is>
          <t>-</t>
        </is>
      </c>
      <c r="L503" s="11" t="inlineStr">
        <is>
          <t>-</t>
        </is>
      </c>
      <c r="M503" s="11" t="inlineStr">
        <is>
          <t>-</t>
        </is>
      </c>
      <c r="N503" s="11" t="inlineStr">
        <is>
          <t>-</t>
        </is>
      </c>
      <c r="O503" s="11" t="inlineStr">
        <is>
          <t>-</t>
        </is>
      </c>
      <c r="P503" s="11" t="inlineStr">
        <is>
          <t>-</t>
        </is>
      </c>
      <c r="Q503" s="12" t="inlineStr">
        <is>
          <t>-</t>
        </is>
      </c>
    </row>
    <row r="504">
      <c r="A504" s="47" t="inlineStr">
        <is>
          <t>MASCARPONE G.250      YMA</t>
        </is>
      </c>
      <c r="B504" s="13" t="inlineStr">
        <is>
          <t>-</t>
        </is>
      </c>
      <c r="C504" s="14" t="inlineStr">
        <is>
          <t>-</t>
        </is>
      </c>
      <c r="D504" s="14" t="inlineStr">
        <is>
          <t>-</t>
        </is>
      </c>
      <c r="E504" s="14" t="inlineStr">
        <is>
          <t>-</t>
        </is>
      </c>
      <c r="F504" s="14" t="inlineStr">
        <is>
          <t>-</t>
        </is>
      </c>
      <c r="G504" s="14" t="inlineStr">
        <is>
          <t>-</t>
        </is>
      </c>
      <c r="H504" s="14" t="inlineStr">
        <is>
          <t>-</t>
        </is>
      </c>
      <c r="I504" s="14" t="inlineStr">
        <is>
          <t>-</t>
        </is>
      </c>
      <c r="J504" s="14" t="inlineStr">
        <is>
          <t>-</t>
        </is>
      </c>
      <c r="K504" s="14" t="inlineStr">
        <is>
          <t>-</t>
        </is>
      </c>
      <c r="L504" s="14" t="inlineStr">
        <is>
          <t>-</t>
        </is>
      </c>
      <c r="M504" s="14" t="inlineStr">
        <is>
          <t>-</t>
        </is>
      </c>
      <c r="N504" s="14" t="inlineStr">
        <is>
          <t>-</t>
        </is>
      </c>
      <c r="O504" s="14" t="inlineStr">
        <is>
          <t>-</t>
        </is>
      </c>
      <c r="P504" s="14" t="inlineStr">
        <is>
          <t>-</t>
        </is>
      </c>
      <c r="Q504" s="15" t="inlineStr">
        <is>
          <t>-</t>
        </is>
      </c>
    </row>
    <row r="505">
      <c r="A505" s="47" t="inlineStr">
        <is>
          <t>latte   1500 int.uht  yma</t>
        </is>
      </c>
      <c r="B505" s="16" t="inlineStr">
        <is>
          <t>-</t>
        </is>
      </c>
      <c r="C505" s="11" t="inlineStr">
        <is>
          <t>-</t>
        </is>
      </c>
      <c r="D505" s="11" t="inlineStr">
        <is>
          <t>-</t>
        </is>
      </c>
      <c r="E505" s="11" t="inlineStr">
        <is>
          <t>-</t>
        </is>
      </c>
      <c r="F505" s="11" t="inlineStr">
        <is>
          <t>-</t>
        </is>
      </c>
      <c r="G505" s="11" t="inlineStr">
        <is>
          <t>-</t>
        </is>
      </c>
      <c r="H505" s="11" t="inlineStr">
        <is>
          <t>-</t>
        </is>
      </c>
      <c r="I505" s="11" t="inlineStr">
        <is>
          <t>-</t>
        </is>
      </c>
      <c r="J505" s="11" t="inlineStr">
        <is>
          <t>-</t>
        </is>
      </c>
      <c r="K505" s="11" t="inlineStr">
        <is>
          <t>-</t>
        </is>
      </c>
      <c r="L505" s="11" t="inlineStr">
        <is>
          <t>-</t>
        </is>
      </c>
      <c r="M505" s="11" t="inlineStr">
        <is>
          <t>-</t>
        </is>
      </c>
      <c r="N505" s="11" t="inlineStr">
        <is>
          <t>-</t>
        </is>
      </c>
      <c r="O505" s="11" t="inlineStr">
        <is>
          <t>-</t>
        </is>
      </c>
      <c r="P505" s="11" t="inlineStr">
        <is>
          <t>-</t>
        </is>
      </c>
      <c r="Q505" s="12" t="inlineStr">
        <is>
          <t>-</t>
        </is>
      </c>
    </row>
    <row r="506">
      <c r="A506" s="47" t="inlineStr">
        <is>
          <t>amido</t>
        </is>
      </c>
      <c r="B506" s="13" t="inlineStr">
        <is>
          <t>-</t>
        </is>
      </c>
      <c r="C506" s="14" t="inlineStr">
        <is>
          <t>-</t>
        </is>
      </c>
      <c r="D506" s="14" t="inlineStr">
        <is>
          <t>-</t>
        </is>
      </c>
      <c r="E506" s="14" t="inlineStr">
        <is>
          <t>-</t>
        </is>
      </c>
      <c r="F506" s="14" t="inlineStr">
        <is>
          <t>-</t>
        </is>
      </c>
      <c r="G506" s="14" t="inlineStr">
        <is>
          <t>-</t>
        </is>
      </c>
      <c r="H506" s="14" t="inlineStr">
        <is>
          <t>-</t>
        </is>
      </c>
      <c r="I506" s="14" t="inlineStr">
        <is>
          <t>-</t>
        </is>
      </c>
      <c r="J506" s="14" t="inlineStr">
        <is>
          <t>-</t>
        </is>
      </c>
      <c r="K506" s="14" t="inlineStr">
        <is>
          <t>-</t>
        </is>
      </c>
      <c r="L506" s="14" t="inlineStr">
        <is>
          <t>-</t>
        </is>
      </c>
      <c r="M506" s="14" t="inlineStr">
        <is>
          <t>-</t>
        </is>
      </c>
      <c r="N506" s="14" t="inlineStr">
        <is>
          <t>-</t>
        </is>
      </c>
      <c r="O506" s="14" t="inlineStr">
        <is>
          <t>-</t>
        </is>
      </c>
      <c r="P506" s="14" t="inlineStr">
        <is>
          <t>-</t>
        </is>
      </c>
      <c r="Q506" s="15" t="inlineStr">
        <is>
          <t>-</t>
        </is>
      </c>
    </row>
    <row r="507">
      <c r="A507" s="47" t="inlineStr">
        <is>
          <t>cioccolato</t>
        </is>
      </c>
      <c r="B507" s="16" t="inlineStr">
        <is>
          <t>-</t>
        </is>
      </c>
      <c r="C507" s="11" t="inlineStr">
        <is>
          <t>-</t>
        </is>
      </c>
      <c r="D507" s="11" t="inlineStr">
        <is>
          <t>-</t>
        </is>
      </c>
      <c r="E507" s="11" t="inlineStr">
        <is>
          <t>-</t>
        </is>
      </c>
      <c r="F507" s="11" t="inlineStr">
        <is>
          <t>-</t>
        </is>
      </c>
      <c r="G507" s="11" t="inlineStr">
        <is>
          <t>-</t>
        </is>
      </c>
      <c r="H507" s="11" t="inlineStr">
        <is>
          <t>-</t>
        </is>
      </c>
      <c r="I507" s="11" t="inlineStr">
        <is>
          <t>-</t>
        </is>
      </c>
      <c r="J507" s="11" t="inlineStr">
        <is>
          <t>-</t>
        </is>
      </c>
      <c r="K507" s="11" t="inlineStr">
        <is>
          <t>-</t>
        </is>
      </c>
      <c r="L507" s="11" t="inlineStr">
        <is>
          <t>-</t>
        </is>
      </c>
      <c r="M507" s="11" t="inlineStr">
        <is>
          <t>-</t>
        </is>
      </c>
      <c r="N507" s="11" t="inlineStr">
        <is>
          <t>-</t>
        </is>
      </c>
      <c r="O507" s="11" t="inlineStr">
        <is>
          <t>-</t>
        </is>
      </c>
      <c r="P507" s="11" t="inlineStr">
        <is>
          <t>-</t>
        </is>
      </c>
      <c r="Q507" s="12" t="inlineStr">
        <is>
          <t>-</t>
        </is>
      </c>
    </row>
    <row r="508">
      <c r="A508" s="47" t="inlineStr">
        <is>
          <t>panna</t>
        </is>
      </c>
      <c r="B508" s="13" t="inlineStr">
        <is>
          <t>-</t>
        </is>
      </c>
      <c r="C508" s="14" t="inlineStr">
        <is>
          <t>-</t>
        </is>
      </c>
      <c r="D508" s="14" t="inlineStr">
        <is>
          <t>-</t>
        </is>
      </c>
      <c r="E508" s="14" t="inlineStr">
        <is>
          <t>-</t>
        </is>
      </c>
      <c r="F508" s="14" t="inlineStr">
        <is>
          <t>-</t>
        </is>
      </c>
      <c r="G508" s="14" t="inlineStr">
        <is>
          <t>-</t>
        </is>
      </c>
      <c r="H508" s="14" t="inlineStr">
        <is>
          <t>-</t>
        </is>
      </c>
      <c r="I508" s="14" t="inlineStr">
        <is>
          <t>-</t>
        </is>
      </c>
      <c r="J508" s="14" t="inlineStr">
        <is>
          <t>-</t>
        </is>
      </c>
      <c r="K508" s="14" t="inlineStr">
        <is>
          <t>-</t>
        </is>
      </c>
      <c r="L508" s="14" t="inlineStr">
        <is>
          <t>-</t>
        </is>
      </c>
      <c r="M508" s="14" t="inlineStr">
        <is>
          <t>-</t>
        </is>
      </c>
      <c r="N508" s="14" t="inlineStr">
        <is>
          <t>-</t>
        </is>
      </c>
      <c r="O508" s="14" t="inlineStr">
        <is>
          <t>-</t>
        </is>
      </c>
      <c r="P508" s="14" t="inlineStr">
        <is>
          <t>-</t>
        </is>
      </c>
      <c r="Q508" s="15" t="inlineStr">
        <is>
          <t>-</t>
        </is>
      </c>
    </row>
    <row r="509">
      <c r="A509" s="47" t="n"/>
      <c r="B509" s="16" t="inlineStr">
        <is>
          <t>-</t>
        </is>
      </c>
      <c r="C509" s="11" t="inlineStr">
        <is>
          <t>-</t>
        </is>
      </c>
      <c r="D509" s="11" t="inlineStr">
        <is>
          <t>-</t>
        </is>
      </c>
      <c r="E509" s="11" t="inlineStr">
        <is>
          <t>-</t>
        </is>
      </c>
      <c r="F509" s="11" t="inlineStr">
        <is>
          <t>-</t>
        </is>
      </c>
      <c r="G509" s="11" t="inlineStr">
        <is>
          <t>-</t>
        </is>
      </c>
      <c r="H509" s="11" t="inlineStr">
        <is>
          <t>-</t>
        </is>
      </c>
      <c r="I509" s="11" t="inlineStr">
        <is>
          <t>-</t>
        </is>
      </c>
      <c r="J509" s="11" t="inlineStr">
        <is>
          <t>-</t>
        </is>
      </c>
      <c r="K509" s="11" t="inlineStr">
        <is>
          <t>-</t>
        </is>
      </c>
      <c r="L509" s="11" t="inlineStr">
        <is>
          <t>-</t>
        </is>
      </c>
      <c r="M509" s="11" t="inlineStr">
        <is>
          <t>-</t>
        </is>
      </c>
      <c r="N509" s="11" t="inlineStr">
        <is>
          <t>-</t>
        </is>
      </c>
      <c r="O509" s="11" t="inlineStr">
        <is>
          <t>-</t>
        </is>
      </c>
      <c r="P509" s="11" t="inlineStr">
        <is>
          <t>-</t>
        </is>
      </c>
      <c r="Q509" s="12" t="inlineStr">
        <is>
          <t>-</t>
        </is>
      </c>
    </row>
    <row r="510">
      <c r="A510" s="47" t="n"/>
      <c r="B510" s="13" t="inlineStr">
        <is>
          <t>-</t>
        </is>
      </c>
      <c r="C510" s="14" t="inlineStr">
        <is>
          <t>-</t>
        </is>
      </c>
      <c r="D510" s="14" t="inlineStr">
        <is>
          <t>-</t>
        </is>
      </c>
      <c r="E510" s="14" t="inlineStr">
        <is>
          <t>-</t>
        </is>
      </c>
      <c r="F510" s="14" t="inlineStr">
        <is>
          <t>-</t>
        </is>
      </c>
      <c r="G510" s="14" t="inlineStr">
        <is>
          <t>-</t>
        </is>
      </c>
      <c r="H510" s="14" t="inlineStr">
        <is>
          <t>-</t>
        </is>
      </c>
      <c r="I510" s="14" t="inlineStr">
        <is>
          <t>-</t>
        </is>
      </c>
      <c r="J510" s="14" t="inlineStr">
        <is>
          <t>-</t>
        </is>
      </c>
      <c r="K510" s="14" t="inlineStr">
        <is>
          <t>-</t>
        </is>
      </c>
      <c r="L510" s="14" t="inlineStr">
        <is>
          <t>-</t>
        </is>
      </c>
      <c r="M510" s="14" t="inlineStr">
        <is>
          <t>-</t>
        </is>
      </c>
      <c r="N510" s="14" t="inlineStr">
        <is>
          <t>-</t>
        </is>
      </c>
      <c r="O510" s="14" t="inlineStr">
        <is>
          <t>-</t>
        </is>
      </c>
      <c r="P510" s="14" t="inlineStr">
        <is>
          <t>-</t>
        </is>
      </c>
      <c r="Q510" s="15" t="inlineStr">
        <is>
          <t>-</t>
        </is>
      </c>
    </row>
    <row r="511">
      <c r="A511" s="47" t="n"/>
      <c r="B511" s="16" t="inlineStr">
        <is>
          <t>-</t>
        </is>
      </c>
      <c r="C511" s="11" t="inlineStr">
        <is>
          <t>-</t>
        </is>
      </c>
      <c r="D511" s="11" t="inlineStr">
        <is>
          <t>-</t>
        </is>
      </c>
      <c r="E511" s="11" t="inlineStr">
        <is>
          <t>-</t>
        </is>
      </c>
      <c r="F511" s="11" t="inlineStr">
        <is>
          <t>-</t>
        </is>
      </c>
      <c r="G511" s="11" t="inlineStr">
        <is>
          <t>-</t>
        </is>
      </c>
      <c r="H511" s="11" t="inlineStr">
        <is>
          <t>-</t>
        </is>
      </c>
      <c r="I511" s="11" t="inlineStr">
        <is>
          <t>-</t>
        </is>
      </c>
      <c r="J511" s="11" t="inlineStr">
        <is>
          <t>-</t>
        </is>
      </c>
      <c r="K511" s="11" t="inlineStr">
        <is>
          <t>-</t>
        </is>
      </c>
      <c r="L511" s="11" t="inlineStr">
        <is>
          <t>-</t>
        </is>
      </c>
      <c r="M511" s="11" t="inlineStr">
        <is>
          <t>-</t>
        </is>
      </c>
      <c r="N511" s="11" t="inlineStr">
        <is>
          <t>-</t>
        </is>
      </c>
      <c r="O511" s="11" t="inlineStr">
        <is>
          <t>-</t>
        </is>
      </c>
      <c r="P511" s="11" t="inlineStr">
        <is>
          <t>-</t>
        </is>
      </c>
      <c r="Q511" s="12" t="inlineStr">
        <is>
          <t>-</t>
        </is>
      </c>
    </row>
    <row r="512">
      <c r="A512" s="47" t="n"/>
      <c r="B512" s="13" t="inlineStr">
        <is>
          <t>-</t>
        </is>
      </c>
      <c r="C512" s="14" t="inlineStr">
        <is>
          <t>-</t>
        </is>
      </c>
      <c r="D512" s="14" t="inlineStr">
        <is>
          <t>-</t>
        </is>
      </c>
      <c r="E512" s="14" t="inlineStr">
        <is>
          <t>-</t>
        </is>
      </c>
      <c r="F512" s="14" t="inlineStr">
        <is>
          <t>-</t>
        </is>
      </c>
      <c r="G512" s="14" t="inlineStr">
        <is>
          <t>-</t>
        </is>
      </c>
      <c r="H512" s="14" t="inlineStr">
        <is>
          <t>-</t>
        </is>
      </c>
      <c r="I512" s="14" t="inlineStr">
        <is>
          <t>-</t>
        </is>
      </c>
      <c r="J512" s="14" t="inlineStr">
        <is>
          <t>-</t>
        </is>
      </c>
      <c r="K512" s="14" t="inlineStr">
        <is>
          <t>-</t>
        </is>
      </c>
      <c r="L512" s="14" t="inlineStr">
        <is>
          <t>-</t>
        </is>
      </c>
      <c r="M512" s="14" t="inlineStr">
        <is>
          <t>-</t>
        </is>
      </c>
      <c r="N512" s="14" t="inlineStr">
        <is>
          <t>-</t>
        </is>
      </c>
      <c r="O512" s="14" t="inlineStr">
        <is>
          <t>-</t>
        </is>
      </c>
      <c r="P512" s="14" t="inlineStr">
        <is>
          <t>-</t>
        </is>
      </c>
      <c r="Q512" s="15" t="inlineStr">
        <is>
          <t>-</t>
        </is>
      </c>
    </row>
    <row r="513">
      <c r="A513" s="47" t="n"/>
      <c r="B513" s="16" t="inlineStr">
        <is>
          <t>-</t>
        </is>
      </c>
      <c r="C513" s="11" t="inlineStr">
        <is>
          <t>-</t>
        </is>
      </c>
      <c r="D513" s="11" t="inlineStr">
        <is>
          <t>-</t>
        </is>
      </c>
      <c r="E513" s="11" t="inlineStr">
        <is>
          <t>-</t>
        </is>
      </c>
      <c r="F513" s="11" t="inlineStr">
        <is>
          <t>-</t>
        </is>
      </c>
      <c r="G513" s="11" t="inlineStr">
        <is>
          <t>-</t>
        </is>
      </c>
      <c r="H513" s="11" t="inlineStr">
        <is>
          <t>-</t>
        </is>
      </c>
      <c r="I513" s="11" t="inlineStr">
        <is>
          <t>-</t>
        </is>
      </c>
      <c r="J513" s="11" t="inlineStr">
        <is>
          <t>-</t>
        </is>
      </c>
      <c r="K513" s="11" t="inlineStr">
        <is>
          <t>-</t>
        </is>
      </c>
      <c r="L513" s="11" t="inlineStr">
        <is>
          <t>-</t>
        </is>
      </c>
      <c r="M513" s="11" t="inlineStr">
        <is>
          <t>-</t>
        </is>
      </c>
      <c r="N513" s="11" t="inlineStr">
        <is>
          <t>-</t>
        </is>
      </c>
      <c r="O513" s="11" t="inlineStr">
        <is>
          <t>-</t>
        </is>
      </c>
      <c r="P513" s="11" t="inlineStr">
        <is>
          <t>-</t>
        </is>
      </c>
      <c r="Q513" s="12" t="inlineStr">
        <is>
          <t>-</t>
        </is>
      </c>
    </row>
    <row r="514" ht="36" customHeight="1" s="155">
      <c r="B514" s="46" t="inlineStr">
        <is>
          <t>biscotto di pasta frolla al cioccolato</t>
        </is>
      </c>
      <c r="C514" s="49">
        <f>_xlfn.XLOOKUP(A515,Magazzino!$D$1:$D$1500,Magazzino!$F$1:$F$1500,"",0,1)</f>
        <v/>
      </c>
      <c r="D514" s="50">
        <f>_xlfn.XLOOKUP(A516,Magazzino!$D$1:$D$1500,Magazzino!$F$1:$F$1500,"",0,1)</f>
        <v/>
      </c>
      <c r="E514" s="50">
        <f>_xlfn.XLOOKUP(A517,Magazzino!$D$1:$D$1500,Magazzino!$F$1:$F$1500,"",0,1)</f>
        <v/>
      </c>
      <c r="F514" s="50">
        <f>_xlfn.XLOOKUP(A518,Magazzino!$D$1:$D$1500,Magazzino!$F$1:$F$1500,"",0,1)</f>
        <v/>
      </c>
      <c r="G514" s="50">
        <f>_xlfn.XLOOKUP(A519,Magazzino!$D$1:$D$1500,Magazzino!$F$1:$F$1500,"",0,1)</f>
        <v/>
      </c>
      <c r="H514" s="50">
        <f>_xlfn.XLOOKUP(A520,Magazzino!$D$1:$D$1500,Magazzino!$F$1:$F$1500,"",0,1)</f>
        <v/>
      </c>
      <c r="I514" s="50">
        <f>_xlfn.XLOOKUP(A521,Magazzino!$D$1:$D$1500,Magazzino!$F$1:$F$1500,"",0,1)</f>
        <v/>
      </c>
      <c r="J514" s="50">
        <f>_xlfn.XLOOKUP(A522,Magazzino!$D$1:$D$1500,Magazzino!$F$1:$F$1500,"",0,1)</f>
        <v/>
      </c>
      <c r="K514" s="50">
        <f>_xlfn.XLOOKUP(A523,Magazzino!$D$1:$D$1500,Magazzino!$F$1:$F$1500,"",0,1)</f>
        <v/>
      </c>
      <c r="L514" s="50">
        <f>_xlfn.XLOOKUP(A524,Magazzino!$D$1:$D$1500,Magazzino!$F$1:$F$1500,"",0,1)</f>
        <v/>
      </c>
      <c r="M514" s="50">
        <f>_xlfn.XLOOKUP(A525,Magazzino!$D$1:$D$1500,Magazzino!$F$1:$F$1500,"",0,1)</f>
        <v/>
      </c>
      <c r="N514" s="50">
        <f>_xlfn.XLOOKUP(A526,Magazzino!$D$1:$D$1500,Magazzino!$F$1:$F$1500,"",0,1)</f>
        <v/>
      </c>
      <c r="O514" s="50">
        <f>_xlfn.XLOOKUP(A527,Magazzino!$D$1:$D$1500,Magazzino!$F$1:$F$1500,"",0,1)</f>
        <v/>
      </c>
      <c r="P514" s="50">
        <f>_xlfn.XLOOKUP(A528,Magazzino!$D$1:$D$1500,Magazzino!$F$1:$F$1500,"",0,1)</f>
        <v/>
      </c>
      <c r="Q514" s="51">
        <f>_xlfn.XLOOKUP(A529,Magazzino!$D$1:$D$1500,Magazzino!$F$1:$F$1500,"",0,1)</f>
        <v/>
      </c>
    </row>
    <row r="515">
      <c r="A515" s="47" t="inlineStr">
        <is>
          <t xml:space="preserve">FARINA 0/MAN. CAPUTO DA KG.25  </t>
        </is>
      </c>
      <c r="B515" s="16" t="inlineStr">
        <is>
          <t>-</t>
        </is>
      </c>
      <c r="C515" s="11" t="inlineStr">
        <is>
          <t>-</t>
        </is>
      </c>
      <c r="D515" s="11" t="inlineStr">
        <is>
          <t>-</t>
        </is>
      </c>
      <c r="E515" s="11" t="inlineStr">
        <is>
          <t>-</t>
        </is>
      </c>
      <c r="F515" s="11" t="inlineStr">
        <is>
          <t>-</t>
        </is>
      </c>
      <c r="G515" s="11" t="inlineStr">
        <is>
          <t>-</t>
        </is>
      </c>
      <c r="H515" s="11" t="inlineStr">
        <is>
          <t>-</t>
        </is>
      </c>
      <c r="I515" s="11" t="inlineStr">
        <is>
          <t>-</t>
        </is>
      </c>
      <c r="J515" s="11" t="inlineStr">
        <is>
          <t>-</t>
        </is>
      </c>
      <c r="K515" s="11" t="inlineStr">
        <is>
          <t>-</t>
        </is>
      </c>
      <c r="L515" s="11" t="inlineStr">
        <is>
          <t>-</t>
        </is>
      </c>
      <c r="M515" s="11" t="inlineStr">
        <is>
          <t>-</t>
        </is>
      </c>
      <c r="N515" s="11" t="inlineStr">
        <is>
          <t>-</t>
        </is>
      </c>
      <c r="O515" s="11" t="inlineStr">
        <is>
          <t>-</t>
        </is>
      </c>
      <c r="P515" s="11" t="inlineStr">
        <is>
          <t>-</t>
        </is>
      </c>
      <c r="Q515" s="12" t="inlineStr">
        <is>
          <t>-</t>
        </is>
      </c>
    </row>
    <row r="516">
      <c r="A516" s="47" t="inlineStr">
        <is>
          <t xml:space="preserve">STRUTTO RAFFINATO I B VERDE  </t>
        </is>
      </c>
      <c r="B516" s="13" t="inlineStr">
        <is>
          <t>-</t>
        </is>
      </c>
      <c r="C516" s="14" t="inlineStr">
        <is>
          <t>-</t>
        </is>
      </c>
      <c r="D516" s="14" t="inlineStr">
        <is>
          <t>-</t>
        </is>
      </c>
      <c r="E516" s="14" t="inlineStr">
        <is>
          <t>-</t>
        </is>
      </c>
      <c r="F516" s="14" t="inlineStr">
        <is>
          <t>-</t>
        </is>
      </c>
      <c r="G516" s="14" t="inlineStr">
        <is>
          <t>-</t>
        </is>
      </c>
      <c r="H516" s="14" t="inlineStr">
        <is>
          <t>-</t>
        </is>
      </c>
      <c r="I516" s="14" t="inlineStr">
        <is>
          <t>-</t>
        </is>
      </c>
      <c r="J516" s="14" t="inlineStr">
        <is>
          <t>-</t>
        </is>
      </c>
      <c r="K516" s="14" t="inlineStr">
        <is>
          <t>-</t>
        </is>
      </c>
      <c r="L516" s="14" t="inlineStr">
        <is>
          <t>-</t>
        </is>
      </c>
      <c r="M516" s="14" t="inlineStr">
        <is>
          <t>-</t>
        </is>
      </c>
      <c r="N516" s="14" t="inlineStr">
        <is>
          <t>-</t>
        </is>
      </c>
      <c r="O516" s="14" t="inlineStr">
        <is>
          <t>-</t>
        </is>
      </c>
      <c r="P516" s="14" t="inlineStr">
        <is>
          <t>-</t>
        </is>
      </c>
      <c r="Q516" s="15" t="inlineStr">
        <is>
          <t>-</t>
        </is>
      </c>
    </row>
    <row r="517">
      <c r="A517" s="48" t="inlineStr">
        <is>
          <t xml:space="preserve">SALE SACCHI SALTECHNO KG.25  </t>
        </is>
      </c>
      <c r="B517" s="16" t="inlineStr">
        <is>
          <t>-</t>
        </is>
      </c>
      <c r="C517" s="11" t="inlineStr">
        <is>
          <t>-</t>
        </is>
      </c>
      <c r="D517" s="11" t="inlineStr">
        <is>
          <t>-</t>
        </is>
      </c>
      <c r="E517" s="11" t="inlineStr">
        <is>
          <t>-</t>
        </is>
      </c>
      <c r="F517" s="11" t="inlineStr">
        <is>
          <t>-</t>
        </is>
      </c>
      <c r="G517" s="11" t="inlineStr">
        <is>
          <t>-</t>
        </is>
      </c>
      <c r="H517" s="11" t="inlineStr">
        <is>
          <t>-</t>
        </is>
      </c>
      <c r="I517" s="11" t="inlineStr">
        <is>
          <t>-</t>
        </is>
      </c>
      <c r="J517" s="11" t="inlineStr">
        <is>
          <t>-</t>
        </is>
      </c>
      <c r="K517" s="11" t="inlineStr">
        <is>
          <t>-</t>
        </is>
      </c>
      <c r="L517" s="11" t="inlineStr">
        <is>
          <t>-</t>
        </is>
      </c>
      <c r="M517" s="11" t="inlineStr">
        <is>
          <t>-</t>
        </is>
      </c>
      <c r="N517" s="11" t="inlineStr">
        <is>
          <t>-</t>
        </is>
      </c>
      <c r="O517" s="11" t="inlineStr">
        <is>
          <t>-</t>
        </is>
      </c>
      <c r="P517" s="11" t="inlineStr">
        <is>
          <t>-</t>
        </is>
      </c>
      <c r="Q517" s="12" t="inlineStr">
        <is>
          <t>-</t>
        </is>
      </c>
    </row>
    <row r="518">
      <c r="A518" s="47" t="inlineStr">
        <is>
          <t>zucchero semolato</t>
        </is>
      </c>
      <c r="B518" s="13" t="inlineStr">
        <is>
          <t>-</t>
        </is>
      </c>
      <c r="C518" s="14" t="inlineStr">
        <is>
          <t>-</t>
        </is>
      </c>
      <c r="D518" s="14" t="inlineStr">
        <is>
          <t>-</t>
        </is>
      </c>
      <c r="E518" s="14" t="inlineStr">
        <is>
          <t>-</t>
        </is>
      </c>
      <c r="F518" s="14" t="inlineStr">
        <is>
          <t>-</t>
        </is>
      </c>
      <c r="G518" s="14" t="inlineStr">
        <is>
          <t>-</t>
        </is>
      </c>
      <c r="H518" s="14" t="inlineStr">
        <is>
          <t>-</t>
        </is>
      </c>
      <c r="I518" s="14" t="inlineStr">
        <is>
          <t>-</t>
        </is>
      </c>
      <c r="J518" s="14" t="inlineStr">
        <is>
          <t>-</t>
        </is>
      </c>
      <c r="K518" s="14" t="inlineStr">
        <is>
          <t>-</t>
        </is>
      </c>
      <c r="L518" s="14" t="inlineStr">
        <is>
          <t>-</t>
        </is>
      </c>
      <c r="M518" s="14" t="inlineStr">
        <is>
          <t>-</t>
        </is>
      </c>
      <c r="N518" s="14" t="inlineStr">
        <is>
          <t>-</t>
        </is>
      </c>
      <c r="O518" s="14" t="inlineStr">
        <is>
          <t>-</t>
        </is>
      </c>
      <c r="P518" s="14" t="inlineStr">
        <is>
          <t>-</t>
        </is>
      </c>
      <c r="Q518" s="15" t="inlineStr">
        <is>
          <t>-</t>
        </is>
      </c>
    </row>
    <row r="519">
      <c r="A519" s="47" t="inlineStr">
        <is>
          <t>cacao amaro</t>
        </is>
      </c>
      <c r="B519" s="16" t="inlineStr">
        <is>
          <t>-</t>
        </is>
      </c>
      <c r="C519" s="11" t="inlineStr">
        <is>
          <t>-</t>
        </is>
      </c>
      <c r="D519" s="11" t="inlineStr">
        <is>
          <t>-</t>
        </is>
      </c>
      <c r="E519" s="11" t="inlineStr">
        <is>
          <t>-</t>
        </is>
      </c>
      <c r="F519" s="11" t="inlineStr">
        <is>
          <t>-</t>
        </is>
      </c>
      <c r="G519" s="11" t="inlineStr">
        <is>
          <t>-</t>
        </is>
      </c>
      <c r="H519" s="11" t="inlineStr">
        <is>
          <t>-</t>
        </is>
      </c>
      <c r="I519" s="11" t="inlineStr">
        <is>
          <t>-</t>
        </is>
      </c>
      <c r="J519" s="11" t="inlineStr">
        <is>
          <t>-</t>
        </is>
      </c>
      <c r="K519" s="11" t="inlineStr">
        <is>
          <t>-</t>
        </is>
      </c>
      <c r="L519" s="11" t="inlineStr">
        <is>
          <t>-</t>
        </is>
      </c>
      <c r="M519" s="11" t="inlineStr">
        <is>
          <t>-</t>
        </is>
      </c>
      <c r="N519" s="11" t="inlineStr">
        <is>
          <t>-</t>
        </is>
      </c>
      <c r="O519" s="11" t="inlineStr">
        <is>
          <t>-</t>
        </is>
      </c>
      <c r="P519" s="11" t="inlineStr">
        <is>
          <t>-</t>
        </is>
      </c>
      <c r="Q519" s="12" t="inlineStr">
        <is>
          <t>-</t>
        </is>
      </c>
    </row>
    <row r="520">
      <c r="A520" s="47" t="n"/>
      <c r="B520" s="13" t="inlineStr">
        <is>
          <t>-</t>
        </is>
      </c>
      <c r="C520" s="14" t="inlineStr">
        <is>
          <t>-</t>
        </is>
      </c>
      <c r="D520" s="14" t="inlineStr">
        <is>
          <t>-</t>
        </is>
      </c>
      <c r="E520" s="14" t="inlineStr">
        <is>
          <t>-</t>
        </is>
      </c>
      <c r="F520" s="14" t="inlineStr">
        <is>
          <t>-</t>
        </is>
      </c>
      <c r="G520" s="14" t="inlineStr">
        <is>
          <t>-</t>
        </is>
      </c>
      <c r="H520" s="14" t="inlineStr">
        <is>
          <t>-</t>
        </is>
      </c>
      <c r="I520" s="14" t="inlineStr">
        <is>
          <t>-</t>
        </is>
      </c>
      <c r="J520" s="14" t="inlineStr">
        <is>
          <t>-</t>
        </is>
      </c>
      <c r="K520" s="14" t="inlineStr">
        <is>
          <t>-</t>
        </is>
      </c>
      <c r="L520" s="14" t="inlineStr">
        <is>
          <t>-</t>
        </is>
      </c>
      <c r="M520" s="14" t="inlineStr">
        <is>
          <t>-</t>
        </is>
      </c>
      <c r="N520" s="14" t="inlineStr">
        <is>
          <t>-</t>
        </is>
      </c>
      <c r="O520" s="14" t="inlineStr">
        <is>
          <t>-</t>
        </is>
      </c>
      <c r="P520" s="14" t="inlineStr">
        <is>
          <t>-</t>
        </is>
      </c>
      <c r="Q520" s="15" t="inlineStr">
        <is>
          <t>-</t>
        </is>
      </c>
    </row>
    <row r="521">
      <c r="A521" s="47" t="n"/>
      <c r="B521" s="16" t="inlineStr">
        <is>
          <t>-</t>
        </is>
      </c>
      <c r="C521" s="11" t="inlineStr">
        <is>
          <t>-</t>
        </is>
      </c>
      <c r="D521" s="11" t="inlineStr">
        <is>
          <t>-</t>
        </is>
      </c>
      <c r="E521" s="11" t="inlineStr">
        <is>
          <t>-</t>
        </is>
      </c>
      <c r="F521" s="11" t="inlineStr">
        <is>
          <t>-</t>
        </is>
      </c>
      <c r="G521" s="11" t="inlineStr">
        <is>
          <t>-</t>
        </is>
      </c>
      <c r="H521" s="11" t="inlineStr">
        <is>
          <t>-</t>
        </is>
      </c>
      <c r="I521" s="11" t="inlineStr">
        <is>
          <t>-</t>
        </is>
      </c>
      <c r="J521" s="11" t="inlineStr">
        <is>
          <t>-</t>
        </is>
      </c>
      <c r="K521" s="11" t="inlineStr">
        <is>
          <t>-</t>
        </is>
      </c>
      <c r="L521" s="11" t="inlineStr">
        <is>
          <t>-</t>
        </is>
      </c>
      <c r="M521" s="11" t="inlineStr">
        <is>
          <t>-</t>
        </is>
      </c>
      <c r="N521" s="11" t="inlineStr">
        <is>
          <t>-</t>
        </is>
      </c>
      <c r="O521" s="11" t="inlineStr">
        <is>
          <t>-</t>
        </is>
      </c>
      <c r="P521" s="11" t="inlineStr">
        <is>
          <t>-</t>
        </is>
      </c>
      <c r="Q521" s="12" t="inlineStr">
        <is>
          <t>-</t>
        </is>
      </c>
    </row>
    <row r="522">
      <c r="A522" s="47" t="n"/>
      <c r="B522" s="13" t="inlineStr">
        <is>
          <t>-</t>
        </is>
      </c>
      <c r="C522" s="14" t="inlineStr">
        <is>
          <t>-</t>
        </is>
      </c>
      <c r="D522" s="14" t="inlineStr">
        <is>
          <t>-</t>
        </is>
      </c>
      <c r="E522" s="14" t="inlineStr">
        <is>
          <t>-</t>
        </is>
      </c>
      <c r="F522" s="14" t="inlineStr">
        <is>
          <t>-</t>
        </is>
      </c>
      <c r="G522" s="14" t="inlineStr">
        <is>
          <t>-</t>
        </is>
      </c>
      <c r="H522" s="14" t="inlineStr">
        <is>
          <t>-</t>
        </is>
      </c>
      <c r="I522" s="14" t="inlineStr">
        <is>
          <t>-</t>
        </is>
      </c>
      <c r="J522" s="14" t="inlineStr">
        <is>
          <t>-</t>
        </is>
      </c>
      <c r="K522" s="14" t="inlineStr">
        <is>
          <t>-</t>
        </is>
      </c>
      <c r="L522" s="14" t="inlineStr">
        <is>
          <t>-</t>
        </is>
      </c>
      <c r="M522" s="14" t="inlineStr">
        <is>
          <t>-</t>
        </is>
      </c>
      <c r="N522" s="14" t="inlineStr">
        <is>
          <t>-</t>
        </is>
      </c>
      <c r="O522" s="14" t="inlineStr">
        <is>
          <t>-</t>
        </is>
      </c>
      <c r="P522" s="14" t="inlineStr">
        <is>
          <t>-</t>
        </is>
      </c>
      <c r="Q522" s="15" t="inlineStr">
        <is>
          <t>-</t>
        </is>
      </c>
    </row>
    <row r="523">
      <c r="A523" s="47" t="n"/>
      <c r="B523" s="16" t="inlineStr">
        <is>
          <t>-</t>
        </is>
      </c>
      <c r="C523" s="11" t="inlineStr">
        <is>
          <t>-</t>
        </is>
      </c>
      <c r="D523" s="11" t="inlineStr">
        <is>
          <t>-</t>
        </is>
      </c>
      <c r="E523" s="11" t="inlineStr">
        <is>
          <t>-</t>
        </is>
      </c>
      <c r="F523" s="11" t="inlineStr">
        <is>
          <t>-</t>
        </is>
      </c>
      <c r="G523" s="11" t="inlineStr">
        <is>
          <t>-</t>
        </is>
      </c>
      <c r="H523" s="11" t="inlineStr">
        <is>
          <t>-</t>
        </is>
      </c>
      <c r="I523" s="11" t="inlineStr">
        <is>
          <t>-</t>
        </is>
      </c>
      <c r="J523" s="11" t="inlineStr">
        <is>
          <t>-</t>
        </is>
      </c>
      <c r="K523" s="11" t="inlineStr">
        <is>
          <t>-</t>
        </is>
      </c>
      <c r="L523" s="11" t="inlineStr">
        <is>
          <t>-</t>
        </is>
      </c>
      <c r="M523" s="11" t="inlineStr">
        <is>
          <t>-</t>
        </is>
      </c>
      <c r="N523" s="11" t="inlineStr">
        <is>
          <t>-</t>
        </is>
      </c>
      <c r="O523" s="11" t="inlineStr">
        <is>
          <t>-</t>
        </is>
      </c>
      <c r="P523" s="11" t="inlineStr">
        <is>
          <t>-</t>
        </is>
      </c>
      <c r="Q523" s="12" t="inlineStr">
        <is>
          <t>-</t>
        </is>
      </c>
    </row>
    <row r="524">
      <c r="A524" s="47" t="n"/>
      <c r="B524" s="13" t="inlineStr">
        <is>
          <t>-</t>
        </is>
      </c>
      <c r="C524" s="14" t="inlineStr">
        <is>
          <t>-</t>
        </is>
      </c>
      <c r="D524" s="14" t="inlineStr">
        <is>
          <t>-</t>
        </is>
      </c>
      <c r="E524" s="14" t="inlineStr">
        <is>
          <t>-</t>
        </is>
      </c>
      <c r="F524" s="14" t="inlineStr">
        <is>
          <t>-</t>
        </is>
      </c>
      <c r="G524" s="14" t="inlineStr">
        <is>
          <t>-</t>
        </is>
      </c>
      <c r="H524" s="14" t="inlineStr">
        <is>
          <t>-</t>
        </is>
      </c>
      <c r="I524" s="14" t="inlineStr">
        <is>
          <t>-</t>
        </is>
      </c>
      <c r="J524" s="14" t="inlineStr">
        <is>
          <t>-</t>
        </is>
      </c>
      <c r="K524" s="14" t="inlineStr">
        <is>
          <t>-</t>
        </is>
      </c>
      <c r="L524" s="14" t="inlineStr">
        <is>
          <t>-</t>
        </is>
      </c>
      <c r="M524" s="14" t="inlineStr">
        <is>
          <t>-</t>
        </is>
      </c>
      <c r="N524" s="14" t="inlineStr">
        <is>
          <t>-</t>
        </is>
      </c>
      <c r="O524" s="14" t="inlineStr">
        <is>
          <t>-</t>
        </is>
      </c>
      <c r="P524" s="14" t="inlineStr">
        <is>
          <t>-</t>
        </is>
      </c>
      <c r="Q524" s="15" t="inlineStr">
        <is>
          <t>-</t>
        </is>
      </c>
    </row>
    <row r="525">
      <c r="A525" s="47" t="n"/>
      <c r="B525" s="16" t="inlineStr">
        <is>
          <t>-</t>
        </is>
      </c>
      <c r="C525" s="11" t="inlineStr">
        <is>
          <t>-</t>
        </is>
      </c>
      <c r="D525" s="11" t="inlineStr">
        <is>
          <t>-</t>
        </is>
      </c>
      <c r="E525" s="11" t="inlineStr">
        <is>
          <t>-</t>
        </is>
      </c>
      <c r="F525" s="11" t="inlineStr">
        <is>
          <t>-</t>
        </is>
      </c>
      <c r="G525" s="11" t="inlineStr">
        <is>
          <t>-</t>
        </is>
      </c>
      <c r="H525" s="11" t="inlineStr">
        <is>
          <t>-</t>
        </is>
      </c>
      <c r="I525" s="11" t="inlineStr">
        <is>
          <t>-</t>
        </is>
      </c>
      <c r="J525" s="11" t="inlineStr">
        <is>
          <t>-</t>
        </is>
      </c>
      <c r="K525" s="11" t="inlineStr">
        <is>
          <t>-</t>
        </is>
      </c>
      <c r="L525" s="11" t="inlineStr">
        <is>
          <t>-</t>
        </is>
      </c>
      <c r="M525" s="11" t="inlineStr">
        <is>
          <t>-</t>
        </is>
      </c>
      <c r="N525" s="11" t="inlineStr">
        <is>
          <t>-</t>
        </is>
      </c>
      <c r="O525" s="11" t="inlineStr">
        <is>
          <t>-</t>
        </is>
      </c>
      <c r="P525" s="11" t="inlineStr">
        <is>
          <t>-</t>
        </is>
      </c>
      <c r="Q525" s="12" t="inlineStr">
        <is>
          <t>-</t>
        </is>
      </c>
    </row>
    <row r="526">
      <c r="A526" s="47" t="n"/>
      <c r="B526" s="13" t="inlineStr">
        <is>
          <t>-</t>
        </is>
      </c>
      <c r="C526" s="14" t="inlineStr">
        <is>
          <t>-</t>
        </is>
      </c>
      <c r="D526" s="14" t="inlineStr">
        <is>
          <t>-</t>
        </is>
      </c>
      <c r="E526" s="14" t="inlineStr">
        <is>
          <t>-</t>
        </is>
      </c>
      <c r="F526" s="14" t="inlineStr">
        <is>
          <t>-</t>
        </is>
      </c>
      <c r="G526" s="14" t="inlineStr">
        <is>
          <t>-</t>
        </is>
      </c>
      <c r="H526" s="14" t="inlineStr">
        <is>
          <t>-</t>
        </is>
      </c>
      <c r="I526" s="14" t="inlineStr">
        <is>
          <t>-</t>
        </is>
      </c>
      <c r="J526" s="14" t="inlineStr">
        <is>
          <t>-</t>
        </is>
      </c>
      <c r="K526" s="14" t="inlineStr">
        <is>
          <t>-</t>
        </is>
      </c>
      <c r="L526" s="14" t="inlineStr">
        <is>
          <t>-</t>
        </is>
      </c>
      <c r="M526" s="14" t="inlineStr">
        <is>
          <t>-</t>
        </is>
      </c>
      <c r="N526" s="14" t="inlineStr">
        <is>
          <t>-</t>
        </is>
      </c>
      <c r="O526" s="14" t="inlineStr">
        <is>
          <t>-</t>
        </is>
      </c>
      <c r="P526" s="14" t="inlineStr">
        <is>
          <t>-</t>
        </is>
      </c>
      <c r="Q526" s="15" t="inlineStr">
        <is>
          <t>-</t>
        </is>
      </c>
    </row>
    <row r="527">
      <c r="A527" s="47" t="n"/>
      <c r="B527" s="16" t="inlineStr">
        <is>
          <t>-</t>
        </is>
      </c>
      <c r="C527" s="11" t="inlineStr">
        <is>
          <t>-</t>
        </is>
      </c>
      <c r="D527" s="11" t="inlineStr">
        <is>
          <t>-</t>
        </is>
      </c>
      <c r="E527" s="11" t="inlineStr">
        <is>
          <t>-</t>
        </is>
      </c>
      <c r="F527" s="11" t="inlineStr">
        <is>
          <t>-</t>
        </is>
      </c>
      <c r="G527" s="11" t="inlineStr">
        <is>
          <t>-</t>
        </is>
      </c>
      <c r="H527" s="11" t="inlineStr">
        <is>
          <t>-</t>
        </is>
      </c>
      <c r="I527" s="11" t="inlineStr">
        <is>
          <t>-</t>
        </is>
      </c>
      <c r="J527" s="11" t="inlineStr">
        <is>
          <t>-</t>
        </is>
      </c>
      <c r="K527" s="11" t="inlineStr">
        <is>
          <t>-</t>
        </is>
      </c>
      <c r="L527" s="11" t="inlineStr">
        <is>
          <t>-</t>
        </is>
      </c>
      <c r="M527" s="11" t="inlineStr">
        <is>
          <t>-</t>
        </is>
      </c>
      <c r="N527" s="11" t="inlineStr">
        <is>
          <t>-</t>
        </is>
      </c>
      <c r="O527" s="11" t="inlineStr">
        <is>
          <t>-</t>
        </is>
      </c>
      <c r="P527" s="11" t="inlineStr">
        <is>
          <t>-</t>
        </is>
      </c>
      <c r="Q527" s="12" t="inlineStr">
        <is>
          <t>-</t>
        </is>
      </c>
    </row>
    <row r="528">
      <c r="A528" s="47" t="n"/>
      <c r="B528" s="13" t="inlineStr">
        <is>
          <t>-</t>
        </is>
      </c>
      <c r="C528" s="14" t="inlineStr">
        <is>
          <t>-</t>
        </is>
      </c>
      <c r="D528" s="14" t="inlineStr">
        <is>
          <t>-</t>
        </is>
      </c>
      <c r="E528" s="14" t="inlineStr">
        <is>
          <t>-</t>
        </is>
      </c>
      <c r="F528" s="14" t="inlineStr">
        <is>
          <t>-</t>
        </is>
      </c>
      <c r="G528" s="14" t="inlineStr">
        <is>
          <t>-</t>
        </is>
      </c>
      <c r="H528" s="14" t="inlineStr">
        <is>
          <t>-</t>
        </is>
      </c>
      <c r="I528" s="14" t="inlineStr">
        <is>
          <t>-</t>
        </is>
      </c>
      <c r="J528" s="14" t="inlineStr">
        <is>
          <t>-</t>
        </is>
      </c>
      <c r="K528" s="14" t="inlineStr">
        <is>
          <t>-</t>
        </is>
      </c>
      <c r="L528" s="14" t="inlineStr">
        <is>
          <t>-</t>
        </is>
      </c>
      <c r="M528" s="14" t="inlineStr">
        <is>
          <t>-</t>
        </is>
      </c>
      <c r="N528" s="14" t="inlineStr">
        <is>
          <t>-</t>
        </is>
      </c>
      <c r="O528" s="14" t="inlineStr">
        <is>
          <t>-</t>
        </is>
      </c>
      <c r="P528" s="14" t="inlineStr">
        <is>
          <t>-</t>
        </is>
      </c>
      <c r="Q528" s="15" t="inlineStr">
        <is>
          <t>-</t>
        </is>
      </c>
    </row>
    <row r="529">
      <c r="A529" s="47" t="n"/>
      <c r="B529" s="16" t="inlineStr">
        <is>
          <t>-</t>
        </is>
      </c>
      <c r="C529" s="11" t="inlineStr">
        <is>
          <t>-</t>
        </is>
      </c>
      <c r="D529" s="11" t="inlineStr">
        <is>
          <t>-</t>
        </is>
      </c>
      <c r="E529" s="11" t="inlineStr">
        <is>
          <t>-</t>
        </is>
      </c>
      <c r="F529" s="11" t="inlineStr">
        <is>
          <t>-</t>
        </is>
      </c>
      <c r="G529" s="11" t="inlineStr">
        <is>
          <t>-</t>
        </is>
      </c>
      <c r="H529" s="11" t="inlineStr">
        <is>
          <t>-</t>
        </is>
      </c>
      <c r="I529" s="11" t="inlineStr">
        <is>
          <t>-</t>
        </is>
      </c>
      <c r="J529" s="11" t="inlineStr">
        <is>
          <t>-</t>
        </is>
      </c>
      <c r="K529" s="11" t="inlineStr">
        <is>
          <t>-</t>
        </is>
      </c>
      <c r="L529" s="11" t="inlineStr">
        <is>
          <t>-</t>
        </is>
      </c>
      <c r="M529" s="11" t="inlineStr">
        <is>
          <t>-</t>
        </is>
      </c>
      <c r="N529" s="11" t="inlineStr">
        <is>
          <t>-</t>
        </is>
      </c>
      <c r="O529" s="11" t="inlineStr">
        <is>
          <t>-</t>
        </is>
      </c>
      <c r="P529" s="11" t="inlineStr">
        <is>
          <t>-</t>
        </is>
      </c>
      <c r="Q529" s="12" t="inlineStr">
        <is>
          <t>-</t>
        </is>
      </c>
    </row>
    <row r="530" ht="36" customHeight="1" s="155">
      <c r="B530" s="46" t="inlineStr">
        <is>
          <t>brioche</t>
        </is>
      </c>
      <c r="C530" s="49">
        <f>_xlfn.XLOOKUP(A531,Magazzino!$D$1:$D$1500,Magazzino!$F$1:$F$1500,"",0,1)</f>
        <v/>
      </c>
      <c r="D530" s="50">
        <f>_xlfn.XLOOKUP(A532,Magazzino!$D$1:$D$1500,Magazzino!$F$1:$F$1500,"",0,1)</f>
        <v/>
      </c>
      <c r="E530" s="50">
        <f>_xlfn.XLOOKUP(A533,Magazzino!$D$1:$D$1500,Magazzino!$F$1:$F$1500,"",0,1)</f>
        <v/>
      </c>
      <c r="F530" s="50">
        <f>_xlfn.XLOOKUP(A534,Magazzino!$D$1:$D$1500,Magazzino!$F$1:$F$1500,"",0,1)</f>
        <v/>
      </c>
      <c r="G530" s="50">
        <f>_xlfn.XLOOKUP(A535,Magazzino!$D$1:$D$1500,Magazzino!$F$1:$F$1500,"",0,1)</f>
        <v/>
      </c>
      <c r="H530" s="50">
        <f>_xlfn.XLOOKUP(A536,Magazzino!$D$1:$D$1500,Magazzino!$F$1:$F$1500,"",0,1)</f>
        <v/>
      </c>
      <c r="I530" s="50">
        <f>_xlfn.XLOOKUP(A537,Magazzino!$D$1:$D$1500,Magazzino!$F$1:$F$1500,"",0,1)</f>
        <v/>
      </c>
      <c r="J530" s="50">
        <f>_xlfn.XLOOKUP(A538,Magazzino!$D$1:$D$1500,Magazzino!$F$1:$F$1500,"",0,1)</f>
        <v/>
      </c>
      <c r="K530" s="50">
        <f>_xlfn.XLOOKUP(A539,Magazzino!$D$1:$D$1500,Magazzino!$F$1:$F$1500,"",0,1)</f>
        <v/>
      </c>
      <c r="L530" s="50">
        <f>_xlfn.XLOOKUP(A540,Magazzino!$D$1:$D$1500,Magazzino!$F$1:$F$1500,"",0,1)</f>
        <v/>
      </c>
      <c r="M530" s="50">
        <f>_xlfn.XLOOKUP(A541,Magazzino!$D$1:$D$1500,Magazzino!$F$1:$F$1500,"",0,1)</f>
        <v/>
      </c>
      <c r="N530" s="50">
        <f>_xlfn.XLOOKUP(A542,Magazzino!$D$1:$D$1500,Magazzino!$F$1:$F$1500,"",0,1)</f>
        <v/>
      </c>
      <c r="O530" s="50">
        <f>_xlfn.XLOOKUP(A543,Magazzino!$D$1:$D$1500,Magazzino!$F$1:$F$1500,"",0,1)</f>
        <v/>
      </c>
      <c r="P530" s="50">
        <f>_xlfn.XLOOKUP(A544,Magazzino!$D$1:$D$1500,Magazzino!$F$1:$F$1500,"",0,1)</f>
        <v/>
      </c>
      <c r="Q530" s="51">
        <f>_xlfn.XLOOKUP(A545,Magazzino!$D$1:$D$1500,Magazzino!$F$1:$F$1500,"",0,1)</f>
        <v/>
      </c>
    </row>
    <row r="531">
      <c r="A531" s="47" t="inlineStr">
        <is>
          <t xml:space="preserve">FARINA 0/MAN. CAPUTO DA KG.25  </t>
        </is>
      </c>
      <c r="B531" s="16" t="inlineStr">
        <is>
          <t>-</t>
        </is>
      </c>
      <c r="C531" s="11" t="inlineStr">
        <is>
          <t>-</t>
        </is>
      </c>
      <c r="D531" s="11" t="inlineStr">
        <is>
          <t>-</t>
        </is>
      </c>
      <c r="E531" s="11" t="inlineStr">
        <is>
          <t>-</t>
        </is>
      </c>
      <c r="F531" s="11" t="inlineStr">
        <is>
          <t>-</t>
        </is>
      </c>
      <c r="G531" s="11" t="inlineStr">
        <is>
          <t>-</t>
        </is>
      </c>
      <c r="H531" s="11" t="inlineStr">
        <is>
          <t>-</t>
        </is>
      </c>
      <c r="I531" s="11" t="inlineStr">
        <is>
          <t>-</t>
        </is>
      </c>
      <c r="J531" s="11" t="inlineStr">
        <is>
          <t>-</t>
        </is>
      </c>
      <c r="K531" s="11" t="inlineStr">
        <is>
          <t>-</t>
        </is>
      </c>
      <c r="L531" s="11" t="inlineStr">
        <is>
          <t>-</t>
        </is>
      </c>
      <c r="M531" s="11" t="inlineStr">
        <is>
          <t>-</t>
        </is>
      </c>
      <c r="N531" s="11" t="inlineStr">
        <is>
          <t>-</t>
        </is>
      </c>
      <c r="O531" s="11" t="inlineStr">
        <is>
          <t>-</t>
        </is>
      </c>
      <c r="P531" s="11" t="inlineStr">
        <is>
          <t>-</t>
        </is>
      </c>
      <c r="Q531" s="12" t="inlineStr">
        <is>
          <t>-</t>
        </is>
      </c>
    </row>
    <row r="532">
      <c r="A532" s="47" t="inlineStr">
        <is>
          <t>margarina crema</t>
        </is>
      </c>
      <c r="B532" s="13" t="inlineStr">
        <is>
          <t>-</t>
        </is>
      </c>
      <c r="C532" s="14" t="inlineStr">
        <is>
          <t>-</t>
        </is>
      </c>
      <c r="D532" s="14" t="inlineStr">
        <is>
          <t>-</t>
        </is>
      </c>
      <c r="E532" s="14" t="inlineStr">
        <is>
          <t>-</t>
        </is>
      </c>
      <c r="F532" s="14" t="inlineStr">
        <is>
          <t>-</t>
        </is>
      </c>
      <c r="G532" s="14" t="inlineStr">
        <is>
          <t>-</t>
        </is>
      </c>
      <c r="H532" s="14" t="inlineStr">
        <is>
          <t>-</t>
        </is>
      </c>
      <c r="I532" s="14" t="inlineStr">
        <is>
          <t>-</t>
        </is>
      </c>
      <c r="J532" s="14" t="inlineStr">
        <is>
          <t>-</t>
        </is>
      </c>
      <c r="K532" s="14" t="inlineStr">
        <is>
          <t>-</t>
        </is>
      </c>
      <c r="L532" s="14" t="inlineStr">
        <is>
          <t>-</t>
        </is>
      </c>
      <c r="M532" s="14" t="inlineStr">
        <is>
          <t>-</t>
        </is>
      </c>
      <c r="N532" s="14" t="inlineStr">
        <is>
          <t>-</t>
        </is>
      </c>
      <c r="O532" s="14" t="inlineStr">
        <is>
          <t>-</t>
        </is>
      </c>
      <c r="P532" s="14" t="inlineStr">
        <is>
          <t>-</t>
        </is>
      </c>
      <c r="Q532" s="15" t="inlineStr">
        <is>
          <t>-</t>
        </is>
      </c>
    </row>
    <row r="533">
      <c r="A533" s="47" t="inlineStr">
        <is>
          <t>LIEVITO x 2.5kg</t>
        </is>
      </c>
      <c r="B533" s="16" t="inlineStr">
        <is>
          <t>-</t>
        </is>
      </c>
      <c r="C533" s="11" t="inlineStr">
        <is>
          <t>-</t>
        </is>
      </c>
      <c r="D533" s="11" t="inlineStr">
        <is>
          <t>-</t>
        </is>
      </c>
      <c r="E533" s="11" t="inlineStr">
        <is>
          <t>-</t>
        </is>
      </c>
      <c r="F533" s="11" t="inlineStr">
        <is>
          <t>-</t>
        </is>
      </c>
      <c r="G533" s="11" t="inlineStr">
        <is>
          <t>-</t>
        </is>
      </c>
      <c r="H533" s="11" t="inlineStr">
        <is>
          <t>-</t>
        </is>
      </c>
      <c r="I533" s="11" t="inlineStr">
        <is>
          <t>-</t>
        </is>
      </c>
      <c r="J533" s="11" t="inlineStr">
        <is>
          <t>-</t>
        </is>
      </c>
      <c r="K533" s="11" t="inlineStr">
        <is>
          <t>-</t>
        </is>
      </c>
      <c r="L533" s="11" t="inlineStr">
        <is>
          <t>-</t>
        </is>
      </c>
      <c r="M533" s="11" t="inlineStr">
        <is>
          <t>-</t>
        </is>
      </c>
      <c r="N533" s="11" t="inlineStr">
        <is>
          <t>-</t>
        </is>
      </c>
      <c r="O533" s="11" t="inlineStr">
        <is>
          <t>-</t>
        </is>
      </c>
      <c r="P533" s="11" t="inlineStr">
        <is>
          <t>-</t>
        </is>
      </c>
      <c r="Q533" s="12" t="inlineStr">
        <is>
          <t>-</t>
        </is>
      </c>
    </row>
    <row r="534">
      <c r="A534" s="47" t="inlineStr">
        <is>
          <t>tuorlo d'uovo pastorizzato</t>
        </is>
      </c>
      <c r="B534" s="13" t="inlineStr">
        <is>
          <t>-</t>
        </is>
      </c>
      <c r="C534" s="14" t="inlineStr">
        <is>
          <t>-</t>
        </is>
      </c>
      <c r="D534" s="14" t="inlineStr">
        <is>
          <t>-</t>
        </is>
      </c>
      <c r="E534" s="14" t="inlineStr">
        <is>
          <t>-</t>
        </is>
      </c>
      <c r="F534" s="14" t="inlineStr">
        <is>
          <t>-</t>
        </is>
      </c>
      <c r="G534" s="14" t="inlineStr">
        <is>
          <t>-</t>
        </is>
      </c>
      <c r="H534" s="14" t="inlineStr">
        <is>
          <t>-</t>
        </is>
      </c>
      <c r="I534" s="14" t="inlineStr">
        <is>
          <t>-</t>
        </is>
      </c>
      <c r="J534" s="14" t="inlineStr">
        <is>
          <t>-</t>
        </is>
      </c>
      <c r="K534" s="14" t="inlineStr">
        <is>
          <t>-</t>
        </is>
      </c>
      <c r="L534" s="14" t="inlineStr">
        <is>
          <t>-</t>
        </is>
      </c>
      <c r="M534" s="14" t="inlineStr">
        <is>
          <t>-</t>
        </is>
      </c>
      <c r="N534" s="14" t="inlineStr">
        <is>
          <t>-</t>
        </is>
      </c>
      <c r="O534" s="14" t="inlineStr">
        <is>
          <t>-</t>
        </is>
      </c>
      <c r="P534" s="14" t="inlineStr">
        <is>
          <t>-</t>
        </is>
      </c>
      <c r="Q534" s="15" t="inlineStr">
        <is>
          <t>-</t>
        </is>
      </c>
    </row>
    <row r="535">
      <c r="A535" s="47" t="inlineStr">
        <is>
          <t>AROMA CROISSANT</t>
        </is>
      </c>
      <c r="B535" s="16" t="inlineStr">
        <is>
          <t>-</t>
        </is>
      </c>
      <c r="C535" s="11" t="inlineStr">
        <is>
          <t>-</t>
        </is>
      </c>
      <c r="D535" s="11" t="inlineStr">
        <is>
          <t>-</t>
        </is>
      </c>
      <c r="E535" s="11" t="inlineStr">
        <is>
          <t>-</t>
        </is>
      </c>
      <c r="F535" s="11" t="inlineStr">
        <is>
          <t>-</t>
        </is>
      </c>
      <c r="G535" s="11" t="inlineStr">
        <is>
          <t>-</t>
        </is>
      </c>
      <c r="H535" s="11" t="inlineStr">
        <is>
          <t>-</t>
        </is>
      </c>
      <c r="I535" s="11" t="inlineStr">
        <is>
          <t>-</t>
        </is>
      </c>
      <c r="J535" s="11" t="inlineStr">
        <is>
          <t>-</t>
        </is>
      </c>
      <c r="K535" s="11" t="inlineStr">
        <is>
          <t>-</t>
        </is>
      </c>
      <c r="L535" s="11" t="inlineStr">
        <is>
          <t>-</t>
        </is>
      </c>
      <c r="M535" s="11" t="inlineStr">
        <is>
          <t>-</t>
        </is>
      </c>
      <c r="N535" s="11" t="inlineStr">
        <is>
          <t>-</t>
        </is>
      </c>
      <c r="O535" s="11" t="inlineStr">
        <is>
          <t>-</t>
        </is>
      </c>
      <c r="P535" s="11" t="inlineStr">
        <is>
          <t>-</t>
        </is>
      </c>
      <c r="Q535" s="12" t="inlineStr">
        <is>
          <t>-</t>
        </is>
      </c>
    </row>
    <row r="536">
      <c r="A536" s="47" t="inlineStr">
        <is>
          <t>latte   1500 int.uht  yma</t>
        </is>
      </c>
      <c r="B536" s="13" t="inlineStr">
        <is>
          <t>-</t>
        </is>
      </c>
      <c r="C536" s="14" t="inlineStr">
        <is>
          <t>-</t>
        </is>
      </c>
      <c r="D536" s="14" t="inlineStr">
        <is>
          <t>-</t>
        </is>
      </c>
      <c r="E536" s="14" t="inlineStr">
        <is>
          <t>-</t>
        </is>
      </c>
      <c r="F536" s="14" t="inlineStr">
        <is>
          <t>-</t>
        </is>
      </c>
      <c r="G536" s="14" t="inlineStr">
        <is>
          <t>-</t>
        </is>
      </c>
      <c r="H536" s="14" t="inlineStr">
        <is>
          <t>-</t>
        </is>
      </c>
      <c r="I536" s="14" t="inlineStr">
        <is>
          <t>-</t>
        </is>
      </c>
      <c r="J536" s="14" t="inlineStr">
        <is>
          <t>-</t>
        </is>
      </c>
      <c r="K536" s="14" t="inlineStr">
        <is>
          <t>-</t>
        </is>
      </c>
      <c r="L536" s="14" t="inlineStr">
        <is>
          <t>-</t>
        </is>
      </c>
      <c r="M536" s="14" t="inlineStr">
        <is>
          <t>-</t>
        </is>
      </c>
      <c r="N536" s="14" t="inlineStr">
        <is>
          <t>-</t>
        </is>
      </c>
      <c r="O536" s="14" t="inlineStr">
        <is>
          <t>-</t>
        </is>
      </c>
      <c r="P536" s="14" t="inlineStr">
        <is>
          <t>-</t>
        </is>
      </c>
      <c r="Q536" s="15" t="inlineStr">
        <is>
          <t>-</t>
        </is>
      </c>
    </row>
    <row r="537">
      <c r="A537" s="48" t="inlineStr">
        <is>
          <t xml:space="preserve">SALE SACCHI SALTECHNO KG.25  </t>
        </is>
      </c>
      <c r="B537" s="16" t="inlineStr">
        <is>
          <t>-</t>
        </is>
      </c>
      <c r="C537" s="11" t="inlineStr">
        <is>
          <t>-</t>
        </is>
      </c>
      <c r="D537" s="11" t="inlineStr">
        <is>
          <t>-</t>
        </is>
      </c>
      <c r="E537" s="11" t="inlineStr">
        <is>
          <t>-</t>
        </is>
      </c>
      <c r="F537" s="11" t="inlineStr">
        <is>
          <t>-</t>
        </is>
      </c>
      <c r="G537" s="11" t="inlineStr">
        <is>
          <t>-</t>
        </is>
      </c>
      <c r="H537" s="11" t="inlineStr">
        <is>
          <t>-</t>
        </is>
      </c>
      <c r="I537" s="11" t="inlineStr">
        <is>
          <t>-</t>
        </is>
      </c>
      <c r="J537" s="11" t="inlineStr">
        <is>
          <t>-</t>
        </is>
      </c>
      <c r="K537" s="11" t="inlineStr">
        <is>
          <t>-</t>
        </is>
      </c>
      <c r="L537" s="11" t="inlineStr">
        <is>
          <t>-</t>
        </is>
      </c>
      <c r="M537" s="11" t="inlineStr">
        <is>
          <t>-</t>
        </is>
      </c>
      <c r="N537" s="11" t="inlineStr">
        <is>
          <t>-</t>
        </is>
      </c>
      <c r="O537" s="11" t="inlineStr">
        <is>
          <t>-</t>
        </is>
      </c>
      <c r="P537" s="11" t="inlineStr">
        <is>
          <t>-</t>
        </is>
      </c>
      <c r="Q537" s="12" t="inlineStr">
        <is>
          <t>-</t>
        </is>
      </c>
    </row>
    <row r="538">
      <c r="A538" s="47" t="n"/>
      <c r="B538" s="13" t="inlineStr">
        <is>
          <t>-</t>
        </is>
      </c>
      <c r="C538" s="14" t="inlineStr">
        <is>
          <t>-</t>
        </is>
      </c>
      <c r="D538" s="14" t="inlineStr">
        <is>
          <t>-</t>
        </is>
      </c>
      <c r="E538" s="14" t="inlineStr">
        <is>
          <t>-</t>
        </is>
      </c>
      <c r="F538" s="14" t="inlineStr">
        <is>
          <t>-</t>
        </is>
      </c>
      <c r="G538" s="14" t="inlineStr">
        <is>
          <t>-</t>
        </is>
      </c>
      <c r="H538" s="14" t="inlineStr">
        <is>
          <t>-</t>
        </is>
      </c>
      <c r="I538" s="14" t="inlineStr">
        <is>
          <t>-</t>
        </is>
      </c>
      <c r="J538" s="14" t="inlineStr">
        <is>
          <t>-</t>
        </is>
      </c>
      <c r="K538" s="14" t="inlineStr">
        <is>
          <t>-</t>
        </is>
      </c>
      <c r="L538" s="14" t="inlineStr">
        <is>
          <t>-</t>
        </is>
      </c>
      <c r="M538" s="14" t="inlineStr">
        <is>
          <t>-</t>
        </is>
      </c>
      <c r="N538" s="14" t="inlineStr">
        <is>
          <t>-</t>
        </is>
      </c>
      <c r="O538" s="14" t="inlineStr">
        <is>
          <t>-</t>
        </is>
      </c>
      <c r="P538" s="14" t="inlineStr">
        <is>
          <t>-</t>
        </is>
      </c>
      <c r="Q538" s="15" t="inlineStr">
        <is>
          <t>-</t>
        </is>
      </c>
    </row>
    <row r="539">
      <c r="A539" s="47" t="n"/>
      <c r="B539" s="16" t="inlineStr">
        <is>
          <t>-</t>
        </is>
      </c>
      <c r="C539" s="11" t="inlineStr">
        <is>
          <t>-</t>
        </is>
      </c>
      <c r="D539" s="11" t="inlineStr">
        <is>
          <t>-</t>
        </is>
      </c>
      <c r="E539" s="11" t="inlineStr">
        <is>
          <t>-</t>
        </is>
      </c>
      <c r="F539" s="11" t="inlineStr">
        <is>
          <t>-</t>
        </is>
      </c>
      <c r="G539" s="11" t="inlineStr">
        <is>
          <t>-</t>
        </is>
      </c>
      <c r="H539" s="11" t="inlineStr">
        <is>
          <t>-</t>
        </is>
      </c>
      <c r="I539" s="11" t="inlineStr">
        <is>
          <t>-</t>
        </is>
      </c>
      <c r="J539" s="11" t="inlineStr">
        <is>
          <t>-</t>
        </is>
      </c>
      <c r="K539" s="11" t="inlineStr">
        <is>
          <t>-</t>
        </is>
      </c>
      <c r="L539" s="11" t="inlineStr">
        <is>
          <t>-</t>
        </is>
      </c>
      <c r="M539" s="11" t="inlineStr">
        <is>
          <t>-</t>
        </is>
      </c>
      <c r="N539" s="11" t="inlineStr">
        <is>
          <t>-</t>
        </is>
      </c>
      <c r="O539" s="11" t="inlineStr">
        <is>
          <t>-</t>
        </is>
      </c>
      <c r="P539" s="11" t="inlineStr">
        <is>
          <t>-</t>
        </is>
      </c>
      <c r="Q539" s="12" t="inlineStr">
        <is>
          <t>-</t>
        </is>
      </c>
    </row>
    <row r="540">
      <c r="A540" s="47" t="n"/>
      <c r="B540" s="13" t="inlineStr">
        <is>
          <t>-</t>
        </is>
      </c>
      <c r="C540" s="14" t="inlineStr">
        <is>
          <t>-</t>
        </is>
      </c>
      <c r="D540" s="14" t="inlineStr">
        <is>
          <t>-</t>
        </is>
      </c>
      <c r="E540" s="14" t="inlineStr">
        <is>
          <t>-</t>
        </is>
      </c>
      <c r="F540" s="14" t="inlineStr">
        <is>
          <t>-</t>
        </is>
      </c>
      <c r="G540" s="14" t="inlineStr">
        <is>
          <t>-</t>
        </is>
      </c>
      <c r="H540" s="14" t="inlineStr">
        <is>
          <t>-</t>
        </is>
      </c>
      <c r="I540" s="14" t="inlineStr">
        <is>
          <t>-</t>
        </is>
      </c>
      <c r="J540" s="14" t="inlineStr">
        <is>
          <t>-</t>
        </is>
      </c>
      <c r="K540" s="14" t="inlineStr">
        <is>
          <t>-</t>
        </is>
      </c>
      <c r="L540" s="14" t="inlineStr">
        <is>
          <t>-</t>
        </is>
      </c>
      <c r="M540" s="14" t="inlineStr">
        <is>
          <t>-</t>
        </is>
      </c>
      <c r="N540" s="14" t="inlineStr">
        <is>
          <t>-</t>
        </is>
      </c>
      <c r="O540" s="14" t="inlineStr">
        <is>
          <t>-</t>
        </is>
      </c>
      <c r="P540" s="14" t="inlineStr">
        <is>
          <t>-</t>
        </is>
      </c>
      <c r="Q540" s="15" t="inlineStr">
        <is>
          <t>-</t>
        </is>
      </c>
    </row>
    <row r="541">
      <c r="A541" s="47" t="n"/>
      <c r="B541" s="16" t="inlineStr">
        <is>
          <t>-</t>
        </is>
      </c>
      <c r="C541" s="11" t="inlineStr">
        <is>
          <t>-</t>
        </is>
      </c>
      <c r="D541" s="11" t="inlineStr">
        <is>
          <t>-</t>
        </is>
      </c>
      <c r="E541" s="11" t="inlineStr">
        <is>
          <t>-</t>
        </is>
      </c>
      <c r="F541" s="11" t="inlineStr">
        <is>
          <t>-</t>
        </is>
      </c>
      <c r="G541" s="11" t="inlineStr">
        <is>
          <t>-</t>
        </is>
      </c>
      <c r="H541" s="11" t="inlineStr">
        <is>
          <t>-</t>
        </is>
      </c>
      <c r="I541" s="11" t="inlineStr">
        <is>
          <t>-</t>
        </is>
      </c>
      <c r="J541" s="11" t="inlineStr">
        <is>
          <t>-</t>
        </is>
      </c>
      <c r="K541" s="11" t="inlineStr">
        <is>
          <t>-</t>
        </is>
      </c>
      <c r="L541" s="11" t="inlineStr">
        <is>
          <t>-</t>
        </is>
      </c>
      <c r="M541" s="11" t="inlineStr">
        <is>
          <t>-</t>
        </is>
      </c>
      <c r="N541" s="11" t="inlineStr">
        <is>
          <t>-</t>
        </is>
      </c>
      <c r="O541" s="11" t="inlineStr">
        <is>
          <t>-</t>
        </is>
      </c>
      <c r="P541" s="11" t="inlineStr">
        <is>
          <t>-</t>
        </is>
      </c>
      <c r="Q541" s="12" t="inlineStr">
        <is>
          <t>-</t>
        </is>
      </c>
    </row>
    <row r="542">
      <c r="A542" s="47" t="n"/>
      <c r="B542" s="13" t="inlineStr">
        <is>
          <t>-</t>
        </is>
      </c>
      <c r="C542" s="14" t="inlineStr">
        <is>
          <t>-</t>
        </is>
      </c>
      <c r="D542" s="14" t="inlineStr">
        <is>
          <t>-</t>
        </is>
      </c>
      <c r="E542" s="14" t="inlineStr">
        <is>
          <t>-</t>
        </is>
      </c>
      <c r="F542" s="14" t="inlineStr">
        <is>
          <t>-</t>
        </is>
      </c>
      <c r="G542" s="14" t="inlineStr">
        <is>
          <t>-</t>
        </is>
      </c>
      <c r="H542" s="14" t="inlineStr">
        <is>
          <t>-</t>
        </is>
      </c>
      <c r="I542" s="14" t="inlineStr">
        <is>
          <t>-</t>
        </is>
      </c>
      <c r="J542" s="14" t="inlineStr">
        <is>
          <t>-</t>
        </is>
      </c>
      <c r="K542" s="14" t="inlineStr">
        <is>
          <t>-</t>
        </is>
      </c>
      <c r="L542" s="14" t="inlineStr">
        <is>
          <t>-</t>
        </is>
      </c>
      <c r="M542" s="14" t="inlineStr">
        <is>
          <t>-</t>
        </is>
      </c>
      <c r="N542" s="14" t="inlineStr">
        <is>
          <t>-</t>
        </is>
      </c>
      <c r="O542" s="14" t="inlineStr">
        <is>
          <t>-</t>
        </is>
      </c>
      <c r="P542" s="14" t="inlineStr">
        <is>
          <t>-</t>
        </is>
      </c>
      <c r="Q542" s="15" t="inlineStr">
        <is>
          <t>-</t>
        </is>
      </c>
    </row>
    <row r="543">
      <c r="A543" s="47" t="n"/>
      <c r="B543" s="16" t="inlineStr">
        <is>
          <t>-</t>
        </is>
      </c>
      <c r="C543" s="11" t="inlineStr">
        <is>
          <t>-</t>
        </is>
      </c>
      <c r="D543" s="11" t="inlineStr">
        <is>
          <t>-</t>
        </is>
      </c>
      <c r="E543" s="11" t="inlineStr">
        <is>
          <t>-</t>
        </is>
      </c>
      <c r="F543" s="11" t="inlineStr">
        <is>
          <t>-</t>
        </is>
      </c>
      <c r="G543" s="11" t="inlineStr">
        <is>
          <t>-</t>
        </is>
      </c>
      <c r="H543" s="11" t="inlineStr">
        <is>
          <t>-</t>
        </is>
      </c>
      <c r="I543" s="11" t="inlineStr">
        <is>
          <t>-</t>
        </is>
      </c>
      <c r="J543" s="11" t="inlineStr">
        <is>
          <t>-</t>
        </is>
      </c>
      <c r="K543" s="11" t="inlineStr">
        <is>
          <t>-</t>
        </is>
      </c>
      <c r="L543" s="11" t="inlineStr">
        <is>
          <t>-</t>
        </is>
      </c>
      <c r="M543" s="11" t="inlineStr">
        <is>
          <t>-</t>
        </is>
      </c>
      <c r="N543" s="11" t="inlineStr">
        <is>
          <t>-</t>
        </is>
      </c>
      <c r="O543" s="11" t="inlineStr">
        <is>
          <t>-</t>
        </is>
      </c>
      <c r="P543" s="11" t="inlineStr">
        <is>
          <t>-</t>
        </is>
      </c>
      <c r="Q543" s="12" t="inlineStr">
        <is>
          <t>-</t>
        </is>
      </c>
    </row>
    <row r="544">
      <c r="A544" s="47" t="n"/>
      <c r="B544" s="13" t="inlineStr">
        <is>
          <t>-</t>
        </is>
      </c>
      <c r="C544" s="14" t="inlineStr">
        <is>
          <t>-</t>
        </is>
      </c>
      <c r="D544" s="14" t="inlineStr">
        <is>
          <t>-</t>
        </is>
      </c>
      <c r="E544" s="14" t="inlineStr">
        <is>
          <t>-</t>
        </is>
      </c>
      <c r="F544" s="14" t="inlineStr">
        <is>
          <t>-</t>
        </is>
      </c>
      <c r="G544" s="14" t="inlineStr">
        <is>
          <t>-</t>
        </is>
      </c>
      <c r="H544" s="14" t="inlineStr">
        <is>
          <t>-</t>
        </is>
      </c>
      <c r="I544" s="14" t="inlineStr">
        <is>
          <t>-</t>
        </is>
      </c>
      <c r="J544" s="14" t="inlineStr">
        <is>
          <t>-</t>
        </is>
      </c>
      <c r="K544" s="14" t="inlineStr">
        <is>
          <t>-</t>
        </is>
      </c>
      <c r="L544" s="14" t="inlineStr">
        <is>
          <t>-</t>
        </is>
      </c>
      <c r="M544" s="14" t="inlineStr">
        <is>
          <t>-</t>
        </is>
      </c>
      <c r="N544" s="14" t="inlineStr">
        <is>
          <t>-</t>
        </is>
      </c>
      <c r="O544" s="14" t="inlineStr">
        <is>
          <t>-</t>
        </is>
      </c>
      <c r="P544" s="14" t="inlineStr">
        <is>
          <t>-</t>
        </is>
      </c>
      <c r="Q544" s="15" t="inlineStr">
        <is>
          <t>-</t>
        </is>
      </c>
    </row>
    <row r="545">
      <c r="A545" s="47" t="n"/>
      <c r="B545" s="16" t="inlineStr">
        <is>
          <t>-</t>
        </is>
      </c>
      <c r="C545" s="11" t="inlineStr">
        <is>
          <t>-</t>
        </is>
      </c>
      <c r="D545" s="11" t="inlineStr">
        <is>
          <t>-</t>
        </is>
      </c>
      <c r="E545" s="11" t="inlineStr">
        <is>
          <t>-</t>
        </is>
      </c>
      <c r="F545" s="11" t="inlineStr">
        <is>
          <t>-</t>
        </is>
      </c>
      <c r="G545" s="11" t="inlineStr">
        <is>
          <t>-</t>
        </is>
      </c>
      <c r="H545" s="11" t="inlineStr">
        <is>
          <t>-</t>
        </is>
      </c>
      <c r="I545" s="11" t="inlineStr">
        <is>
          <t>-</t>
        </is>
      </c>
      <c r="J545" s="11" t="inlineStr">
        <is>
          <t>-</t>
        </is>
      </c>
      <c r="K545" s="11" t="inlineStr">
        <is>
          <t>-</t>
        </is>
      </c>
      <c r="L545" s="11" t="inlineStr">
        <is>
          <t>-</t>
        </is>
      </c>
      <c r="M545" s="11" t="inlineStr">
        <is>
          <t>-</t>
        </is>
      </c>
      <c r="N545" s="11" t="inlineStr">
        <is>
          <t>-</t>
        </is>
      </c>
      <c r="O545" s="11" t="inlineStr">
        <is>
          <t>-</t>
        </is>
      </c>
      <c r="P545" s="11" t="inlineStr">
        <is>
          <t>-</t>
        </is>
      </c>
      <c r="Q545" s="12" t="inlineStr">
        <is>
          <t>-</t>
        </is>
      </c>
    </row>
    <row r="546" ht="36" customHeight="1" s="155">
      <c r="B546" s="46" t="inlineStr">
        <is>
          <t>brioche mignon</t>
        </is>
      </c>
      <c r="C546" s="49">
        <f>_xlfn.XLOOKUP(A547,Magazzino!$D$1:$D$1500,Magazzino!$F$1:$F$1500,"",0,1)</f>
        <v/>
      </c>
      <c r="D546" s="50">
        <f>_xlfn.XLOOKUP(A548,Magazzino!$D$1:$D$1500,Magazzino!$F$1:$F$1500,"",0,1)</f>
        <v/>
      </c>
      <c r="E546" s="50">
        <f>_xlfn.XLOOKUP(A549,Magazzino!$D$1:$D$1500,Magazzino!$F$1:$F$1500,"",0,1)</f>
        <v/>
      </c>
      <c r="F546" s="50">
        <f>_xlfn.XLOOKUP(A550,Magazzino!$D$1:$D$1500,Magazzino!$F$1:$F$1500,"",0,1)</f>
        <v/>
      </c>
      <c r="G546" s="50">
        <f>_xlfn.XLOOKUP(A551,Magazzino!$D$1:$D$1500,Magazzino!$F$1:$F$1500,"",0,1)</f>
        <v/>
      </c>
      <c r="H546" s="50">
        <f>_xlfn.XLOOKUP(A552,Magazzino!$D$1:$D$1500,Magazzino!$F$1:$F$1500,"",0,1)</f>
        <v/>
      </c>
      <c r="I546" s="50">
        <f>_xlfn.XLOOKUP(A553,Magazzino!$D$1:$D$1500,Magazzino!$F$1:$F$1500,"",0,1)</f>
        <v/>
      </c>
      <c r="J546" s="50">
        <f>_xlfn.XLOOKUP(A554,Magazzino!$D$1:$D$1500,Magazzino!$F$1:$F$1500,"",0,1)</f>
        <v/>
      </c>
      <c r="K546" s="50">
        <f>_xlfn.XLOOKUP(A555,Magazzino!$D$1:$D$1500,Magazzino!$F$1:$F$1500,"",0,1)</f>
        <v/>
      </c>
      <c r="L546" s="50">
        <f>_xlfn.XLOOKUP(A556,Magazzino!$D$1:$D$1500,Magazzino!$F$1:$F$1500,"",0,1)</f>
        <v/>
      </c>
      <c r="M546" s="50">
        <f>_xlfn.XLOOKUP(A557,Magazzino!$D$1:$D$1500,Magazzino!$F$1:$F$1500,"",0,1)</f>
        <v/>
      </c>
      <c r="N546" s="50">
        <f>_xlfn.XLOOKUP(A558,Magazzino!$D$1:$D$1500,Magazzino!$F$1:$F$1500,"",0,1)</f>
        <v/>
      </c>
      <c r="O546" s="50">
        <f>_xlfn.XLOOKUP(A559,Magazzino!$D$1:$D$1500,Magazzino!$F$1:$F$1500,"",0,1)</f>
        <v/>
      </c>
      <c r="P546" s="50">
        <f>_xlfn.XLOOKUP(A560,Magazzino!$D$1:$D$1500,Magazzino!$F$1:$F$1500,"",0,1)</f>
        <v/>
      </c>
      <c r="Q546" s="51">
        <f>_xlfn.XLOOKUP(A561,Magazzino!$D$1:$D$1500,Magazzino!$F$1:$F$1500,"",0,1)</f>
        <v/>
      </c>
    </row>
    <row r="547">
      <c r="A547" s="47" t="inlineStr">
        <is>
          <t xml:space="preserve">FARINA 0/MAN. CAPUTO DA KG.25  </t>
        </is>
      </c>
      <c r="B547" s="16" t="inlineStr">
        <is>
          <t>-</t>
        </is>
      </c>
      <c r="C547" s="11" t="inlineStr">
        <is>
          <t>-</t>
        </is>
      </c>
      <c r="D547" s="11" t="inlineStr">
        <is>
          <t>-</t>
        </is>
      </c>
      <c r="E547" s="11" t="inlineStr">
        <is>
          <t>-</t>
        </is>
      </c>
      <c r="F547" s="11" t="inlineStr">
        <is>
          <t>-</t>
        </is>
      </c>
      <c r="G547" s="11" t="inlineStr">
        <is>
          <t>-</t>
        </is>
      </c>
      <c r="H547" s="11" t="inlineStr">
        <is>
          <t>-</t>
        </is>
      </c>
      <c r="I547" s="11" t="inlineStr">
        <is>
          <t>-</t>
        </is>
      </c>
      <c r="J547" s="11" t="inlineStr">
        <is>
          <t>-</t>
        </is>
      </c>
      <c r="K547" s="11" t="inlineStr">
        <is>
          <t>-</t>
        </is>
      </c>
      <c r="L547" s="11" t="inlineStr">
        <is>
          <t>-</t>
        </is>
      </c>
      <c r="M547" s="11" t="inlineStr">
        <is>
          <t>-</t>
        </is>
      </c>
      <c r="N547" s="11" t="inlineStr">
        <is>
          <t>-</t>
        </is>
      </c>
      <c r="O547" s="11" t="inlineStr">
        <is>
          <t>-</t>
        </is>
      </c>
      <c r="P547" s="11" t="inlineStr">
        <is>
          <t>-</t>
        </is>
      </c>
      <c r="Q547" s="12" t="inlineStr">
        <is>
          <t>-</t>
        </is>
      </c>
    </row>
    <row r="548">
      <c r="A548" s="47" t="inlineStr">
        <is>
          <t>margarina crema</t>
        </is>
      </c>
      <c r="B548" s="13" t="inlineStr">
        <is>
          <t>-</t>
        </is>
      </c>
      <c r="C548" s="14" t="inlineStr">
        <is>
          <t>-</t>
        </is>
      </c>
      <c r="D548" s="14" t="inlineStr">
        <is>
          <t>-</t>
        </is>
      </c>
      <c r="E548" s="14" t="inlineStr">
        <is>
          <t>-</t>
        </is>
      </c>
      <c r="F548" s="14" t="inlineStr">
        <is>
          <t>-</t>
        </is>
      </c>
      <c r="G548" s="14" t="inlineStr">
        <is>
          <t>-</t>
        </is>
      </c>
      <c r="H548" s="14" t="inlineStr">
        <is>
          <t>-</t>
        </is>
      </c>
      <c r="I548" s="14" t="inlineStr">
        <is>
          <t>-</t>
        </is>
      </c>
      <c r="J548" s="14" t="inlineStr">
        <is>
          <t>-</t>
        </is>
      </c>
      <c r="K548" s="14" t="inlineStr">
        <is>
          <t>-</t>
        </is>
      </c>
      <c r="L548" s="14" t="inlineStr">
        <is>
          <t>-</t>
        </is>
      </c>
      <c r="M548" s="14" t="inlineStr">
        <is>
          <t>-</t>
        </is>
      </c>
      <c r="N548" s="14" t="inlineStr">
        <is>
          <t>-</t>
        </is>
      </c>
      <c r="O548" s="14" t="inlineStr">
        <is>
          <t>-</t>
        </is>
      </c>
      <c r="P548" s="14" t="inlineStr">
        <is>
          <t>-</t>
        </is>
      </c>
      <c r="Q548" s="15" t="inlineStr">
        <is>
          <t>-</t>
        </is>
      </c>
    </row>
    <row r="549">
      <c r="A549" s="47" t="inlineStr">
        <is>
          <t>LIEVITO x 2.5kg</t>
        </is>
      </c>
      <c r="B549" s="16" t="inlineStr">
        <is>
          <t>-</t>
        </is>
      </c>
      <c r="C549" s="11" t="inlineStr">
        <is>
          <t>-</t>
        </is>
      </c>
      <c r="D549" s="11" t="inlineStr">
        <is>
          <t>-</t>
        </is>
      </c>
      <c r="E549" s="11" t="inlineStr">
        <is>
          <t>-</t>
        </is>
      </c>
      <c r="F549" s="11" t="inlineStr">
        <is>
          <t>-</t>
        </is>
      </c>
      <c r="G549" s="11" t="inlineStr">
        <is>
          <t>-</t>
        </is>
      </c>
      <c r="H549" s="11" t="inlineStr">
        <is>
          <t>-</t>
        </is>
      </c>
      <c r="I549" s="11" t="inlineStr">
        <is>
          <t>-</t>
        </is>
      </c>
      <c r="J549" s="11" t="inlineStr">
        <is>
          <t>-</t>
        </is>
      </c>
      <c r="K549" s="11" t="inlineStr">
        <is>
          <t>-</t>
        </is>
      </c>
      <c r="L549" s="11" t="inlineStr">
        <is>
          <t>-</t>
        </is>
      </c>
      <c r="M549" s="11" t="inlineStr">
        <is>
          <t>-</t>
        </is>
      </c>
      <c r="N549" s="11" t="inlineStr">
        <is>
          <t>-</t>
        </is>
      </c>
      <c r="O549" s="11" t="inlineStr">
        <is>
          <t>-</t>
        </is>
      </c>
      <c r="P549" s="11" t="inlineStr">
        <is>
          <t>-</t>
        </is>
      </c>
      <c r="Q549" s="12" t="inlineStr">
        <is>
          <t>-</t>
        </is>
      </c>
    </row>
    <row r="550">
      <c r="A550" s="47" t="inlineStr">
        <is>
          <t>tuorlo d'uovo pastorizzato</t>
        </is>
      </c>
      <c r="B550" s="13" t="inlineStr">
        <is>
          <t>-</t>
        </is>
      </c>
      <c r="C550" s="14" t="inlineStr">
        <is>
          <t>-</t>
        </is>
      </c>
      <c r="D550" s="14" t="inlineStr">
        <is>
          <t>-</t>
        </is>
      </c>
      <c r="E550" s="14" t="inlineStr">
        <is>
          <t>-</t>
        </is>
      </c>
      <c r="F550" s="14" t="inlineStr">
        <is>
          <t>-</t>
        </is>
      </c>
      <c r="G550" s="14" t="inlineStr">
        <is>
          <t>-</t>
        </is>
      </c>
      <c r="H550" s="14" t="inlineStr">
        <is>
          <t>-</t>
        </is>
      </c>
      <c r="I550" s="14" t="inlineStr">
        <is>
          <t>-</t>
        </is>
      </c>
      <c r="J550" s="14" t="inlineStr">
        <is>
          <t>-</t>
        </is>
      </c>
      <c r="K550" s="14" t="inlineStr">
        <is>
          <t>-</t>
        </is>
      </c>
      <c r="L550" s="14" t="inlineStr">
        <is>
          <t>-</t>
        </is>
      </c>
      <c r="M550" s="14" t="inlineStr">
        <is>
          <t>-</t>
        </is>
      </c>
      <c r="N550" s="14" t="inlineStr">
        <is>
          <t>-</t>
        </is>
      </c>
      <c r="O550" s="14" t="inlineStr">
        <is>
          <t>-</t>
        </is>
      </c>
      <c r="P550" s="14" t="inlineStr">
        <is>
          <t>-</t>
        </is>
      </c>
      <c r="Q550" s="15" t="inlineStr">
        <is>
          <t>-</t>
        </is>
      </c>
    </row>
    <row r="551">
      <c r="A551" s="47" t="inlineStr">
        <is>
          <t>AROMA CROISSANT</t>
        </is>
      </c>
      <c r="B551" s="16" t="inlineStr">
        <is>
          <t>-</t>
        </is>
      </c>
      <c r="C551" s="11" t="inlineStr">
        <is>
          <t>-</t>
        </is>
      </c>
      <c r="D551" s="11" t="inlineStr">
        <is>
          <t>-</t>
        </is>
      </c>
      <c r="E551" s="11" t="inlineStr">
        <is>
          <t>-</t>
        </is>
      </c>
      <c r="F551" s="11" t="inlineStr">
        <is>
          <t>-</t>
        </is>
      </c>
      <c r="G551" s="11" t="inlineStr">
        <is>
          <t>-</t>
        </is>
      </c>
      <c r="H551" s="11" t="inlineStr">
        <is>
          <t>-</t>
        </is>
      </c>
      <c r="I551" s="11" t="inlineStr">
        <is>
          <t>-</t>
        </is>
      </c>
      <c r="J551" s="11" t="inlineStr">
        <is>
          <t>-</t>
        </is>
      </c>
      <c r="K551" s="11" t="inlineStr">
        <is>
          <t>-</t>
        </is>
      </c>
      <c r="L551" s="11" t="inlineStr">
        <is>
          <t>-</t>
        </is>
      </c>
      <c r="M551" s="11" t="inlineStr">
        <is>
          <t>-</t>
        </is>
      </c>
      <c r="N551" s="11" t="inlineStr">
        <is>
          <t>-</t>
        </is>
      </c>
      <c r="O551" s="11" t="inlineStr">
        <is>
          <t>-</t>
        </is>
      </c>
      <c r="P551" s="11" t="inlineStr">
        <is>
          <t>-</t>
        </is>
      </c>
      <c r="Q551" s="12" t="inlineStr">
        <is>
          <t>-</t>
        </is>
      </c>
    </row>
    <row r="552">
      <c r="A552" s="47" t="inlineStr">
        <is>
          <t>latte   1500 int.uht  yma</t>
        </is>
      </c>
      <c r="B552" s="13" t="inlineStr">
        <is>
          <t>-</t>
        </is>
      </c>
      <c r="C552" s="14" t="inlineStr">
        <is>
          <t>-</t>
        </is>
      </c>
      <c r="D552" s="14" t="inlineStr">
        <is>
          <t>-</t>
        </is>
      </c>
      <c r="E552" s="14" t="inlineStr">
        <is>
          <t>-</t>
        </is>
      </c>
      <c r="F552" s="14" t="inlineStr">
        <is>
          <t>-</t>
        </is>
      </c>
      <c r="G552" s="14" t="inlineStr">
        <is>
          <t>-</t>
        </is>
      </c>
      <c r="H552" s="14" t="inlineStr">
        <is>
          <t>-</t>
        </is>
      </c>
      <c r="I552" s="14" t="inlineStr">
        <is>
          <t>-</t>
        </is>
      </c>
      <c r="J552" s="14" t="inlineStr">
        <is>
          <t>-</t>
        </is>
      </c>
      <c r="K552" s="14" t="inlineStr">
        <is>
          <t>-</t>
        </is>
      </c>
      <c r="L552" s="14" t="inlineStr">
        <is>
          <t>-</t>
        </is>
      </c>
      <c r="M552" s="14" t="inlineStr">
        <is>
          <t>-</t>
        </is>
      </c>
      <c r="N552" s="14" t="inlineStr">
        <is>
          <t>-</t>
        </is>
      </c>
      <c r="O552" s="14" t="inlineStr">
        <is>
          <t>-</t>
        </is>
      </c>
      <c r="P552" s="14" t="inlineStr">
        <is>
          <t>-</t>
        </is>
      </c>
      <c r="Q552" s="15" t="inlineStr">
        <is>
          <t>-</t>
        </is>
      </c>
    </row>
    <row r="553">
      <c r="A553" s="48" t="inlineStr">
        <is>
          <t xml:space="preserve">SALE SACCHI SALTECHNO KG.25  </t>
        </is>
      </c>
      <c r="B553" s="16" t="inlineStr">
        <is>
          <t>-</t>
        </is>
      </c>
      <c r="C553" s="11" t="inlineStr">
        <is>
          <t>-</t>
        </is>
      </c>
      <c r="D553" s="11" t="inlineStr">
        <is>
          <t>-</t>
        </is>
      </c>
      <c r="E553" s="11" t="inlineStr">
        <is>
          <t>-</t>
        </is>
      </c>
      <c r="F553" s="11" t="inlineStr">
        <is>
          <t>-</t>
        </is>
      </c>
      <c r="G553" s="11" t="inlineStr">
        <is>
          <t>-</t>
        </is>
      </c>
      <c r="H553" s="11" t="inlineStr">
        <is>
          <t>-</t>
        </is>
      </c>
      <c r="I553" s="11" t="inlineStr">
        <is>
          <t>-</t>
        </is>
      </c>
      <c r="J553" s="11" t="inlineStr">
        <is>
          <t>-</t>
        </is>
      </c>
      <c r="K553" s="11" t="inlineStr">
        <is>
          <t>-</t>
        </is>
      </c>
      <c r="L553" s="11" t="inlineStr">
        <is>
          <t>-</t>
        </is>
      </c>
      <c r="M553" s="11" t="inlineStr">
        <is>
          <t>-</t>
        </is>
      </c>
      <c r="N553" s="11" t="inlineStr">
        <is>
          <t>-</t>
        </is>
      </c>
      <c r="O553" s="11" t="inlineStr">
        <is>
          <t>-</t>
        </is>
      </c>
      <c r="P553" s="11" t="inlineStr">
        <is>
          <t>-</t>
        </is>
      </c>
      <c r="Q553" s="12" t="inlineStr">
        <is>
          <t>-</t>
        </is>
      </c>
    </row>
    <row r="554">
      <c r="A554" s="47" t="n"/>
      <c r="B554" s="13" t="inlineStr">
        <is>
          <t>-</t>
        </is>
      </c>
      <c r="C554" s="14" t="inlineStr">
        <is>
          <t>-</t>
        </is>
      </c>
      <c r="D554" s="14" t="inlineStr">
        <is>
          <t>-</t>
        </is>
      </c>
      <c r="E554" s="14" t="inlineStr">
        <is>
          <t>-</t>
        </is>
      </c>
      <c r="F554" s="14" t="inlineStr">
        <is>
          <t>-</t>
        </is>
      </c>
      <c r="G554" s="14" t="inlineStr">
        <is>
          <t>-</t>
        </is>
      </c>
      <c r="H554" s="14" t="inlineStr">
        <is>
          <t>-</t>
        </is>
      </c>
      <c r="I554" s="14" t="inlineStr">
        <is>
          <t>-</t>
        </is>
      </c>
      <c r="J554" s="14" t="inlineStr">
        <is>
          <t>-</t>
        </is>
      </c>
      <c r="K554" s="14" t="inlineStr">
        <is>
          <t>-</t>
        </is>
      </c>
      <c r="L554" s="14" t="inlineStr">
        <is>
          <t>-</t>
        </is>
      </c>
      <c r="M554" s="14" t="inlineStr">
        <is>
          <t>-</t>
        </is>
      </c>
      <c r="N554" s="14" t="inlineStr">
        <is>
          <t>-</t>
        </is>
      </c>
      <c r="O554" s="14" t="inlineStr">
        <is>
          <t>-</t>
        </is>
      </c>
      <c r="P554" s="14" t="inlineStr">
        <is>
          <t>-</t>
        </is>
      </c>
      <c r="Q554" s="15" t="inlineStr">
        <is>
          <t>-</t>
        </is>
      </c>
    </row>
    <row r="555">
      <c r="A555" s="47" t="n"/>
      <c r="B555" s="16" t="inlineStr">
        <is>
          <t>-</t>
        </is>
      </c>
      <c r="C555" s="11" t="inlineStr">
        <is>
          <t>-</t>
        </is>
      </c>
      <c r="D555" s="11" t="inlineStr">
        <is>
          <t>-</t>
        </is>
      </c>
      <c r="E555" s="11" t="inlineStr">
        <is>
          <t>-</t>
        </is>
      </c>
      <c r="F555" s="11" t="inlineStr">
        <is>
          <t>-</t>
        </is>
      </c>
      <c r="G555" s="11" t="inlineStr">
        <is>
          <t>-</t>
        </is>
      </c>
      <c r="H555" s="11" t="inlineStr">
        <is>
          <t>-</t>
        </is>
      </c>
      <c r="I555" s="11" t="inlineStr">
        <is>
          <t>-</t>
        </is>
      </c>
      <c r="J555" s="11" t="inlineStr">
        <is>
          <t>-</t>
        </is>
      </c>
      <c r="K555" s="11" t="inlineStr">
        <is>
          <t>-</t>
        </is>
      </c>
      <c r="L555" s="11" t="inlineStr">
        <is>
          <t>-</t>
        </is>
      </c>
      <c r="M555" s="11" t="inlineStr">
        <is>
          <t>-</t>
        </is>
      </c>
      <c r="N555" s="11" t="inlineStr">
        <is>
          <t>-</t>
        </is>
      </c>
      <c r="O555" s="11" t="inlineStr">
        <is>
          <t>-</t>
        </is>
      </c>
      <c r="P555" s="11" t="inlineStr">
        <is>
          <t>-</t>
        </is>
      </c>
      <c r="Q555" s="12" t="inlineStr">
        <is>
          <t>-</t>
        </is>
      </c>
    </row>
    <row r="556">
      <c r="A556" s="47" t="n"/>
      <c r="B556" s="13" t="inlineStr">
        <is>
          <t>-</t>
        </is>
      </c>
      <c r="C556" s="14" t="inlineStr">
        <is>
          <t>-</t>
        </is>
      </c>
      <c r="D556" s="14" t="inlineStr">
        <is>
          <t>-</t>
        </is>
      </c>
      <c r="E556" s="14" t="inlineStr">
        <is>
          <t>-</t>
        </is>
      </c>
      <c r="F556" s="14" t="inlineStr">
        <is>
          <t>-</t>
        </is>
      </c>
      <c r="G556" s="14" t="inlineStr">
        <is>
          <t>-</t>
        </is>
      </c>
      <c r="H556" s="14" t="inlineStr">
        <is>
          <t>-</t>
        </is>
      </c>
      <c r="I556" s="14" t="inlineStr">
        <is>
          <t>-</t>
        </is>
      </c>
      <c r="J556" s="14" t="inlineStr">
        <is>
          <t>-</t>
        </is>
      </c>
      <c r="K556" s="14" t="inlineStr">
        <is>
          <t>-</t>
        </is>
      </c>
      <c r="L556" s="14" t="inlineStr">
        <is>
          <t>-</t>
        </is>
      </c>
      <c r="M556" s="14" t="inlineStr">
        <is>
          <t>-</t>
        </is>
      </c>
      <c r="N556" s="14" t="inlineStr">
        <is>
          <t>-</t>
        </is>
      </c>
      <c r="O556" s="14" t="inlineStr">
        <is>
          <t>-</t>
        </is>
      </c>
      <c r="P556" s="14" t="inlineStr">
        <is>
          <t>-</t>
        </is>
      </c>
      <c r="Q556" s="15" t="inlineStr">
        <is>
          <t>-</t>
        </is>
      </c>
    </row>
    <row r="557">
      <c r="A557" s="47" t="n"/>
      <c r="B557" s="16" t="inlineStr">
        <is>
          <t>-</t>
        </is>
      </c>
      <c r="C557" s="11" t="inlineStr">
        <is>
          <t>-</t>
        </is>
      </c>
      <c r="D557" s="11" t="inlineStr">
        <is>
          <t>-</t>
        </is>
      </c>
      <c r="E557" s="11" t="inlineStr">
        <is>
          <t>-</t>
        </is>
      </c>
      <c r="F557" s="11" t="inlineStr">
        <is>
          <t>-</t>
        </is>
      </c>
      <c r="G557" s="11" t="inlineStr">
        <is>
          <t>-</t>
        </is>
      </c>
      <c r="H557" s="11" t="inlineStr">
        <is>
          <t>-</t>
        </is>
      </c>
      <c r="I557" s="11" t="inlineStr">
        <is>
          <t>-</t>
        </is>
      </c>
      <c r="J557" s="11" t="inlineStr">
        <is>
          <t>-</t>
        </is>
      </c>
      <c r="K557" s="11" t="inlineStr">
        <is>
          <t>-</t>
        </is>
      </c>
      <c r="L557" s="11" t="inlineStr">
        <is>
          <t>-</t>
        </is>
      </c>
      <c r="M557" s="11" t="inlineStr">
        <is>
          <t>-</t>
        </is>
      </c>
      <c r="N557" s="11" t="inlineStr">
        <is>
          <t>-</t>
        </is>
      </c>
      <c r="O557" s="11" t="inlineStr">
        <is>
          <t>-</t>
        </is>
      </c>
      <c r="P557" s="11" t="inlineStr">
        <is>
          <t>-</t>
        </is>
      </c>
      <c r="Q557" s="12" t="inlineStr">
        <is>
          <t>-</t>
        </is>
      </c>
    </row>
    <row r="558">
      <c r="A558" s="47" t="n"/>
      <c r="B558" s="13" t="inlineStr">
        <is>
          <t>-</t>
        </is>
      </c>
      <c r="C558" s="14" t="inlineStr">
        <is>
          <t>-</t>
        </is>
      </c>
      <c r="D558" s="14" t="inlineStr">
        <is>
          <t>-</t>
        </is>
      </c>
      <c r="E558" s="14" t="inlineStr">
        <is>
          <t>-</t>
        </is>
      </c>
      <c r="F558" s="14" t="inlineStr">
        <is>
          <t>-</t>
        </is>
      </c>
      <c r="G558" s="14" t="inlineStr">
        <is>
          <t>-</t>
        </is>
      </c>
      <c r="H558" s="14" t="inlineStr">
        <is>
          <t>-</t>
        </is>
      </c>
      <c r="I558" s="14" t="inlineStr">
        <is>
          <t>-</t>
        </is>
      </c>
      <c r="J558" s="14" t="inlineStr">
        <is>
          <t>-</t>
        </is>
      </c>
      <c r="K558" s="14" t="inlineStr">
        <is>
          <t>-</t>
        </is>
      </c>
      <c r="L558" s="14" t="inlineStr">
        <is>
          <t>-</t>
        </is>
      </c>
      <c r="M558" s="14" t="inlineStr">
        <is>
          <t>-</t>
        </is>
      </c>
      <c r="N558" s="14" t="inlineStr">
        <is>
          <t>-</t>
        </is>
      </c>
      <c r="O558" s="14" t="inlineStr">
        <is>
          <t>-</t>
        </is>
      </c>
      <c r="P558" s="14" t="inlineStr">
        <is>
          <t>-</t>
        </is>
      </c>
      <c r="Q558" s="15" t="inlineStr">
        <is>
          <t>-</t>
        </is>
      </c>
    </row>
    <row r="559">
      <c r="A559" s="47" t="n"/>
      <c r="B559" s="16" t="inlineStr">
        <is>
          <t>-</t>
        </is>
      </c>
      <c r="C559" s="11" t="inlineStr">
        <is>
          <t>-</t>
        </is>
      </c>
      <c r="D559" s="11" t="inlineStr">
        <is>
          <t>-</t>
        </is>
      </c>
      <c r="E559" s="11" t="inlineStr">
        <is>
          <t>-</t>
        </is>
      </c>
      <c r="F559" s="11" t="inlineStr">
        <is>
          <t>-</t>
        </is>
      </c>
      <c r="G559" s="11" t="inlineStr">
        <is>
          <t>-</t>
        </is>
      </c>
      <c r="H559" s="11" t="inlineStr">
        <is>
          <t>-</t>
        </is>
      </c>
      <c r="I559" s="11" t="inlineStr">
        <is>
          <t>-</t>
        </is>
      </c>
      <c r="J559" s="11" t="inlineStr">
        <is>
          <t>-</t>
        </is>
      </c>
      <c r="K559" s="11" t="inlineStr">
        <is>
          <t>-</t>
        </is>
      </c>
      <c r="L559" s="11" t="inlineStr">
        <is>
          <t>-</t>
        </is>
      </c>
      <c r="M559" s="11" t="inlineStr">
        <is>
          <t>-</t>
        </is>
      </c>
      <c r="N559" s="11" t="inlineStr">
        <is>
          <t>-</t>
        </is>
      </c>
      <c r="O559" s="11" t="inlineStr">
        <is>
          <t>-</t>
        </is>
      </c>
      <c r="P559" s="11" t="inlineStr">
        <is>
          <t>-</t>
        </is>
      </c>
      <c r="Q559" s="12" t="inlineStr">
        <is>
          <t>-</t>
        </is>
      </c>
    </row>
    <row r="560">
      <c r="A560" s="47" t="n"/>
      <c r="B560" s="13" t="inlineStr">
        <is>
          <t>-</t>
        </is>
      </c>
      <c r="C560" s="14" t="inlineStr">
        <is>
          <t>-</t>
        </is>
      </c>
      <c r="D560" s="14" t="inlineStr">
        <is>
          <t>-</t>
        </is>
      </c>
      <c r="E560" s="14" t="inlineStr">
        <is>
          <t>-</t>
        </is>
      </c>
      <c r="F560" s="14" t="inlineStr">
        <is>
          <t>-</t>
        </is>
      </c>
      <c r="G560" s="14" t="inlineStr">
        <is>
          <t>-</t>
        </is>
      </c>
      <c r="H560" s="14" t="inlineStr">
        <is>
          <t>-</t>
        </is>
      </c>
      <c r="I560" s="14" t="inlineStr">
        <is>
          <t>-</t>
        </is>
      </c>
      <c r="J560" s="14" t="inlineStr">
        <is>
          <t>-</t>
        </is>
      </c>
      <c r="K560" s="14" t="inlineStr">
        <is>
          <t>-</t>
        </is>
      </c>
      <c r="L560" s="14" t="inlineStr">
        <is>
          <t>-</t>
        </is>
      </c>
      <c r="M560" s="14" t="inlineStr">
        <is>
          <t>-</t>
        </is>
      </c>
      <c r="N560" s="14" t="inlineStr">
        <is>
          <t>-</t>
        </is>
      </c>
      <c r="O560" s="14" t="inlineStr">
        <is>
          <t>-</t>
        </is>
      </c>
      <c r="P560" s="14" t="inlineStr">
        <is>
          <t>-</t>
        </is>
      </c>
      <c r="Q560" s="15" t="inlineStr">
        <is>
          <t>-</t>
        </is>
      </c>
    </row>
    <row r="561">
      <c r="A561" s="47" t="n"/>
      <c r="B561" s="16" t="inlineStr">
        <is>
          <t>-</t>
        </is>
      </c>
      <c r="C561" s="11" t="inlineStr">
        <is>
          <t>-</t>
        </is>
      </c>
      <c r="D561" s="11" t="inlineStr">
        <is>
          <t>-</t>
        </is>
      </c>
      <c r="E561" s="11" t="inlineStr">
        <is>
          <t>-</t>
        </is>
      </c>
      <c r="F561" s="11" t="inlineStr">
        <is>
          <t>-</t>
        </is>
      </c>
      <c r="G561" s="11" t="inlineStr">
        <is>
          <t>-</t>
        </is>
      </c>
      <c r="H561" s="11" t="inlineStr">
        <is>
          <t>-</t>
        </is>
      </c>
      <c r="I561" s="11" t="inlineStr">
        <is>
          <t>-</t>
        </is>
      </c>
      <c r="J561" s="11" t="inlineStr">
        <is>
          <t>-</t>
        </is>
      </c>
      <c r="K561" s="11" t="inlineStr">
        <is>
          <t>-</t>
        </is>
      </c>
      <c r="L561" s="11" t="inlineStr">
        <is>
          <t>-</t>
        </is>
      </c>
      <c r="M561" s="11" t="inlineStr">
        <is>
          <t>-</t>
        </is>
      </c>
      <c r="N561" s="11" t="inlineStr">
        <is>
          <t>-</t>
        </is>
      </c>
      <c r="O561" s="11" t="inlineStr">
        <is>
          <t>-</t>
        </is>
      </c>
      <c r="P561" s="11" t="inlineStr">
        <is>
          <t>-</t>
        </is>
      </c>
      <c r="Q561" s="12" t="inlineStr">
        <is>
          <t>-</t>
        </is>
      </c>
    </row>
    <row r="562" ht="36" customHeight="1" s="155">
      <c r="B562" s="46" t="inlineStr">
        <is>
          <t>cannolo siciliano</t>
        </is>
      </c>
      <c r="C562" s="49">
        <f>_xlfn.XLOOKUP(A563,Magazzino!$D$1:$D$1500,Magazzino!$F$1:$F$1500,"",0,1)</f>
        <v/>
      </c>
      <c r="D562" s="50">
        <f>_xlfn.XLOOKUP(A564,Magazzino!$D$1:$D$1500,Magazzino!$F$1:$F$1500,"",0,1)</f>
        <v/>
      </c>
      <c r="E562" s="50">
        <f>_xlfn.XLOOKUP(A565,Magazzino!$D$1:$D$1500,Magazzino!$F$1:$F$1500,"",0,1)</f>
        <v/>
      </c>
      <c r="F562" s="50">
        <f>_xlfn.XLOOKUP(A566,Magazzino!$D$1:$D$1500,Magazzino!$F$1:$F$1500,"",0,1)</f>
        <v/>
      </c>
      <c r="G562" s="50">
        <f>_xlfn.XLOOKUP(A567,Magazzino!$D$1:$D$1500,Magazzino!$F$1:$F$1500,"",0,1)</f>
        <v/>
      </c>
      <c r="H562" s="50">
        <f>_xlfn.XLOOKUP(A568,Magazzino!$D$1:$D$1500,Magazzino!$F$1:$F$1500,"",0,1)</f>
        <v/>
      </c>
      <c r="I562" s="50">
        <f>_xlfn.XLOOKUP(A569,Magazzino!$D$1:$D$1500,Magazzino!$F$1:$F$1500,"",0,1)</f>
        <v/>
      </c>
      <c r="J562" s="50">
        <f>_xlfn.XLOOKUP(A570,Magazzino!$D$1:$D$1500,Magazzino!$F$1:$F$1500,"",0,1)</f>
        <v/>
      </c>
      <c r="K562" s="50">
        <f>_xlfn.XLOOKUP(A571,Magazzino!$D$1:$D$1500,Magazzino!$F$1:$F$1500,"",0,1)</f>
        <v/>
      </c>
      <c r="L562" s="50">
        <f>_xlfn.XLOOKUP(A572,Magazzino!$D$1:$D$1500,Magazzino!$F$1:$F$1500,"",0,1)</f>
        <v/>
      </c>
      <c r="M562" s="50">
        <f>_xlfn.XLOOKUP(A573,Magazzino!$D$1:$D$1500,Magazzino!$F$1:$F$1500,"",0,1)</f>
        <v/>
      </c>
      <c r="N562" s="50">
        <f>_xlfn.XLOOKUP(A574,Magazzino!$D$1:$D$1500,Magazzino!$F$1:$F$1500,"",0,1)</f>
        <v/>
      </c>
      <c r="O562" s="50">
        <f>_xlfn.XLOOKUP(A575,Magazzino!$D$1:$D$1500,Magazzino!$F$1:$F$1500,"",0,1)</f>
        <v/>
      </c>
      <c r="P562" s="50">
        <f>_xlfn.XLOOKUP(A576,Magazzino!$D$1:$D$1500,Magazzino!$F$1:$F$1500,"",0,1)</f>
        <v/>
      </c>
      <c r="Q562" s="51">
        <f>_xlfn.XLOOKUP(A577,Magazzino!$D$1:$D$1500,Magazzino!$F$1:$F$1500,"",0,1)</f>
        <v/>
      </c>
    </row>
    <row r="563">
      <c r="A563" s="47" t="inlineStr">
        <is>
          <t>CANNOLI MAX SCURI x 100pz</t>
        </is>
      </c>
      <c r="B563" s="16" t="inlineStr">
        <is>
          <t>-</t>
        </is>
      </c>
      <c r="C563" s="11" t="inlineStr">
        <is>
          <t>-</t>
        </is>
      </c>
      <c r="D563" s="11" t="inlineStr">
        <is>
          <t>-</t>
        </is>
      </c>
      <c r="E563" s="11" t="inlineStr">
        <is>
          <t>-</t>
        </is>
      </c>
      <c r="F563" s="11" t="inlineStr">
        <is>
          <t>-</t>
        </is>
      </c>
      <c r="G563" s="11" t="inlineStr">
        <is>
          <t>-</t>
        </is>
      </c>
      <c r="H563" s="11" t="inlineStr">
        <is>
          <t>-</t>
        </is>
      </c>
      <c r="I563" s="11" t="inlineStr">
        <is>
          <t>-</t>
        </is>
      </c>
      <c r="J563" s="11" t="inlineStr">
        <is>
          <t>-</t>
        </is>
      </c>
      <c r="K563" s="11" t="inlineStr">
        <is>
          <t>-</t>
        </is>
      </c>
      <c r="L563" s="11" t="inlineStr">
        <is>
          <t>-</t>
        </is>
      </c>
      <c r="M563" s="11" t="inlineStr">
        <is>
          <t>-</t>
        </is>
      </c>
      <c r="N563" s="11" t="inlineStr">
        <is>
          <t>-</t>
        </is>
      </c>
      <c r="O563" s="11" t="inlineStr">
        <is>
          <t>-</t>
        </is>
      </c>
      <c r="P563" s="11" t="inlineStr">
        <is>
          <t>-</t>
        </is>
      </c>
      <c r="Q563" s="12" t="inlineStr">
        <is>
          <t>-</t>
        </is>
      </c>
    </row>
    <row r="564">
      <c r="A564" s="47" t="inlineStr">
        <is>
          <t>ricotta omogeneizzata ii 5kg</t>
        </is>
      </c>
      <c r="B564" s="13" t="inlineStr">
        <is>
          <t>-</t>
        </is>
      </c>
      <c r="C564" s="14" t="inlineStr">
        <is>
          <t>-</t>
        </is>
      </c>
      <c r="D564" s="14" t="inlineStr">
        <is>
          <t>-</t>
        </is>
      </c>
      <c r="E564" s="14" t="inlineStr">
        <is>
          <t>-</t>
        </is>
      </c>
      <c r="F564" s="14" t="inlineStr">
        <is>
          <t>-</t>
        </is>
      </c>
      <c r="G564" s="14" t="inlineStr">
        <is>
          <t>-</t>
        </is>
      </c>
      <c r="H564" s="14" t="inlineStr">
        <is>
          <t>-</t>
        </is>
      </c>
      <c r="I564" s="14" t="inlineStr">
        <is>
          <t>-</t>
        </is>
      </c>
      <c r="J564" s="14" t="inlineStr">
        <is>
          <t>-</t>
        </is>
      </c>
      <c r="K564" s="14" t="inlineStr">
        <is>
          <t>-</t>
        </is>
      </c>
      <c r="L564" s="14" t="inlineStr">
        <is>
          <t>-</t>
        </is>
      </c>
      <c r="M564" s="14" t="inlineStr">
        <is>
          <t>-</t>
        </is>
      </c>
      <c r="N564" s="14" t="inlineStr">
        <is>
          <t>-</t>
        </is>
      </c>
      <c r="O564" s="14" t="inlineStr">
        <is>
          <t>-</t>
        </is>
      </c>
      <c r="P564" s="14" t="inlineStr">
        <is>
          <t>-</t>
        </is>
      </c>
      <c r="Q564" s="15" t="inlineStr">
        <is>
          <t>-</t>
        </is>
      </c>
    </row>
    <row r="565">
      <c r="A565" s="47" t="n"/>
      <c r="B565" s="16" t="inlineStr">
        <is>
          <t>-</t>
        </is>
      </c>
      <c r="C565" s="11" t="inlineStr">
        <is>
          <t>-</t>
        </is>
      </c>
      <c r="D565" s="11" t="inlineStr">
        <is>
          <t>-</t>
        </is>
      </c>
      <c r="E565" s="11" t="inlineStr">
        <is>
          <t>-</t>
        </is>
      </c>
      <c r="F565" s="11" t="inlineStr">
        <is>
          <t>-</t>
        </is>
      </c>
      <c r="G565" s="11" t="inlineStr">
        <is>
          <t>-</t>
        </is>
      </c>
      <c r="H565" s="11" t="inlineStr">
        <is>
          <t>-</t>
        </is>
      </c>
      <c r="I565" s="11" t="inlineStr">
        <is>
          <t>-</t>
        </is>
      </c>
      <c r="J565" s="11" t="inlineStr">
        <is>
          <t>-</t>
        </is>
      </c>
      <c r="K565" s="11" t="inlineStr">
        <is>
          <t>-</t>
        </is>
      </c>
      <c r="L565" s="11" t="inlineStr">
        <is>
          <t>-</t>
        </is>
      </c>
      <c r="M565" s="11" t="inlineStr">
        <is>
          <t>-</t>
        </is>
      </c>
      <c r="N565" s="11" t="inlineStr">
        <is>
          <t>-</t>
        </is>
      </c>
      <c r="O565" s="11" t="inlineStr">
        <is>
          <t>-</t>
        </is>
      </c>
      <c r="P565" s="11" t="inlineStr">
        <is>
          <t>-</t>
        </is>
      </c>
      <c r="Q565" s="12" t="inlineStr">
        <is>
          <t>-</t>
        </is>
      </c>
    </row>
    <row r="566">
      <c r="A566" s="47" t="n"/>
      <c r="B566" s="13" t="inlineStr">
        <is>
          <t>-</t>
        </is>
      </c>
      <c r="C566" s="14" t="inlineStr">
        <is>
          <t>-</t>
        </is>
      </c>
      <c r="D566" s="14" t="inlineStr">
        <is>
          <t>-</t>
        </is>
      </c>
      <c r="E566" s="14" t="inlineStr">
        <is>
          <t>-</t>
        </is>
      </c>
      <c r="F566" s="14" t="inlineStr">
        <is>
          <t>-</t>
        </is>
      </c>
      <c r="G566" s="14" t="inlineStr">
        <is>
          <t>-</t>
        </is>
      </c>
      <c r="H566" s="14" t="inlineStr">
        <is>
          <t>-</t>
        </is>
      </c>
      <c r="I566" s="14" t="inlineStr">
        <is>
          <t>-</t>
        </is>
      </c>
      <c r="J566" s="14" t="inlineStr">
        <is>
          <t>-</t>
        </is>
      </c>
      <c r="K566" s="14" t="inlineStr">
        <is>
          <t>-</t>
        </is>
      </c>
      <c r="L566" s="14" t="inlineStr">
        <is>
          <t>-</t>
        </is>
      </c>
      <c r="M566" s="14" t="inlineStr">
        <is>
          <t>-</t>
        </is>
      </c>
      <c r="N566" s="14" t="inlineStr">
        <is>
          <t>-</t>
        </is>
      </c>
      <c r="O566" s="14" t="inlineStr">
        <is>
          <t>-</t>
        </is>
      </c>
      <c r="P566" s="14" t="inlineStr">
        <is>
          <t>-</t>
        </is>
      </c>
      <c r="Q566" s="15" t="inlineStr">
        <is>
          <t>-</t>
        </is>
      </c>
    </row>
    <row r="567">
      <c r="A567" s="47" t="n"/>
      <c r="B567" s="16" t="inlineStr">
        <is>
          <t>-</t>
        </is>
      </c>
      <c r="C567" s="11" t="inlineStr">
        <is>
          <t>-</t>
        </is>
      </c>
      <c r="D567" s="11" t="inlineStr">
        <is>
          <t>-</t>
        </is>
      </c>
      <c r="E567" s="11" t="inlineStr">
        <is>
          <t>-</t>
        </is>
      </c>
      <c r="F567" s="11" t="inlineStr">
        <is>
          <t>-</t>
        </is>
      </c>
      <c r="G567" s="11" t="inlineStr">
        <is>
          <t>-</t>
        </is>
      </c>
      <c r="H567" s="11" t="inlineStr">
        <is>
          <t>-</t>
        </is>
      </c>
      <c r="I567" s="11" t="inlineStr">
        <is>
          <t>-</t>
        </is>
      </c>
      <c r="J567" s="11" t="inlineStr">
        <is>
          <t>-</t>
        </is>
      </c>
      <c r="K567" s="11" t="inlineStr">
        <is>
          <t>-</t>
        </is>
      </c>
      <c r="L567" s="11" t="inlineStr">
        <is>
          <t>-</t>
        </is>
      </c>
      <c r="M567" s="11" t="inlineStr">
        <is>
          <t>-</t>
        </is>
      </c>
      <c r="N567" s="11" t="inlineStr">
        <is>
          <t>-</t>
        </is>
      </c>
      <c r="O567" s="11" t="inlineStr">
        <is>
          <t>-</t>
        </is>
      </c>
      <c r="P567" s="11" t="inlineStr">
        <is>
          <t>-</t>
        </is>
      </c>
      <c r="Q567" s="12" t="inlineStr">
        <is>
          <t>-</t>
        </is>
      </c>
    </row>
    <row r="568">
      <c r="A568" s="47" t="n"/>
      <c r="B568" s="13" t="inlineStr">
        <is>
          <t>-</t>
        </is>
      </c>
      <c r="C568" s="14" t="inlineStr">
        <is>
          <t>-</t>
        </is>
      </c>
      <c r="D568" s="14" t="inlineStr">
        <is>
          <t>-</t>
        </is>
      </c>
      <c r="E568" s="14" t="inlineStr">
        <is>
          <t>-</t>
        </is>
      </c>
      <c r="F568" s="14" t="inlineStr">
        <is>
          <t>-</t>
        </is>
      </c>
      <c r="G568" s="14" t="inlineStr">
        <is>
          <t>-</t>
        </is>
      </c>
      <c r="H568" s="14" t="inlineStr">
        <is>
          <t>-</t>
        </is>
      </c>
      <c r="I568" s="14" t="inlineStr">
        <is>
          <t>-</t>
        </is>
      </c>
      <c r="J568" s="14" t="inlineStr">
        <is>
          <t>-</t>
        </is>
      </c>
      <c r="K568" s="14" t="inlineStr">
        <is>
          <t>-</t>
        </is>
      </c>
      <c r="L568" s="14" t="inlineStr">
        <is>
          <t>-</t>
        </is>
      </c>
      <c r="M568" s="14" t="inlineStr">
        <is>
          <t>-</t>
        </is>
      </c>
      <c r="N568" s="14" t="inlineStr">
        <is>
          <t>-</t>
        </is>
      </c>
      <c r="O568" s="14" t="inlineStr">
        <is>
          <t>-</t>
        </is>
      </c>
      <c r="P568" s="14" t="inlineStr">
        <is>
          <t>-</t>
        </is>
      </c>
      <c r="Q568" s="15" t="inlineStr">
        <is>
          <t>-</t>
        </is>
      </c>
    </row>
    <row r="569">
      <c r="A569" s="47" t="n"/>
      <c r="B569" s="16" t="inlineStr">
        <is>
          <t>-</t>
        </is>
      </c>
      <c r="C569" s="11" t="inlineStr">
        <is>
          <t>-</t>
        </is>
      </c>
      <c r="D569" s="11" t="inlineStr">
        <is>
          <t>-</t>
        </is>
      </c>
      <c r="E569" s="11" t="inlineStr">
        <is>
          <t>-</t>
        </is>
      </c>
      <c r="F569" s="11" t="inlineStr">
        <is>
          <t>-</t>
        </is>
      </c>
      <c r="G569" s="11" t="inlineStr">
        <is>
          <t>-</t>
        </is>
      </c>
      <c r="H569" s="11" t="inlineStr">
        <is>
          <t>-</t>
        </is>
      </c>
      <c r="I569" s="11" t="inlineStr">
        <is>
          <t>-</t>
        </is>
      </c>
      <c r="J569" s="11" t="inlineStr">
        <is>
          <t>-</t>
        </is>
      </c>
      <c r="K569" s="11" t="inlineStr">
        <is>
          <t>-</t>
        </is>
      </c>
      <c r="L569" s="11" t="inlineStr">
        <is>
          <t>-</t>
        </is>
      </c>
      <c r="M569" s="11" t="inlineStr">
        <is>
          <t>-</t>
        </is>
      </c>
      <c r="N569" s="11" t="inlineStr">
        <is>
          <t>-</t>
        </is>
      </c>
      <c r="O569" s="11" t="inlineStr">
        <is>
          <t>-</t>
        </is>
      </c>
      <c r="P569" s="11" t="inlineStr">
        <is>
          <t>-</t>
        </is>
      </c>
      <c r="Q569" s="12" t="inlineStr">
        <is>
          <t>-</t>
        </is>
      </c>
    </row>
    <row r="570">
      <c r="A570" s="47" t="n"/>
      <c r="B570" s="13" t="inlineStr">
        <is>
          <t>-</t>
        </is>
      </c>
      <c r="C570" s="14" t="inlineStr">
        <is>
          <t>-</t>
        </is>
      </c>
      <c r="D570" s="14" t="inlineStr">
        <is>
          <t>-</t>
        </is>
      </c>
      <c r="E570" s="14" t="inlineStr">
        <is>
          <t>-</t>
        </is>
      </c>
      <c r="F570" s="14" t="inlineStr">
        <is>
          <t>-</t>
        </is>
      </c>
      <c r="G570" s="14" t="inlineStr">
        <is>
          <t>-</t>
        </is>
      </c>
      <c r="H570" s="14" t="inlineStr">
        <is>
          <t>-</t>
        </is>
      </c>
      <c r="I570" s="14" t="inlineStr">
        <is>
          <t>-</t>
        </is>
      </c>
      <c r="J570" s="14" t="inlineStr">
        <is>
          <t>-</t>
        </is>
      </c>
      <c r="K570" s="14" t="inlineStr">
        <is>
          <t>-</t>
        </is>
      </c>
      <c r="L570" s="14" t="inlineStr">
        <is>
          <t>-</t>
        </is>
      </c>
      <c r="M570" s="14" t="inlineStr">
        <is>
          <t>-</t>
        </is>
      </c>
      <c r="N570" s="14" t="inlineStr">
        <is>
          <t>-</t>
        </is>
      </c>
      <c r="O570" s="14" t="inlineStr">
        <is>
          <t>-</t>
        </is>
      </c>
      <c r="P570" s="14" t="inlineStr">
        <is>
          <t>-</t>
        </is>
      </c>
      <c r="Q570" s="15" t="inlineStr">
        <is>
          <t>-</t>
        </is>
      </c>
    </row>
    <row r="571">
      <c r="A571" s="47" t="n"/>
      <c r="B571" s="16" t="inlineStr">
        <is>
          <t>-</t>
        </is>
      </c>
      <c r="C571" s="11" t="inlineStr">
        <is>
          <t>-</t>
        </is>
      </c>
      <c r="D571" s="11" t="inlineStr">
        <is>
          <t>-</t>
        </is>
      </c>
      <c r="E571" s="11" t="inlineStr">
        <is>
          <t>-</t>
        </is>
      </c>
      <c r="F571" s="11" t="inlineStr">
        <is>
          <t>-</t>
        </is>
      </c>
      <c r="G571" s="11" t="inlineStr">
        <is>
          <t>-</t>
        </is>
      </c>
      <c r="H571" s="11" t="inlineStr">
        <is>
          <t>-</t>
        </is>
      </c>
      <c r="I571" s="11" t="inlineStr">
        <is>
          <t>-</t>
        </is>
      </c>
      <c r="J571" s="11" t="inlineStr">
        <is>
          <t>-</t>
        </is>
      </c>
      <c r="K571" s="11" t="inlineStr">
        <is>
          <t>-</t>
        </is>
      </c>
      <c r="L571" s="11" t="inlineStr">
        <is>
          <t>-</t>
        </is>
      </c>
      <c r="M571" s="11" t="inlineStr">
        <is>
          <t>-</t>
        </is>
      </c>
      <c r="N571" s="11" t="inlineStr">
        <is>
          <t>-</t>
        </is>
      </c>
      <c r="O571" s="11" t="inlineStr">
        <is>
          <t>-</t>
        </is>
      </c>
      <c r="P571" s="11" t="inlineStr">
        <is>
          <t>-</t>
        </is>
      </c>
      <c r="Q571" s="12" t="inlineStr">
        <is>
          <t>-</t>
        </is>
      </c>
    </row>
    <row r="572">
      <c r="A572" s="47" t="n"/>
      <c r="B572" s="13" t="inlineStr">
        <is>
          <t>-</t>
        </is>
      </c>
      <c r="C572" s="14" t="inlineStr">
        <is>
          <t>-</t>
        </is>
      </c>
      <c r="D572" s="14" t="inlineStr">
        <is>
          <t>-</t>
        </is>
      </c>
      <c r="E572" s="14" t="inlineStr">
        <is>
          <t>-</t>
        </is>
      </c>
      <c r="F572" s="14" t="inlineStr">
        <is>
          <t>-</t>
        </is>
      </c>
      <c r="G572" s="14" t="inlineStr">
        <is>
          <t>-</t>
        </is>
      </c>
      <c r="H572" s="14" t="inlineStr">
        <is>
          <t>-</t>
        </is>
      </c>
      <c r="I572" s="14" t="inlineStr">
        <is>
          <t>-</t>
        </is>
      </c>
      <c r="J572" s="14" t="inlineStr">
        <is>
          <t>-</t>
        </is>
      </c>
      <c r="K572" s="14" t="inlineStr">
        <is>
          <t>-</t>
        </is>
      </c>
      <c r="L572" s="14" t="inlineStr">
        <is>
          <t>-</t>
        </is>
      </c>
      <c r="M572" s="14" t="inlineStr">
        <is>
          <t>-</t>
        </is>
      </c>
      <c r="N572" s="14" t="inlineStr">
        <is>
          <t>-</t>
        </is>
      </c>
      <c r="O572" s="14" t="inlineStr">
        <is>
          <t>-</t>
        </is>
      </c>
      <c r="P572" s="14" t="inlineStr">
        <is>
          <t>-</t>
        </is>
      </c>
      <c r="Q572" s="15" t="inlineStr">
        <is>
          <t>-</t>
        </is>
      </c>
    </row>
    <row r="573">
      <c r="A573" s="47" t="n"/>
      <c r="B573" s="16" t="inlineStr">
        <is>
          <t>-</t>
        </is>
      </c>
      <c r="C573" s="11" t="inlineStr">
        <is>
          <t>-</t>
        </is>
      </c>
      <c r="D573" s="11" t="inlineStr">
        <is>
          <t>-</t>
        </is>
      </c>
      <c r="E573" s="11" t="inlineStr">
        <is>
          <t>-</t>
        </is>
      </c>
      <c r="F573" s="11" t="inlineStr">
        <is>
          <t>-</t>
        </is>
      </c>
      <c r="G573" s="11" t="inlineStr">
        <is>
          <t>-</t>
        </is>
      </c>
      <c r="H573" s="11" t="inlineStr">
        <is>
          <t>-</t>
        </is>
      </c>
      <c r="I573" s="11" t="inlineStr">
        <is>
          <t>-</t>
        </is>
      </c>
      <c r="J573" s="11" t="inlineStr">
        <is>
          <t>-</t>
        </is>
      </c>
      <c r="K573" s="11" t="inlineStr">
        <is>
          <t>-</t>
        </is>
      </c>
      <c r="L573" s="11" t="inlineStr">
        <is>
          <t>-</t>
        </is>
      </c>
      <c r="M573" s="11" t="inlineStr">
        <is>
          <t>-</t>
        </is>
      </c>
      <c r="N573" s="11" t="inlineStr">
        <is>
          <t>-</t>
        </is>
      </c>
      <c r="O573" s="11" t="inlineStr">
        <is>
          <t>-</t>
        </is>
      </c>
      <c r="P573" s="11" t="inlineStr">
        <is>
          <t>-</t>
        </is>
      </c>
      <c r="Q573" s="12" t="inlineStr">
        <is>
          <t>-</t>
        </is>
      </c>
    </row>
    <row r="574">
      <c r="A574" s="47" t="n"/>
      <c r="B574" s="13" t="inlineStr">
        <is>
          <t>-</t>
        </is>
      </c>
      <c r="C574" s="14" t="inlineStr">
        <is>
          <t>-</t>
        </is>
      </c>
      <c r="D574" s="14" t="inlineStr">
        <is>
          <t>-</t>
        </is>
      </c>
      <c r="E574" s="14" t="inlineStr">
        <is>
          <t>-</t>
        </is>
      </c>
      <c r="F574" s="14" t="inlineStr">
        <is>
          <t>-</t>
        </is>
      </c>
      <c r="G574" s="14" t="inlineStr">
        <is>
          <t>-</t>
        </is>
      </c>
      <c r="H574" s="14" t="inlineStr">
        <is>
          <t>-</t>
        </is>
      </c>
      <c r="I574" s="14" t="inlineStr">
        <is>
          <t>-</t>
        </is>
      </c>
      <c r="J574" s="14" t="inlineStr">
        <is>
          <t>-</t>
        </is>
      </c>
      <c r="K574" s="14" t="inlineStr">
        <is>
          <t>-</t>
        </is>
      </c>
      <c r="L574" s="14" t="inlineStr">
        <is>
          <t>-</t>
        </is>
      </c>
      <c r="M574" s="14" t="inlineStr">
        <is>
          <t>-</t>
        </is>
      </c>
      <c r="N574" s="14" t="inlineStr">
        <is>
          <t>-</t>
        </is>
      </c>
      <c r="O574" s="14" t="inlineStr">
        <is>
          <t>-</t>
        </is>
      </c>
      <c r="P574" s="14" t="inlineStr">
        <is>
          <t>-</t>
        </is>
      </c>
      <c r="Q574" s="15" t="inlineStr">
        <is>
          <t>-</t>
        </is>
      </c>
    </row>
    <row r="575">
      <c r="A575" s="47" t="n"/>
      <c r="B575" s="16" t="inlineStr">
        <is>
          <t>-</t>
        </is>
      </c>
      <c r="C575" s="11" t="inlineStr">
        <is>
          <t>-</t>
        </is>
      </c>
      <c r="D575" s="11" t="inlineStr">
        <is>
          <t>-</t>
        </is>
      </c>
      <c r="E575" s="11" t="inlineStr">
        <is>
          <t>-</t>
        </is>
      </c>
      <c r="F575" s="11" t="inlineStr">
        <is>
          <t>-</t>
        </is>
      </c>
      <c r="G575" s="11" t="inlineStr">
        <is>
          <t>-</t>
        </is>
      </c>
      <c r="H575" s="11" t="inlineStr">
        <is>
          <t>-</t>
        </is>
      </c>
      <c r="I575" s="11" t="inlineStr">
        <is>
          <t>-</t>
        </is>
      </c>
      <c r="J575" s="11" t="inlineStr">
        <is>
          <t>-</t>
        </is>
      </c>
      <c r="K575" s="11" t="inlineStr">
        <is>
          <t>-</t>
        </is>
      </c>
      <c r="L575" s="11" t="inlineStr">
        <is>
          <t>-</t>
        </is>
      </c>
      <c r="M575" s="11" t="inlineStr">
        <is>
          <t>-</t>
        </is>
      </c>
      <c r="N575" s="11" t="inlineStr">
        <is>
          <t>-</t>
        </is>
      </c>
      <c r="O575" s="11" t="inlineStr">
        <is>
          <t>-</t>
        </is>
      </c>
      <c r="P575" s="11" t="inlineStr">
        <is>
          <t>-</t>
        </is>
      </c>
      <c r="Q575" s="12" t="inlineStr">
        <is>
          <t>-</t>
        </is>
      </c>
    </row>
    <row r="576">
      <c r="A576" s="47" t="n"/>
      <c r="B576" s="13" t="inlineStr">
        <is>
          <t>-</t>
        </is>
      </c>
      <c r="C576" s="14" t="inlineStr">
        <is>
          <t>-</t>
        </is>
      </c>
      <c r="D576" s="14" t="inlineStr">
        <is>
          <t>-</t>
        </is>
      </c>
      <c r="E576" s="14" t="inlineStr">
        <is>
          <t>-</t>
        </is>
      </c>
      <c r="F576" s="14" t="inlineStr">
        <is>
          <t>-</t>
        </is>
      </c>
      <c r="G576" s="14" t="inlineStr">
        <is>
          <t>-</t>
        </is>
      </c>
      <c r="H576" s="14" t="inlineStr">
        <is>
          <t>-</t>
        </is>
      </c>
      <c r="I576" s="14" t="inlineStr">
        <is>
          <t>-</t>
        </is>
      </c>
      <c r="J576" s="14" t="inlineStr">
        <is>
          <t>-</t>
        </is>
      </c>
      <c r="K576" s="14" t="inlineStr">
        <is>
          <t>-</t>
        </is>
      </c>
      <c r="L576" s="14" t="inlineStr">
        <is>
          <t>-</t>
        </is>
      </c>
      <c r="M576" s="14" t="inlineStr">
        <is>
          <t>-</t>
        </is>
      </c>
      <c r="N576" s="14" t="inlineStr">
        <is>
          <t>-</t>
        </is>
      </c>
      <c r="O576" s="14" t="inlineStr">
        <is>
          <t>-</t>
        </is>
      </c>
      <c r="P576" s="14" t="inlineStr">
        <is>
          <t>-</t>
        </is>
      </c>
      <c r="Q576" s="15" t="inlineStr">
        <is>
          <t>-</t>
        </is>
      </c>
    </row>
    <row r="577">
      <c r="A577" s="47" t="n"/>
      <c r="B577" s="16" t="inlineStr">
        <is>
          <t>-</t>
        </is>
      </c>
      <c r="C577" s="11" t="inlineStr">
        <is>
          <t>-</t>
        </is>
      </c>
      <c r="D577" s="11" t="inlineStr">
        <is>
          <t>-</t>
        </is>
      </c>
      <c r="E577" s="11" t="inlineStr">
        <is>
          <t>-</t>
        </is>
      </c>
      <c r="F577" s="11" t="inlineStr">
        <is>
          <t>-</t>
        </is>
      </c>
      <c r="G577" s="11" t="inlineStr">
        <is>
          <t>-</t>
        </is>
      </c>
      <c r="H577" s="11" t="inlineStr">
        <is>
          <t>-</t>
        </is>
      </c>
      <c r="I577" s="11" t="inlineStr">
        <is>
          <t>-</t>
        </is>
      </c>
      <c r="J577" s="11" t="inlineStr">
        <is>
          <t>-</t>
        </is>
      </c>
      <c r="K577" s="11" t="inlineStr">
        <is>
          <t>-</t>
        </is>
      </c>
      <c r="L577" s="11" t="inlineStr">
        <is>
          <t>-</t>
        </is>
      </c>
      <c r="M577" s="11" t="inlineStr">
        <is>
          <t>-</t>
        </is>
      </c>
      <c r="N577" s="11" t="inlineStr">
        <is>
          <t>-</t>
        </is>
      </c>
      <c r="O577" s="11" t="inlineStr">
        <is>
          <t>-</t>
        </is>
      </c>
      <c r="P577" s="11" t="inlineStr">
        <is>
          <t>-</t>
        </is>
      </c>
      <c r="Q577" s="12" t="inlineStr">
        <is>
          <t>-</t>
        </is>
      </c>
    </row>
    <row r="578" ht="36" customHeight="1" s="155">
      <c r="B578" s="46" t="inlineStr">
        <is>
          <t>caprese cioccolato</t>
        </is>
      </c>
      <c r="C578" s="49">
        <f>_xlfn.XLOOKUP(A579,Magazzino!$D$1:$D$1500,Magazzino!$F$1:$F$1500,"",0,1)</f>
        <v/>
      </c>
      <c r="D578" s="50">
        <f>_xlfn.XLOOKUP(A580,Magazzino!$D$1:$D$1500,Magazzino!$F$1:$F$1500,"",0,1)</f>
        <v/>
      </c>
      <c r="E578" s="50">
        <f>_xlfn.XLOOKUP(A581,Magazzino!$D$1:$D$1500,Magazzino!$F$1:$F$1500,"",0,1)</f>
        <v/>
      </c>
      <c r="F578" s="50">
        <f>_xlfn.XLOOKUP(A582,Magazzino!$D$1:$D$1500,Magazzino!$F$1:$F$1500,"",0,1)</f>
        <v/>
      </c>
      <c r="G578" s="50">
        <f>_xlfn.XLOOKUP(A583,Magazzino!$D$1:$D$1500,Magazzino!$F$1:$F$1500,"",0,1)</f>
        <v/>
      </c>
      <c r="H578" s="50">
        <f>_xlfn.XLOOKUP(A584,Magazzino!$D$1:$D$1500,Magazzino!$F$1:$F$1500,"",0,1)</f>
        <v/>
      </c>
      <c r="I578" s="50">
        <f>_xlfn.XLOOKUP(A585,Magazzino!$D$1:$D$1500,Magazzino!$F$1:$F$1500,"",0,1)</f>
        <v/>
      </c>
      <c r="J578" s="50">
        <f>_xlfn.XLOOKUP(A586,Magazzino!$D$1:$D$1500,Magazzino!$F$1:$F$1500,"",0,1)</f>
        <v/>
      </c>
      <c r="K578" s="50">
        <f>_xlfn.XLOOKUP(A587,Magazzino!$D$1:$D$1500,Magazzino!$F$1:$F$1500,"",0,1)</f>
        <v/>
      </c>
      <c r="L578" s="50">
        <f>_xlfn.XLOOKUP(A588,Magazzino!$D$1:$D$1500,Magazzino!$F$1:$F$1500,"",0,1)</f>
        <v/>
      </c>
      <c r="M578" s="50">
        <f>_xlfn.XLOOKUP(A589,Magazzino!$D$1:$D$1500,Magazzino!$F$1:$F$1500,"",0,1)</f>
        <v/>
      </c>
      <c r="N578" s="50">
        <f>_xlfn.XLOOKUP(A590,Magazzino!$D$1:$D$1500,Magazzino!$F$1:$F$1500,"",0,1)</f>
        <v/>
      </c>
      <c r="O578" s="50">
        <f>_xlfn.XLOOKUP(A591,Magazzino!$D$1:$D$1500,Magazzino!$F$1:$F$1500,"",0,1)</f>
        <v/>
      </c>
      <c r="P578" s="50">
        <f>_xlfn.XLOOKUP(A592,Magazzino!$D$1:$D$1500,Magazzino!$F$1:$F$1500,"",0,1)</f>
        <v/>
      </c>
      <c r="Q578" s="51">
        <f>_xlfn.XLOOKUP(A593,Magazzino!$D$1:$D$1500,Magazzino!$F$1:$F$1500,"",0,1)</f>
        <v/>
      </c>
    </row>
    <row r="579">
      <c r="A579" s="47" t="inlineStr">
        <is>
          <t>cioccolato</t>
        </is>
      </c>
      <c r="B579" s="16" t="inlineStr">
        <is>
          <t>-</t>
        </is>
      </c>
      <c r="C579" s="11" t="inlineStr">
        <is>
          <t>-</t>
        </is>
      </c>
      <c r="D579" s="11" t="inlineStr">
        <is>
          <t>-</t>
        </is>
      </c>
      <c r="E579" s="11" t="inlineStr">
        <is>
          <t>-</t>
        </is>
      </c>
      <c r="F579" s="11" t="inlineStr">
        <is>
          <t>-</t>
        </is>
      </c>
      <c r="G579" s="11" t="inlineStr">
        <is>
          <t>-</t>
        </is>
      </c>
      <c r="H579" s="11" t="inlineStr">
        <is>
          <t>-</t>
        </is>
      </c>
      <c r="I579" s="11" t="inlineStr">
        <is>
          <t>-</t>
        </is>
      </c>
      <c r="J579" s="11" t="inlineStr">
        <is>
          <t>-</t>
        </is>
      </c>
      <c r="K579" s="11" t="inlineStr">
        <is>
          <t>-</t>
        </is>
      </c>
      <c r="L579" s="11" t="inlineStr">
        <is>
          <t>-</t>
        </is>
      </c>
      <c r="M579" s="11" t="inlineStr">
        <is>
          <t>-</t>
        </is>
      </c>
      <c r="N579" s="11" t="inlineStr">
        <is>
          <t>-</t>
        </is>
      </c>
      <c r="O579" s="11" t="inlineStr">
        <is>
          <t>-</t>
        </is>
      </c>
      <c r="P579" s="11" t="inlineStr">
        <is>
          <t>-</t>
        </is>
      </c>
      <c r="Q579" s="12" t="inlineStr">
        <is>
          <t>-</t>
        </is>
      </c>
    </row>
    <row r="580">
      <c r="A580" s="47" t="inlineStr">
        <is>
          <t>NUPPY NOCCIOLA 12KG</t>
        </is>
      </c>
      <c r="B580" s="13" t="inlineStr">
        <is>
          <t>-</t>
        </is>
      </c>
      <c r="C580" s="14" t="inlineStr">
        <is>
          <t>-</t>
        </is>
      </c>
      <c r="D580" s="14" t="inlineStr">
        <is>
          <t>-</t>
        </is>
      </c>
      <c r="E580" s="14" t="inlineStr">
        <is>
          <t>-</t>
        </is>
      </c>
      <c r="F580" s="14" t="inlineStr">
        <is>
          <t>-</t>
        </is>
      </c>
      <c r="G580" s="14" t="inlineStr">
        <is>
          <t>-</t>
        </is>
      </c>
      <c r="H580" s="14" t="inlineStr">
        <is>
          <t>-</t>
        </is>
      </c>
      <c r="I580" s="14" t="inlineStr">
        <is>
          <t>-</t>
        </is>
      </c>
      <c r="J580" s="14" t="inlineStr">
        <is>
          <t>-</t>
        </is>
      </c>
      <c r="K580" s="14" t="inlineStr">
        <is>
          <t>-</t>
        </is>
      </c>
      <c r="L580" s="14" t="inlineStr">
        <is>
          <t>-</t>
        </is>
      </c>
      <c r="M580" s="14" t="inlineStr">
        <is>
          <t>-</t>
        </is>
      </c>
      <c r="N580" s="14" t="inlineStr">
        <is>
          <t>-</t>
        </is>
      </c>
      <c r="O580" s="14" t="inlineStr">
        <is>
          <t>-</t>
        </is>
      </c>
      <c r="P580" s="14" t="inlineStr">
        <is>
          <t>-</t>
        </is>
      </c>
      <c r="Q580" s="15" t="inlineStr">
        <is>
          <t>-</t>
        </is>
      </c>
    </row>
    <row r="581" ht="24" customHeight="1" s="155">
      <c r="A581" s="47" t="inlineStr">
        <is>
          <t xml:space="preserve">GOCCINE MIGNON DI SURROGATO FONDENTE 1500/HG DA KG 12  </t>
        </is>
      </c>
      <c r="B581" s="16" t="inlineStr">
        <is>
          <t>-</t>
        </is>
      </c>
      <c r="C581" s="11" t="inlineStr">
        <is>
          <t>-</t>
        </is>
      </c>
      <c r="D581" s="11" t="inlineStr">
        <is>
          <t>-</t>
        </is>
      </c>
      <c r="E581" s="11" t="inlineStr">
        <is>
          <t>-</t>
        </is>
      </c>
      <c r="F581" s="11" t="inlineStr">
        <is>
          <t>-</t>
        </is>
      </c>
      <c r="G581" s="11" t="inlineStr">
        <is>
          <t>-</t>
        </is>
      </c>
      <c r="H581" s="11" t="inlineStr">
        <is>
          <t>-</t>
        </is>
      </c>
      <c r="I581" s="11" t="inlineStr">
        <is>
          <t>-</t>
        </is>
      </c>
      <c r="J581" s="11" t="inlineStr">
        <is>
          <t>-</t>
        </is>
      </c>
      <c r="K581" s="11" t="inlineStr">
        <is>
          <t>-</t>
        </is>
      </c>
      <c r="L581" s="11" t="inlineStr">
        <is>
          <t>-</t>
        </is>
      </c>
      <c r="M581" s="11" t="inlineStr">
        <is>
          <t>-</t>
        </is>
      </c>
      <c r="N581" s="11" t="inlineStr">
        <is>
          <t>-</t>
        </is>
      </c>
      <c r="O581" s="11" t="inlineStr">
        <is>
          <t>-</t>
        </is>
      </c>
      <c r="P581" s="11" t="inlineStr">
        <is>
          <t>-</t>
        </is>
      </c>
      <c r="Q581" s="12" t="inlineStr">
        <is>
          <t>-</t>
        </is>
      </c>
    </row>
    <row r="582">
      <c r="A582" s="47" t="inlineStr">
        <is>
          <t>zucchero semolato</t>
        </is>
      </c>
      <c r="B582" s="13" t="inlineStr">
        <is>
          <t>-</t>
        </is>
      </c>
      <c r="C582" s="14" t="inlineStr">
        <is>
          <t>-</t>
        </is>
      </c>
      <c r="D582" s="14" t="inlineStr">
        <is>
          <t>-</t>
        </is>
      </c>
      <c r="E582" s="14" t="inlineStr">
        <is>
          <t>-</t>
        </is>
      </c>
      <c r="F582" s="14" t="inlineStr">
        <is>
          <t>-</t>
        </is>
      </c>
      <c r="G582" s="14" t="inlineStr">
        <is>
          <t>-</t>
        </is>
      </c>
      <c r="H582" s="14" t="inlineStr">
        <is>
          <t>-</t>
        </is>
      </c>
      <c r="I582" s="14" t="inlineStr">
        <is>
          <t>-</t>
        </is>
      </c>
      <c r="J582" s="14" t="inlineStr">
        <is>
          <t>-</t>
        </is>
      </c>
      <c r="K582" s="14" t="inlineStr">
        <is>
          <t>-</t>
        </is>
      </c>
      <c r="L582" s="14" t="inlineStr">
        <is>
          <t>-</t>
        </is>
      </c>
      <c r="M582" s="14" t="inlineStr">
        <is>
          <t>-</t>
        </is>
      </c>
      <c r="N582" s="14" t="inlineStr">
        <is>
          <t>-</t>
        </is>
      </c>
      <c r="O582" s="14" t="inlineStr">
        <is>
          <t>-</t>
        </is>
      </c>
      <c r="P582" s="14" t="inlineStr">
        <is>
          <t>-</t>
        </is>
      </c>
      <c r="Q582" s="15" t="inlineStr">
        <is>
          <t>-</t>
        </is>
      </c>
    </row>
    <row r="583">
      <c r="A583" s="47" t="inlineStr">
        <is>
          <t>cioccolato</t>
        </is>
      </c>
      <c r="B583" s="16" t="inlineStr">
        <is>
          <t>-</t>
        </is>
      </c>
      <c r="C583" s="11" t="inlineStr">
        <is>
          <t>-</t>
        </is>
      </c>
      <c r="D583" s="11" t="inlineStr">
        <is>
          <t>-</t>
        </is>
      </c>
      <c r="E583" s="11" t="inlineStr">
        <is>
          <t>-</t>
        </is>
      </c>
      <c r="F583" s="11" t="inlineStr">
        <is>
          <t>-</t>
        </is>
      </c>
      <c r="G583" s="11" t="inlineStr">
        <is>
          <t>-</t>
        </is>
      </c>
      <c r="H583" s="11" t="inlineStr">
        <is>
          <t>-</t>
        </is>
      </c>
      <c r="I583" s="11" t="inlineStr">
        <is>
          <t>-</t>
        </is>
      </c>
      <c r="J583" s="11" t="inlineStr">
        <is>
          <t>-</t>
        </is>
      </c>
      <c r="K583" s="11" t="inlineStr">
        <is>
          <t>-</t>
        </is>
      </c>
      <c r="L583" s="11" t="inlineStr">
        <is>
          <t>-</t>
        </is>
      </c>
      <c r="M583" s="11" t="inlineStr">
        <is>
          <t>-</t>
        </is>
      </c>
      <c r="N583" s="11" t="inlineStr">
        <is>
          <t>-</t>
        </is>
      </c>
      <c r="O583" s="11" t="inlineStr">
        <is>
          <t>-</t>
        </is>
      </c>
      <c r="P583" s="11" t="inlineStr">
        <is>
          <t>-</t>
        </is>
      </c>
      <c r="Q583" s="12" t="inlineStr">
        <is>
          <t>-</t>
        </is>
      </c>
    </row>
    <row r="584">
      <c r="A584" s="47" t="inlineStr">
        <is>
          <t>margarina sfoglia</t>
        </is>
      </c>
      <c r="B584" s="13" t="inlineStr">
        <is>
          <t>-</t>
        </is>
      </c>
      <c r="C584" s="14" t="inlineStr">
        <is>
          <t>-</t>
        </is>
      </c>
      <c r="D584" s="14" t="inlineStr">
        <is>
          <t>-</t>
        </is>
      </c>
      <c r="E584" s="14" t="inlineStr">
        <is>
          <t>-</t>
        </is>
      </c>
      <c r="F584" s="14" t="inlineStr">
        <is>
          <t>-</t>
        </is>
      </c>
      <c r="G584" s="14" t="inlineStr">
        <is>
          <t>-</t>
        </is>
      </c>
      <c r="H584" s="14" t="inlineStr">
        <is>
          <t>-</t>
        </is>
      </c>
      <c r="I584" s="14" t="inlineStr">
        <is>
          <t>-</t>
        </is>
      </c>
      <c r="J584" s="14" t="inlineStr">
        <is>
          <t>-</t>
        </is>
      </c>
      <c r="K584" s="14" t="inlineStr">
        <is>
          <t>-</t>
        </is>
      </c>
      <c r="L584" s="14" t="inlineStr">
        <is>
          <t>-</t>
        </is>
      </c>
      <c r="M584" s="14" t="inlineStr">
        <is>
          <t>-</t>
        </is>
      </c>
      <c r="N584" s="14" t="inlineStr">
        <is>
          <t>-</t>
        </is>
      </c>
      <c r="O584" s="14" t="inlineStr">
        <is>
          <t>-</t>
        </is>
      </c>
      <c r="P584" s="14" t="inlineStr">
        <is>
          <t>-</t>
        </is>
      </c>
      <c r="Q584" s="15" t="inlineStr">
        <is>
          <t>-</t>
        </is>
      </c>
    </row>
    <row r="585">
      <c r="A585" s="47" t="inlineStr">
        <is>
          <t xml:space="preserve">mix cake nature da kg 10 (4830)  </t>
        </is>
      </c>
      <c r="B585" s="16" t="inlineStr">
        <is>
          <t>-</t>
        </is>
      </c>
      <c r="C585" s="11" t="inlineStr">
        <is>
          <t>-</t>
        </is>
      </c>
      <c r="D585" s="11" t="inlineStr">
        <is>
          <t>-</t>
        </is>
      </c>
      <c r="E585" s="11" t="inlineStr">
        <is>
          <t>-</t>
        </is>
      </c>
      <c r="F585" s="11" t="inlineStr">
        <is>
          <t>-</t>
        </is>
      </c>
      <c r="G585" s="11" t="inlineStr">
        <is>
          <t>-</t>
        </is>
      </c>
      <c r="H585" s="11" t="inlineStr">
        <is>
          <t>-</t>
        </is>
      </c>
      <c r="I585" s="11" t="inlineStr">
        <is>
          <t>-</t>
        </is>
      </c>
      <c r="J585" s="11" t="inlineStr">
        <is>
          <t>-</t>
        </is>
      </c>
      <c r="K585" s="11" t="inlineStr">
        <is>
          <t>-</t>
        </is>
      </c>
      <c r="L585" s="11" t="inlineStr">
        <is>
          <t>-</t>
        </is>
      </c>
      <c r="M585" s="11" t="inlineStr">
        <is>
          <t>-</t>
        </is>
      </c>
      <c r="N585" s="11" t="inlineStr">
        <is>
          <t>-</t>
        </is>
      </c>
      <c r="O585" s="11" t="inlineStr">
        <is>
          <t>-</t>
        </is>
      </c>
      <c r="P585" s="11" t="inlineStr">
        <is>
          <t>-</t>
        </is>
      </c>
      <c r="Q585" s="12" t="inlineStr">
        <is>
          <t>-</t>
        </is>
      </c>
    </row>
    <row r="586">
      <c r="A586" s="47" t="n"/>
      <c r="B586" s="13" t="inlineStr">
        <is>
          <t>-</t>
        </is>
      </c>
      <c r="C586" s="14" t="inlineStr">
        <is>
          <t>-</t>
        </is>
      </c>
      <c r="D586" s="14" t="inlineStr">
        <is>
          <t>-</t>
        </is>
      </c>
      <c r="E586" s="14" t="inlineStr">
        <is>
          <t>-</t>
        </is>
      </c>
      <c r="F586" s="14" t="inlineStr">
        <is>
          <t>-</t>
        </is>
      </c>
      <c r="G586" s="14" t="inlineStr">
        <is>
          <t>-</t>
        </is>
      </c>
      <c r="H586" s="14" t="inlineStr">
        <is>
          <t>-</t>
        </is>
      </c>
      <c r="I586" s="14" t="inlineStr">
        <is>
          <t>-</t>
        </is>
      </c>
      <c r="J586" s="14" t="inlineStr">
        <is>
          <t>-</t>
        </is>
      </c>
      <c r="K586" s="14" t="inlineStr">
        <is>
          <t>-</t>
        </is>
      </c>
      <c r="L586" s="14" t="inlineStr">
        <is>
          <t>-</t>
        </is>
      </c>
      <c r="M586" s="14" t="inlineStr">
        <is>
          <t>-</t>
        </is>
      </c>
      <c r="N586" s="14" t="inlineStr">
        <is>
          <t>-</t>
        </is>
      </c>
      <c r="O586" s="14" t="inlineStr">
        <is>
          <t>-</t>
        </is>
      </c>
      <c r="P586" s="14" t="inlineStr">
        <is>
          <t>-</t>
        </is>
      </c>
      <c r="Q586" s="15" t="inlineStr">
        <is>
          <t>-</t>
        </is>
      </c>
    </row>
    <row r="587">
      <c r="A587" s="47" t="n"/>
      <c r="B587" s="16" t="inlineStr">
        <is>
          <t>-</t>
        </is>
      </c>
      <c r="C587" s="11" t="inlineStr">
        <is>
          <t>-</t>
        </is>
      </c>
      <c r="D587" s="11" t="inlineStr">
        <is>
          <t>-</t>
        </is>
      </c>
      <c r="E587" s="11" t="inlineStr">
        <is>
          <t>-</t>
        </is>
      </c>
      <c r="F587" s="11" t="inlineStr">
        <is>
          <t>-</t>
        </is>
      </c>
      <c r="G587" s="11" t="inlineStr">
        <is>
          <t>-</t>
        </is>
      </c>
      <c r="H587" s="11" t="inlineStr">
        <is>
          <t>-</t>
        </is>
      </c>
      <c r="I587" s="11" t="inlineStr">
        <is>
          <t>-</t>
        </is>
      </c>
      <c r="J587" s="11" t="inlineStr">
        <is>
          <t>-</t>
        </is>
      </c>
      <c r="K587" s="11" t="inlineStr">
        <is>
          <t>-</t>
        </is>
      </c>
      <c r="L587" s="11" t="inlineStr">
        <is>
          <t>-</t>
        </is>
      </c>
      <c r="M587" s="11" t="inlineStr">
        <is>
          <t>-</t>
        </is>
      </c>
      <c r="N587" s="11" t="inlineStr">
        <is>
          <t>-</t>
        </is>
      </c>
      <c r="O587" s="11" t="inlineStr">
        <is>
          <t>-</t>
        </is>
      </c>
      <c r="P587" s="11" t="inlineStr">
        <is>
          <t>-</t>
        </is>
      </c>
      <c r="Q587" s="12" t="inlineStr">
        <is>
          <t>-</t>
        </is>
      </c>
    </row>
    <row r="588">
      <c r="A588" s="47" t="n"/>
      <c r="B588" s="13" t="inlineStr">
        <is>
          <t>-</t>
        </is>
      </c>
      <c r="C588" s="14" t="inlineStr">
        <is>
          <t>-</t>
        </is>
      </c>
      <c r="D588" s="14" t="inlineStr">
        <is>
          <t>-</t>
        </is>
      </c>
      <c r="E588" s="14" t="inlineStr">
        <is>
          <t>-</t>
        </is>
      </c>
      <c r="F588" s="14" t="inlineStr">
        <is>
          <t>-</t>
        </is>
      </c>
      <c r="G588" s="14" t="inlineStr">
        <is>
          <t>-</t>
        </is>
      </c>
      <c r="H588" s="14" t="inlineStr">
        <is>
          <t>-</t>
        </is>
      </c>
      <c r="I588" s="14" t="inlineStr">
        <is>
          <t>-</t>
        </is>
      </c>
      <c r="J588" s="14" t="inlineStr">
        <is>
          <t>-</t>
        </is>
      </c>
      <c r="K588" s="14" t="inlineStr">
        <is>
          <t>-</t>
        </is>
      </c>
      <c r="L588" s="14" t="inlineStr">
        <is>
          <t>-</t>
        </is>
      </c>
      <c r="M588" s="14" t="inlineStr">
        <is>
          <t>-</t>
        </is>
      </c>
      <c r="N588" s="14" t="inlineStr">
        <is>
          <t>-</t>
        </is>
      </c>
      <c r="O588" s="14" t="inlineStr">
        <is>
          <t>-</t>
        </is>
      </c>
      <c r="P588" s="14" t="inlineStr">
        <is>
          <t>-</t>
        </is>
      </c>
      <c r="Q588" s="15" t="inlineStr">
        <is>
          <t>-</t>
        </is>
      </c>
    </row>
    <row r="589">
      <c r="A589" s="47" t="n"/>
      <c r="B589" s="16" t="inlineStr">
        <is>
          <t>-</t>
        </is>
      </c>
      <c r="C589" s="11" t="inlineStr">
        <is>
          <t>-</t>
        </is>
      </c>
      <c r="D589" s="11" t="inlineStr">
        <is>
          <t>-</t>
        </is>
      </c>
      <c r="E589" s="11" t="inlineStr">
        <is>
          <t>-</t>
        </is>
      </c>
      <c r="F589" s="11" t="inlineStr">
        <is>
          <t>-</t>
        </is>
      </c>
      <c r="G589" s="11" t="inlineStr">
        <is>
          <t>-</t>
        </is>
      </c>
      <c r="H589" s="11" t="inlineStr">
        <is>
          <t>-</t>
        </is>
      </c>
      <c r="I589" s="11" t="inlineStr">
        <is>
          <t>-</t>
        </is>
      </c>
      <c r="J589" s="11" t="inlineStr">
        <is>
          <t>-</t>
        </is>
      </c>
      <c r="K589" s="11" t="inlineStr">
        <is>
          <t>-</t>
        </is>
      </c>
      <c r="L589" s="11" t="inlineStr">
        <is>
          <t>-</t>
        </is>
      </c>
      <c r="M589" s="11" t="inlineStr">
        <is>
          <t>-</t>
        </is>
      </c>
      <c r="N589" s="11" t="inlineStr">
        <is>
          <t>-</t>
        </is>
      </c>
      <c r="O589" s="11" t="inlineStr">
        <is>
          <t>-</t>
        </is>
      </c>
      <c r="P589" s="11" t="inlineStr">
        <is>
          <t>-</t>
        </is>
      </c>
      <c r="Q589" s="12" t="inlineStr">
        <is>
          <t>-</t>
        </is>
      </c>
    </row>
    <row r="590">
      <c r="A590" s="47" t="n"/>
      <c r="B590" s="13" t="inlineStr">
        <is>
          <t>-</t>
        </is>
      </c>
      <c r="C590" s="14" t="inlineStr">
        <is>
          <t>-</t>
        </is>
      </c>
      <c r="D590" s="14" t="inlineStr">
        <is>
          <t>-</t>
        </is>
      </c>
      <c r="E590" s="14" t="inlineStr">
        <is>
          <t>-</t>
        </is>
      </c>
      <c r="F590" s="14" t="inlineStr">
        <is>
          <t>-</t>
        </is>
      </c>
      <c r="G590" s="14" t="inlineStr">
        <is>
          <t>-</t>
        </is>
      </c>
      <c r="H590" s="14" t="inlineStr">
        <is>
          <t>-</t>
        </is>
      </c>
      <c r="I590" s="14" t="inlineStr">
        <is>
          <t>-</t>
        </is>
      </c>
      <c r="J590" s="14" t="inlineStr">
        <is>
          <t>-</t>
        </is>
      </c>
      <c r="K590" s="14" t="inlineStr">
        <is>
          <t>-</t>
        </is>
      </c>
      <c r="L590" s="14" t="inlineStr">
        <is>
          <t>-</t>
        </is>
      </c>
      <c r="M590" s="14" t="inlineStr">
        <is>
          <t>-</t>
        </is>
      </c>
      <c r="N590" s="14" t="inlineStr">
        <is>
          <t>-</t>
        </is>
      </c>
      <c r="O590" s="14" t="inlineStr">
        <is>
          <t>-</t>
        </is>
      </c>
      <c r="P590" s="14" t="inlineStr">
        <is>
          <t>-</t>
        </is>
      </c>
      <c r="Q590" s="15" t="inlineStr">
        <is>
          <t>-</t>
        </is>
      </c>
    </row>
    <row r="591">
      <c r="A591" s="47" t="n"/>
      <c r="B591" s="16" t="inlineStr">
        <is>
          <t>-</t>
        </is>
      </c>
      <c r="C591" s="11" t="inlineStr">
        <is>
          <t>-</t>
        </is>
      </c>
      <c r="D591" s="11" t="inlineStr">
        <is>
          <t>-</t>
        </is>
      </c>
      <c r="E591" s="11" t="inlineStr">
        <is>
          <t>-</t>
        </is>
      </c>
      <c r="F591" s="11" t="inlineStr">
        <is>
          <t>-</t>
        </is>
      </c>
      <c r="G591" s="11" t="inlineStr">
        <is>
          <t>-</t>
        </is>
      </c>
      <c r="H591" s="11" t="inlineStr">
        <is>
          <t>-</t>
        </is>
      </c>
      <c r="I591" s="11" t="inlineStr">
        <is>
          <t>-</t>
        </is>
      </c>
      <c r="J591" s="11" t="inlineStr">
        <is>
          <t>-</t>
        </is>
      </c>
      <c r="K591" s="11" t="inlineStr">
        <is>
          <t>-</t>
        </is>
      </c>
      <c r="L591" s="11" t="inlineStr">
        <is>
          <t>-</t>
        </is>
      </c>
      <c r="M591" s="11" t="inlineStr">
        <is>
          <t>-</t>
        </is>
      </c>
      <c r="N591" s="11" t="inlineStr">
        <is>
          <t>-</t>
        </is>
      </c>
      <c r="O591" s="11" t="inlineStr">
        <is>
          <t>-</t>
        </is>
      </c>
      <c r="P591" s="11" t="inlineStr">
        <is>
          <t>-</t>
        </is>
      </c>
      <c r="Q591" s="12" t="inlineStr">
        <is>
          <t>-</t>
        </is>
      </c>
    </row>
    <row r="592">
      <c r="A592" s="47" t="n"/>
      <c r="B592" s="13" t="inlineStr">
        <is>
          <t>-</t>
        </is>
      </c>
      <c r="C592" s="14" t="inlineStr">
        <is>
          <t>-</t>
        </is>
      </c>
      <c r="D592" s="14" t="inlineStr">
        <is>
          <t>-</t>
        </is>
      </c>
      <c r="E592" s="14" t="inlineStr">
        <is>
          <t>-</t>
        </is>
      </c>
      <c r="F592" s="14" t="inlineStr">
        <is>
          <t>-</t>
        </is>
      </c>
      <c r="G592" s="14" t="inlineStr">
        <is>
          <t>-</t>
        </is>
      </c>
      <c r="H592" s="14" t="inlineStr">
        <is>
          <t>-</t>
        </is>
      </c>
      <c r="I592" s="14" t="inlineStr">
        <is>
          <t>-</t>
        </is>
      </c>
      <c r="J592" s="14" t="inlineStr">
        <is>
          <t>-</t>
        </is>
      </c>
      <c r="K592" s="14" t="inlineStr">
        <is>
          <t>-</t>
        </is>
      </c>
      <c r="L592" s="14" t="inlineStr">
        <is>
          <t>-</t>
        </is>
      </c>
      <c r="M592" s="14" t="inlineStr">
        <is>
          <t>-</t>
        </is>
      </c>
      <c r="N592" s="14" t="inlineStr">
        <is>
          <t>-</t>
        </is>
      </c>
      <c r="O592" s="14" t="inlineStr">
        <is>
          <t>-</t>
        </is>
      </c>
      <c r="P592" s="14" t="inlineStr">
        <is>
          <t>-</t>
        </is>
      </c>
      <c r="Q592" s="15" t="inlineStr">
        <is>
          <t>-</t>
        </is>
      </c>
    </row>
    <row r="593">
      <c r="A593" s="47" t="n"/>
      <c r="B593" s="16" t="inlineStr">
        <is>
          <t>-</t>
        </is>
      </c>
      <c r="C593" s="11" t="inlineStr">
        <is>
          <t>-</t>
        </is>
      </c>
      <c r="D593" s="11" t="inlineStr">
        <is>
          <t>-</t>
        </is>
      </c>
      <c r="E593" s="11" t="inlineStr">
        <is>
          <t>-</t>
        </is>
      </c>
      <c r="F593" s="11" t="inlineStr">
        <is>
          <t>-</t>
        </is>
      </c>
      <c r="G593" s="11" t="inlineStr">
        <is>
          <t>-</t>
        </is>
      </c>
      <c r="H593" s="11" t="inlineStr">
        <is>
          <t>-</t>
        </is>
      </c>
      <c r="I593" s="11" t="inlineStr">
        <is>
          <t>-</t>
        </is>
      </c>
      <c r="J593" s="11" t="inlineStr">
        <is>
          <t>-</t>
        </is>
      </c>
      <c r="K593" s="11" t="inlineStr">
        <is>
          <t>-</t>
        </is>
      </c>
      <c r="L593" s="11" t="inlineStr">
        <is>
          <t>-</t>
        </is>
      </c>
      <c r="M593" s="11" t="inlineStr">
        <is>
          <t>-</t>
        </is>
      </c>
      <c r="N593" s="11" t="inlineStr">
        <is>
          <t>-</t>
        </is>
      </c>
      <c r="O593" s="11" t="inlineStr">
        <is>
          <t>-</t>
        </is>
      </c>
      <c r="P593" s="11" t="inlineStr">
        <is>
          <t>-</t>
        </is>
      </c>
      <c r="Q593" s="12" t="inlineStr">
        <is>
          <t>-</t>
        </is>
      </c>
    </row>
    <row r="594" ht="36" customHeight="1" s="155">
      <c r="B594" s="46" t="inlineStr">
        <is>
          <t>caprese limone</t>
        </is>
      </c>
      <c r="C594" s="49">
        <f>_xlfn.XLOOKUP(A595,Magazzino!$D$1:$D$1500,Magazzino!$F$1:$F$1500,"",0,1)</f>
        <v/>
      </c>
      <c r="D594" s="50">
        <f>_xlfn.XLOOKUP(A596,Magazzino!$D$1:$D$1500,Magazzino!$F$1:$F$1500,"",0,1)</f>
        <v/>
      </c>
      <c r="E594" s="50">
        <f>_xlfn.XLOOKUP(A597,Magazzino!$D$1:$D$1500,Magazzino!$F$1:$F$1500,"",0,1)</f>
        <v/>
      </c>
      <c r="F594" s="50">
        <f>_xlfn.XLOOKUP(A598,Magazzino!$D$1:$D$1500,Magazzino!$F$1:$F$1500,"",0,1)</f>
        <v/>
      </c>
      <c r="G594" s="50">
        <f>_xlfn.XLOOKUP(A599,Magazzino!$D$1:$D$1500,Magazzino!$F$1:$F$1500,"",0,1)</f>
        <v/>
      </c>
      <c r="H594" s="50">
        <f>_xlfn.XLOOKUP(A600,Magazzino!$D$1:$D$1500,Magazzino!$F$1:$F$1500,"",0,1)</f>
        <v/>
      </c>
      <c r="I594" s="50">
        <f>_xlfn.XLOOKUP(A601,Magazzino!$D$1:$D$1500,Magazzino!$F$1:$F$1500,"",0,1)</f>
        <v/>
      </c>
      <c r="J594" s="50">
        <f>_xlfn.XLOOKUP(A602,Magazzino!$D$1:$D$1500,Magazzino!$F$1:$F$1500,"",0,1)</f>
        <v/>
      </c>
      <c r="K594" s="50">
        <f>_xlfn.XLOOKUP(A603,Magazzino!$D$1:$D$1500,Magazzino!$F$1:$F$1500,"",0,1)</f>
        <v/>
      </c>
      <c r="L594" s="50">
        <f>_xlfn.XLOOKUP(A604,Magazzino!$D$1:$D$1500,Magazzino!$F$1:$F$1500,"",0,1)</f>
        <v/>
      </c>
      <c r="M594" s="50">
        <f>_xlfn.XLOOKUP(A605,Magazzino!$D$1:$D$1500,Magazzino!$F$1:$F$1500,"",0,1)</f>
        <v/>
      </c>
      <c r="N594" s="50">
        <f>_xlfn.XLOOKUP(A606,Magazzino!$D$1:$D$1500,Magazzino!$F$1:$F$1500,"",0,1)</f>
        <v/>
      </c>
      <c r="O594" s="50">
        <f>_xlfn.XLOOKUP(A607,Magazzino!$D$1:$D$1500,Magazzino!$F$1:$F$1500,"",0,1)</f>
        <v/>
      </c>
      <c r="P594" s="50">
        <f>_xlfn.XLOOKUP(A608,Magazzino!$D$1:$D$1500,Magazzino!$F$1:$F$1500,"",0,1)</f>
        <v/>
      </c>
      <c r="Q594" s="51">
        <f>_xlfn.XLOOKUP(A609,Magazzino!$D$1:$D$1500,Magazzino!$F$1:$F$1500,"",0,1)</f>
        <v/>
      </c>
    </row>
    <row r="595">
      <c r="A595" s="47" t="inlineStr">
        <is>
          <t>NUPPY NOCCIOLA 12KG</t>
        </is>
      </c>
      <c r="B595" s="16" t="inlineStr">
        <is>
          <t>-</t>
        </is>
      </c>
      <c r="C595" s="11" t="inlineStr">
        <is>
          <t>-</t>
        </is>
      </c>
      <c r="D595" s="11" t="inlineStr">
        <is>
          <t>-</t>
        </is>
      </c>
      <c r="E595" s="11" t="inlineStr">
        <is>
          <t>-</t>
        </is>
      </c>
      <c r="F595" s="11" t="inlineStr">
        <is>
          <t>-</t>
        </is>
      </c>
      <c r="G595" s="11" t="inlineStr">
        <is>
          <t>-</t>
        </is>
      </c>
      <c r="H595" s="11" t="inlineStr">
        <is>
          <t>-</t>
        </is>
      </c>
      <c r="I595" s="11" t="inlineStr">
        <is>
          <t>-</t>
        </is>
      </c>
      <c r="J595" s="11" t="inlineStr">
        <is>
          <t>-</t>
        </is>
      </c>
      <c r="K595" s="11" t="inlineStr">
        <is>
          <t>-</t>
        </is>
      </c>
      <c r="L595" s="11" t="inlineStr">
        <is>
          <t>-</t>
        </is>
      </c>
      <c r="M595" s="11" t="inlineStr">
        <is>
          <t>-</t>
        </is>
      </c>
      <c r="N595" s="11" t="inlineStr">
        <is>
          <t>-</t>
        </is>
      </c>
      <c r="O595" s="11" t="inlineStr">
        <is>
          <t>-</t>
        </is>
      </c>
      <c r="P595" s="11" t="inlineStr">
        <is>
          <t>-</t>
        </is>
      </c>
      <c r="Q595" s="12" t="inlineStr">
        <is>
          <t>-</t>
        </is>
      </c>
    </row>
    <row r="596">
      <c r="A596" s="47" t="inlineStr">
        <is>
          <t>cioccolato</t>
        </is>
      </c>
      <c r="B596" s="13" t="inlineStr">
        <is>
          <t>-</t>
        </is>
      </c>
      <c r="C596" s="14" t="inlineStr">
        <is>
          <t>-</t>
        </is>
      </c>
      <c r="D596" s="14" t="inlineStr">
        <is>
          <t>-</t>
        </is>
      </c>
      <c r="E596" s="14" t="inlineStr">
        <is>
          <t>-</t>
        </is>
      </c>
      <c r="F596" s="14" t="inlineStr">
        <is>
          <t>-</t>
        </is>
      </c>
      <c r="G596" s="14" t="inlineStr">
        <is>
          <t>-</t>
        </is>
      </c>
      <c r="H596" s="14" t="inlineStr">
        <is>
          <t>-</t>
        </is>
      </c>
      <c r="I596" s="14" t="inlineStr">
        <is>
          <t>-</t>
        </is>
      </c>
      <c r="J596" s="14" t="inlineStr">
        <is>
          <t>-</t>
        </is>
      </c>
      <c r="K596" s="14" t="inlineStr">
        <is>
          <t>-</t>
        </is>
      </c>
      <c r="L596" s="14" t="inlineStr">
        <is>
          <t>-</t>
        </is>
      </c>
      <c r="M596" s="14" t="inlineStr">
        <is>
          <t>-</t>
        </is>
      </c>
      <c r="N596" s="14" t="inlineStr">
        <is>
          <t>-</t>
        </is>
      </c>
      <c r="O596" s="14" t="inlineStr">
        <is>
          <t>-</t>
        </is>
      </c>
      <c r="P596" s="14" t="inlineStr">
        <is>
          <t>-</t>
        </is>
      </c>
      <c r="Q596" s="15" t="inlineStr">
        <is>
          <t>-</t>
        </is>
      </c>
    </row>
    <row r="597">
      <c r="A597" s="47" t="inlineStr">
        <is>
          <t>zucchero semolato</t>
        </is>
      </c>
      <c r="B597" s="16" t="inlineStr">
        <is>
          <t>-</t>
        </is>
      </c>
      <c r="C597" s="11" t="inlineStr">
        <is>
          <t>-</t>
        </is>
      </c>
      <c r="D597" s="11" t="inlineStr">
        <is>
          <t>-</t>
        </is>
      </c>
      <c r="E597" s="11" t="inlineStr">
        <is>
          <t>-</t>
        </is>
      </c>
      <c r="F597" s="11" t="inlineStr">
        <is>
          <t>-</t>
        </is>
      </c>
      <c r="G597" s="11" t="inlineStr">
        <is>
          <t>-</t>
        </is>
      </c>
      <c r="H597" s="11" t="inlineStr">
        <is>
          <t>-</t>
        </is>
      </c>
      <c r="I597" s="11" t="inlineStr">
        <is>
          <t>-</t>
        </is>
      </c>
      <c r="J597" s="11" t="inlineStr">
        <is>
          <t>-</t>
        </is>
      </c>
      <c r="K597" s="11" t="inlineStr">
        <is>
          <t>-</t>
        </is>
      </c>
      <c r="L597" s="11" t="inlineStr">
        <is>
          <t>-</t>
        </is>
      </c>
      <c r="M597" s="11" t="inlineStr">
        <is>
          <t>-</t>
        </is>
      </c>
      <c r="N597" s="11" t="inlineStr">
        <is>
          <t>-</t>
        </is>
      </c>
      <c r="O597" s="11" t="inlineStr">
        <is>
          <t>-</t>
        </is>
      </c>
      <c r="P597" s="11" t="inlineStr">
        <is>
          <t>-</t>
        </is>
      </c>
      <c r="Q597" s="12" t="inlineStr">
        <is>
          <t>-</t>
        </is>
      </c>
    </row>
    <row r="598">
      <c r="A598" s="47" t="n"/>
      <c r="B598" s="13" t="inlineStr">
        <is>
          <t>-</t>
        </is>
      </c>
      <c r="C598" s="14" t="inlineStr">
        <is>
          <t>-</t>
        </is>
      </c>
      <c r="D598" s="14" t="inlineStr">
        <is>
          <t>-</t>
        </is>
      </c>
      <c r="E598" s="14" t="inlineStr">
        <is>
          <t>-</t>
        </is>
      </c>
      <c r="F598" s="14" t="inlineStr">
        <is>
          <t>-</t>
        </is>
      </c>
      <c r="G598" s="14" t="inlineStr">
        <is>
          <t>-</t>
        </is>
      </c>
      <c r="H598" s="14" t="inlineStr">
        <is>
          <t>-</t>
        </is>
      </c>
      <c r="I598" s="14" t="inlineStr">
        <is>
          <t>-</t>
        </is>
      </c>
      <c r="J598" s="14" t="inlineStr">
        <is>
          <t>-</t>
        </is>
      </c>
      <c r="K598" s="14" t="inlineStr">
        <is>
          <t>-</t>
        </is>
      </c>
      <c r="L598" s="14" t="inlineStr">
        <is>
          <t>-</t>
        </is>
      </c>
      <c r="M598" s="14" t="inlineStr">
        <is>
          <t>-</t>
        </is>
      </c>
      <c r="N598" s="14" t="inlineStr">
        <is>
          <t>-</t>
        </is>
      </c>
      <c r="O598" s="14" t="inlineStr">
        <is>
          <t>-</t>
        </is>
      </c>
      <c r="P598" s="14" t="inlineStr">
        <is>
          <t>-</t>
        </is>
      </c>
      <c r="Q598" s="15" t="inlineStr">
        <is>
          <t>-</t>
        </is>
      </c>
    </row>
    <row r="599">
      <c r="A599" s="47" t="inlineStr">
        <is>
          <t>margarina sfoglia</t>
        </is>
      </c>
      <c r="B599" s="16" t="inlineStr">
        <is>
          <t>-</t>
        </is>
      </c>
      <c r="C599" s="11" t="inlineStr">
        <is>
          <t>-</t>
        </is>
      </c>
      <c r="D599" s="11" t="inlineStr">
        <is>
          <t>-</t>
        </is>
      </c>
      <c r="E599" s="11" t="inlineStr">
        <is>
          <t>-</t>
        </is>
      </c>
      <c r="F599" s="11" t="inlineStr">
        <is>
          <t>-</t>
        </is>
      </c>
      <c r="G599" s="11" t="inlineStr">
        <is>
          <t>-</t>
        </is>
      </c>
      <c r="H599" s="11" t="inlineStr">
        <is>
          <t>-</t>
        </is>
      </c>
      <c r="I599" s="11" t="inlineStr">
        <is>
          <t>-</t>
        </is>
      </c>
      <c r="J599" s="11" t="inlineStr">
        <is>
          <t>-</t>
        </is>
      </c>
      <c r="K599" s="11" t="inlineStr">
        <is>
          <t>-</t>
        </is>
      </c>
      <c r="L599" s="11" t="inlineStr">
        <is>
          <t>-</t>
        </is>
      </c>
      <c r="M599" s="11" t="inlineStr">
        <is>
          <t>-</t>
        </is>
      </c>
      <c r="N599" s="11" t="inlineStr">
        <is>
          <t>-</t>
        </is>
      </c>
      <c r="O599" s="11" t="inlineStr">
        <is>
          <t>-</t>
        </is>
      </c>
      <c r="P599" s="11" t="inlineStr">
        <is>
          <t>-</t>
        </is>
      </c>
      <c r="Q599" s="12" t="inlineStr">
        <is>
          <t>-</t>
        </is>
      </c>
    </row>
    <row r="600">
      <c r="A600" s="47" t="inlineStr">
        <is>
          <t xml:space="preserve">mix cake nature da kg 10 (4830)  </t>
        </is>
      </c>
      <c r="B600" s="13" t="inlineStr">
        <is>
          <t>-</t>
        </is>
      </c>
      <c r="C600" s="14" t="inlineStr">
        <is>
          <t>-</t>
        </is>
      </c>
      <c r="D600" s="14" t="inlineStr">
        <is>
          <t>-</t>
        </is>
      </c>
      <c r="E600" s="14" t="inlineStr">
        <is>
          <t>-</t>
        </is>
      </c>
      <c r="F600" s="14" t="inlineStr">
        <is>
          <t>-</t>
        </is>
      </c>
      <c r="G600" s="14" t="inlineStr">
        <is>
          <t>-</t>
        </is>
      </c>
      <c r="H600" s="14" t="inlineStr">
        <is>
          <t>-</t>
        </is>
      </c>
      <c r="I600" s="14" t="inlineStr">
        <is>
          <t>-</t>
        </is>
      </c>
      <c r="J600" s="14" t="inlineStr">
        <is>
          <t>-</t>
        </is>
      </c>
      <c r="K600" s="14" t="inlineStr">
        <is>
          <t>-</t>
        </is>
      </c>
      <c r="L600" s="14" t="inlineStr">
        <is>
          <t>-</t>
        </is>
      </c>
      <c r="M600" s="14" t="inlineStr">
        <is>
          <t>-</t>
        </is>
      </c>
      <c r="N600" s="14" t="inlineStr">
        <is>
          <t>-</t>
        </is>
      </c>
      <c r="O600" s="14" t="inlineStr">
        <is>
          <t>-</t>
        </is>
      </c>
      <c r="P600" s="14" t="inlineStr">
        <is>
          <t>-</t>
        </is>
      </c>
      <c r="Q600" s="15" t="inlineStr">
        <is>
          <t>-</t>
        </is>
      </c>
    </row>
    <row r="601">
      <c r="A601" s="47" t="inlineStr">
        <is>
          <t xml:space="preserve">Limoni </t>
        </is>
      </c>
      <c r="B601" s="16" t="inlineStr">
        <is>
          <t>-</t>
        </is>
      </c>
      <c r="C601" s="11" t="inlineStr">
        <is>
          <t>-</t>
        </is>
      </c>
      <c r="D601" s="11" t="inlineStr">
        <is>
          <t>-</t>
        </is>
      </c>
      <c r="E601" s="11" t="inlineStr">
        <is>
          <t>-</t>
        </is>
      </c>
      <c r="F601" s="11" t="inlineStr">
        <is>
          <t>-</t>
        </is>
      </c>
      <c r="G601" s="11" t="inlineStr">
        <is>
          <t>-</t>
        </is>
      </c>
      <c r="H601" s="11" t="inlineStr">
        <is>
          <t>-</t>
        </is>
      </c>
      <c r="I601" s="11" t="inlineStr">
        <is>
          <t>-</t>
        </is>
      </c>
      <c r="J601" s="11" t="inlineStr">
        <is>
          <t>-</t>
        </is>
      </c>
      <c r="K601" s="11" t="inlineStr">
        <is>
          <t>-</t>
        </is>
      </c>
      <c r="L601" s="11" t="inlineStr">
        <is>
          <t>-</t>
        </is>
      </c>
      <c r="M601" s="11" t="inlineStr">
        <is>
          <t>-</t>
        </is>
      </c>
      <c r="N601" s="11" t="inlineStr">
        <is>
          <t>-</t>
        </is>
      </c>
      <c r="O601" s="11" t="inlineStr">
        <is>
          <t>-</t>
        </is>
      </c>
      <c r="P601" s="11" t="inlineStr">
        <is>
          <t>-</t>
        </is>
      </c>
      <c r="Q601" s="12" t="inlineStr">
        <is>
          <t>-</t>
        </is>
      </c>
    </row>
    <row r="602">
      <c r="A602" s="47" t="n"/>
      <c r="B602" s="13" t="inlineStr">
        <is>
          <t>-</t>
        </is>
      </c>
      <c r="C602" s="14" t="inlineStr">
        <is>
          <t>-</t>
        </is>
      </c>
      <c r="D602" s="14" t="inlineStr">
        <is>
          <t>-</t>
        </is>
      </c>
      <c r="E602" s="14" t="inlineStr">
        <is>
          <t>-</t>
        </is>
      </c>
      <c r="F602" s="14" t="inlineStr">
        <is>
          <t>-</t>
        </is>
      </c>
      <c r="G602" s="14" t="inlineStr">
        <is>
          <t>-</t>
        </is>
      </c>
      <c r="H602" s="14" t="inlineStr">
        <is>
          <t>-</t>
        </is>
      </c>
      <c r="I602" s="14" t="inlineStr">
        <is>
          <t>-</t>
        </is>
      </c>
      <c r="J602" s="14" t="inlineStr">
        <is>
          <t>-</t>
        </is>
      </c>
      <c r="K602" s="14" t="inlineStr">
        <is>
          <t>-</t>
        </is>
      </c>
      <c r="L602" s="14" t="inlineStr">
        <is>
          <t>-</t>
        </is>
      </c>
      <c r="M602" s="14" t="inlineStr">
        <is>
          <t>-</t>
        </is>
      </c>
      <c r="N602" s="14" t="inlineStr">
        <is>
          <t>-</t>
        </is>
      </c>
      <c r="O602" s="14" t="inlineStr">
        <is>
          <t>-</t>
        </is>
      </c>
      <c r="P602" s="14" t="inlineStr">
        <is>
          <t>-</t>
        </is>
      </c>
      <c r="Q602" s="15" t="inlineStr">
        <is>
          <t>-</t>
        </is>
      </c>
    </row>
    <row r="603">
      <c r="A603" s="47" t="n"/>
      <c r="B603" s="16" t="inlineStr">
        <is>
          <t>-</t>
        </is>
      </c>
      <c r="C603" s="11" t="inlineStr">
        <is>
          <t>-</t>
        </is>
      </c>
      <c r="D603" s="11" t="inlineStr">
        <is>
          <t>-</t>
        </is>
      </c>
      <c r="E603" s="11" t="inlineStr">
        <is>
          <t>-</t>
        </is>
      </c>
      <c r="F603" s="11" t="inlineStr">
        <is>
          <t>-</t>
        </is>
      </c>
      <c r="G603" s="11" t="inlineStr">
        <is>
          <t>-</t>
        </is>
      </c>
      <c r="H603" s="11" t="inlineStr">
        <is>
          <t>-</t>
        </is>
      </c>
      <c r="I603" s="11" t="inlineStr">
        <is>
          <t>-</t>
        </is>
      </c>
      <c r="J603" s="11" t="inlineStr">
        <is>
          <t>-</t>
        </is>
      </c>
      <c r="K603" s="11" t="inlineStr">
        <is>
          <t>-</t>
        </is>
      </c>
      <c r="L603" s="11" t="inlineStr">
        <is>
          <t>-</t>
        </is>
      </c>
      <c r="M603" s="11" t="inlineStr">
        <is>
          <t>-</t>
        </is>
      </c>
      <c r="N603" s="11" t="inlineStr">
        <is>
          <t>-</t>
        </is>
      </c>
      <c r="O603" s="11" t="inlineStr">
        <is>
          <t>-</t>
        </is>
      </c>
      <c r="P603" s="11" t="inlineStr">
        <is>
          <t>-</t>
        </is>
      </c>
      <c r="Q603" s="12" t="inlineStr">
        <is>
          <t>-</t>
        </is>
      </c>
    </row>
    <row r="604">
      <c r="A604" s="47" t="n"/>
      <c r="B604" s="13" t="inlineStr">
        <is>
          <t>-</t>
        </is>
      </c>
      <c r="C604" s="14" t="inlineStr">
        <is>
          <t>-</t>
        </is>
      </c>
      <c r="D604" s="14" t="inlineStr">
        <is>
          <t>-</t>
        </is>
      </c>
      <c r="E604" s="14" t="inlineStr">
        <is>
          <t>-</t>
        </is>
      </c>
      <c r="F604" s="14" t="inlineStr">
        <is>
          <t>-</t>
        </is>
      </c>
      <c r="G604" s="14" t="inlineStr">
        <is>
          <t>-</t>
        </is>
      </c>
      <c r="H604" s="14" t="inlineStr">
        <is>
          <t>-</t>
        </is>
      </c>
      <c r="I604" s="14" t="inlineStr">
        <is>
          <t>-</t>
        </is>
      </c>
      <c r="J604" s="14" t="inlineStr">
        <is>
          <t>-</t>
        </is>
      </c>
      <c r="K604" s="14" t="inlineStr">
        <is>
          <t>-</t>
        </is>
      </c>
      <c r="L604" s="14" t="inlineStr">
        <is>
          <t>-</t>
        </is>
      </c>
      <c r="M604" s="14" t="inlineStr">
        <is>
          <t>-</t>
        </is>
      </c>
      <c r="N604" s="14" t="inlineStr">
        <is>
          <t>-</t>
        </is>
      </c>
      <c r="O604" s="14" t="inlineStr">
        <is>
          <t>-</t>
        </is>
      </c>
      <c r="P604" s="14" t="inlineStr">
        <is>
          <t>-</t>
        </is>
      </c>
      <c r="Q604" s="15" t="inlineStr">
        <is>
          <t>-</t>
        </is>
      </c>
    </row>
    <row r="605">
      <c r="A605" s="47" t="n"/>
      <c r="B605" s="16" t="inlineStr">
        <is>
          <t>-</t>
        </is>
      </c>
      <c r="C605" s="11" t="inlineStr">
        <is>
          <t>-</t>
        </is>
      </c>
      <c r="D605" s="11" t="inlineStr">
        <is>
          <t>-</t>
        </is>
      </c>
      <c r="E605" s="11" t="inlineStr">
        <is>
          <t>-</t>
        </is>
      </c>
      <c r="F605" s="11" t="inlineStr">
        <is>
          <t>-</t>
        </is>
      </c>
      <c r="G605" s="11" t="inlineStr">
        <is>
          <t>-</t>
        </is>
      </c>
      <c r="H605" s="11" t="inlineStr">
        <is>
          <t>-</t>
        </is>
      </c>
      <c r="I605" s="11" t="inlineStr">
        <is>
          <t>-</t>
        </is>
      </c>
      <c r="J605" s="11" t="inlineStr">
        <is>
          <t>-</t>
        </is>
      </c>
      <c r="K605" s="11" t="inlineStr">
        <is>
          <t>-</t>
        </is>
      </c>
      <c r="L605" s="11" t="inlineStr">
        <is>
          <t>-</t>
        </is>
      </c>
      <c r="M605" s="11" t="inlineStr">
        <is>
          <t>-</t>
        </is>
      </c>
      <c r="N605" s="11" t="inlineStr">
        <is>
          <t>-</t>
        </is>
      </c>
      <c r="O605" s="11" t="inlineStr">
        <is>
          <t>-</t>
        </is>
      </c>
      <c r="P605" s="11" t="inlineStr">
        <is>
          <t>-</t>
        </is>
      </c>
      <c r="Q605" s="12" t="inlineStr">
        <is>
          <t>-</t>
        </is>
      </c>
    </row>
    <row r="606">
      <c r="A606" s="47" t="n"/>
      <c r="B606" s="13" t="inlineStr">
        <is>
          <t>-</t>
        </is>
      </c>
      <c r="C606" s="14" t="inlineStr">
        <is>
          <t>-</t>
        </is>
      </c>
      <c r="D606" s="14" t="inlineStr">
        <is>
          <t>-</t>
        </is>
      </c>
      <c r="E606" s="14" t="inlineStr">
        <is>
          <t>-</t>
        </is>
      </c>
      <c r="F606" s="14" t="inlineStr">
        <is>
          <t>-</t>
        </is>
      </c>
      <c r="G606" s="14" t="inlineStr">
        <is>
          <t>-</t>
        </is>
      </c>
      <c r="H606" s="14" t="inlineStr">
        <is>
          <t>-</t>
        </is>
      </c>
      <c r="I606" s="14" t="inlineStr">
        <is>
          <t>-</t>
        </is>
      </c>
      <c r="J606" s="14" t="inlineStr">
        <is>
          <t>-</t>
        </is>
      </c>
      <c r="K606" s="14" t="inlineStr">
        <is>
          <t>-</t>
        </is>
      </c>
      <c r="L606" s="14" t="inlineStr">
        <is>
          <t>-</t>
        </is>
      </c>
      <c r="M606" s="14" t="inlineStr">
        <is>
          <t>-</t>
        </is>
      </c>
      <c r="N606" s="14" t="inlineStr">
        <is>
          <t>-</t>
        </is>
      </c>
      <c r="O606" s="14" t="inlineStr">
        <is>
          <t>-</t>
        </is>
      </c>
      <c r="P606" s="14" t="inlineStr">
        <is>
          <t>-</t>
        </is>
      </c>
      <c r="Q606" s="15" t="inlineStr">
        <is>
          <t>-</t>
        </is>
      </c>
    </row>
    <row r="607">
      <c r="A607" s="47" t="n"/>
      <c r="B607" s="16" t="inlineStr">
        <is>
          <t>-</t>
        </is>
      </c>
      <c r="C607" s="11" t="inlineStr">
        <is>
          <t>-</t>
        </is>
      </c>
      <c r="D607" s="11" t="inlineStr">
        <is>
          <t>-</t>
        </is>
      </c>
      <c r="E607" s="11" t="inlineStr">
        <is>
          <t>-</t>
        </is>
      </c>
      <c r="F607" s="11" t="inlineStr">
        <is>
          <t>-</t>
        </is>
      </c>
      <c r="G607" s="11" t="inlineStr">
        <is>
          <t>-</t>
        </is>
      </c>
      <c r="H607" s="11" t="inlineStr">
        <is>
          <t>-</t>
        </is>
      </c>
      <c r="I607" s="11" t="inlineStr">
        <is>
          <t>-</t>
        </is>
      </c>
      <c r="J607" s="11" t="inlineStr">
        <is>
          <t>-</t>
        </is>
      </c>
      <c r="K607" s="11" t="inlineStr">
        <is>
          <t>-</t>
        </is>
      </c>
      <c r="L607" s="11" t="inlineStr">
        <is>
          <t>-</t>
        </is>
      </c>
      <c r="M607" s="11" t="inlineStr">
        <is>
          <t>-</t>
        </is>
      </c>
      <c r="N607" s="11" t="inlineStr">
        <is>
          <t>-</t>
        </is>
      </c>
      <c r="O607" s="11" t="inlineStr">
        <is>
          <t>-</t>
        </is>
      </c>
      <c r="P607" s="11" t="inlineStr">
        <is>
          <t>-</t>
        </is>
      </c>
      <c r="Q607" s="12" t="inlineStr">
        <is>
          <t>-</t>
        </is>
      </c>
    </row>
    <row r="608">
      <c r="A608" s="47" t="n"/>
      <c r="B608" s="13" t="inlineStr">
        <is>
          <t>-</t>
        </is>
      </c>
      <c r="C608" s="14" t="inlineStr">
        <is>
          <t>-</t>
        </is>
      </c>
      <c r="D608" s="14" t="inlineStr">
        <is>
          <t>-</t>
        </is>
      </c>
      <c r="E608" s="14" t="inlineStr">
        <is>
          <t>-</t>
        </is>
      </c>
      <c r="F608" s="14" t="inlineStr">
        <is>
          <t>-</t>
        </is>
      </c>
      <c r="G608" s="14" t="inlineStr">
        <is>
          <t>-</t>
        </is>
      </c>
      <c r="H608" s="14" t="inlineStr">
        <is>
          <t>-</t>
        </is>
      </c>
      <c r="I608" s="14" t="inlineStr">
        <is>
          <t>-</t>
        </is>
      </c>
      <c r="J608" s="14" t="inlineStr">
        <is>
          <t>-</t>
        </is>
      </c>
      <c r="K608" s="14" t="inlineStr">
        <is>
          <t>-</t>
        </is>
      </c>
      <c r="L608" s="14" t="inlineStr">
        <is>
          <t>-</t>
        </is>
      </c>
      <c r="M608" s="14" t="inlineStr">
        <is>
          <t>-</t>
        </is>
      </c>
      <c r="N608" s="14" t="inlineStr">
        <is>
          <t>-</t>
        </is>
      </c>
      <c r="O608" s="14" t="inlineStr">
        <is>
          <t>-</t>
        </is>
      </c>
      <c r="P608" s="14" t="inlineStr">
        <is>
          <t>-</t>
        </is>
      </c>
      <c r="Q608" s="15" t="inlineStr">
        <is>
          <t>-</t>
        </is>
      </c>
    </row>
    <row r="609">
      <c r="A609" s="47" t="n"/>
      <c r="B609" s="16" t="inlineStr">
        <is>
          <t>-</t>
        </is>
      </c>
      <c r="C609" s="11" t="inlineStr">
        <is>
          <t>-</t>
        </is>
      </c>
      <c r="D609" s="11" t="inlineStr">
        <is>
          <t>-</t>
        </is>
      </c>
      <c r="E609" s="11" t="inlineStr">
        <is>
          <t>-</t>
        </is>
      </c>
      <c r="F609" s="11" t="inlineStr">
        <is>
          <t>-</t>
        </is>
      </c>
      <c r="G609" s="11" t="inlineStr">
        <is>
          <t>-</t>
        </is>
      </c>
      <c r="H609" s="11" t="inlineStr">
        <is>
          <t>-</t>
        </is>
      </c>
      <c r="I609" s="11" t="inlineStr">
        <is>
          <t>-</t>
        </is>
      </c>
      <c r="J609" s="11" t="inlineStr">
        <is>
          <t>-</t>
        </is>
      </c>
      <c r="K609" s="11" t="inlineStr">
        <is>
          <t>-</t>
        </is>
      </c>
      <c r="L609" s="11" t="inlineStr">
        <is>
          <t>-</t>
        </is>
      </c>
      <c r="M609" s="11" t="inlineStr">
        <is>
          <t>-</t>
        </is>
      </c>
      <c r="N609" s="11" t="inlineStr">
        <is>
          <t>-</t>
        </is>
      </c>
      <c r="O609" s="11" t="inlineStr">
        <is>
          <t>-</t>
        </is>
      </c>
      <c r="P609" s="11" t="inlineStr">
        <is>
          <t>-</t>
        </is>
      </c>
      <c r="Q609" s="12" t="inlineStr">
        <is>
          <t>-</t>
        </is>
      </c>
    </row>
    <row r="610" ht="36" customHeight="1" s="155">
      <c r="B610" s="46" t="inlineStr">
        <is>
          <t>cassatina</t>
        </is>
      </c>
      <c r="C610" s="49">
        <f>_xlfn.XLOOKUP(A611,Magazzino!$D$1:$D$1500,Magazzino!$F$1:$F$1500,"",0,1)</f>
        <v/>
      </c>
      <c r="D610" s="50">
        <f>_xlfn.XLOOKUP(A612,Magazzino!$D$1:$D$1500,Magazzino!$F$1:$F$1500,"",0,1)</f>
        <v/>
      </c>
      <c r="E610" s="50">
        <f>_xlfn.XLOOKUP(A613,Magazzino!$D$1:$D$1500,Magazzino!$F$1:$F$1500,"",0,1)</f>
        <v/>
      </c>
      <c r="F610" s="50">
        <f>_xlfn.XLOOKUP(A614,Magazzino!$D$1:$D$1500,Magazzino!$F$1:$F$1500,"",0,1)</f>
        <v/>
      </c>
      <c r="G610" s="50">
        <f>_xlfn.XLOOKUP(A615,Magazzino!$D$1:$D$1500,Magazzino!$F$1:$F$1500,"",0,1)</f>
        <v/>
      </c>
      <c r="H610" s="50">
        <f>_xlfn.XLOOKUP(A616,Magazzino!$D$1:$D$1500,Magazzino!$F$1:$F$1500,"",0,1)</f>
        <v/>
      </c>
      <c r="I610" s="50">
        <f>_xlfn.XLOOKUP(A617,Magazzino!$D$1:$D$1500,Magazzino!$F$1:$F$1500,"",0,1)</f>
        <v/>
      </c>
      <c r="J610" s="50">
        <f>_xlfn.XLOOKUP(A618,Magazzino!$D$1:$D$1500,Magazzino!$F$1:$F$1500,"",0,1)</f>
        <v/>
      </c>
      <c r="K610" s="50">
        <f>_xlfn.XLOOKUP(A619,Magazzino!$D$1:$D$1500,Magazzino!$F$1:$F$1500,"",0,1)</f>
        <v/>
      </c>
      <c r="L610" s="50">
        <f>_xlfn.XLOOKUP(A620,Magazzino!$D$1:$D$1500,Magazzino!$F$1:$F$1500,"",0,1)</f>
        <v/>
      </c>
      <c r="M610" s="50">
        <f>_xlfn.XLOOKUP(A621,Magazzino!$D$1:$D$1500,Magazzino!$F$1:$F$1500,"",0,1)</f>
        <v/>
      </c>
      <c r="N610" s="50">
        <f>_xlfn.XLOOKUP(A622,Magazzino!$D$1:$D$1500,Magazzino!$F$1:$F$1500,"",0,1)</f>
        <v/>
      </c>
      <c r="O610" s="50">
        <f>_xlfn.XLOOKUP(A623,Magazzino!$D$1:$D$1500,Magazzino!$F$1:$F$1500,"",0,1)</f>
        <v/>
      </c>
      <c r="P610" s="50">
        <f>_xlfn.XLOOKUP(A624,Magazzino!$D$1:$D$1500,Magazzino!$F$1:$F$1500,"",0,1)</f>
        <v/>
      </c>
      <c r="Q610" s="51">
        <f>_xlfn.XLOOKUP(A625,Magazzino!$D$1:$D$1500,Magazzino!$F$1:$F$1500,"",0,1)</f>
        <v/>
      </c>
    </row>
    <row r="611">
      <c r="A611" s="47" t="inlineStr">
        <is>
          <t xml:space="preserve">FARINA 0/MAN. CAPUTO DA KG.25  </t>
        </is>
      </c>
      <c r="B611" s="16" t="inlineStr">
        <is>
          <t>-</t>
        </is>
      </c>
      <c r="C611" s="11" t="inlineStr">
        <is>
          <t>-</t>
        </is>
      </c>
      <c r="D611" s="11" t="inlineStr">
        <is>
          <t>-</t>
        </is>
      </c>
      <c r="E611" s="11" t="inlineStr">
        <is>
          <t>-</t>
        </is>
      </c>
      <c r="F611" s="11" t="inlineStr">
        <is>
          <t>-</t>
        </is>
      </c>
      <c r="G611" s="11" t="inlineStr">
        <is>
          <t>-</t>
        </is>
      </c>
      <c r="H611" s="11" t="inlineStr">
        <is>
          <t>-</t>
        </is>
      </c>
      <c r="I611" s="11" t="inlineStr">
        <is>
          <t>-</t>
        </is>
      </c>
      <c r="J611" s="11" t="inlineStr">
        <is>
          <t>-</t>
        </is>
      </c>
      <c r="K611" s="11" t="inlineStr">
        <is>
          <t>-</t>
        </is>
      </c>
      <c r="L611" s="11" t="inlineStr">
        <is>
          <t>-</t>
        </is>
      </c>
      <c r="M611" s="11" t="inlineStr">
        <is>
          <t>-</t>
        </is>
      </c>
      <c r="N611" s="11" t="inlineStr">
        <is>
          <t>-</t>
        </is>
      </c>
      <c r="O611" s="11" t="inlineStr">
        <is>
          <t>-</t>
        </is>
      </c>
      <c r="P611" s="11" t="inlineStr">
        <is>
          <t>-</t>
        </is>
      </c>
      <c r="Q611" s="12" t="inlineStr">
        <is>
          <t>-</t>
        </is>
      </c>
    </row>
    <row r="612">
      <c r="A612" s="47" t="inlineStr">
        <is>
          <t>zucchero semolato</t>
        </is>
      </c>
      <c r="B612" s="13" t="inlineStr">
        <is>
          <t>-</t>
        </is>
      </c>
      <c r="C612" s="14" t="inlineStr">
        <is>
          <t>-</t>
        </is>
      </c>
      <c r="D612" s="14" t="inlineStr">
        <is>
          <t>-</t>
        </is>
      </c>
      <c r="E612" s="14" t="inlineStr">
        <is>
          <t>-</t>
        </is>
      </c>
      <c r="F612" s="14" t="inlineStr">
        <is>
          <t>-</t>
        </is>
      </c>
      <c r="G612" s="14" t="inlineStr">
        <is>
          <t>-</t>
        </is>
      </c>
      <c r="H612" s="14" t="inlineStr">
        <is>
          <t>-</t>
        </is>
      </c>
      <c r="I612" s="14" t="inlineStr">
        <is>
          <t>-</t>
        </is>
      </c>
      <c r="J612" s="14" t="inlineStr">
        <is>
          <t>-</t>
        </is>
      </c>
      <c r="K612" s="14" t="inlineStr">
        <is>
          <t>-</t>
        </is>
      </c>
      <c r="L612" s="14" t="inlineStr">
        <is>
          <t>-</t>
        </is>
      </c>
      <c r="M612" s="14" t="inlineStr">
        <is>
          <t>-</t>
        </is>
      </c>
      <c r="N612" s="14" t="inlineStr">
        <is>
          <t>-</t>
        </is>
      </c>
      <c r="O612" s="14" t="inlineStr">
        <is>
          <t>-</t>
        </is>
      </c>
      <c r="P612" s="14" t="inlineStr">
        <is>
          <t>-</t>
        </is>
      </c>
      <c r="Q612" s="15" t="inlineStr">
        <is>
          <t>-</t>
        </is>
      </c>
    </row>
    <row r="613">
      <c r="A613" s="47" t="inlineStr">
        <is>
          <t>LIEVITO x 2.5kg</t>
        </is>
      </c>
      <c r="B613" s="16" t="inlineStr">
        <is>
          <t>-</t>
        </is>
      </c>
      <c r="C613" s="11" t="inlineStr">
        <is>
          <t>-</t>
        </is>
      </c>
      <c r="D613" s="11" t="inlineStr">
        <is>
          <t>-</t>
        </is>
      </c>
      <c r="E613" s="11" t="inlineStr">
        <is>
          <t>-</t>
        </is>
      </c>
      <c r="F613" s="11" t="inlineStr">
        <is>
          <t>-</t>
        </is>
      </c>
      <c r="G613" s="11" t="inlineStr">
        <is>
          <t>-</t>
        </is>
      </c>
      <c r="H613" s="11" t="inlineStr">
        <is>
          <t>-</t>
        </is>
      </c>
      <c r="I613" s="11" t="inlineStr">
        <is>
          <t>-</t>
        </is>
      </c>
      <c r="J613" s="11" t="inlineStr">
        <is>
          <t>-</t>
        </is>
      </c>
      <c r="K613" s="11" t="inlineStr">
        <is>
          <t>-</t>
        </is>
      </c>
      <c r="L613" s="11" t="inlineStr">
        <is>
          <t>-</t>
        </is>
      </c>
      <c r="M613" s="11" t="inlineStr">
        <is>
          <t>-</t>
        </is>
      </c>
      <c r="N613" s="11" t="inlineStr">
        <is>
          <t>-</t>
        </is>
      </c>
      <c r="O613" s="11" t="inlineStr">
        <is>
          <t>-</t>
        </is>
      </c>
      <c r="P613" s="11" t="inlineStr">
        <is>
          <t>-</t>
        </is>
      </c>
      <c r="Q613" s="12" t="inlineStr">
        <is>
          <t>-</t>
        </is>
      </c>
    </row>
    <row r="614">
      <c r="A614" s="47" t="inlineStr">
        <is>
          <t xml:space="preserve">mix cake nature da kg 10 (4830)  </t>
        </is>
      </c>
      <c r="B614" s="13" t="inlineStr">
        <is>
          <t>-</t>
        </is>
      </c>
      <c r="C614" s="14" t="inlineStr">
        <is>
          <t>-</t>
        </is>
      </c>
      <c r="D614" s="14" t="inlineStr">
        <is>
          <t>-</t>
        </is>
      </c>
      <c r="E614" s="14" t="inlineStr">
        <is>
          <t>-</t>
        </is>
      </c>
      <c r="F614" s="14" t="inlineStr">
        <is>
          <t>-</t>
        </is>
      </c>
      <c r="G614" s="14" t="inlineStr">
        <is>
          <t>-</t>
        </is>
      </c>
      <c r="H614" s="14" t="inlineStr">
        <is>
          <t>-</t>
        </is>
      </c>
      <c r="I614" s="14" t="inlineStr">
        <is>
          <t>-</t>
        </is>
      </c>
      <c r="J614" s="14" t="inlineStr">
        <is>
          <t>-</t>
        </is>
      </c>
      <c r="K614" s="14" t="inlineStr">
        <is>
          <t>-</t>
        </is>
      </c>
      <c r="L614" s="14" t="inlineStr">
        <is>
          <t>-</t>
        </is>
      </c>
      <c r="M614" s="14" t="inlineStr">
        <is>
          <t>-</t>
        </is>
      </c>
      <c r="N614" s="14" t="inlineStr">
        <is>
          <t>-</t>
        </is>
      </c>
      <c r="O614" s="14" t="inlineStr">
        <is>
          <t>-</t>
        </is>
      </c>
      <c r="P614" s="14" t="inlineStr">
        <is>
          <t>-</t>
        </is>
      </c>
      <c r="Q614" s="15" t="inlineStr">
        <is>
          <t>-</t>
        </is>
      </c>
    </row>
    <row r="615">
      <c r="A615" s="47" t="inlineStr">
        <is>
          <t>tuorlo d'uovo pastorizzato</t>
        </is>
      </c>
      <c r="B615" s="16" t="inlineStr">
        <is>
          <t>-</t>
        </is>
      </c>
      <c r="C615" s="11" t="inlineStr">
        <is>
          <t>-</t>
        </is>
      </c>
      <c r="D615" s="11" t="inlineStr">
        <is>
          <t>-</t>
        </is>
      </c>
      <c r="E615" s="11" t="inlineStr">
        <is>
          <t>-</t>
        </is>
      </c>
      <c r="F615" s="11" t="inlineStr">
        <is>
          <t>-</t>
        </is>
      </c>
      <c r="G615" s="11" t="inlineStr">
        <is>
          <t>-</t>
        </is>
      </c>
      <c r="H615" s="11" t="inlineStr">
        <is>
          <t>-</t>
        </is>
      </c>
      <c r="I615" s="11" t="inlineStr">
        <is>
          <t>-</t>
        </is>
      </c>
      <c r="J615" s="11" t="inlineStr">
        <is>
          <t>-</t>
        </is>
      </c>
      <c r="K615" s="11" t="inlineStr">
        <is>
          <t>-</t>
        </is>
      </c>
      <c r="L615" s="11" t="inlineStr">
        <is>
          <t>-</t>
        </is>
      </c>
      <c r="M615" s="11" t="inlineStr">
        <is>
          <t>-</t>
        </is>
      </c>
      <c r="N615" s="11" t="inlineStr">
        <is>
          <t>-</t>
        </is>
      </c>
      <c r="O615" s="11" t="inlineStr">
        <is>
          <t>-</t>
        </is>
      </c>
      <c r="P615" s="11" t="inlineStr">
        <is>
          <t>-</t>
        </is>
      </c>
      <c r="Q615" s="12" t="inlineStr">
        <is>
          <t>-</t>
        </is>
      </c>
    </row>
    <row r="616">
      <c r="A616" s="47" t="inlineStr">
        <is>
          <t>RICOTTA ZUCCHERATA CONGELATA CAV.</t>
        </is>
      </c>
      <c r="B616" s="13" t="inlineStr">
        <is>
          <t>-</t>
        </is>
      </c>
      <c r="C616" s="14" t="inlineStr">
        <is>
          <t>-</t>
        </is>
      </c>
      <c r="D616" s="14" t="inlineStr">
        <is>
          <t>-</t>
        </is>
      </c>
      <c r="E616" s="14" t="inlineStr">
        <is>
          <t>-</t>
        </is>
      </c>
      <c r="F616" s="14" t="inlineStr">
        <is>
          <t>-</t>
        </is>
      </c>
      <c r="G616" s="14" t="inlineStr">
        <is>
          <t>-</t>
        </is>
      </c>
      <c r="H616" s="14" t="inlineStr">
        <is>
          <t>-</t>
        </is>
      </c>
      <c r="I616" s="14" t="inlineStr">
        <is>
          <t>-</t>
        </is>
      </c>
      <c r="J616" s="14" t="inlineStr">
        <is>
          <t>-</t>
        </is>
      </c>
      <c r="K616" s="14" t="inlineStr">
        <is>
          <t>-</t>
        </is>
      </c>
      <c r="L616" s="14" t="inlineStr">
        <is>
          <t>-</t>
        </is>
      </c>
      <c r="M616" s="14" t="inlineStr">
        <is>
          <t>-</t>
        </is>
      </c>
      <c r="N616" s="14" t="inlineStr">
        <is>
          <t>-</t>
        </is>
      </c>
      <c r="O616" s="14" t="inlineStr">
        <is>
          <t>-</t>
        </is>
      </c>
      <c r="P616" s="14" t="inlineStr">
        <is>
          <t>-</t>
        </is>
      </c>
      <c r="Q616" s="15" t="inlineStr">
        <is>
          <t>-</t>
        </is>
      </c>
    </row>
    <row r="617">
      <c r="A617" s="47" t="inlineStr">
        <is>
          <t>naspro</t>
        </is>
      </c>
      <c r="B617" s="16" t="inlineStr">
        <is>
          <t>-</t>
        </is>
      </c>
      <c r="C617" s="11" t="inlineStr">
        <is>
          <t>-</t>
        </is>
      </c>
      <c r="D617" s="11" t="inlineStr">
        <is>
          <t>-</t>
        </is>
      </c>
      <c r="E617" s="11" t="inlineStr">
        <is>
          <t>-</t>
        </is>
      </c>
      <c r="F617" s="11" t="inlineStr">
        <is>
          <t>-</t>
        </is>
      </c>
      <c r="G617" s="11" t="inlineStr">
        <is>
          <t>-</t>
        </is>
      </c>
      <c r="H617" s="11" t="inlineStr">
        <is>
          <t>-</t>
        </is>
      </c>
      <c r="I617" s="11" t="inlineStr">
        <is>
          <t>-</t>
        </is>
      </c>
      <c r="J617" s="11" t="inlineStr">
        <is>
          <t>-</t>
        </is>
      </c>
      <c r="K617" s="11" t="inlineStr">
        <is>
          <t>-</t>
        </is>
      </c>
      <c r="L617" s="11" t="inlineStr">
        <is>
          <t>-</t>
        </is>
      </c>
      <c r="M617" s="11" t="inlineStr">
        <is>
          <t>-</t>
        </is>
      </c>
      <c r="N617" s="11" t="inlineStr">
        <is>
          <t>-</t>
        </is>
      </c>
      <c r="O617" s="11" t="inlineStr">
        <is>
          <t>-</t>
        </is>
      </c>
      <c r="P617" s="11" t="inlineStr">
        <is>
          <t>-</t>
        </is>
      </c>
      <c r="Q617" s="12" t="inlineStr">
        <is>
          <t>-</t>
        </is>
      </c>
    </row>
    <row r="618" ht="24" customHeight="1" s="155">
      <c r="A618" s="47" t="inlineStr">
        <is>
          <t xml:space="preserve">PASSATA VISCIOLA LABO GARDEN FRUIT DA KG 12,5  </t>
        </is>
      </c>
      <c r="B618" s="13" t="inlineStr">
        <is>
          <t>-</t>
        </is>
      </c>
      <c r="C618" s="14" t="inlineStr">
        <is>
          <t>-</t>
        </is>
      </c>
      <c r="D618" s="14" t="inlineStr">
        <is>
          <t>-</t>
        </is>
      </c>
      <c r="E618" s="14" t="inlineStr">
        <is>
          <t>-</t>
        </is>
      </c>
      <c r="F618" s="14" t="inlineStr">
        <is>
          <t>-</t>
        </is>
      </c>
      <c r="G618" s="14" t="inlineStr">
        <is>
          <t>-</t>
        </is>
      </c>
      <c r="H618" s="14" t="inlineStr">
        <is>
          <t>-</t>
        </is>
      </c>
      <c r="I618" s="14" t="inlineStr">
        <is>
          <t>-</t>
        </is>
      </c>
      <c r="J618" s="14" t="inlineStr">
        <is>
          <t>-</t>
        </is>
      </c>
      <c r="K618" s="14" t="inlineStr">
        <is>
          <t>-</t>
        </is>
      </c>
      <c r="L618" s="14" t="inlineStr">
        <is>
          <t>-</t>
        </is>
      </c>
      <c r="M618" s="14" t="inlineStr">
        <is>
          <t>-</t>
        </is>
      </c>
      <c r="N618" s="14" t="inlineStr">
        <is>
          <t>-</t>
        </is>
      </c>
      <c r="O618" s="14" t="inlineStr">
        <is>
          <t>-</t>
        </is>
      </c>
      <c r="P618" s="14" t="inlineStr">
        <is>
          <t>-</t>
        </is>
      </c>
      <c r="Q618" s="15" t="inlineStr">
        <is>
          <t>-</t>
        </is>
      </c>
    </row>
    <row r="619">
      <c r="A619" s="47" t="inlineStr">
        <is>
          <t>cioccolato</t>
        </is>
      </c>
      <c r="B619" s="16" t="inlineStr">
        <is>
          <t>-</t>
        </is>
      </c>
      <c r="C619" s="11" t="inlineStr">
        <is>
          <t>-</t>
        </is>
      </c>
      <c r="D619" s="11" t="inlineStr">
        <is>
          <t>-</t>
        </is>
      </c>
      <c r="E619" s="11" t="inlineStr">
        <is>
          <t>-</t>
        </is>
      </c>
      <c r="F619" s="11" t="inlineStr">
        <is>
          <t>-</t>
        </is>
      </c>
      <c r="G619" s="11" t="inlineStr">
        <is>
          <t>-</t>
        </is>
      </c>
      <c r="H619" s="11" t="inlineStr">
        <is>
          <t>-</t>
        </is>
      </c>
      <c r="I619" s="11" t="inlineStr">
        <is>
          <t>-</t>
        </is>
      </c>
      <c r="J619" s="11" t="inlineStr">
        <is>
          <t>-</t>
        </is>
      </c>
      <c r="K619" s="11" t="inlineStr">
        <is>
          <t>-</t>
        </is>
      </c>
      <c r="L619" s="11" t="inlineStr">
        <is>
          <t>-</t>
        </is>
      </c>
      <c r="M619" s="11" t="inlineStr">
        <is>
          <t>-</t>
        </is>
      </c>
      <c r="N619" s="11" t="inlineStr">
        <is>
          <t>-</t>
        </is>
      </c>
      <c r="O619" s="11" t="inlineStr">
        <is>
          <t>-</t>
        </is>
      </c>
      <c r="P619" s="11" t="inlineStr">
        <is>
          <t>-</t>
        </is>
      </c>
      <c r="Q619" s="12" t="inlineStr">
        <is>
          <t>-</t>
        </is>
      </c>
    </row>
    <row r="620">
      <c r="A620" s="47" t="n"/>
      <c r="B620" s="13" t="inlineStr">
        <is>
          <t>-</t>
        </is>
      </c>
      <c r="C620" s="14" t="inlineStr">
        <is>
          <t>-</t>
        </is>
      </c>
      <c r="D620" s="14" t="inlineStr">
        <is>
          <t>-</t>
        </is>
      </c>
      <c r="E620" s="14" t="inlineStr">
        <is>
          <t>-</t>
        </is>
      </c>
      <c r="F620" s="14" t="inlineStr">
        <is>
          <t>-</t>
        </is>
      </c>
      <c r="G620" s="14" t="inlineStr">
        <is>
          <t>-</t>
        </is>
      </c>
      <c r="H620" s="14" t="inlineStr">
        <is>
          <t>-</t>
        </is>
      </c>
      <c r="I620" s="14" t="inlineStr">
        <is>
          <t>-</t>
        </is>
      </c>
      <c r="J620" s="14" t="inlineStr">
        <is>
          <t>-</t>
        </is>
      </c>
      <c r="K620" s="14" t="inlineStr">
        <is>
          <t>-</t>
        </is>
      </c>
      <c r="L620" s="14" t="inlineStr">
        <is>
          <t>-</t>
        </is>
      </c>
      <c r="M620" s="14" t="inlineStr">
        <is>
          <t>-</t>
        </is>
      </c>
      <c r="N620" s="14" t="inlineStr">
        <is>
          <t>-</t>
        </is>
      </c>
      <c r="O620" s="14" t="inlineStr">
        <is>
          <t>-</t>
        </is>
      </c>
      <c r="P620" s="14" t="inlineStr">
        <is>
          <t>-</t>
        </is>
      </c>
      <c r="Q620" s="15" t="inlineStr">
        <is>
          <t>-</t>
        </is>
      </c>
    </row>
    <row r="621">
      <c r="A621" s="47" t="n"/>
      <c r="B621" s="16" t="inlineStr">
        <is>
          <t>-</t>
        </is>
      </c>
      <c r="C621" s="11" t="inlineStr">
        <is>
          <t>-</t>
        </is>
      </c>
      <c r="D621" s="11" t="inlineStr">
        <is>
          <t>-</t>
        </is>
      </c>
      <c r="E621" s="11" t="inlineStr">
        <is>
          <t>-</t>
        </is>
      </c>
      <c r="F621" s="11" t="inlineStr">
        <is>
          <t>-</t>
        </is>
      </c>
      <c r="G621" s="11" t="inlineStr">
        <is>
          <t>-</t>
        </is>
      </c>
      <c r="H621" s="11" t="inlineStr">
        <is>
          <t>-</t>
        </is>
      </c>
      <c r="I621" s="11" t="inlineStr">
        <is>
          <t>-</t>
        </is>
      </c>
      <c r="J621" s="11" t="inlineStr">
        <is>
          <t>-</t>
        </is>
      </c>
      <c r="K621" s="11" t="inlineStr">
        <is>
          <t>-</t>
        </is>
      </c>
      <c r="L621" s="11" t="inlineStr">
        <is>
          <t>-</t>
        </is>
      </c>
      <c r="M621" s="11" t="inlineStr">
        <is>
          <t>-</t>
        </is>
      </c>
      <c r="N621" s="11" t="inlineStr">
        <is>
          <t>-</t>
        </is>
      </c>
      <c r="O621" s="11" t="inlineStr">
        <is>
          <t>-</t>
        </is>
      </c>
      <c r="P621" s="11" t="inlineStr">
        <is>
          <t>-</t>
        </is>
      </c>
      <c r="Q621" s="12" t="inlineStr">
        <is>
          <t>-</t>
        </is>
      </c>
    </row>
    <row r="622">
      <c r="A622" s="47" t="n"/>
      <c r="B622" s="13" t="inlineStr">
        <is>
          <t>-</t>
        </is>
      </c>
      <c r="C622" s="14" t="inlineStr">
        <is>
          <t>-</t>
        </is>
      </c>
      <c r="D622" s="14" t="inlineStr">
        <is>
          <t>-</t>
        </is>
      </c>
      <c r="E622" s="14" t="inlineStr">
        <is>
          <t>-</t>
        </is>
      </c>
      <c r="F622" s="14" t="inlineStr">
        <is>
          <t>-</t>
        </is>
      </c>
      <c r="G622" s="14" t="inlineStr">
        <is>
          <t>-</t>
        </is>
      </c>
      <c r="H622" s="14" t="inlineStr">
        <is>
          <t>-</t>
        </is>
      </c>
      <c r="I622" s="14" t="inlineStr">
        <is>
          <t>-</t>
        </is>
      </c>
      <c r="J622" s="14" t="inlineStr">
        <is>
          <t>-</t>
        </is>
      </c>
      <c r="K622" s="14" t="inlineStr">
        <is>
          <t>-</t>
        </is>
      </c>
      <c r="L622" s="14" t="inlineStr">
        <is>
          <t>-</t>
        </is>
      </c>
      <c r="M622" s="14" t="inlineStr">
        <is>
          <t>-</t>
        </is>
      </c>
      <c r="N622" s="14" t="inlineStr">
        <is>
          <t>-</t>
        </is>
      </c>
      <c r="O622" s="14" t="inlineStr">
        <is>
          <t>-</t>
        </is>
      </c>
      <c r="P622" s="14" t="inlineStr">
        <is>
          <t>-</t>
        </is>
      </c>
      <c r="Q622" s="15" t="inlineStr">
        <is>
          <t>-</t>
        </is>
      </c>
    </row>
    <row r="623">
      <c r="A623" s="47" t="n"/>
      <c r="B623" s="16" t="inlineStr">
        <is>
          <t>-</t>
        </is>
      </c>
      <c r="C623" s="11" t="inlineStr">
        <is>
          <t>-</t>
        </is>
      </c>
      <c r="D623" s="11" t="inlineStr">
        <is>
          <t>-</t>
        </is>
      </c>
      <c r="E623" s="11" t="inlineStr">
        <is>
          <t>-</t>
        </is>
      </c>
      <c r="F623" s="11" t="inlineStr">
        <is>
          <t>-</t>
        </is>
      </c>
      <c r="G623" s="11" t="inlineStr">
        <is>
          <t>-</t>
        </is>
      </c>
      <c r="H623" s="11" t="inlineStr">
        <is>
          <t>-</t>
        </is>
      </c>
      <c r="I623" s="11" t="inlineStr">
        <is>
          <t>-</t>
        </is>
      </c>
      <c r="J623" s="11" t="inlineStr">
        <is>
          <t>-</t>
        </is>
      </c>
      <c r="K623" s="11" t="inlineStr">
        <is>
          <t>-</t>
        </is>
      </c>
      <c r="L623" s="11" t="inlineStr">
        <is>
          <t>-</t>
        </is>
      </c>
      <c r="M623" s="11" t="inlineStr">
        <is>
          <t>-</t>
        </is>
      </c>
      <c r="N623" s="11" t="inlineStr">
        <is>
          <t>-</t>
        </is>
      </c>
      <c r="O623" s="11" t="inlineStr">
        <is>
          <t>-</t>
        </is>
      </c>
      <c r="P623" s="11" t="inlineStr">
        <is>
          <t>-</t>
        </is>
      </c>
      <c r="Q623" s="12" t="inlineStr">
        <is>
          <t>-</t>
        </is>
      </c>
    </row>
    <row r="624">
      <c r="A624" s="47" t="n"/>
      <c r="B624" s="13" t="inlineStr">
        <is>
          <t>-</t>
        </is>
      </c>
      <c r="C624" s="14" t="inlineStr">
        <is>
          <t>-</t>
        </is>
      </c>
      <c r="D624" s="14" t="inlineStr">
        <is>
          <t>-</t>
        </is>
      </c>
      <c r="E624" s="14" t="inlineStr">
        <is>
          <t>-</t>
        </is>
      </c>
      <c r="F624" s="14" t="inlineStr">
        <is>
          <t>-</t>
        </is>
      </c>
      <c r="G624" s="14" t="inlineStr">
        <is>
          <t>-</t>
        </is>
      </c>
      <c r="H624" s="14" t="inlineStr">
        <is>
          <t>-</t>
        </is>
      </c>
      <c r="I624" s="14" t="inlineStr">
        <is>
          <t>-</t>
        </is>
      </c>
      <c r="J624" s="14" t="inlineStr">
        <is>
          <t>-</t>
        </is>
      </c>
      <c r="K624" s="14" t="inlineStr">
        <is>
          <t>-</t>
        </is>
      </c>
      <c r="L624" s="14" t="inlineStr">
        <is>
          <t>-</t>
        </is>
      </c>
      <c r="M624" s="14" t="inlineStr">
        <is>
          <t>-</t>
        </is>
      </c>
      <c r="N624" s="14" t="inlineStr">
        <is>
          <t>-</t>
        </is>
      </c>
      <c r="O624" s="14" t="inlineStr">
        <is>
          <t>-</t>
        </is>
      </c>
      <c r="P624" s="14" t="inlineStr">
        <is>
          <t>-</t>
        </is>
      </c>
      <c r="Q624" s="15" t="inlineStr">
        <is>
          <t>-</t>
        </is>
      </c>
    </row>
    <row r="625">
      <c r="A625" s="47" t="n"/>
      <c r="B625" s="16" t="inlineStr">
        <is>
          <t>-</t>
        </is>
      </c>
      <c r="C625" s="11" t="inlineStr">
        <is>
          <t>-</t>
        </is>
      </c>
      <c r="D625" s="11" t="inlineStr">
        <is>
          <t>-</t>
        </is>
      </c>
      <c r="E625" s="11" t="inlineStr">
        <is>
          <t>-</t>
        </is>
      </c>
      <c r="F625" s="11" t="inlineStr">
        <is>
          <t>-</t>
        </is>
      </c>
      <c r="G625" s="11" t="inlineStr">
        <is>
          <t>-</t>
        </is>
      </c>
      <c r="H625" s="11" t="inlineStr">
        <is>
          <t>-</t>
        </is>
      </c>
      <c r="I625" s="11" t="inlineStr">
        <is>
          <t>-</t>
        </is>
      </c>
      <c r="J625" s="11" t="inlineStr">
        <is>
          <t>-</t>
        </is>
      </c>
      <c r="K625" s="11" t="inlineStr">
        <is>
          <t>-</t>
        </is>
      </c>
      <c r="L625" s="11" t="inlineStr">
        <is>
          <t>-</t>
        </is>
      </c>
      <c r="M625" s="11" t="inlineStr">
        <is>
          <t>-</t>
        </is>
      </c>
      <c r="N625" s="11" t="inlineStr">
        <is>
          <t>-</t>
        </is>
      </c>
      <c r="O625" s="11" t="inlineStr">
        <is>
          <t>-</t>
        </is>
      </c>
      <c r="P625" s="11" t="inlineStr">
        <is>
          <t>-</t>
        </is>
      </c>
      <c r="Q625" s="12" t="inlineStr">
        <is>
          <t>-</t>
        </is>
      </c>
    </row>
    <row r="626" ht="36" customHeight="1" s="155">
      <c r="B626" s="46" t="inlineStr">
        <is>
          <t>cervellatine</t>
        </is>
      </c>
      <c r="C626" s="49">
        <f>_xlfn.XLOOKUP(A627,Magazzino!$D$1:$D$1500,Magazzino!$F$1:$F$1500,"",0,1)</f>
        <v/>
      </c>
      <c r="D626" s="50">
        <f>_xlfn.XLOOKUP(A628,Magazzino!$D$1:$D$1500,Magazzino!$F$1:$F$1500,"",0,1)</f>
        <v/>
      </c>
      <c r="E626" s="50">
        <f>_xlfn.XLOOKUP(A629,Magazzino!$D$1:$D$1500,Magazzino!$F$1:$F$1500,"",0,1)</f>
        <v/>
      </c>
      <c r="F626" s="50">
        <f>_xlfn.XLOOKUP(A630,Magazzino!$D$1:$D$1500,Magazzino!$F$1:$F$1500,"",0,1)</f>
        <v/>
      </c>
      <c r="G626" s="50">
        <f>_xlfn.XLOOKUP(A631,Magazzino!$D$1:$D$1500,Magazzino!$F$1:$F$1500,"",0,1)</f>
        <v/>
      </c>
      <c r="H626" s="50">
        <f>_xlfn.XLOOKUP(A632,Magazzino!$D$1:$D$1500,Magazzino!$F$1:$F$1500,"",0,1)</f>
        <v/>
      </c>
      <c r="I626" s="50">
        <f>_xlfn.XLOOKUP(A633,Magazzino!$D$1:$D$1500,Magazzino!$F$1:$F$1500,"",0,1)</f>
        <v/>
      </c>
      <c r="J626" s="50">
        <f>_xlfn.XLOOKUP(A634,Magazzino!$D$1:$D$1500,Magazzino!$F$1:$F$1500,"",0,1)</f>
        <v/>
      </c>
      <c r="K626" s="50">
        <f>_xlfn.XLOOKUP(A635,Magazzino!$D$1:$D$1500,Magazzino!$F$1:$F$1500,"",0,1)</f>
        <v/>
      </c>
      <c r="L626" s="50">
        <f>_xlfn.XLOOKUP(A636,Magazzino!$D$1:$D$1500,Magazzino!$F$1:$F$1500,"",0,1)</f>
        <v/>
      </c>
      <c r="M626" s="50">
        <f>_xlfn.XLOOKUP(A637,Magazzino!$D$1:$D$1500,Magazzino!$F$1:$F$1500,"",0,1)</f>
        <v/>
      </c>
      <c r="N626" s="50">
        <f>_xlfn.XLOOKUP(A638,Magazzino!$D$1:$D$1500,Magazzino!$F$1:$F$1500,"",0,1)</f>
        <v/>
      </c>
      <c r="O626" s="50">
        <f>_xlfn.XLOOKUP(A639,Magazzino!$D$1:$D$1500,Magazzino!$F$1:$F$1500,"",0,1)</f>
        <v/>
      </c>
      <c r="P626" s="50">
        <f>_xlfn.XLOOKUP(A640,Magazzino!$D$1:$D$1500,Magazzino!$F$1:$F$1500,"",0,1)</f>
        <v/>
      </c>
      <c r="Q626" s="51">
        <f>_xlfn.XLOOKUP(A641,Magazzino!$D$1:$D$1500,Magazzino!$F$1:$F$1500,"",0,1)</f>
        <v/>
      </c>
    </row>
    <row r="627">
      <c r="A627" s="47" t="inlineStr">
        <is>
          <t>salame</t>
        </is>
      </c>
      <c r="B627" s="16" t="inlineStr">
        <is>
          <t>-</t>
        </is>
      </c>
      <c r="C627" s="11" t="inlineStr">
        <is>
          <t>-</t>
        </is>
      </c>
      <c r="D627" s="11" t="inlineStr">
        <is>
          <t>-</t>
        </is>
      </c>
      <c r="E627" s="11" t="inlineStr">
        <is>
          <t>-</t>
        </is>
      </c>
      <c r="F627" s="11" t="inlineStr">
        <is>
          <t>-</t>
        </is>
      </c>
      <c r="G627" s="11" t="inlineStr">
        <is>
          <t>-</t>
        </is>
      </c>
      <c r="H627" s="11" t="inlineStr">
        <is>
          <t>-</t>
        </is>
      </c>
      <c r="I627" s="11" t="inlineStr">
        <is>
          <t>-</t>
        </is>
      </c>
      <c r="J627" s="11" t="inlineStr">
        <is>
          <t>-</t>
        </is>
      </c>
      <c r="K627" s="11" t="inlineStr">
        <is>
          <t>-</t>
        </is>
      </c>
      <c r="L627" s="11" t="inlineStr">
        <is>
          <t>-</t>
        </is>
      </c>
      <c r="M627" s="11" t="inlineStr">
        <is>
          <t>-</t>
        </is>
      </c>
      <c r="N627" s="11" t="inlineStr">
        <is>
          <t>-</t>
        </is>
      </c>
      <c r="O627" s="11" t="inlineStr">
        <is>
          <t>-</t>
        </is>
      </c>
      <c r="P627" s="11" t="inlineStr">
        <is>
          <t>-</t>
        </is>
      </c>
      <c r="Q627" s="12" t="inlineStr">
        <is>
          <t>-</t>
        </is>
      </c>
    </row>
    <row r="628">
      <c r="A628" s="48" t="inlineStr">
        <is>
          <t xml:space="preserve">SALE SACCHI SALTECHNO KG.25  </t>
        </is>
      </c>
      <c r="B628" s="13" t="inlineStr">
        <is>
          <t>-</t>
        </is>
      </c>
      <c r="C628" s="14" t="inlineStr">
        <is>
          <t>-</t>
        </is>
      </c>
      <c r="D628" s="14" t="inlineStr">
        <is>
          <t>-</t>
        </is>
      </c>
      <c r="E628" s="14" t="inlineStr">
        <is>
          <t>-</t>
        </is>
      </c>
      <c r="F628" s="14" t="inlineStr">
        <is>
          <t>-</t>
        </is>
      </c>
      <c r="G628" s="14" t="inlineStr">
        <is>
          <t>-</t>
        </is>
      </c>
      <c r="H628" s="14" t="inlineStr">
        <is>
          <t>-</t>
        </is>
      </c>
      <c r="I628" s="14" t="inlineStr">
        <is>
          <t>-</t>
        </is>
      </c>
      <c r="J628" s="14" t="inlineStr">
        <is>
          <t>-</t>
        </is>
      </c>
      <c r="K628" s="14" t="inlineStr">
        <is>
          <t>-</t>
        </is>
      </c>
      <c r="L628" s="14" t="inlineStr">
        <is>
          <t>-</t>
        </is>
      </c>
      <c r="M628" s="14" t="inlineStr">
        <is>
          <t>-</t>
        </is>
      </c>
      <c r="N628" s="14" t="inlineStr">
        <is>
          <t>-</t>
        </is>
      </c>
      <c r="O628" s="14" t="inlineStr">
        <is>
          <t>-</t>
        </is>
      </c>
      <c r="P628" s="14" t="inlineStr">
        <is>
          <t>-</t>
        </is>
      </c>
      <c r="Q628" s="15" t="inlineStr">
        <is>
          <t>-</t>
        </is>
      </c>
    </row>
    <row r="629">
      <c r="A629" s="47" t="inlineStr">
        <is>
          <t>olio extravergine oliva</t>
        </is>
      </c>
      <c r="B629" s="16" t="inlineStr">
        <is>
          <t>-</t>
        </is>
      </c>
      <c r="C629" s="11" t="inlineStr">
        <is>
          <t>-</t>
        </is>
      </c>
      <c r="D629" s="11" t="inlineStr">
        <is>
          <t>-</t>
        </is>
      </c>
      <c r="E629" s="11" t="inlineStr">
        <is>
          <t>-</t>
        </is>
      </c>
      <c r="F629" s="11" t="inlineStr">
        <is>
          <t>-</t>
        </is>
      </c>
      <c r="G629" s="11" t="inlineStr">
        <is>
          <t>-</t>
        </is>
      </c>
      <c r="H629" s="11" t="inlineStr">
        <is>
          <t>-</t>
        </is>
      </c>
      <c r="I629" s="11" t="inlineStr">
        <is>
          <t>-</t>
        </is>
      </c>
      <c r="J629" s="11" t="inlineStr">
        <is>
          <t>-</t>
        </is>
      </c>
      <c r="K629" s="11" t="inlineStr">
        <is>
          <t>-</t>
        </is>
      </c>
      <c r="L629" s="11" t="inlineStr">
        <is>
          <t>-</t>
        </is>
      </c>
      <c r="M629" s="11" t="inlineStr">
        <is>
          <t>-</t>
        </is>
      </c>
      <c r="N629" s="11" t="inlineStr">
        <is>
          <t>-</t>
        </is>
      </c>
      <c r="O629" s="11" t="inlineStr">
        <is>
          <t>-</t>
        </is>
      </c>
      <c r="P629" s="11" t="inlineStr">
        <is>
          <t>-</t>
        </is>
      </c>
      <c r="Q629" s="12" t="inlineStr">
        <is>
          <t>-</t>
        </is>
      </c>
    </row>
    <row r="630">
      <c r="A630" s="47" t="n"/>
      <c r="B630" s="13" t="inlineStr">
        <is>
          <t>-</t>
        </is>
      </c>
      <c r="C630" s="14" t="inlineStr">
        <is>
          <t>-</t>
        </is>
      </c>
      <c r="D630" s="14" t="inlineStr">
        <is>
          <t>-</t>
        </is>
      </c>
      <c r="E630" s="14" t="inlineStr">
        <is>
          <t>-</t>
        </is>
      </c>
      <c r="F630" s="14" t="inlineStr">
        <is>
          <t>-</t>
        </is>
      </c>
      <c r="G630" s="14" t="inlineStr">
        <is>
          <t>-</t>
        </is>
      </c>
      <c r="H630" s="14" t="inlineStr">
        <is>
          <t>-</t>
        </is>
      </c>
      <c r="I630" s="14" t="inlineStr">
        <is>
          <t>-</t>
        </is>
      </c>
      <c r="J630" s="14" t="inlineStr">
        <is>
          <t>-</t>
        </is>
      </c>
      <c r="K630" s="14" t="inlineStr">
        <is>
          <t>-</t>
        </is>
      </c>
      <c r="L630" s="14" t="inlineStr">
        <is>
          <t>-</t>
        </is>
      </c>
      <c r="M630" s="14" t="inlineStr">
        <is>
          <t>-</t>
        </is>
      </c>
      <c r="N630" s="14" t="inlineStr">
        <is>
          <t>-</t>
        </is>
      </c>
      <c r="O630" s="14" t="inlineStr">
        <is>
          <t>-</t>
        </is>
      </c>
      <c r="P630" s="14" t="inlineStr">
        <is>
          <t>-</t>
        </is>
      </c>
      <c r="Q630" s="15" t="inlineStr">
        <is>
          <t>-</t>
        </is>
      </c>
    </row>
    <row r="631">
      <c r="A631" s="47" t="n"/>
      <c r="B631" s="16" t="inlineStr">
        <is>
          <t>-</t>
        </is>
      </c>
      <c r="C631" s="11" t="inlineStr">
        <is>
          <t>-</t>
        </is>
      </c>
      <c r="D631" s="11" t="inlineStr">
        <is>
          <t>-</t>
        </is>
      </c>
      <c r="E631" s="11" t="inlineStr">
        <is>
          <t>-</t>
        </is>
      </c>
      <c r="F631" s="11" t="inlineStr">
        <is>
          <t>-</t>
        </is>
      </c>
      <c r="G631" s="11" t="inlineStr">
        <is>
          <t>-</t>
        </is>
      </c>
      <c r="H631" s="11" t="inlineStr">
        <is>
          <t>-</t>
        </is>
      </c>
      <c r="I631" s="11" t="inlineStr">
        <is>
          <t>-</t>
        </is>
      </c>
      <c r="J631" s="11" t="inlineStr">
        <is>
          <t>-</t>
        </is>
      </c>
      <c r="K631" s="11" t="inlineStr">
        <is>
          <t>-</t>
        </is>
      </c>
      <c r="L631" s="11" t="inlineStr">
        <is>
          <t>-</t>
        </is>
      </c>
      <c r="M631" s="11" t="inlineStr">
        <is>
          <t>-</t>
        </is>
      </c>
      <c r="N631" s="11" t="inlineStr">
        <is>
          <t>-</t>
        </is>
      </c>
      <c r="O631" s="11" t="inlineStr">
        <is>
          <t>-</t>
        </is>
      </c>
      <c r="P631" s="11" t="inlineStr">
        <is>
          <t>-</t>
        </is>
      </c>
      <c r="Q631" s="12" t="inlineStr">
        <is>
          <t>-</t>
        </is>
      </c>
    </row>
    <row r="632">
      <c r="A632" s="47" t="n"/>
      <c r="B632" s="13" t="inlineStr">
        <is>
          <t>-</t>
        </is>
      </c>
      <c r="C632" s="14" t="inlineStr">
        <is>
          <t>-</t>
        </is>
      </c>
      <c r="D632" s="14" t="inlineStr">
        <is>
          <t>-</t>
        </is>
      </c>
      <c r="E632" s="14" t="inlineStr">
        <is>
          <t>-</t>
        </is>
      </c>
      <c r="F632" s="14" t="inlineStr">
        <is>
          <t>-</t>
        </is>
      </c>
      <c r="G632" s="14" t="inlineStr">
        <is>
          <t>-</t>
        </is>
      </c>
      <c r="H632" s="14" t="inlineStr">
        <is>
          <t>-</t>
        </is>
      </c>
      <c r="I632" s="14" t="inlineStr">
        <is>
          <t>-</t>
        </is>
      </c>
      <c r="J632" s="14" t="inlineStr">
        <is>
          <t>-</t>
        </is>
      </c>
      <c r="K632" s="14" t="inlineStr">
        <is>
          <t>-</t>
        </is>
      </c>
      <c r="L632" s="14" t="inlineStr">
        <is>
          <t>-</t>
        </is>
      </c>
      <c r="M632" s="14" t="inlineStr">
        <is>
          <t>-</t>
        </is>
      </c>
      <c r="N632" s="14" t="inlineStr">
        <is>
          <t>-</t>
        </is>
      </c>
      <c r="O632" s="14" t="inlineStr">
        <is>
          <t>-</t>
        </is>
      </c>
      <c r="P632" s="14" t="inlineStr">
        <is>
          <t>-</t>
        </is>
      </c>
      <c r="Q632" s="15" t="inlineStr">
        <is>
          <t>-</t>
        </is>
      </c>
    </row>
    <row r="633">
      <c r="A633" s="47" t="n"/>
      <c r="B633" s="16" t="inlineStr">
        <is>
          <t>-</t>
        </is>
      </c>
      <c r="C633" s="11" t="inlineStr">
        <is>
          <t>-</t>
        </is>
      </c>
      <c r="D633" s="11" t="inlineStr">
        <is>
          <t>-</t>
        </is>
      </c>
      <c r="E633" s="11" t="inlineStr">
        <is>
          <t>-</t>
        </is>
      </c>
      <c r="F633" s="11" t="inlineStr">
        <is>
          <t>-</t>
        </is>
      </c>
      <c r="G633" s="11" t="inlineStr">
        <is>
          <t>-</t>
        </is>
      </c>
      <c r="H633" s="11" t="inlineStr">
        <is>
          <t>-</t>
        </is>
      </c>
      <c r="I633" s="11" t="inlineStr">
        <is>
          <t>-</t>
        </is>
      </c>
      <c r="J633" s="11" t="inlineStr">
        <is>
          <t>-</t>
        </is>
      </c>
      <c r="K633" s="11" t="inlineStr">
        <is>
          <t>-</t>
        </is>
      </c>
      <c r="L633" s="11" t="inlineStr">
        <is>
          <t>-</t>
        </is>
      </c>
      <c r="M633" s="11" t="inlineStr">
        <is>
          <t>-</t>
        </is>
      </c>
      <c r="N633" s="11" t="inlineStr">
        <is>
          <t>-</t>
        </is>
      </c>
      <c r="O633" s="11" t="inlineStr">
        <is>
          <t>-</t>
        </is>
      </c>
      <c r="P633" s="11" t="inlineStr">
        <is>
          <t>-</t>
        </is>
      </c>
      <c r="Q633" s="12" t="inlineStr">
        <is>
          <t>-</t>
        </is>
      </c>
    </row>
    <row r="634">
      <c r="A634" s="47" t="n"/>
      <c r="B634" s="13" t="inlineStr">
        <is>
          <t>-</t>
        </is>
      </c>
      <c r="C634" s="14" t="inlineStr">
        <is>
          <t>-</t>
        </is>
      </c>
      <c r="D634" s="14" t="inlineStr">
        <is>
          <t>-</t>
        </is>
      </c>
      <c r="E634" s="14" t="inlineStr">
        <is>
          <t>-</t>
        </is>
      </c>
      <c r="F634" s="14" t="inlineStr">
        <is>
          <t>-</t>
        </is>
      </c>
      <c r="G634" s="14" t="inlineStr">
        <is>
          <t>-</t>
        </is>
      </c>
      <c r="H634" s="14" t="inlineStr">
        <is>
          <t>-</t>
        </is>
      </c>
      <c r="I634" s="14" t="inlineStr">
        <is>
          <t>-</t>
        </is>
      </c>
      <c r="J634" s="14" t="inlineStr">
        <is>
          <t>-</t>
        </is>
      </c>
      <c r="K634" s="14" t="inlineStr">
        <is>
          <t>-</t>
        </is>
      </c>
      <c r="L634" s="14" t="inlineStr">
        <is>
          <t>-</t>
        </is>
      </c>
      <c r="M634" s="14" t="inlineStr">
        <is>
          <t>-</t>
        </is>
      </c>
      <c r="N634" s="14" t="inlineStr">
        <is>
          <t>-</t>
        </is>
      </c>
      <c r="O634" s="14" t="inlineStr">
        <is>
          <t>-</t>
        </is>
      </c>
      <c r="P634" s="14" t="inlineStr">
        <is>
          <t>-</t>
        </is>
      </c>
      <c r="Q634" s="15" t="inlineStr">
        <is>
          <t>-</t>
        </is>
      </c>
    </row>
    <row r="635">
      <c r="A635" s="47" t="n"/>
      <c r="B635" s="16" t="inlineStr">
        <is>
          <t>-</t>
        </is>
      </c>
      <c r="C635" s="11" t="inlineStr">
        <is>
          <t>-</t>
        </is>
      </c>
      <c r="D635" s="11" t="inlineStr">
        <is>
          <t>-</t>
        </is>
      </c>
      <c r="E635" s="11" t="inlineStr">
        <is>
          <t>-</t>
        </is>
      </c>
      <c r="F635" s="11" t="inlineStr">
        <is>
          <t>-</t>
        </is>
      </c>
      <c r="G635" s="11" t="inlineStr">
        <is>
          <t>-</t>
        </is>
      </c>
      <c r="H635" s="11" t="inlineStr">
        <is>
          <t>-</t>
        </is>
      </c>
      <c r="I635" s="11" t="inlineStr">
        <is>
          <t>-</t>
        </is>
      </c>
      <c r="J635" s="11" t="inlineStr">
        <is>
          <t>-</t>
        </is>
      </c>
      <c r="K635" s="11" t="inlineStr">
        <is>
          <t>-</t>
        </is>
      </c>
      <c r="L635" s="11" t="inlineStr">
        <is>
          <t>-</t>
        </is>
      </c>
      <c r="M635" s="11" t="inlineStr">
        <is>
          <t>-</t>
        </is>
      </c>
      <c r="N635" s="11" t="inlineStr">
        <is>
          <t>-</t>
        </is>
      </c>
      <c r="O635" s="11" t="inlineStr">
        <is>
          <t>-</t>
        </is>
      </c>
      <c r="P635" s="11" t="inlineStr">
        <is>
          <t>-</t>
        </is>
      </c>
      <c r="Q635" s="12" t="inlineStr">
        <is>
          <t>-</t>
        </is>
      </c>
    </row>
    <row r="636">
      <c r="A636" s="47" t="n"/>
      <c r="B636" s="13" t="inlineStr">
        <is>
          <t>-</t>
        </is>
      </c>
      <c r="C636" s="14" t="inlineStr">
        <is>
          <t>-</t>
        </is>
      </c>
      <c r="D636" s="14" t="inlineStr">
        <is>
          <t>-</t>
        </is>
      </c>
      <c r="E636" s="14" t="inlineStr">
        <is>
          <t>-</t>
        </is>
      </c>
      <c r="F636" s="14" t="inlineStr">
        <is>
          <t>-</t>
        </is>
      </c>
      <c r="G636" s="14" t="inlineStr">
        <is>
          <t>-</t>
        </is>
      </c>
      <c r="H636" s="14" t="inlineStr">
        <is>
          <t>-</t>
        </is>
      </c>
      <c r="I636" s="14" t="inlineStr">
        <is>
          <t>-</t>
        </is>
      </c>
      <c r="J636" s="14" t="inlineStr">
        <is>
          <t>-</t>
        </is>
      </c>
      <c r="K636" s="14" t="inlineStr">
        <is>
          <t>-</t>
        </is>
      </c>
      <c r="L636" s="14" t="inlineStr">
        <is>
          <t>-</t>
        </is>
      </c>
      <c r="M636" s="14" t="inlineStr">
        <is>
          <t>-</t>
        </is>
      </c>
      <c r="N636" s="14" t="inlineStr">
        <is>
          <t>-</t>
        </is>
      </c>
      <c r="O636" s="14" t="inlineStr">
        <is>
          <t>-</t>
        </is>
      </c>
      <c r="P636" s="14" t="inlineStr">
        <is>
          <t>-</t>
        </is>
      </c>
      <c r="Q636" s="15" t="inlineStr">
        <is>
          <t>-</t>
        </is>
      </c>
    </row>
    <row r="637">
      <c r="A637" s="47" t="n"/>
      <c r="B637" s="16" t="inlineStr">
        <is>
          <t>-</t>
        </is>
      </c>
      <c r="C637" s="11" t="inlineStr">
        <is>
          <t>-</t>
        </is>
      </c>
      <c r="D637" s="11" t="inlineStr">
        <is>
          <t>-</t>
        </is>
      </c>
      <c r="E637" s="11" t="inlineStr">
        <is>
          <t>-</t>
        </is>
      </c>
      <c r="F637" s="11" t="inlineStr">
        <is>
          <t>-</t>
        </is>
      </c>
      <c r="G637" s="11" t="inlineStr">
        <is>
          <t>-</t>
        </is>
      </c>
      <c r="H637" s="11" t="inlineStr">
        <is>
          <t>-</t>
        </is>
      </c>
      <c r="I637" s="11" t="inlineStr">
        <is>
          <t>-</t>
        </is>
      </c>
      <c r="J637" s="11" t="inlineStr">
        <is>
          <t>-</t>
        </is>
      </c>
      <c r="K637" s="11" t="inlineStr">
        <is>
          <t>-</t>
        </is>
      </c>
      <c r="L637" s="11" t="inlineStr">
        <is>
          <t>-</t>
        </is>
      </c>
      <c r="M637" s="11" t="inlineStr">
        <is>
          <t>-</t>
        </is>
      </c>
      <c r="N637" s="11" t="inlineStr">
        <is>
          <t>-</t>
        </is>
      </c>
      <c r="O637" s="11" t="inlineStr">
        <is>
          <t>-</t>
        </is>
      </c>
      <c r="P637" s="11" t="inlineStr">
        <is>
          <t>-</t>
        </is>
      </c>
      <c r="Q637" s="12" t="inlineStr">
        <is>
          <t>-</t>
        </is>
      </c>
    </row>
    <row r="638">
      <c r="A638" s="47" t="n"/>
      <c r="B638" s="13" t="inlineStr">
        <is>
          <t>-</t>
        </is>
      </c>
      <c r="C638" s="14" t="inlineStr">
        <is>
          <t>-</t>
        </is>
      </c>
      <c r="D638" s="14" t="inlineStr">
        <is>
          <t>-</t>
        </is>
      </c>
      <c r="E638" s="14" t="inlineStr">
        <is>
          <t>-</t>
        </is>
      </c>
      <c r="F638" s="14" t="inlineStr">
        <is>
          <t>-</t>
        </is>
      </c>
      <c r="G638" s="14" t="inlineStr">
        <is>
          <t>-</t>
        </is>
      </c>
      <c r="H638" s="14" t="inlineStr">
        <is>
          <t>-</t>
        </is>
      </c>
      <c r="I638" s="14" t="inlineStr">
        <is>
          <t>-</t>
        </is>
      </c>
      <c r="J638" s="14" t="inlineStr">
        <is>
          <t>-</t>
        </is>
      </c>
      <c r="K638" s="14" t="inlineStr">
        <is>
          <t>-</t>
        </is>
      </c>
      <c r="L638" s="14" t="inlineStr">
        <is>
          <t>-</t>
        </is>
      </c>
      <c r="M638" s="14" t="inlineStr">
        <is>
          <t>-</t>
        </is>
      </c>
      <c r="N638" s="14" t="inlineStr">
        <is>
          <t>-</t>
        </is>
      </c>
      <c r="O638" s="14" t="inlineStr">
        <is>
          <t>-</t>
        </is>
      </c>
      <c r="P638" s="14" t="inlineStr">
        <is>
          <t>-</t>
        </is>
      </c>
      <c r="Q638" s="15" t="inlineStr">
        <is>
          <t>-</t>
        </is>
      </c>
    </row>
    <row r="639">
      <c r="A639" s="47" t="n"/>
      <c r="B639" s="16" t="inlineStr">
        <is>
          <t>-</t>
        </is>
      </c>
      <c r="C639" s="11" t="inlineStr">
        <is>
          <t>-</t>
        </is>
      </c>
      <c r="D639" s="11" t="inlineStr">
        <is>
          <t>-</t>
        </is>
      </c>
      <c r="E639" s="11" t="inlineStr">
        <is>
          <t>-</t>
        </is>
      </c>
      <c r="F639" s="11" t="inlineStr">
        <is>
          <t>-</t>
        </is>
      </c>
      <c r="G639" s="11" t="inlineStr">
        <is>
          <t>-</t>
        </is>
      </c>
      <c r="H639" s="11" t="inlineStr">
        <is>
          <t>-</t>
        </is>
      </c>
      <c r="I639" s="11" t="inlineStr">
        <is>
          <t>-</t>
        </is>
      </c>
      <c r="J639" s="11" t="inlineStr">
        <is>
          <t>-</t>
        </is>
      </c>
      <c r="K639" s="11" t="inlineStr">
        <is>
          <t>-</t>
        </is>
      </c>
      <c r="L639" s="11" t="inlineStr">
        <is>
          <t>-</t>
        </is>
      </c>
      <c r="M639" s="11" t="inlineStr">
        <is>
          <t>-</t>
        </is>
      </c>
      <c r="N639" s="11" t="inlineStr">
        <is>
          <t>-</t>
        </is>
      </c>
      <c r="O639" s="11" t="inlineStr">
        <is>
          <t>-</t>
        </is>
      </c>
      <c r="P639" s="11" t="inlineStr">
        <is>
          <t>-</t>
        </is>
      </c>
      <c r="Q639" s="12" t="inlineStr">
        <is>
          <t>-</t>
        </is>
      </c>
    </row>
    <row r="640">
      <c r="A640" s="47" t="n"/>
      <c r="B640" s="13" t="inlineStr">
        <is>
          <t>-</t>
        </is>
      </c>
      <c r="C640" s="14" t="inlineStr">
        <is>
          <t>-</t>
        </is>
      </c>
      <c r="D640" s="14" t="inlineStr">
        <is>
          <t>-</t>
        </is>
      </c>
      <c r="E640" s="14" t="inlineStr">
        <is>
          <t>-</t>
        </is>
      </c>
      <c r="F640" s="14" t="inlineStr">
        <is>
          <t>-</t>
        </is>
      </c>
      <c r="G640" s="14" t="inlineStr">
        <is>
          <t>-</t>
        </is>
      </c>
      <c r="H640" s="14" t="inlineStr">
        <is>
          <t>-</t>
        </is>
      </c>
      <c r="I640" s="14" t="inlineStr">
        <is>
          <t>-</t>
        </is>
      </c>
      <c r="J640" s="14" t="inlineStr">
        <is>
          <t>-</t>
        </is>
      </c>
      <c r="K640" s="14" t="inlineStr">
        <is>
          <t>-</t>
        </is>
      </c>
      <c r="L640" s="14" t="inlineStr">
        <is>
          <t>-</t>
        </is>
      </c>
      <c r="M640" s="14" t="inlineStr">
        <is>
          <t>-</t>
        </is>
      </c>
      <c r="N640" s="14" t="inlineStr">
        <is>
          <t>-</t>
        </is>
      </c>
      <c r="O640" s="14" t="inlineStr">
        <is>
          <t>-</t>
        </is>
      </c>
      <c r="P640" s="14" t="inlineStr">
        <is>
          <t>-</t>
        </is>
      </c>
      <c r="Q640" s="15" t="inlineStr">
        <is>
          <t>-</t>
        </is>
      </c>
    </row>
    <row r="641">
      <c r="A641" s="47" t="n"/>
      <c r="B641" s="16" t="inlineStr">
        <is>
          <t>-</t>
        </is>
      </c>
      <c r="C641" s="11" t="inlineStr">
        <is>
          <t>-</t>
        </is>
      </c>
      <c r="D641" s="11" t="inlineStr">
        <is>
          <t>-</t>
        </is>
      </c>
      <c r="E641" s="11" t="inlineStr">
        <is>
          <t>-</t>
        </is>
      </c>
      <c r="F641" s="11" t="inlineStr">
        <is>
          <t>-</t>
        </is>
      </c>
      <c r="G641" s="11" t="inlineStr">
        <is>
          <t>-</t>
        </is>
      </c>
      <c r="H641" s="11" t="inlineStr">
        <is>
          <t>-</t>
        </is>
      </c>
      <c r="I641" s="11" t="inlineStr">
        <is>
          <t>-</t>
        </is>
      </c>
      <c r="J641" s="11" t="inlineStr">
        <is>
          <t>-</t>
        </is>
      </c>
      <c r="K641" s="11" t="inlineStr">
        <is>
          <t>-</t>
        </is>
      </c>
      <c r="L641" s="11" t="inlineStr">
        <is>
          <t>-</t>
        </is>
      </c>
      <c r="M641" s="11" t="inlineStr">
        <is>
          <t>-</t>
        </is>
      </c>
      <c r="N641" s="11" t="inlineStr">
        <is>
          <t>-</t>
        </is>
      </c>
      <c r="O641" s="11" t="inlineStr">
        <is>
          <t>-</t>
        </is>
      </c>
      <c r="P641" s="11" t="inlineStr">
        <is>
          <t>-</t>
        </is>
      </c>
      <c r="Q641" s="12" t="inlineStr">
        <is>
          <t>-</t>
        </is>
      </c>
    </row>
    <row r="642" ht="36" customHeight="1" s="155">
      <c r="B642" s="46" t="inlineStr">
        <is>
          <t>cheesecake</t>
        </is>
      </c>
      <c r="C642" s="49">
        <f>_xlfn.XLOOKUP(A643,Magazzino!$D$1:$D$1500,Magazzino!$F$1:$F$1500,"",0,1)</f>
        <v/>
      </c>
      <c r="D642" s="50">
        <f>_xlfn.XLOOKUP(A644,Magazzino!$D$1:$D$1500,Magazzino!$F$1:$F$1500,"",0,1)</f>
        <v/>
      </c>
      <c r="E642" s="50">
        <f>_xlfn.XLOOKUP(A645,Magazzino!$D$1:$D$1500,Magazzino!$F$1:$F$1500,"",0,1)</f>
        <v/>
      </c>
      <c r="F642" s="50">
        <f>_xlfn.XLOOKUP(A646,Magazzino!$D$1:$D$1500,Magazzino!$F$1:$F$1500,"",0,1)</f>
        <v/>
      </c>
      <c r="G642" s="50">
        <f>_xlfn.XLOOKUP(A647,Magazzino!$D$1:$D$1500,Magazzino!$F$1:$F$1500,"",0,1)</f>
        <v/>
      </c>
      <c r="H642" s="50">
        <f>_xlfn.XLOOKUP(A648,Magazzino!$D$1:$D$1500,Magazzino!$F$1:$F$1500,"",0,1)</f>
        <v/>
      </c>
      <c r="I642" s="50">
        <f>_xlfn.XLOOKUP(A649,Magazzino!$D$1:$D$1500,Magazzino!$F$1:$F$1500,"",0,1)</f>
        <v/>
      </c>
      <c r="J642" s="50">
        <f>_xlfn.XLOOKUP(A650,Magazzino!$D$1:$D$1500,Magazzino!$F$1:$F$1500,"",0,1)</f>
        <v/>
      </c>
      <c r="K642" s="50">
        <f>_xlfn.XLOOKUP(A651,Magazzino!$D$1:$D$1500,Magazzino!$F$1:$F$1500,"",0,1)</f>
        <v/>
      </c>
      <c r="L642" s="50">
        <f>_xlfn.XLOOKUP(A652,Magazzino!$D$1:$D$1500,Magazzino!$F$1:$F$1500,"",0,1)</f>
        <v/>
      </c>
      <c r="M642" s="50">
        <f>_xlfn.XLOOKUP(A653,Magazzino!$D$1:$D$1500,Magazzino!$F$1:$F$1500,"",0,1)</f>
        <v/>
      </c>
      <c r="N642" s="50">
        <f>_xlfn.XLOOKUP(A654,Magazzino!$D$1:$D$1500,Magazzino!$F$1:$F$1500,"",0,1)</f>
        <v/>
      </c>
      <c r="O642" s="50">
        <f>_xlfn.XLOOKUP(A655,Magazzino!$D$1:$D$1500,Magazzino!$F$1:$F$1500,"",0,1)</f>
        <v/>
      </c>
      <c r="P642" s="50">
        <f>_xlfn.XLOOKUP(A656,Magazzino!$D$1:$D$1500,Magazzino!$F$1:$F$1500,"",0,1)</f>
        <v/>
      </c>
      <c r="Q642" s="51">
        <f>_xlfn.XLOOKUP(A657,Magazzino!$D$1:$D$1500,Magazzino!$F$1:$F$1500,"",0,1)</f>
        <v/>
      </c>
    </row>
    <row r="643">
      <c r="A643" s="47" t="inlineStr">
        <is>
          <t xml:space="preserve">FARINA 0/MAN. CAPUTO DA KG.25  </t>
        </is>
      </c>
      <c r="B643" s="16" t="inlineStr">
        <is>
          <t>-</t>
        </is>
      </c>
      <c r="C643" s="11" t="inlineStr">
        <is>
          <t>-</t>
        </is>
      </c>
      <c r="D643" s="11" t="inlineStr">
        <is>
          <t>-</t>
        </is>
      </c>
      <c r="E643" s="11" t="inlineStr">
        <is>
          <t>-</t>
        </is>
      </c>
      <c r="F643" s="11" t="inlineStr">
        <is>
          <t>-</t>
        </is>
      </c>
      <c r="G643" s="11" t="inlineStr">
        <is>
          <t>-</t>
        </is>
      </c>
      <c r="H643" s="11" t="inlineStr">
        <is>
          <t>-</t>
        </is>
      </c>
      <c r="I643" s="11" t="inlineStr">
        <is>
          <t>-</t>
        </is>
      </c>
      <c r="J643" s="11" t="inlineStr">
        <is>
          <t>-</t>
        </is>
      </c>
      <c r="K643" s="11" t="inlineStr">
        <is>
          <t>-</t>
        </is>
      </c>
      <c r="L643" s="11" t="inlineStr">
        <is>
          <t>-</t>
        </is>
      </c>
      <c r="M643" s="11" t="inlineStr">
        <is>
          <t>-</t>
        </is>
      </c>
      <c r="N643" s="11" t="inlineStr">
        <is>
          <t>-</t>
        </is>
      </c>
      <c r="O643" s="11" t="inlineStr">
        <is>
          <t>-</t>
        </is>
      </c>
      <c r="P643" s="11" t="inlineStr">
        <is>
          <t>-</t>
        </is>
      </c>
      <c r="Q643" s="12" t="inlineStr">
        <is>
          <t>-</t>
        </is>
      </c>
    </row>
    <row r="644">
      <c r="A644" s="47" t="inlineStr">
        <is>
          <t xml:space="preserve">STRUTTO RAFFINATO I B VERDE  </t>
        </is>
      </c>
      <c r="B644" s="13" t="inlineStr">
        <is>
          <t>-</t>
        </is>
      </c>
      <c r="C644" s="14" t="inlineStr">
        <is>
          <t>-</t>
        </is>
      </c>
      <c r="D644" s="14" t="inlineStr">
        <is>
          <t>-</t>
        </is>
      </c>
      <c r="E644" s="14" t="inlineStr">
        <is>
          <t>-</t>
        </is>
      </c>
      <c r="F644" s="14" t="inlineStr">
        <is>
          <t>-</t>
        </is>
      </c>
      <c r="G644" s="14" t="inlineStr">
        <is>
          <t>-</t>
        </is>
      </c>
      <c r="H644" s="14" t="inlineStr">
        <is>
          <t>-</t>
        </is>
      </c>
      <c r="I644" s="14" t="inlineStr">
        <is>
          <t>-</t>
        </is>
      </c>
      <c r="J644" s="14" t="inlineStr">
        <is>
          <t>-</t>
        </is>
      </c>
      <c r="K644" s="14" t="inlineStr">
        <is>
          <t>-</t>
        </is>
      </c>
      <c r="L644" s="14" t="inlineStr">
        <is>
          <t>-</t>
        </is>
      </c>
      <c r="M644" s="14" t="inlineStr">
        <is>
          <t>-</t>
        </is>
      </c>
      <c r="N644" s="14" t="inlineStr">
        <is>
          <t>-</t>
        </is>
      </c>
      <c r="O644" s="14" t="inlineStr">
        <is>
          <t>-</t>
        </is>
      </c>
      <c r="P644" s="14" t="inlineStr">
        <is>
          <t>-</t>
        </is>
      </c>
      <c r="Q644" s="15" t="inlineStr">
        <is>
          <t>-</t>
        </is>
      </c>
    </row>
    <row r="645">
      <c r="A645" s="48" t="inlineStr">
        <is>
          <t xml:space="preserve">SALE SACCHI SALTECHNO KG.25  </t>
        </is>
      </c>
      <c r="B645" s="16" t="inlineStr">
        <is>
          <t>-</t>
        </is>
      </c>
      <c r="C645" s="11" t="inlineStr">
        <is>
          <t>-</t>
        </is>
      </c>
      <c r="D645" s="11" t="inlineStr">
        <is>
          <t>-</t>
        </is>
      </c>
      <c r="E645" s="11" t="inlineStr">
        <is>
          <t>-</t>
        </is>
      </c>
      <c r="F645" s="11" t="inlineStr">
        <is>
          <t>-</t>
        </is>
      </c>
      <c r="G645" s="11" t="inlineStr">
        <is>
          <t>-</t>
        </is>
      </c>
      <c r="H645" s="11" t="inlineStr">
        <is>
          <t>-</t>
        </is>
      </c>
      <c r="I645" s="11" t="inlineStr">
        <is>
          <t>-</t>
        </is>
      </c>
      <c r="J645" s="11" t="inlineStr">
        <is>
          <t>-</t>
        </is>
      </c>
      <c r="K645" s="11" t="inlineStr">
        <is>
          <t>-</t>
        </is>
      </c>
      <c r="L645" s="11" t="inlineStr">
        <is>
          <t>-</t>
        </is>
      </c>
      <c r="M645" s="11" t="inlineStr">
        <is>
          <t>-</t>
        </is>
      </c>
      <c r="N645" s="11" t="inlineStr">
        <is>
          <t>-</t>
        </is>
      </c>
      <c r="O645" s="11" t="inlineStr">
        <is>
          <t>-</t>
        </is>
      </c>
      <c r="P645" s="11" t="inlineStr">
        <is>
          <t>-</t>
        </is>
      </c>
      <c r="Q645" s="12" t="inlineStr">
        <is>
          <t>-</t>
        </is>
      </c>
    </row>
    <row r="646">
      <c r="A646" s="47" t="inlineStr">
        <is>
          <t>zucchero semolato</t>
        </is>
      </c>
      <c r="B646" s="13" t="inlineStr">
        <is>
          <t>-</t>
        </is>
      </c>
      <c r="C646" s="14" t="inlineStr">
        <is>
          <t>-</t>
        </is>
      </c>
      <c r="D646" s="14" t="inlineStr">
        <is>
          <t>-</t>
        </is>
      </c>
      <c r="E646" s="14" t="inlineStr">
        <is>
          <t>-</t>
        </is>
      </c>
      <c r="F646" s="14" t="inlineStr">
        <is>
          <t>-</t>
        </is>
      </c>
      <c r="G646" s="14" t="inlineStr">
        <is>
          <t>-</t>
        </is>
      </c>
      <c r="H646" s="14" t="inlineStr">
        <is>
          <t>-</t>
        </is>
      </c>
      <c r="I646" s="14" t="inlineStr">
        <is>
          <t>-</t>
        </is>
      </c>
      <c r="J646" s="14" t="inlineStr">
        <is>
          <t>-</t>
        </is>
      </c>
      <c r="K646" s="14" t="inlineStr">
        <is>
          <t>-</t>
        </is>
      </c>
      <c r="L646" s="14" t="inlineStr">
        <is>
          <t>-</t>
        </is>
      </c>
      <c r="M646" s="14" t="inlineStr">
        <is>
          <t>-</t>
        </is>
      </c>
      <c r="N646" s="14" t="inlineStr">
        <is>
          <t>-</t>
        </is>
      </c>
      <c r="O646" s="14" t="inlineStr">
        <is>
          <t>-</t>
        </is>
      </c>
      <c r="P646" s="14" t="inlineStr">
        <is>
          <t>-</t>
        </is>
      </c>
      <c r="Q646" s="15" t="inlineStr">
        <is>
          <t>-</t>
        </is>
      </c>
    </row>
    <row r="647">
      <c r="A647" s="47" t="inlineStr">
        <is>
          <t>tuorlo d'uovo pastorizzato</t>
        </is>
      </c>
      <c r="B647" s="16" t="inlineStr">
        <is>
          <t>-</t>
        </is>
      </c>
      <c r="C647" s="11" t="inlineStr">
        <is>
          <t>-</t>
        </is>
      </c>
      <c r="D647" s="11" t="inlineStr">
        <is>
          <t>-</t>
        </is>
      </c>
      <c r="E647" s="11" t="inlineStr">
        <is>
          <t>-</t>
        </is>
      </c>
      <c r="F647" s="11" t="inlineStr">
        <is>
          <t>-</t>
        </is>
      </c>
      <c r="G647" s="11" t="inlineStr">
        <is>
          <t>-</t>
        </is>
      </c>
      <c r="H647" s="11" t="inlineStr">
        <is>
          <t>-</t>
        </is>
      </c>
      <c r="I647" s="11" t="inlineStr">
        <is>
          <t>-</t>
        </is>
      </c>
      <c r="J647" s="11" t="inlineStr">
        <is>
          <t>-</t>
        </is>
      </c>
      <c r="K647" s="11" t="inlineStr">
        <is>
          <t>-</t>
        </is>
      </c>
      <c r="L647" s="11" t="inlineStr">
        <is>
          <t>-</t>
        </is>
      </c>
      <c r="M647" s="11" t="inlineStr">
        <is>
          <t>-</t>
        </is>
      </c>
      <c r="N647" s="11" t="inlineStr">
        <is>
          <t>-</t>
        </is>
      </c>
      <c r="O647" s="11" t="inlineStr">
        <is>
          <t>-</t>
        </is>
      </c>
      <c r="P647" s="11" t="inlineStr">
        <is>
          <t>-</t>
        </is>
      </c>
      <c r="Q647" s="12" t="inlineStr">
        <is>
          <t>-</t>
        </is>
      </c>
    </row>
    <row r="648">
      <c r="A648" s="47" t="inlineStr">
        <is>
          <t>panna hoplà</t>
        </is>
      </c>
      <c r="B648" s="13" t="inlineStr">
        <is>
          <t>-</t>
        </is>
      </c>
      <c r="C648" s="14" t="inlineStr">
        <is>
          <t>-</t>
        </is>
      </c>
      <c r="D648" s="14" t="inlineStr">
        <is>
          <t>-</t>
        </is>
      </c>
      <c r="E648" s="14" t="inlineStr">
        <is>
          <t>-</t>
        </is>
      </c>
      <c r="F648" s="14" t="inlineStr">
        <is>
          <t>-</t>
        </is>
      </c>
      <c r="G648" s="14" t="inlineStr">
        <is>
          <t>-</t>
        </is>
      </c>
      <c r="H648" s="14" t="inlineStr">
        <is>
          <t>-</t>
        </is>
      </c>
      <c r="I648" s="14" t="inlineStr">
        <is>
          <t>-</t>
        </is>
      </c>
      <c r="J648" s="14" t="inlineStr">
        <is>
          <t>-</t>
        </is>
      </c>
      <c r="K648" s="14" t="inlineStr">
        <is>
          <t>-</t>
        </is>
      </c>
      <c r="L648" s="14" t="inlineStr">
        <is>
          <t>-</t>
        </is>
      </c>
      <c r="M648" s="14" t="inlineStr">
        <is>
          <t>-</t>
        </is>
      </c>
      <c r="N648" s="14" t="inlineStr">
        <is>
          <t>-</t>
        </is>
      </c>
      <c r="O648" s="14" t="inlineStr">
        <is>
          <t>-</t>
        </is>
      </c>
      <c r="P648" s="14" t="inlineStr">
        <is>
          <t>-</t>
        </is>
      </c>
      <c r="Q648" s="15" t="inlineStr">
        <is>
          <t>-</t>
        </is>
      </c>
    </row>
    <row r="649">
      <c r="A649" s="47" t="n"/>
      <c r="B649" s="16" t="inlineStr">
        <is>
          <t>-</t>
        </is>
      </c>
      <c r="C649" s="11" t="inlineStr">
        <is>
          <t>-</t>
        </is>
      </c>
      <c r="D649" s="11" t="inlineStr">
        <is>
          <t>-</t>
        </is>
      </c>
      <c r="E649" s="11" t="inlineStr">
        <is>
          <t>-</t>
        </is>
      </c>
      <c r="F649" s="11" t="inlineStr">
        <is>
          <t>-</t>
        </is>
      </c>
      <c r="G649" s="11" t="inlineStr">
        <is>
          <t>-</t>
        </is>
      </c>
      <c r="H649" s="11" t="inlineStr">
        <is>
          <t>-</t>
        </is>
      </c>
      <c r="I649" s="11" t="inlineStr">
        <is>
          <t>-</t>
        </is>
      </c>
      <c r="J649" s="11" t="inlineStr">
        <is>
          <t>-</t>
        </is>
      </c>
      <c r="K649" s="11" t="inlineStr">
        <is>
          <t>-</t>
        </is>
      </c>
      <c r="L649" s="11" t="inlineStr">
        <is>
          <t>-</t>
        </is>
      </c>
      <c r="M649" s="11" t="inlineStr">
        <is>
          <t>-</t>
        </is>
      </c>
      <c r="N649" s="11" t="inlineStr">
        <is>
          <t>-</t>
        </is>
      </c>
      <c r="O649" s="11" t="inlineStr">
        <is>
          <t>-</t>
        </is>
      </c>
      <c r="P649" s="11" t="inlineStr">
        <is>
          <t>-</t>
        </is>
      </c>
      <c r="Q649" s="12" t="inlineStr">
        <is>
          <t>-</t>
        </is>
      </c>
    </row>
    <row r="650">
      <c r="A650" s="47" t="n"/>
      <c r="B650" s="13" t="inlineStr">
        <is>
          <t>-</t>
        </is>
      </c>
      <c r="C650" s="14" t="inlineStr">
        <is>
          <t>-</t>
        </is>
      </c>
      <c r="D650" s="14" t="inlineStr">
        <is>
          <t>-</t>
        </is>
      </c>
      <c r="E650" s="14" t="inlineStr">
        <is>
          <t>-</t>
        </is>
      </c>
      <c r="F650" s="14" t="inlineStr">
        <is>
          <t>-</t>
        </is>
      </c>
      <c r="G650" s="14" t="inlineStr">
        <is>
          <t>-</t>
        </is>
      </c>
      <c r="H650" s="14" t="inlineStr">
        <is>
          <t>-</t>
        </is>
      </c>
      <c r="I650" s="14" t="inlineStr">
        <is>
          <t>-</t>
        </is>
      </c>
      <c r="J650" s="14" t="inlineStr">
        <is>
          <t>-</t>
        </is>
      </c>
      <c r="K650" s="14" t="inlineStr">
        <is>
          <t>-</t>
        </is>
      </c>
      <c r="L650" s="14" t="inlineStr">
        <is>
          <t>-</t>
        </is>
      </c>
      <c r="M650" s="14" t="inlineStr">
        <is>
          <t>-</t>
        </is>
      </c>
      <c r="N650" s="14" t="inlineStr">
        <is>
          <t>-</t>
        </is>
      </c>
      <c r="O650" s="14" t="inlineStr">
        <is>
          <t>-</t>
        </is>
      </c>
      <c r="P650" s="14" t="inlineStr">
        <is>
          <t>-</t>
        </is>
      </c>
      <c r="Q650" s="15" t="inlineStr">
        <is>
          <t>-</t>
        </is>
      </c>
    </row>
    <row r="651">
      <c r="A651" s="47" t="n"/>
      <c r="B651" s="16" t="inlineStr">
        <is>
          <t>-</t>
        </is>
      </c>
      <c r="C651" s="11" t="inlineStr">
        <is>
          <t>-</t>
        </is>
      </c>
      <c r="D651" s="11" t="inlineStr">
        <is>
          <t>-</t>
        </is>
      </c>
      <c r="E651" s="11" t="inlineStr">
        <is>
          <t>-</t>
        </is>
      </c>
      <c r="F651" s="11" t="inlineStr">
        <is>
          <t>-</t>
        </is>
      </c>
      <c r="G651" s="11" t="inlineStr">
        <is>
          <t>-</t>
        </is>
      </c>
      <c r="H651" s="11" t="inlineStr">
        <is>
          <t>-</t>
        </is>
      </c>
      <c r="I651" s="11" t="inlineStr">
        <is>
          <t>-</t>
        </is>
      </c>
      <c r="J651" s="11" t="inlineStr">
        <is>
          <t>-</t>
        </is>
      </c>
      <c r="K651" s="11" t="inlineStr">
        <is>
          <t>-</t>
        </is>
      </c>
      <c r="L651" s="11" t="inlineStr">
        <is>
          <t>-</t>
        </is>
      </c>
      <c r="M651" s="11" t="inlineStr">
        <is>
          <t>-</t>
        </is>
      </c>
      <c r="N651" s="11" t="inlineStr">
        <is>
          <t>-</t>
        </is>
      </c>
      <c r="O651" s="11" t="inlineStr">
        <is>
          <t>-</t>
        </is>
      </c>
      <c r="P651" s="11" t="inlineStr">
        <is>
          <t>-</t>
        </is>
      </c>
      <c r="Q651" s="12" t="inlineStr">
        <is>
          <t>-</t>
        </is>
      </c>
    </row>
    <row r="652">
      <c r="A652" s="47" t="n"/>
      <c r="B652" s="13" t="inlineStr">
        <is>
          <t>-</t>
        </is>
      </c>
      <c r="C652" s="14" t="inlineStr">
        <is>
          <t>-</t>
        </is>
      </c>
      <c r="D652" s="14" t="inlineStr">
        <is>
          <t>-</t>
        </is>
      </c>
      <c r="E652" s="14" t="inlineStr">
        <is>
          <t>-</t>
        </is>
      </c>
      <c r="F652" s="14" t="inlineStr">
        <is>
          <t>-</t>
        </is>
      </c>
      <c r="G652" s="14" t="inlineStr">
        <is>
          <t>-</t>
        </is>
      </c>
      <c r="H652" s="14" t="inlineStr">
        <is>
          <t>-</t>
        </is>
      </c>
      <c r="I652" s="14" t="inlineStr">
        <is>
          <t>-</t>
        </is>
      </c>
      <c r="J652" s="14" t="inlineStr">
        <is>
          <t>-</t>
        </is>
      </c>
      <c r="K652" s="14" t="inlineStr">
        <is>
          <t>-</t>
        </is>
      </c>
      <c r="L652" s="14" t="inlineStr">
        <is>
          <t>-</t>
        </is>
      </c>
      <c r="M652" s="14" t="inlineStr">
        <is>
          <t>-</t>
        </is>
      </c>
      <c r="N652" s="14" t="inlineStr">
        <is>
          <t>-</t>
        </is>
      </c>
      <c r="O652" s="14" t="inlineStr">
        <is>
          <t>-</t>
        </is>
      </c>
      <c r="P652" s="14" t="inlineStr">
        <is>
          <t>-</t>
        </is>
      </c>
      <c r="Q652" s="15" t="inlineStr">
        <is>
          <t>-</t>
        </is>
      </c>
    </row>
    <row r="653">
      <c r="A653" s="47" t="n"/>
      <c r="B653" s="16" t="inlineStr">
        <is>
          <t>-</t>
        </is>
      </c>
      <c r="C653" s="11" t="inlineStr">
        <is>
          <t>-</t>
        </is>
      </c>
      <c r="D653" s="11" t="inlineStr">
        <is>
          <t>-</t>
        </is>
      </c>
      <c r="E653" s="11" t="inlineStr">
        <is>
          <t>-</t>
        </is>
      </c>
      <c r="F653" s="11" t="inlineStr">
        <is>
          <t>-</t>
        </is>
      </c>
      <c r="G653" s="11" t="inlineStr">
        <is>
          <t>-</t>
        </is>
      </c>
      <c r="H653" s="11" t="inlineStr">
        <is>
          <t>-</t>
        </is>
      </c>
      <c r="I653" s="11" t="inlineStr">
        <is>
          <t>-</t>
        </is>
      </c>
      <c r="J653" s="11" t="inlineStr">
        <is>
          <t>-</t>
        </is>
      </c>
      <c r="K653" s="11" t="inlineStr">
        <is>
          <t>-</t>
        </is>
      </c>
      <c r="L653" s="11" t="inlineStr">
        <is>
          <t>-</t>
        </is>
      </c>
      <c r="M653" s="11" t="inlineStr">
        <is>
          <t>-</t>
        </is>
      </c>
      <c r="N653" s="11" t="inlineStr">
        <is>
          <t>-</t>
        </is>
      </c>
      <c r="O653" s="11" t="inlineStr">
        <is>
          <t>-</t>
        </is>
      </c>
      <c r="P653" s="11" t="inlineStr">
        <is>
          <t>-</t>
        </is>
      </c>
      <c r="Q653" s="12" t="inlineStr">
        <is>
          <t>-</t>
        </is>
      </c>
    </row>
    <row r="654">
      <c r="A654" s="47" t="n"/>
      <c r="B654" s="13" t="inlineStr">
        <is>
          <t>-</t>
        </is>
      </c>
      <c r="C654" s="14" t="inlineStr">
        <is>
          <t>-</t>
        </is>
      </c>
      <c r="D654" s="14" t="inlineStr">
        <is>
          <t>-</t>
        </is>
      </c>
      <c r="E654" s="14" t="inlineStr">
        <is>
          <t>-</t>
        </is>
      </c>
      <c r="F654" s="14" t="inlineStr">
        <is>
          <t>-</t>
        </is>
      </c>
      <c r="G654" s="14" t="inlineStr">
        <is>
          <t>-</t>
        </is>
      </c>
      <c r="H654" s="14" t="inlineStr">
        <is>
          <t>-</t>
        </is>
      </c>
      <c r="I654" s="14" t="inlineStr">
        <is>
          <t>-</t>
        </is>
      </c>
      <c r="J654" s="14" t="inlineStr">
        <is>
          <t>-</t>
        </is>
      </c>
      <c r="K654" s="14" t="inlineStr">
        <is>
          <t>-</t>
        </is>
      </c>
      <c r="L654" s="14" t="inlineStr">
        <is>
          <t>-</t>
        </is>
      </c>
      <c r="M654" s="14" t="inlineStr">
        <is>
          <t>-</t>
        </is>
      </c>
      <c r="N654" s="14" t="inlineStr">
        <is>
          <t>-</t>
        </is>
      </c>
      <c r="O654" s="14" t="inlineStr">
        <is>
          <t>-</t>
        </is>
      </c>
      <c r="P654" s="14" t="inlineStr">
        <is>
          <t>-</t>
        </is>
      </c>
      <c r="Q654" s="15" t="inlineStr">
        <is>
          <t>-</t>
        </is>
      </c>
    </row>
    <row r="655">
      <c r="A655" s="47" t="n"/>
      <c r="B655" s="16" t="inlineStr">
        <is>
          <t>-</t>
        </is>
      </c>
      <c r="C655" s="11" t="inlineStr">
        <is>
          <t>-</t>
        </is>
      </c>
      <c r="D655" s="11" t="inlineStr">
        <is>
          <t>-</t>
        </is>
      </c>
      <c r="E655" s="11" t="inlineStr">
        <is>
          <t>-</t>
        </is>
      </c>
      <c r="F655" s="11" t="inlineStr">
        <is>
          <t>-</t>
        </is>
      </c>
      <c r="G655" s="11" t="inlineStr">
        <is>
          <t>-</t>
        </is>
      </c>
      <c r="H655" s="11" t="inlineStr">
        <is>
          <t>-</t>
        </is>
      </c>
      <c r="I655" s="11" t="inlineStr">
        <is>
          <t>-</t>
        </is>
      </c>
      <c r="J655" s="11" t="inlineStr">
        <is>
          <t>-</t>
        </is>
      </c>
      <c r="K655" s="11" t="inlineStr">
        <is>
          <t>-</t>
        </is>
      </c>
      <c r="L655" s="11" t="inlineStr">
        <is>
          <t>-</t>
        </is>
      </c>
      <c r="M655" s="11" t="inlineStr">
        <is>
          <t>-</t>
        </is>
      </c>
      <c r="N655" s="11" t="inlineStr">
        <is>
          <t>-</t>
        </is>
      </c>
      <c r="O655" s="11" t="inlineStr">
        <is>
          <t>-</t>
        </is>
      </c>
      <c r="P655" s="11" t="inlineStr">
        <is>
          <t>-</t>
        </is>
      </c>
      <c r="Q655" s="12" t="inlineStr">
        <is>
          <t>-</t>
        </is>
      </c>
    </row>
    <row r="656">
      <c r="A656" s="47" t="n"/>
      <c r="B656" s="13" t="inlineStr">
        <is>
          <t>-</t>
        </is>
      </c>
      <c r="C656" s="14" t="inlineStr">
        <is>
          <t>-</t>
        </is>
      </c>
      <c r="D656" s="14" t="inlineStr">
        <is>
          <t>-</t>
        </is>
      </c>
      <c r="E656" s="14" t="inlineStr">
        <is>
          <t>-</t>
        </is>
      </c>
      <c r="F656" s="14" t="inlineStr">
        <is>
          <t>-</t>
        </is>
      </c>
      <c r="G656" s="14" t="inlineStr">
        <is>
          <t>-</t>
        </is>
      </c>
      <c r="H656" s="14" t="inlineStr">
        <is>
          <t>-</t>
        </is>
      </c>
      <c r="I656" s="14" t="inlineStr">
        <is>
          <t>-</t>
        </is>
      </c>
      <c r="J656" s="14" t="inlineStr">
        <is>
          <t>-</t>
        </is>
      </c>
      <c r="K656" s="14" t="inlineStr">
        <is>
          <t>-</t>
        </is>
      </c>
      <c r="L656" s="14" t="inlineStr">
        <is>
          <t>-</t>
        </is>
      </c>
      <c r="M656" s="14" t="inlineStr">
        <is>
          <t>-</t>
        </is>
      </c>
      <c r="N656" s="14" t="inlineStr">
        <is>
          <t>-</t>
        </is>
      </c>
      <c r="O656" s="14" t="inlineStr">
        <is>
          <t>-</t>
        </is>
      </c>
      <c r="P656" s="14" t="inlineStr">
        <is>
          <t>-</t>
        </is>
      </c>
      <c r="Q656" s="15" t="inlineStr">
        <is>
          <t>-</t>
        </is>
      </c>
    </row>
    <row r="657">
      <c r="A657" s="47" t="n"/>
      <c r="B657" s="16" t="inlineStr">
        <is>
          <t>-</t>
        </is>
      </c>
      <c r="C657" s="11" t="inlineStr">
        <is>
          <t>-</t>
        </is>
      </c>
      <c r="D657" s="11" t="inlineStr">
        <is>
          <t>-</t>
        </is>
      </c>
      <c r="E657" s="11" t="inlineStr">
        <is>
          <t>-</t>
        </is>
      </c>
      <c r="F657" s="11" t="inlineStr">
        <is>
          <t>-</t>
        </is>
      </c>
      <c r="G657" s="11" t="inlineStr">
        <is>
          <t>-</t>
        </is>
      </c>
      <c r="H657" s="11" t="inlineStr">
        <is>
          <t>-</t>
        </is>
      </c>
      <c r="I657" s="11" t="inlineStr">
        <is>
          <t>-</t>
        </is>
      </c>
      <c r="J657" s="11" t="inlineStr">
        <is>
          <t>-</t>
        </is>
      </c>
      <c r="K657" s="11" t="inlineStr">
        <is>
          <t>-</t>
        </is>
      </c>
      <c r="L657" s="11" t="inlineStr">
        <is>
          <t>-</t>
        </is>
      </c>
      <c r="M657" s="11" t="inlineStr">
        <is>
          <t>-</t>
        </is>
      </c>
      <c r="N657" s="11" t="inlineStr">
        <is>
          <t>-</t>
        </is>
      </c>
      <c r="O657" s="11" t="inlineStr">
        <is>
          <t>-</t>
        </is>
      </c>
      <c r="P657" s="11" t="inlineStr">
        <is>
          <t>-</t>
        </is>
      </c>
      <c r="Q657" s="12" t="inlineStr">
        <is>
          <t>-</t>
        </is>
      </c>
    </row>
    <row r="658" ht="36" customHeight="1" s="155">
      <c r="B658" s="46" t="inlineStr">
        <is>
          <t>coda di aragosta</t>
        </is>
      </c>
      <c r="C658" s="49">
        <f>_xlfn.XLOOKUP(A659,Magazzino!$D$1:$D$1500,Magazzino!$F$1:$F$1500,"",0,1)</f>
        <v/>
      </c>
      <c r="D658" s="50">
        <f>_xlfn.XLOOKUP(A660,Magazzino!$D$1:$D$1500,Magazzino!$F$1:$F$1500,"",0,1)</f>
        <v/>
      </c>
      <c r="E658" s="50">
        <f>_xlfn.XLOOKUP(A661,Magazzino!$D$1:$D$1500,Magazzino!$F$1:$F$1500,"",0,1)</f>
        <v/>
      </c>
      <c r="F658" s="50">
        <f>_xlfn.XLOOKUP(A662,Magazzino!$D$1:$D$1500,Magazzino!$F$1:$F$1500,"",0,1)</f>
        <v/>
      </c>
      <c r="G658" s="50">
        <f>_xlfn.XLOOKUP(A663,Magazzino!$D$1:$D$1500,Magazzino!$F$1:$F$1500,"",0,1)</f>
        <v/>
      </c>
      <c r="H658" s="50">
        <f>_xlfn.XLOOKUP(A664,Magazzino!$D$1:$D$1500,Magazzino!$F$1:$F$1500,"",0,1)</f>
        <v/>
      </c>
      <c r="I658" s="50">
        <f>_xlfn.XLOOKUP(A665,Magazzino!$D$1:$D$1500,Magazzino!$F$1:$F$1500,"",0,1)</f>
        <v/>
      </c>
      <c r="J658" s="50">
        <f>_xlfn.XLOOKUP(A666,Magazzino!$D$1:$D$1500,Magazzino!$F$1:$F$1500,"",0,1)</f>
        <v/>
      </c>
      <c r="K658" s="50">
        <f>_xlfn.XLOOKUP(A667,Magazzino!$D$1:$D$1500,Magazzino!$F$1:$F$1500,"",0,1)</f>
        <v/>
      </c>
      <c r="L658" s="50">
        <f>_xlfn.XLOOKUP(A668,Magazzino!$D$1:$D$1500,Magazzino!$F$1:$F$1500,"",0,1)</f>
        <v/>
      </c>
      <c r="M658" s="50">
        <f>_xlfn.XLOOKUP(A669,Magazzino!$D$1:$D$1500,Magazzino!$F$1:$F$1500,"",0,1)</f>
        <v/>
      </c>
      <c r="N658" s="50">
        <f>_xlfn.XLOOKUP(A670,Magazzino!$D$1:$D$1500,Magazzino!$F$1:$F$1500,"",0,1)</f>
        <v/>
      </c>
      <c r="O658" s="50">
        <f>_xlfn.XLOOKUP(A671,Magazzino!$D$1:$D$1500,Magazzino!$F$1:$F$1500,"",0,1)</f>
        <v/>
      </c>
      <c r="P658" s="50">
        <f>_xlfn.XLOOKUP(A672,Magazzino!$D$1:$D$1500,Magazzino!$F$1:$F$1500,"",0,1)</f>
        <v/>
      </c>
      <c r="Q658" s="51">
        <f>_xlfn.XLOOKUP(A673,Magazzino!$D$1:$D$1500,Magazzino!$F$1:$F$1500,"",0,1)</f>
        <v/>
      </c>
    </row>
    <row r="659">
      <c r="A659" s="47" t="inlineStr">
        <is>
          <t>coda d'aragosta</t>
        </is>
      </c>
      <c r="B659" s="16" t="inlineStr">
        <is>
          <t>-</t>
        </is>
      </c>
      <c r="C659" s="11" t="inlineStr">
        <is>
          <t>-</t>
        </is>
      </c>
      <c r="D659" s="11" t="inlineStr">
        <is>
          <t>-</t>
        </is>
      </c>
      <c r="E659" s="11" t="inlineStr">
        <is>
          <t>-</t>
        </is>
      </c>
      <c r="F659" s="11" t="inlineStr">
        <is>
          <t>-</t>
        </is>
      </c>
      <c r="G659" s="11" t="inlineStr">
        <is>
          <t>-</t>
        </is>
      </c>
      <c r="H659" s="11" t="inlineStr">
        <is>
          <t>-</t>
        </is>
      </c>
      <c r="I659" s="11" t="inlineStr">
        <is>
          <t>-</t>
        </is>
      </c>
      <c r="J659" s="11" t="inlineStr">
        <is>
          <t>-</t>
        </is>
      </c>
      <c r="K659" s="11" t="inlineStr">
        <is>
          <t>-</t>
        </is>
      </c>
      <c r="L659" s="11" t="inlineStr">
        <is>
          <t>-</t>
        </is>
      </c>
      <c r="M659" s="11" t="inlineStr">
        <is>
          <t>-</t>
        </is>
      </c>
      <c r="N659" s="11" t="inlineStr">
        <is>
          <t>-</t>
        </is>
      </c>
      <c r="O659" s="11" t="inlineStr">
        <is>
          <t>-</t>
        </is>
      </c>
      <c r="P659" s="11" t="inlineStr">
        <is>
          <t>-</t>
        </is>
      </c>
      <c r="Q659" s="12" t="inlineStr">
        <is>
          <t>-</t>
        </is>
      </c>
    </row>
    <row r="660">
      <c r="A660" s="47" t="n"/>
      <c r="B660" s="13" t="inlineStr">
        <is>
          <t>-</t>
        </is>
      </c>
      <c r="C660" s="14" t="inlineStr">
        <is>
          <t>-</t>
        </is>
      </c>
      <c r="D660" s="14" t="inlineStr">
        <is>
          <t>-</t>
        </is>
      </c>
      <c r="E660" s="14" t="inlineStr">
        <is>
          <t>-</t>
        </is>
      </c>
      <c r="F660" s="14" t="inlineStr">
        <is>
          <t>-</t>
        </is>
      </c>
      <c r="G660" s="14" t="inlineStr">
        <is>
          <t>-</t>
        </is>
      </c>
      <c r="H660" s="14" t="inlineStr">
        <is>
          <t>-</t>
        </is>
      </c>
      <c r="I660" s="14" t="inlineStr">
        <is>
          <t>-</t>
        </is>
      </c>
      <c r="J660" s="14" t="inlineStr">
        <is>
          <t>-</t>
        </is>
      </c>
      <c r="K660" s="14" t="inlineStr">
        <is>
          <t>-</t>
        </is>
      </c>
      <c r="L660" s="14" t="inlineStr">
        <is>
          <t>-</t>
        </is>
      </c>
      <c r="M660" s="14" t="inlineStr">
        <is>
          <t>-</t>
        </is>
      </c>
      <c r="N660" s="14" t="inlineStr">
        <is>
          <t>-</t>
        </is>
      </c>
      <c r="O660" s="14" t="inlineStr">
        <is>
          <t>-</t>
        </is>
      </c>
      <c r="P660" s="14" t="inlineStr">
        <is>
          <t>-</t>
        </is>
      </c>
      <c r="Q660" s="15" t="inlineStr">
        <is>
          <t>-</t>
        </is>
      </c>
    </row>
    <row r="661">
      <c r="A661" s="47" t="n"/>
      <c r="B661" s="16" t="inlineStr">
        <is>
          <t>-</t>
        </is>
      </c>
      <c r="C661" s="11" t="inlineStr">
        <is>
          <t>-</t>
        </is>
      </c>
      <c r="D661" s="11" t="inlineStr">
        <is>
          <t>-</t>
        </is>
      </c>
      <c r="E661" s="11" t="inlineStr">
        <is>
          <t>-</t>
        </is>
      </c>
      <c r="F661" s="11" t="inlineStr">
        <is>
          <t>-</t>
        </is>
      </c>
      <c r="G661" s="11" t="inlineStr">
        <is>
          <t>-</t>
        </is>
      </c>
      <c r="H661" s="11" t="inlineStr">
        <is>
          <t>-</t>
        </is>
      </c>
      <c r="I661" s="11" t="inlineStr">
        <is>
          <t>-</t>
        </is>
      </c>
      <c r="J661" s="11" t="inlineStr">
        <is>
          <t>-</t>
        </is>
      </c>
      <c r="K661" s="11" t="inlineStr">
        <is>
          <t>-</t>
        </is>
      </c>
      <c r="L661" s="11" t="inlineStr">
        <is>
          <t>-</t>
        </is>
      </c>
      <c r="M661" s="11" t="inlineStr">
        <is>
          <t>-</t>
        </is>
      </c>
      <c r="N661" s="11" t="inlineStr">
        <is>
          <t>-</t>
        </is>
      </c>
      <c r="O661" s="11" t="inlineStr">
        <is>
          <t>-</t>
        </is>
      </c>
      <c r="P661" s="11" t="inlineStr">
        <is>
          <t>-</t>
        </is>
      </c>
      <c r="Q661" s="12" t="inlineStr">
        <is>
          <t>-</t>
        </is>
      </c>
    </row>
    <row r="662">
      <c r="A662" s="47" t="n"/>
      <c r="B662" s="13" t="inlineStr">
        <is>
          <t>-</t>
        </is>
      </c>
      <c r="C662" s="14" t="inlineStr">
        <is>
          <t>-</t>
        </is>
      </c>
      <c r="D662" s="14" t="inlineStr">
        <is>
          <t>-</t>
        </is>
      </c>
      <c r="E662" s="14" t="inlineStr">
        <is>
          <t>-</t>
        </is>
      </c>
      <c r="F662" s="14" t="inlineStr">
        <is>
          <t>-</t>
        </is>
      </c>
      <c r="G662" s="14" t="inlineStr">
        <is>
          <t>-</t>
        </is>
      </c>
      <c r="H662" s="14" t="inlineStr">
        <is>
          <t>-</t>
        </is>
      </c>
      <c r="I662" s="14" t="inlineStr">
        <is>
          <t>-</t>
        </is>
      </c>
      <c r="J662" s="14" t="inlineStr">
        <is>
          <t>-</t>
        </is>
      </c>
      <c r="K662" s="14" t="inlineStr">
        <is>
          <t>-</t>
        </is>
      </c>
      <c r="L662" s="14" t="inlineStr">
        <is>
          <t>-</t>
        </is>
      </c>
      <c r="M662" s="14" t="inlineStr">
        <is>
          <t>-</t>
        </is>
      </c>
      <c r="N662" s="14" t="inlineStr">
        <is>
          <t>-</t>
        </is>
      </c>
      <c r="O662" s="14" t="inlineStr">
        <is>
          <t>-</t>
        </is>
      </c>
      <c r="P662" s="14" t="inlineStr">
        <is>
          <t>-</t>
        </is>
      </c>
      <c r="Q662" s="15" t="inlineStr">
        <is>
          <t>-</t>
        </is>
      </c>
    </row>
    <row r="663">
      <c r="A663" s="47" t="n"/>
      <c r="B663" s="16" t="inlineStr">
        <is>
          <t>-</t>
        </is>
      </c>
      <c r="C663" s="11" t="inlineStr">
        <is>
          <t>-</t>
        </is>
      </c>
      <c r="D663" s="11" t="inlineStr">
        <is>
          <t>-</t>
        </is>
      </c>
      <c r="E663" s="11" t="inlineStr">
        <is>
          <t>-</t>
        </is>
      </c>
      <c r="F663" s="11" t="inlineStr">
        <is>
          <t>-</t>
        </is>
      </c>
      <c r="G663" s="11" t="inlineStr">
        <is>
          <t>-</t>
        </is>
      </c>
      <c r="H663" s="11" t="inlineStr">
        <is>
          <t>-</t>
        </is>
      </c>
      <c r="I663" s="11" t="inlineStr">
        <is>
          <t>-</t>
        </is>
      </c>
      <c r="J663" s="11" t="inlineStr">
        <is>
          <t>-</t>
        </is>
      </c>
      <c r="K663" s="11" t="inlineStr">
        <is>
          <t>-</t>
        </is>
      </c>
      <c r="L663" s="11" t="inlineStr">
        <is>
          <t>-</t>
        </is>
      </c>
      <c r="M663" s="11" t="inlineStr">
        <is>
          <t>-</t>
        </is>
      </c>
      <c r="N663" s="11" t="inlineStr">
        <is>
          <t>-</t>
        </is>
      </c>
      <c r="O663" s="11" t="inlineStr">
        <is>
          <t>-</t>
        </is>
      </c>
      <c r="P663" s="11" t="inlineStr">
        <is>
          <t>-</t>
        </is>
      </c>
      <c r="Q663" s="12" t="inlineStr">
        <is>
          <t>-</t>
        </is>
      </c>
    </row>
    <row r="664">
      <c r="A664" s="47" t="n"/>
      <c r="B664" s="13" t="inlineStr">
        <is>
          <t>-</t>
        </is>
      </c>
      <c r="C664" s="14" t="inlineStr">
        <is>
          <t>-</t>
        </is>
      </c>
      <c r="D664" s="14" t="inlineStr">
        <is>
          <t>-</t>
        </is>
      </c>
      <c r="E664" s="14" t="inlineStr">
        <is>
          <t>-</t>
        </is>
      </c>
      <c r="F664" s="14" t="inlineStr">
        <is>
          <t>-</t>
        </is>
      </c>
      <c r="G664" s="14" t="inlineStr">
        <is>
          <t>-</t>
        </is>
      </c>
      <c r="H664" s="14" t="inlineStr">
        <is>
          <t>-</t>
        </is>
      </c>
      <c r="I664" s="14" t="inlineStr">
        <is>
          <t>-</t>
        </is>
      </c>
      <c r="J664" s="14" t="inlineStr">
        <is>
          <t>-</t>
        </is>
      </c>
      <c r="K664" s="14" t="inlineStr">
        <is>
          <t>-</t>
        </is>
      </c>
      <c r="L664" s="14" t="inlineStr">
        <is>
          <t>-</t>
        </is>
      </c>
      <c r="M664" s="14" t="inlineStr">
        <is>
          <t>-</t>
        </is>
      </c>
      <c r="N664" s="14" t="inlineStr">
        <is>
          <t>-</t>
        </is>
      </c>
      <c r="O664" s="14" t="inlineStr">
        <is>
          <t>-</t>
        </is>
      </c>
      <c r="P664" s="14" t="inlineStr">
        <is>
          <t>-</t>
        </is>
      </c>
      <c r="Q664" s="15" t="inlineStr">
        <is>
          <t>-</t>
        </is>
      </c>
    </row>
    <row r="665">
      <c r="A665" s="47" t="n"/>
      <c r="B665" s="16" t="inlineStr">
        <is>
          <t>-</t>
        </is>
      </c>
      <c r="C665" s="11" t="inlineStr">
        <is>
          <t>-</t>
        </is>
      </c>
      <c r="D665" s="11" t="inlineStr">
        <is>
          <t>-</t>
        </is>
      </c>
      <c r="E665" s="11" t="inlineStr">
        <is>
          <t>-</t>
        </is>
      </c>
      <c r="F665" s="11" t="inlineStr">
        <is>
          <t>-</t>
        </is>
      </c>
      <c r="G665" s="11" t="inlineStr">
        <is>
          <t>-</t>
        </is>
      </c>
      <c r="H665" s="11" t="inlineStr">
        <is>
          <t>-</t>
        </is>
      </c>
      <c r="I665" s="11" t="inlineStr">
        <is>
          <t>-</t>
        </is>
      </c>
      <c r="J665" s="11" t="inlineStr">
        <is>
          <t>-</t>
        </is>
      </c>
      <c r="K665" s="11" t="inlineStr">
        <is>
          <t>-</t>
        </is>
      </c>
      <c r="L665" s="11" t="inlineStr">
        <is>
          <t>-</t>
        </is>
      </c>
      <c r="M665" s="11" t="inlineStr">
        <is>
          <t>-</t>
        </is>
      </c>
      <c r="N665" s="11" t="inlineStr">
        <is>
          <t>-</t>
        </is>
      </c>
      <c r="O665" s="11" t="inlineStr">
        <is>
          <t>-</t>
        </is>
      </c>
      <c r="P665" s="11" t="inlineStr">
        <is>
          <t>-</t>
        </is>
      </c>
      <c r="Q665" s="12" t="inlineStr">
        <is>
          <t>-</t>
        </is>
      </c>
    </row>
    <row r="666">
      <c r="A666" s="47" t="n"/>
      <c r="B666" s="13" t="inlineStr">
        <is>
          <t>-</t>
        </is>
      </c>
      <c r="C666" s="14" t="inlineStr">
        <is>
          <t>-</t>
        </is>
      </c>
      <c r="D666" s="14" t="inlineStr">
        <is>
          <t>-</t>
        </is>
      </c>
      <c r="E666" s="14" t="inlineStr">
        <is>
          <t>-</t>
        </is>
      </c>
      <c r="F666" s="14" t="inlineStr">
        <is>
          <t>-</t>
        </is>
      </c>
      <c r="G666" s="14" t="inlineStr">
        <is>
          <t>-</t>
        </is>
      </c>
      <c r="H666" s="14" t="inlineStr">
        <is>
          <t>-</t>
        </is>
      </c>
      <c r="I666" s="14" t="inlineStr">
        <is>
          <t>-</t>
        </is>
      </c>
      <c r="J666" s="14" t="inlineStr">
        <is>
          <t>-</t>
        </is>
      </c>
      <c r="K666" s="14" t="inlineStr">
        <is>
          <t>-</t>
        </is>
      </c>
      <c r="L666" s="14" t="inlineStr">
        <is>
          <t>-</t>
        </is>
      </c>
      <c r="M666" s="14" t="inlineStr">
        <is>
          <t>-</t>
        </is>
      </c>
      <c r="N666" s="14" t="inlineStr">
        <is>
          <t>-</t>
        </is>
      </c>
      <c r="O666" s="14" t="inlineStr">
        <is>
          <t>-</t>
        </is>
      </c>
      <c r="P666" s="14" t="inlineStr">
        <is>
          <t>-</t>
        </is>
      </c>
      <c r="Q666" s="15" t="inlineStr">
        <is>
          <t>-</t>
        </is>
      </c>
    </row>
    <row r="667">
      <c r="A667" s="47" t="n"/>
      <c r="B667" s="16" t="inlineStr">
        <is>
          <t>-</t>
        </is>
      </c>
      <c r="C667" s="11" t="inlineStr">
        <is>
          <t>-</t>
        </is>
      </c>
      <c r="D667" s="11" t="inlineStr">
        <is>
          <t>-</t>
        </is>
      </c>
      <c r="E667" s="11" t="inlineStr">
        <is>
          <t>-</t>
        </is>
      </c>
      <c r="F667" s="11" t="inlineStr">
        <is>
          <t>-</t>
        </is>
      </c>
      <c r="G667" s="11" t="inlineStr">
        <is>
          <t>-</t>
        </is>
      </c>
      <c r="H667" s="11" t="inlineStr">
        <is>
          <t>-</t>
        </is>
      </c>
      <c r="I667" s="11" t="inlineStr">
        <is>
          <t>-</t>
        </is>
      </c>
      <c r="J667" s="11" t="inlineStr">
        <is>
          <t>-</t>
        </is>
      </c>
      <c r="K667" s="11" t="inlineStr">
        <is>
          <t>-</t>
        </is>
      </c>
      <c r="L667" s="11" t="inlineStr">
        <is>
          <t>-</t>
        </is>
      </c>
      <c r="M667" s="11" t="inlineStr">
        <is>
          <t>-</t>
        </is>
      </c>
      <c r="N667" s="11" t="inlineStr">
        <is>
          <t>-</t>
        </is>
      </c>
      <c r="O667" s="11" t="inlineStr">
        <is>
          <t>-</t>
        </is>
      </c>
      <c r="P667" s="11" t="inlineStr">
        <is>
          <t>-</t>
        </is>
      </c>
      <c r="Q667" s="12" t="inlineStr">
        <is>
          <t>-</t>
        </is>
      </c>
    </row>
    <row r="668">
      <c r="A668" s="47" t="n"/>
      <c r="B668" s="13" t="inlineStr">
        <is>
          <t>-</t>
        </is>
      </c>
      <c r="C668" s="14" t="inlineStr">
        <is>
          <t>-</t>
        </is>
      </c>
      <c r="D668" s="14" t="inlineStr">
        <is>
          <t>-</t>
        </is>
      </c>
      <c r="E668" s="14" t="inlineStr">
        <is>
          <t>-</t>
        </is>
      </c>
      <c r="F668" s="14" t="inlineStr">
        <is>
          <t>-</t>
        </is>
      </c>
      <c r="G668" s="14" t="inlineStr">
        <is>
          <t>-</t>
        </is>
      </c>
      <c r="H668" s="14" t="inlineStr">
        <is>
          <t>-</t>
        </is>
      </c>
      <c r="I668" s="14" t="inlineStr">
        <is>
          <t>-</t>
        </is>
      </c>
      <c r="J668" s="14" t="inlineStr">
        <is>
          <t>-</t>
        </is>
      </c>
      <c r="K668" s="14" t="inlineStr">
        <is>
          <t>-</t>
        </is>
      </c>
      <c r="L668" s="14" t="inlineStr">
        <is>
          <t>-</t>
        </is>
      </c>
      <c r="M668" s="14" t="inlineStr">
        <is>
          <t>-</t>
        </is>
      </c>
      <c r="N668" s="14" t="inlineStr">
        <is>
          <t>-</t>
        </is>
      </c>
      <c r="O668" s="14" t="inlineStr">
        <is>
          <t>-</t>
        </is>
      </c>
      <c r="P668" s="14" t="inlineStr">
        <is>
          <t>-</t>
        </is>
      </c>
      <c r="Q668" s="15" t="inlineStr">
        <is>
          <t>-</t>
        </is>
      </c>
    </row>
    <row r="669">
      <c r="A669" s="47" t="n"/>
      <c r="B669" s="16" t="inlineStr">
        <is>
          <t>-</t>
        </is>
      </c>
      <c r="C669" s="11" t="inlineStr">
        <is>
          <t>-</t>
        </is>
      </c>
      <c r="D669" s="11" t="inlineStr">
        <is>
          <t>-</t>
        </is>
      </c>
      <c r="E669" s="11" t="inlineStr">
        <is>
          <t>-</t>
        </is>
      </c>
      <c r="F669" s="11" t="inlineStr">
        <is>
          <t>-</t>
        </is>
      </c>
      <c r="G669" s="11" t="inlineStr">
        <is>
          <t>-</t>
        </is>
      </c>
      <c r="H669" s="11" t="inlineStr">
        <is>
          <t>-</t>
        </is>
      </c>
      <c r="I669" s="11" t="inlineStr">
        <is>
          <t>-</t>
        </is>
      </c>
      <c r="J669" s="11" t="inlineStr">
        <is>
          <t>-</t>
        </is>
      </c>
      <c r="K669" s="11" t="inlineStr">
        <is>
          <t>-</t>
        </is>
      </c>
      <c r="L669" s="11" t="inlineStr">
        <is>
          <t>-</t>
        </is>
      </c>
      <c r="M669" s="11" t="inlineStr">
        <is>
          <t>-</t>
        </is>
      </c>
      <c r="N669" s="11" t="inlineStr">
        <is>
          <t>-</t>
        </is>
      </c>
      <c r="O669" s="11" t="inlineStr">
        <is>
          <t>-</t>
        </is>
      </c>
      <c r="P669" s="11" t="inlineStr">
        <is>
          <t>-</t>
        </is>
      </c>
      <c r="Q669" s="12" t="inlineStr">
        <is>
          <t>-</t>
        </is>
      </c>
    </row>
    <row r="670">
      <c r="A670" s="47" t="n"/>
      <c r="B670" s="13" t="inlineStr">
        <is>
          <t>-</t>
        </is>
      </c>
      <c r="C670" s="14" t="inlineStr">
        <is>
          <t>-</t>
        </is>
      </c>
      <c r="D670" s="14" t="inlineStr">
        <is>
          <t>-</t>
        </is>
      </c>
      <c r="E670" s="14" t="inlineStr">
        <is>
          <t>-</t>
        </is>
      </c>
      <c r="F670" s="14" t="inlineStr">
        <is>
          <t>-</t>
        </is>
      </c>
      <c r="G670" s="14" t="inlineStr">
        <is>
          <t>-</t>
        </is>
      </c>
      <c r="H670" s="14" t="inlineStr">
        <is>
          <t>-</t>
        </is>
      </c>
      <c r="I670" s="14" t="inlineStr">
        <is>
          <t>-</t>
        </is>
      </c>
      <c r="J670" s="14" t="inlineStr">
        <is>
          <t>-</t>
        </is>
      </c>
      <c r="K670" s="14" t="inlineStr">
        <is>
          <t>-</t>
        </is>
      </c>
      <c r="L670" s="14" t="inlineStr">
        <is>
          <t>-</t>
        </is>
      </c>
      <c r="M670" s="14" t="inlineStr">
        <is>
          <t>-</t>
        </is>
      </c>
      <c r="N670" s="14" t="inlineStr">
        <is>
          <t>-</t>
        </is>
      </c>
      <c r="O670" s="14" t="inlineStr">
        <is>
          <t>-</t>
        </is>
      </c>
      <c r="P670" s="14" t="inlineStr">
        <is>
          <t>-</t>
        </is>
      </c>
      <c r="Q670" s="15" t="inlineStr">
        <is>
          <t>-</t>
        </is>
      </c>
    </row>
    <row r="671">
      <c r="A671" s="47" t="n"/>
      <c r="B671" s="16" t="inlineStr">
        <is>
          <t>-</t>
        </is>
      </c>
      <c r="C671" s="11" t="inlineStr">
        <is>
          <t>-</t>
        </is>
      </c>
      <c r="D671" s="11" t="inlineStr">
        <is>
          <t>-</t>
        </is>
      </c>
      <c r="E671" s="11" t="inlineStr">
        <is>
          <t>-</t>
        </is>
      </c>
      <c r="F671" s="11" t="inlineStr">
        <is>
          <t>-</t>
        </is>
      </c>
      <c r="G671" s="11" t="inlineStr">
        <is>
          <t>-</t>
        </is>
      </c>
      <c r="H671" s="11" t="inlineStr">
        <is>
          <t>-</t>
        </is>
      </c>
      <c r="I671" s="11" t="inlineStr">
        <is>
          <t>-</t>
        </is>
      </c>
      <c r="J671" s="11" t="inlineStr">
        <is>
          <t>-</t>
        </is>
      </c>
      <c r="K671" s="11" t="inlineStr">
        <is>
          <t>-</t>
        </is>
      </c>
      <c r="L671" s="11" t="inlineStr">
        <is>
          <t>-</t>
        </is>
      </c>
      <c r="M671" s="11" t="inlineStr">
        <is>
          <t>-</t>
        </is>
      </c>
      <c r="N671" s="11" t="inlineStr">
        <is>
          <t>-</t>
        </is>
      </c>
      <c r="O671" s="11" t="inlineStr">
        <is>
          <t>-</t>
        </is>
      </c>
      <c r="P671" s="11" t="inlineStr">
        <is>
          <t>-</t>
        </is>
      </c>
      <c r="Q671" s="12" t="inlineStr">
        <is>
          <t>-</t>
        </is>
      </c>
    </row>
    <row r="672">
      <c r="A672" s="47" t="n"/>
      <c r="B672" s="13" t="inlineStr">
        <is>
          <t>-</t>
        </is>
      </c>
      <c r="C672" s="14" t="inlineStr">
        <is>
          <t>-</t>
        </is>
      </c>
      <c r="D672" s="14" t="inlineStr">
        <is>
          <t>-</t>
        </is>
      </c>
      <c r="E672" s="14" t="inlineStr">
        <is>
          <t>-</t>
        </is>
      </c>
      <c r="F672" s="14" t="inlineStr">
        <is>
          <t>-</t>
        </is>
      </c>
      <c r="G672" s="14" t="inlineStr">
        <is>
          <t>-</t>
        </is>
      </c>
      <c r="H672" s="14" t="inlineStr">
        <is>
          <t>-</t>
        </is>
      </c>
      <c r="I672" s="14" t="inlineStr">
        <is>
          <t>-</t>
        </is>
      </c>
      <c r="J672" s="14" t="inlineStr">
        <is>
          <t>-</t>
        </is>
      </c>
      <c r="K672" s="14" t="inlineStr">
        <is>
          <t>-</t>
        </is>
      </c>
      <c r="L672" s="14" t="inlineStr">
        <is>
          <t>-</t>
        </is>
      </c>
      <c r="M672" s="14" t="inlineStr">
        <is>
          <t>-</t>
        </is>
      </c>
      <c r="N672" s="14" t="inlineStr">
        <is>
          <t>-</t>
        </is>
      </c>
      <c r="O672" s="14" t="inlineStr">
        <is>
          <t>-</t>
        </is>
      </c>
      <c r="P672" s="14" t="inlineStr">
        <is>
          <t>-</t>
        </is>
      </c>
      <c r="Q672" s="15" t="inlineStr">
        <is>
          <t>-</t>
        </is>
      </c>
    </row>
    <row r="673">
      <c r="A673" s="47" t="n"/>
      <c r="B673" s="16" t="inlineStr">
        <is>
          <t>-</t>
        </is>
      </c>
      <c r="C673" s="11" t="inlineStr">
        <is>
          <t>-</t>
        </is>
      </c>
      <c r="D673" s="11" t="inlineStr">
        <is>
          <t>-</t>
        </is>
      </c>
      <c r="E673" s="11" t="inlineStr">
        <is>
          <t>-</t>
        </is>
      </c>
      <c r="F673" s="11" t="inlineStr">
        <is>
          <t>-</t>
        </is>
      </c>
      <c r="G673" s="11" t="inlineStr">
        <is>
          <t>-</t>
        </is>
      </c>
      <c r="H673" s="11" t="inlineStr">
        <is>
          <t>-</t>
        </is>
      </c>
      <c r="I673" s="11" t="inlineStr">
        <is>
          <t>-</t>
        </is>
      </c>
      <c r="J673" s="11" t="inlineStr">
        <is>
          <t>-</t>
        </is>
      </c>
      <c r="K673" s="11" t="inlineStr">
        <is>
          <t>-</t>
        </is>
      </c>
      <c r="L673" s="11" t="inlineStr">
        <is>
          <t>-</t>
        </is>
      </c>
      <c r="M673" s="11" t="inlineStr">
        <is>
          <t>-</t>
        </is>
      </c>
      <c r="N673" s="11" t="inlineStr">
        <is>
          <t>-</t>
        </is>
      </c>
      <c r="O673" s="11" t="inlineStr">
        <is>
          <t>-</t>
        </is>
      </c>
      <c r="P673" s="11" t="inlineStr">
        <is>
          <t>-</t>
        </is>
      </c>
      <c r="Q673" s="12" t="inlineStr">
        <is>
          <t>-</t>
        </is>
      </c>
    </row>
    <row r="674" ht="36" customHeight="1" s="155">
      <c r="B674" s="46" t="inlineStr">
        <is>
          <t>cornetto alla crema</t>
        </is>
      </c>
      <c r="C674" s="49">
        <f>_xlfn.XLOOKUP(A675,Magazzino!$D$1:$D$1500,Magazzino!$F$1:$F$1500,"",0,1)</f>
        <v/>
      </c>
      <c r="D674" s="50">
        <f>_xlfn.XLOOKUP(A676,Magazzino!$D$1:$D$1500,Magazzino!$F$1:$F$1500,"",0,1)</f>
        <v/>
      </c>
      <c r="E674" s="50">
        <f>_xlfn.XLOOKUP(A677,Magazzino!$D$1:$D$1500,Magazzino!$F$1:$F$1500,"",0,1)</f>
        <v/>
      </c>
      <c r="F674" s="50">
        <f>_xlfn.XLOOKUP(A678,Magazzino!$D$1:$D$1500,Magazzino!$F$1:$F$1500,"",0,1)</f>
        <v/>
      </c>
      <c r="G674" s="50">
        <f>_xlfn.XLOOKUP(A679,Magazzino!$D$1:$D$1500,Magazzino!$F$1:$F$1500,"",0,1)</f>
        <v/>
      </c>
      <c r="H674" s="50">
        <f>_xlfn.XLOOKUP(A680,Magazzino!$D$1:$D$1500,Magazzino!$F$1:$F$1500,"",0,1)</f>
        <v/>
      </c>
      <c r="I674" s="50">
        <f>_xlfn.XLOOKUP(A681,Magazzino!$D$1:$D$1500,Magazzino!$F$1:$F$1500,"",0,1)</f>
        <v/>
      </c>
      <c r="J674" s="50">
        <f>_xlfn.XLOOKUP(A682,Magazzino!$D$1:$D$1500,Magazzino!$F$1:$F$1500,"",0,1)</f>
        <v/>
      </c>
      <c r="K674" s="50">
        <f>_xlfn.XLOOKUP(A683,Magazzino!$D$1:$D$1500,Magazzino!$F$1:$F$1500,"",0,1)</f>
        <v/>
      </c>
      <c r="L674" s="50">
        <f>_xlfn.XLOOKUP(A684,Magazzino!$D$1:$D$1500,Magazzino!$F$1:$F$1500,"",0,1)</f>
        <v/>
      </c>
      <c r="M674" s="50">
        <f>_xlfn.XLOOKUP(A685,Magazzino!$D$1:$D$1500,Magazzino!$F$1:$F$1500,"",0,1)</f>
        <v/>
      </c>
      <c r="N674" s="50">
        <f>_xlfn.XLOOKUP(A686,Magazzino!$D$1:$D$1500,Magazzino!$F$1:$F$1500,"",0,1)</f>
        <v/>
      </c>
      <c r="O674" s="50">
        <f>_xlfn.XLOOKUP(A687,Magazzino!$D$1:$D$1500,Magazzino!$F$1:$F$1500,"",0,1)</f>
        <v/>
      </c>
      <c r="P674" s="50">
        <f>_xlfn.XLOOKUP(A688,Magazzino!$D$1:$D$1500,Magazzino!$F$1:$F$1500,"",0,1)</f>
        <v/>
      </c>
      <c r="Q674" s="51">
        <f>_xlfn.XLOOKUP(A689,Magazzino!$D$1:$D$1500,Magazzino!$F$1:$F$1500,"",0,1)</f>
        <v/>
      </c>
    </row>
    <row r="675">
      <c r="A675" s="47" t="inlineStr">
        <is>
          <t xml:space="preserve">FARINA 0/MAN. CAPUTO DA KG.25  </t>
        </is>
      </c>
      <c r="B675" s="16" t="inlineStr">
        <is>
          <t>-</t>
        </is>
      </c>
      <c r="C675" s="11" t="inlineStr">
        <is>
          <t>-</t>
        </is>
      </c>
      <c r="D675" s="11" t="inlineStr">
        <is>
          <t>-</t>
        </is>
      </c>
      <c r="E675" s="11" t="inlineStr">
        <is>
          <t>-</t>
        </is>
      </c>
      <c r="F675" s="11" t="inlineStr">
        <is>
          <t>-</t>
        </is>
      </c>
      <c r="G675" s="11" t="inlineStr">
        <is>
          <t>-</t>
        </is>
      </c>
      <c r="H675" s="11" t="inlineStr">
        <is>
          <t>-</t>
        </is>
      </c>
      <c r="I675" s="11" t="inlineStr">
        <is>
          <t>-</t>
        </is>
      </c>
      <c r="J675" s="11" t="inlineStr">
        <is>
          <t>-</t>
        </is>
      </c>
      <c r="K675" s="11" t="inlineStr">
        <is>
          <t>-</t>
        </is>
      </c>
      <c r="L675" s="11" t="inlineStr">
        <is>
          <t>-</t>
        </is>
      </c>
      <c r="M675" s="11" t="inlineStr">
        <is>
          <t>-</t>
        </is>
      </c>
      <c r="N675" s="11" t="inlineStr">
        <is>
          <t>-</t>
        </is>
      </c>
      <c r="O675" s="11" t="inlineStr">
        <is>
          <t>-</t>
        </is>
      </c>
      <c r="P675" s="11" t="inlineStr">
        <is>
          <t>-</t>
        </is>
      </c>
      <c r="Q675" s="12" t="inlineStr">
        <is>
          <t>-</t>
        </is>
      </c>
    </row>
    <row r="676">
      <c r="A676" s="47" t="inlineStr">
        <is>
          <t>margarina crema</t>
        </is>
      </c>
      <c r="B676" s="13" t="inlineStr">
        <is>
          <t>-</t>
        </is>
      </c>
      <c r="C676" s="14" t="inlineStr">
        <is>
          <t>-</t>
        </is>
      </c>
      <c r="D676" s="14" t="inlineStr">
        <is>
          <t>-</t>
        </is>
      </c>
      <c r="E676" s="14" t="inlineStr">
        <is>
          <t>-</t>
        </is>
      </c>
      <c r="F676" s="14" t="inlineStr">
        <is>
          <t>-</t>
        </is>
      </c>
      <c r="G676" s="14" t="inlineStr">
        <is>
          <t>-</t>
        </is>
      </c>
      <c r="H676" s="14" t="inlineStr">
        <is>
          <t>-</t>
        </is>
      </c>
      <c r="I676" s="14" t="inlineStr">
        <is>
          <t>-</t>
        </is>
      </c>
      <c r="J676" s="14" t="inlineStr">
        <is>
          <t>-</t>
        </is>
      </c>
      <c r="K676" s="14" t="inlineStr">
        <is>
          <t>-</t>
        </is>
      </c>
      <c r="L676" s="14" t="inlineStr">
        <is>
          <t>-</t>
        </is>
      </c>
      <c r="M676" s="14" t="inlineStr">
        <is>
          <t>-</t>
        </is>
      </c>
      <c r="N676" s="14" t="inlineStr">
        <is>
          <t>-</t>
        </is>
      </c>
      <c r="O676" s="14" t="inlineStr">
        <is>
          <t>-</t>
        </is>
      </c>
      <c r="P676" s="14" t="inlineStr">
        <is>
          <t>-</t>
        </is>
      </c>
      <c r="Q676" s="15" t="inlineStr">
        <is>
          <t>-</t>
        </is>
      </c>
    </row>
    <row r="677">
      <c r="A677" s="47" t="inlineStr">
        <is>
          <t>LIEVITO x 2.5kg</t>
        </is>
      </c>
      <c r="B677" s="16" t="inlineStr">
        <is>
          <t>-</t>
        </is>
      </c>
      <c r="C677" s="11" t="inlineStr">
        <is>
          <t>-</t>
        </is>
      </c>
      <c r="D677" s="11" t="inlineStr">
        <is>
          <t>-</t>
        </is>
      </c>
      <c r="E677" s="11" t="inlineStr">
        <is>
          <t>-</t>
        </is>
      </c>
      <c r="F677" s="11" t="inlineStr">
        <is>
          <t>-</t>
        </is>
      </c>
      <c r="G677" s="11" t="inlineStr">
        <is>
          <t>-</t>
        </is>
      </c>
      <c r="H677" s="11" t="inlineStr">
        <is>
          <t>-</t>
        </is>
      </c>
      <c r="I677" s="11" t="inlineStr">
        <is>
          <t>-</t>
        </is>
      </c>
      <c r="J677" s="11" t="inlineStr">
        <is>
          <t>-</t>
        </is>
      </c>
      <c r="K677" s="11" t="inlineStr">
        <is>
          <t>-</t>
        </is>
      </c>
      <c r="L677" s="11" t="inlineStr">
        <is>
          <t>-</t>
        </is>
      </c>
      <c r="M677" s="11" t="inlineStr">
        <is>
          <t>-</t>
        </is>
      </c>
      <c r="N677" s="11" t="inlineStr">
        <is>
          <t>-</t>
        </is>
      </c>
      <c r="O677" s="11" t="inlineStr">
        <is>
          <t>-</t>
        </is>
      </c>
      <c r="P677" s="11" t="inlineStr">
        <is>
          <t>-</t>
        </is>
      </c>
      <c r="Q677" s="12" t="inlineStr">
        <is>
          <t>-</t>
        </is>
      </c>
    </row>
    <row r="678">
      <c r="A678" s="47" t="inlineStr">
        <is>
          <t>tuorlo d'uovo pastorizzato</t>
        </is>
      </c>
      <c r="B678" s="13" t="inlineStr">
        <is>
          <t>-</t>
        </is>
      </c>
      <c r="C678" s="14" t="inlineStr">
        <is>
          <t>-</t>
        </is>
      </c>
      <c r="D678" s="14" t="inlineStr">
        <is>
          <t>-</t>
        </is>
      </c>
      <c r="E678" s="14" t="inlineStr">
        <is>
          <t>-</t>
        </is>
      </c>
      <c r="F678" s="14" t="inlineStr">
        <is>
          <t>-</t>
        </is>
      </c>
      <c r="G678" s="14" t="inlineStr">
        <is>
          <t>-</t>
        </is>
      </c>
      <c r="H678" s="14" t="inlineStr">
        <is>
          <t>-</t>
        </is>
      </c>
      <c r="I678" s="14" t="inlineStr">
        <is>
          <t>-</t>
        </is>
      </c>
      <c r="J678" s="14" t="inlineStr">
        <is>
          <t>-</t>
        </is>
      </c>
      <c r="K678" s="14" t="inlineStr">
        <is>
          <t>-</t>
        </is>
      </c>
      <c r="L678" s="14" t="inlineStr">
        <is>
          <t>-</t>
        </is>
      </c>
      <c r="M678" s="14" t="inlineStr">
        <is>
          <t>-</t>
        </is>
      </c>
      <c r="N678" s="14" t="inlineStr">
        <is>
          <t>-</t>
        </is>
      </c>
      <c r="O678" s="14" t="inlineStr">
        <is>
          <t>-</t>
        </is>
      </c>
      <c r="P678" s="14" t="inlineStr">
        <is>
          <t>-</t>
        </is>
      </c>
      <c r="Q678" s="15" t="inlineStr">
        <is>
          <t>-</t>
        </is>
      </c>
    </row>
    <row r="679">
      <c r="A679" s="47" t="inlineStr">
        <is>
          <t>AROMA CROISSANT</t>
        </is>
      </c>
      <c r="B679" s="16" t="inlineStr">
        <is>
          <t>-</t>
        </is>
      </c>
      <c r="C679" s="11" t="inlineStr">
        <is>
          <t>-</t>
        </is>
      </c>
      <c r="D679" s="11" t="inlineStr">
        <is>
          <t>-</t>
        </is>
      </c>
      <c r="E679" s="11" t="inlineStr">
        <is>
          <t>-</t>
        </is>
      </c>
      <c r="F679" s="11" t="inlineStr">
        <is>
          <t>-</t>
        </is>
      </c>
      <c r="G679" s="11" t="inlineStr">
        <is>
          <t>-</t>
        </is>
      </c>
      <c r="H679" s="11" t="inlineStr">
        <is>
          <t>-</t>
        </is>
      </c>
      <c r="I679" s="11" t="inlineStr">
        <is>
          <t>-</t>
        </is>
      </c>
      <c r="J679" s="11" t="inlineStr">
        <is>
          <t>-</t>
        </is>
      </c>
      <c r="K679" s="11" t="inlineStr">
        <is>
          <t>-</t>
        </is>
      </c>
      <c r="L679" s="11" t="inlineStr">
        <is>
          <t>-</t>
        </is>
      </c>
      <c r="M679" s="11" t="inlineStr">
        <is>
          <t>-</t>
        </is>
      </c>
      <c r="N679" s="11" t="inlineStr">
        <is>
          <t>-</t>
        </is>
      </c>
      <c r="O679" s="11" t="inlineStr">
        <is>
          <t>-</t>
        </is>
      </c>
      <c r="P679" s="11" t="inlineStr">
        <is>
          <t>-</t>
        </is>
      </c>
      <c r="Q679" s="12" t="inlineStr">
        <is>
          <t>-</t>
        </is>
      </c>
    </row>
    <row r="680">
      <c r="A680" s="47" t="inlineStr">
        <is>
          <t>latte   1500 int.uht  yma</t>
        </is>
      </c>
      <c r="B680" s="13" t="inlineStr">
        <is>
          <t>-</t>
        </is>
      </c>
      <c r="C680" s="14" t="inlineStr">
        <is>
          <t>-</t>
        </is>
      </c>
      <c r="D680" s="14" t="inlineStr">
        <is>
          <t>-</t>
        </is>
      </c>
      <c r="E680" s="14" t="inlineStr">
        <is>
          <t>-</t>
        </is>
      </c>
      <c r="F680" s="14" t="inlineStr">
        <is>
          <t>-</t>
        </is>
      </c>
      <c r="G680" s="14" t="inlineStr">
        <is>
          <t>-</t>
        </is>
      </c>
      <c r="H680" s="14" t="inlineStr">
        <is>
          <t>-</t>
        </is>
      </c>
      <c r="I680" s="14" t="inlineStr">
        <is>
          <t>-</t>
        </is>
      </c>
      <c r="J680" s="14" t="inlineStr">
        <is>
          <t>-</t>
        </is>
      </c>
      <c r="K680" s="14" t="inlineStr">
        <is>
          <t>-</t>
        </is>
      </c>
      <c r="L680" s="14" t="inlineStr">
        <is>
          <t>-</t>
        </is>
      </c>
      <c r="M680" s="14" t="inlineStr">
        <is>
          <t>-</t>
        </is>
      </c>
      <c r="N680" s="14" t="inlineStr">
        <is>
          <t>-</t>
        </is>
      </c>
      <c r="O680" s="14" t="inlineStr">
        <is>
          <t>-</t>
        </is>
      </c>
      <c r="P680" s="14" t="inlineStr">
        <is>
          <t>-</t>
        </is>
      </c>
      <c r="Q680" s="15" t="inlineStr">
        <is>
          <t>-</t>
        </is>
      </c>
    </row>
    <row r="681">
      <c r="A681" s="48" t="inlineStr">
        <is>
          <t xml:space="preserve">SALE SACCHI SALTECHNO KG.25  </t>
        </is>
      </c>
      <c r="B681" s="16" t="inlineStr">
        <is>
          <t>-</t>
        </is>
      </c>
      <c r="C681" s="11" t="inlineStr">
        <is>
          <t>-</t>
        </is>
      </c>
      <c r="D681" s="11" t="inlineStr">
        <is>
          <t>-</t>
        </is>
      </c>
      <c r="E681" s="11" t="inlineStr">
        <is>
          <t>-</t>
        </is>
      </c>
      <c r="F681" s="11" t="inlineStr">
        <is>
          <t>-</t>
        </is>
      </c>
      <c r="G681" s="11" t="inlineStr">
        <is>
          <t>-</t>
        </is>
      </c>
      <c r="H681" s="11" t="inlineStr">
        <is>
          <t>-</t>
        </is>
      </c>
      <c r="I681" s="11" t="inlineStr">
        <is>
          <t>-</t>
        </is>
      </c>
      <c r="J681" s="11" t="inlineStr">
        <is>
          <t>-</t>
        </is>
      </c>
      <c r="K681" s="11" t="inlineStr">
        <is>
          <t>-</t>
        </is>
      </c>
      <c r="L681" s="11" t="inlineStr">
        <is>
          <t>-</t>
        </is>
      </c>
      <c r="M681" s="11" t="inlineStr">
        <is>
          <t>-</t>
        </is>
      </c>
      <c r="N681" s="11" t="inlineStr">
        <is>
          <t>-</t>
        </is>
      </c>
      <c r="O681" s="11" t="inlineStr">
        <is>
          <t>-</t>
        </is>
      </c>
      <c r="P681" s="11" t="inlineStr">
        <is>
          <t>-</t>
        </is>
      </c>
      <c r="Q681" s="12" t="inlineStr">
        <is>
          <t>-</t>
        </is>
      </c>
    </row>
    <row r="682">
      <c r="A682" s="47" t="n"/>
      <c r="B682" s="13" t="inlineStr">
        <is>
          <t>-</t>
        </is>
      </c>
      <c r="C682" s="14" t="inlineStr">
        <is>
          <t>-</t>
        </is>
      </c>
      <c r="D682" s="14" t="inlineStr">
        <is>
          <t>-</t>
        </is>
      </c>
      <c r="E682" s="14" t="inlineStr">
        <is>
          <t>-</t>
        </is>
      </c>
      <c r="F682" s="14" t="inlineStr">
        <is>
          <t>-</t>
        </is>
      </c>
      <c r="G682" s="14" t="inlineStr">
        <is>
          <t>-</t>
        </is>
      </c>
      <c r="H682" s="14" t="inlineStr">
        <is>
          <t>-</t>
        </is>
      </c>
      <c r="I682" s="14" t="inlineStr">
        <is>
          <t>-</t>
        </is>
      </c>
      <c r="J682" s="14" t="inlineStr">
        <is>
          <t>-</t>
        </is>
      </c>
      <c r="K682" s="14" t="inlineStr">
        <is>
          <t>-</t>
        </is>
      </c>
      <c r="L682" s="14" t="inlineStr">
        <is>
          <t>-</t>
        </is>
      </c>
      <c r="M682" s="14" t="inlineStr">
        <is>
          <t>-</t>
        </is>
      </c>
      <c r="N682" s="14" t="inlineStr">
        <is>
          <t>-</t>
        </is>
      </c>
      <c r="O682" s="14" t="inlineStr">
        <is>
          <t>-</t>
        </is>
      </c>
      <c r="P682" s="14" t="inlineStr">
        <is>
          <t>-</t>
        </is>
      </c>
      <c r="Q682" s="15" t="inlineStr">
        <is>
          <t>-</t>
        </is>
      </c>
    </row>
    <row r="683">
      <c r="A683" s="47" t="n"/>
      <c r="B683" s="16" t="inlineStr">
        <is>
          <t>-</t>
        </is>
      </c>
      <c r="C683" s="11" t="inlineStr">
        <is>
          <t>-</t>
        </is>
      </c>
      <c r="D683" s="11" t="inlineStr">
        <is>
          <t>-</t>
        </is>
      </c>
      <c r="E683" s="11" t="inlineStr">
        <is>
          <t>-</t>
        </is>
      </c>
      <c r="F683" s="11" t="inlineStr">
        <is>
          <t>-</t>
        </is>
      </c>
      <c r="G683" s="11" t="inlineStr">
        <is>
          <t>-</t>
        </is>
      </c>
      <c r="H683" s="11" t="inlineStr">
        <is>
          <t>-</t>
        </is>
      </c>
      <c r="I683" s="11" t="inlineStr">
        <is>
          <t>-</t>
        </is>
      </c>
      <c r="J683" s="11" t="inlineStr">
        <is>
          <t>-</t>
        </is>
      </c>
      <c r="K683" s="11" t="inlineStr">
        <is>
          <t>-</t>
        </is>
      </c>
      <c r="L683" s="11" t="inlineStr">
        <is>
          <t>-</t>
        </is>
      </c>
      <c r="M683" s="11" t="inlineStr">
        <is>
          <t>-</t>
        </is>
      </c>
      <c r="N683" s="11" t="inlineStr">
        <is>
          <t>-</t>
        </is>
      </c>
      <c r="O683" s="11" t="inlineStr">
        <is>
          <t>-</t>
        </is>
      </c>
      <c r="P683" s="11" t="inlineStr">
        <is>
          <t>-</t>
        </is>
      </c>
      <c r="Q683" s="12" t="inlineStr">
        <is>
          <t>-</t>
        </is>
      </c>
    </row>
    <row r="684">
      <c r="A684" s="47" t="n"/>
      <c r="B684" s="13" t="inlineStr">
        <is>
          <t>-</t>
        </is>
      </c>
      <c r="C684" s="14" t="inlineStr">
        <is>
          <t>-</t>
        </is>
      </c>
      <c r="D684" s="14" t="inlineStr">
        <is>
          <t>-</t>
        </is>
      </c>
      <c r="E684" s="14" t="inlineStr">
        <is>
          <t>-</t>
        </is>
      </c>
      <c r="F684" s="14" t="inlineStr">
        <is>
          <t>-</t>
        </is>
      </c>
      <c r="G684" s="14" t="inlineStr">
        <is>
          <t>-</t>
        </is>
      </c>
      <c r="H684" s="14" t="inlineStr">
        <is>
          <t>-</t>
        </is>
      </c>
      <c r="I684" s="14" t="inlineStr">
        <is>
          <t>-</t>
        </is>
      </c>
      <c r="J684" s="14" t="inlineStr">
        <is>
          <t>-</t>
        </is>
      </c>
      <c r="K684" s="14" t="inlineStr">
        <is>
          <t>-</t>
        </is>
      </c>
      <c r="L684" s="14" t="inlineStr">
        <is>
          <t>-</t>
        </is>
      </c>
      <c r="M684" s="14" t="inlineStr">
        <is>
          <t>-</t>
        </is>
      </c>
      <c r="N684" s="14" t="inlineStr">
        <is>
          <t>-</t>
        </is>
      </c>
      <c r="O684" s="14" t="inlineStr">
        <is>
          <t>-</t>
        </is>
      </c>
      <c r="P684" s="14" t="inlineStr">
        <is>
          <t>-</t>
        </is>
      </c>
      <c r="Q684" s="15" t="inlineStr">
        <is>
          <t>-</t>
        </is>
      </c>
    </row>
    <row r="685">
      <c r="A685" s="47" t="n"/>
      <c r="B685" s="16" t="inlineStr">
        <is>
          <t>-</t>
        </is>
      </c>
      <c r="C685" s="11" t="inlineStr">
        <is>
          <t>-</t>
        </is>
      </c>
      <c r="D685" s="11" t="inlineStr">
        <is>
          <t>-</t>
        </is>
      </c>
      <c r="E685" s="11" t="inlineStr">
        <is>
          <t>-</t>
        </is>
      </c>
      <c r="F685" s="11" t="inlineStr">
        <is>
          <t>-</t>
        </is>
      </c>
      <c r="G685" s="11" t="inlineStr">
        <is>
          <t>-</t>
        </is>
      </c>
      <c r="H685" s="11" t="inlineStr">
        <is>
          <t>-</t>
        </is>
      </c>
      <c r="I685" s="11" t="inlineStr">
        <is>
          <t>-</t>
        </is>
      </c>
      <c r="J685" s="11" t="inlineStr">
        <is>
          <t>-</t>
        </is>
      </c>
      <c r="K685" s="11" t="inlineStr">
        <is>
          <t>-</t>
        </is>
      </c>
      <c r="L685" s="11" t="inlineStr">
        <is>
          <t>-</t>
        </is>
      </c>
      <c r="M685" s="11" t="inlineStr">
        <is>
          <t>-</t>
        </is>
      </c>
      <c r="N685" s="11" t="inlineStr">
        <is>
          <t>-</t>
        </is>
      </c>
      <c r="O685" s="11" t="inlineStr">
        <is>
          <t>-</t>
        </is>
      </c>
      <c r="P685" s="11" t="inlineStr">
        <is>
          <t>-</t>
        </is>
      </c>
      <c r="Q685" s="12" t="inlineStr">
        <is>
          <t>-</t>
        </is>
      </c>
    </row>
    <row r="686">
      <c r="A686" s="47" t="n"/>
      <c r="B686" s="13" t="inlineStr">
        <is>
          <t>-</t>
        </is>
      </c>
      <c r="C686" s="14" t="inlineStr">
        <is>
          <t>-</t>
        </is>
      </c>
      <c r="D686" s="14" t="inlineStr">
        <is>
          <t>-</t>
        </is>
      </c>
      <c r="E686" s="14" t="inlineStr">
        <is>
          <t>-</t>
        </is>
      </c>
      <c r="F686" s="14" t="inlineStr">
        <is>
          <t>-</t>
        </is>
      </c>
      <c r="G686" s="14" t="inlineStr">
        <is>
          <t>-</t>
        </is>
      </c>
      <c r="H686" s="14" t="inlineStr">
        <is>
          <t>-</t>
        </is>
      </c>
      <c r="I686" s="14" t="inlineStr">
        <is>
          <t>-</t>
        </is>
      </c>
      <c r="J686" s="14" t="inlineStr">
        <is>
          <t>-</t>
        </is>
      </c>
      <c r="K686" s="14" t="inlineStr">
        <is>
          <t>-</t>
        </is>
      </c>
      <c r="L686" s="14" t="inlineStr">
        <is>
          <t>-</t>
        </is>
      </c>
      <c r="M686" s="14" t="inlineStr">
        <is>
          <t>-</t>
        </is>
      </c>
      <c r="N686" s="14" t="inlineStr">
        <is>
          <t>-</t>
        </is>
      </c>
      <c r="O686" s="14" t="inlineStr">
        <is>
          <t>-</t>
        </is>
      </c>
      <c r="P686" s="14" t="inlineStr">
        <is>
          <t>-</t>
        </is>
      </c>
      <c r="Q686" s="15" t="inlineStr">
        <is>
          <t>-</t>
        </is>
      </c>
    </row>
    <row r="687">
      <c r="A687" s="47" t="n"/>
      <c r="B687" s="16" t="inlineStr">
        <is>
          <t>-</t>
        </is>
      </c>
      <c r="C687" s="11" t="inlineStr">
        <is>
          <t>-</t>
        </is>
      </c>
      <c r="D687" s="11" t="inlineStr">
        <is>
          <t>-</t>
        </is>
      </c>
      <c r="E687" s="11" t="inlineStr">
        <is>
          <t>-</t>
        </is>
      </c>
      <c r="F687" s="11" t="inlineStr">
        <is>
          <t>-</t>
        </is>
      </c>
      <c r="G687" s="11" t="inlineStr">
        <is>
          <t>-</t>
        </is>
      </c>
      <c r="H687" s="11" t="inlineStr">
        <is>
          <t>-</t>
        </is>
      </c>
      <c r="I687" s="11" t="inlineStr">
        <is>
          <t>-</t>
        </is>
      </c>
      <c r="J687" s="11" t="inlineStr">
        <is>
          <t>-</t>
        </is>
      </c>
      <c r="K687" s="11" t="inlineStr">
        <is>
          <t>-</t>
        </is>
      </c>
      <c r="L687" s="11" t="inlineStr">
        <is>
          <t>-</t>
        </is>
      </c>
      <c r="M687" s="11" t="inlineStr">
        <is>
          <t>-</t>
        </is>
      </c>
      <c r="N687" s="11" t="inlineStr">
        <is>
          <t>-</t>
        </is>
      </c>
      <c r="O687" s="11" t="inlineStr">
        <is>
          <t>-</t>
        </is>
      </c>
      <c r="P687" s="11" t="inlineStr">
        <is>
          <t>-</t>
        </is>
      </c>
      <c r="Q687" s="12" t="inlineStr">
        <is>
          <t>-</t>
        </is>
      </c>
    </row>
    <row r="688">
      <c r="A688" s="47" t="n"/>
      <c r="B688" s="13" t="inlineStr">
        <is>
          <t>-</t>
        </is>
      </c>
      <c r="C688" s="14" t="inlineStr">
        <is>
          <t>-</t>
        </is>
      </c>
      <c r="D688" s="14" t="inlineStr">
        <is>
          <t>-</t>
        </is>
      </c>
      <c r="E688" s="14" t="inlineStr">
        <is>
          <t>-</t>
        </is>
      </c>
      <c r="F688" s="14" t="inlineStr">
        <is>
          <t>-</t>
        </is>
      </c>
      <c r="G688" s="14" t="inlineStr">
        <is>
          <t>-</t>
        </is>
      </c>
      <c r="H688" s="14" t="inlineStr">
        <is>
          <t>-</t>
        </is>
      </c>
      <c r="I688" s="14" t="inlineStr">
        <is>
          <t>-</t>
        </is>
      </c>
      <c r="J688" s="14" t="inlineStr">
        <is>
          <t>-</t>
        </is>
      </c>
      <c r="K688" s="14" t="inlineStr">
        <is>
          <t>-</t>
        </is>
      </c>
      <c r="L688" s="14" t="inlineStr">
        <is>
          <t>-</t>
        </is>
      </c>
      <c r="M688" s="14" t="inlineStr">
        <is>
          <t>-</t>
        </is>
      </c>
      <c r="N688" s="14" t="inlineStr">
        <is>
          <t>-</t>
        </is>
      </c>
      <c r="O688" s="14" t="inlineStr">
        <is>
          <t>-</t>
        </is>
      </c>
      <c r="P688" s="14" t="inlineStr">
        <is>
          <t>-</t>
        </is>
      </c>
      <c r="Q688" s="15" t="inlineStr">
        <is>
          <t>-</t>
        </is>
      </c>
    </row>
    <row r="689">
      <c r="A689" s="47" t="n"/>
      <c r="B689" s="16" t="inlineStr">
        <is>
          <t>-</t>
        </is>
      </c>
      <c r="C689" s="11" t="inlineStr">
        <is>
          <t>-</t>
        </is>
      </c>
      <c r="D689" s="11" t="inlineStr">
        <is>
          <t>-</t>
        </is>
      </c>
      <c r="E689" s="11" t="inlineStr">
        <is>
          <t>-</t>
        </is>
      </c>
      <c r="F689" s="11" t="inlineStr">
        <is>
          <t>-</t>
        </is>
      </c>
      <c r="G689" s="11" t="inlineStr">
        <is>
          <t>-</t>
        </is>
      </c>
      <c r="H689" s="11" t="inlineStr">
        <is>
          <t>-</t>
        </is>
      </c>
      <c r="I689" s="11" t="inlineStr">
        <is>
          <t>-</t>
        </is>
      </c>
      <c r="J689" s="11" t="inlineStr">
        <is>
          <t>-</t>
        </is>
      </c>
      <c r="K689" s="11" t="inlineStr">
        <is>
          <t>-</t>
        </is>
      </c>
      <c r="L689" s="11" t="inlineStr">
        <is>
          <t>-</t>
        </is>
      </c>
      <c r="M689" s="11" t="inlineStr">
        <is>
          <t>-</t>
        </is>
      </c>
      <c r="N689" s="11" t="inlineStr">
        <is>
          <t>-</t>
        </is>
      </c>
      <c r="O689" s="11" t="inlineStr">
        <is>
          <t>-</t>
        </is>
      </c>
      <c r="P689" s="11" t="inlineStr">
        <is>
          <t>-</t>
        </is>
      </c>
      <c r="Q689" s="12" t="inlineStr">
        <is>
          <t>-</t>
        </is>
      </c>
    </row>
    <row r="690" ht="36" customHeight="1" s="155">
      <c r="B690" s="46" t="inlineStr">
        <is>
          <t>cornetto alla crema amarena</t>
        </is>
      </c>
      <c r="C690" s="49">
        <f>_xlfn.XLOOKUP(A691,Magazzino!$D$1:$D$1500,Magazzino!$F$1:$F$1500,"",0,1)</f>
        <v/>
      </c>
      <c r="D690" s="50">
        <f>_xlfn.XLOOKUP(A692,Magazzino!$D$1:$D$1500,Magazzino!$F$1:$F$1500,"",0,1)</f>
        <v/>
      </c>
      <c r="E690" s="50">
        <f>_xlfn.XLOOKUP(A693,Magazzino!$D$1:$D$1500,Magazzino!$F$1:$F$1500,"",0,1)</f>
        <v/>
      </c>
      <c r="F690" s="50">
        <f>_xlfn.XLOOKUP(A694,Magazzino!$D$1:$D$1500,Magazzino!$F$1:$F$1500,"",0,1)</f>
        <v/>
      </c>
      <c r="G690" s="50">
        <f>_xlfn.XLOOKUP(A695,Magazzino!$D$1:$D$1500,Magazzino!$F$1:$F$1500,"",0,1)</f>
        <v/>
      </c>
      <c r="H690" s="50">
        <f>_xlfn.XLOOKUP(A696,Magazzino!$D$1:$D$1500,Magazzino!$F$1:$F$1500,"",0,1)</f>
        <v/>
      </c>
      <c r="I690" s="50">
        <f>_xlfn.XLOOKUP(A697,Magazzino!$D$1:$D$1500,Magazzino!$F$1:$F$1500,"",0,1)</f>
        <v/>
      </c>
      <c r="J690" s="50">
        <f>_xlfn.XLOOKUP(A698,Magazzino!$D$1:$D$1500,Magazzino!$F$1:$F$1500,"",0,1)</f>
        <v/>
      </c>
      <c r="K690" s="50">
        <f>_xlfn.XLOOKUP(A699,Magazzino!$D$1:$D$1500,Magazzino!$F$1:$F$1500,"",0,1)</f>
        <v/>
      </c>
      <c r="L690" s="50">
        <f>_xlfn.XLOOKUP(A700,Magazzino!$D$1:$D$1500,Magazzino!$F$1:$F$1500,"",0,1)</f>
        <v/>
      </c>
      <c r="M690" s="50">
        <f>_xlfn.XLOOKUP(A701,Magazzino!$D$1:$D$1500,Magazzino!$F$1:$F$1500,"",0,1)</f>
        <v/>
      </c>
      <c r="N690" s="50">
        <f>_xlfn.XLOOKUP(A702,Magazzino!$D$1:$D$1500,Magazzino!$F$1:$F$1500,"",0,1)</f>
        <v/>
      </c>
      <c r="O690" s="50">
        <f>_xlfn.XLOOKUP(A703,Magazzino!$D$1:$D$1500,Magazzino!$F$1:$F$1500,"",0,1)</f>
        <v/>
      </c>
      <c r="P690" s="50">
        <f>_xlfn.XLOOKUP(A704,Magazzino!$D$1:$D$1500,Magazzino!$F$1:$F$1500,"",0,1)</f>
        <v/>
      </c>
      <c r="Q690" s="51">
        <f>_xlfn.XLOOKUP(A705,Magazzino!$D$1:$D$1500,Magazzino!$F$1:$F$1500,"",0,1)</f>
        <v/>
      </c>
    </row>
    <row r="691">
      <c r="A691" s="47" t="inlineStr">
        <is>
          <t xml:space="preserve">FARINA 0/MAN. CAPUTO DA KG.25  </t>
        </is>
      </c>
      <c r="B691" s="16" t="inlineStr">
        <is>
          <t>-</t>
        </is>
      </c>
      <c r="C691" s="11" t="inlineStr">
        <is>
          <t>-</t>
        </is>
      </c>
      <c r="D691" s="11" t="inlineStr">
        <is>
          <t>-</t>
        </is>
      </c>
      <c r="E691" s="11" t="inlineStr">
        <is>
          <t>-</t>
        </is>
      </c>
      <c r="F691" s="11" t="inlineStr">
        <is>
          <t>-</t>
        </is>
      </c>
      <c r="G691" s="11" t="inlineStr">
        <is>
          <t>-</t>
        </is>
      </c>
      <c r="H691" s="11" t="inlineStr">
        <is>
          <t>-</t>
        </is>
      </c>
      <c r="I691" s="11" t="inlineStr">
        <is>
          <t>-</t>
        </is>
      </c>
      <c r="J691" s="11" t="inlineStr">
        <is>
          <t>-</t>
        </is>
      </c>
      <c r="K691" s="11" t="inlineStr">
        <is>
          <t>-</t>
        </is>
      </c>
      <c r="L691" s="11" t="inlineStr">
        <is>
          <t>-</t>
        </is>
      </c>
      <c r="M691" s="11" t="inlineStr">
        <is>
          <t>-</t>
        </is>
      </c>
      <c r="N691" s="11" t="inlineStr">
        <is>
          <t>-</t>
        </is>
      </c>
      <c r="O691" s="11" t="inlineStr">
        <is>
          <t>-</t>
        </is>
      </c>
      <c r="P691" s="11" t="inlineStr">
        <is>
          <t>-</t>
        </is>
      </c>
      <c r="Q691" s="12" t="inlineStr">
        <is>
          <t>-</t>
        </is>
      </c>
    </row>
    <row r="692">
      <c r="A692" s="47" t="inlineStr">
        <is>
          <t>margarina crema</t>
        </is>
      </c>
      <c r="B692" s="13" t="inlineStr">
        <is>
          <t>-</t>
        </is>
      </c>
      <c r="C692" s="14" t="inlineStr">
        <is>
          <t>-</t>
        </is>
      </c>
      <c r="D692" s="14" t="inlineStr">
        <is>
          <t>-</t>
        </is>
      </c>
      <c r="E692" s="14" t="inlineStr">
        <is>
          <t>-</t>
        </is>
      </c>
      <c r="F692" s="14" t="inlineStr">
        <is>
          <t>-</t>
        </is>
      </c>
      <c r="G692" s="14" t="inlineStr">
        <is>
          <t>-</t>
        </is>
      </c>
      <c r="H692" s="14" t="inlineStr">
        <is>
          <t>-</t>
        </is>
      </c>
      <c r="I692" s="14" t="inlineStr">
        <is>
          <t>-</t>
        </is>
      </c>
      <c r="J692" s="14" t="inlineStr">
        <is>
          <t>-</t>
        </is>
      </c>
      <c r="K692" s="14" t="inlineStr">
        <is>
          <t>-</t>
        </is>
      </c>
      <c r="L692" s="14" t="inlineStr">
        <is>
          <t>-</t>
        </is>
      </c>
      <c r="M692" s="14" t="inlineStr">
        <is>
          <t>-</t>
        </is>
      </c>
      <c r="N692" s="14" t="inlineStr">
        <is>
          <t>-</t>
        </is>
      </c>
      <c r="O692" s="14" t="inlineStr">
        <is>
          <t>-</t>
        </is>
      </c>
      <c r="P692" s="14" t="inlineStr">
        <is>
          <t>-</t>
        </is>
      </c>
      <c r="Q692" s="15" t="inlineStr">
        <is>
          <t>-</t>
        </is>
      </c>
    </row>
    <row r="693">
      <c r="A693" s="47" t="inlineStr">
        <is>
          <t>LIEVITO x 2.5kg</t>
        </is>
      </c>
      <c r="B693" s="16" t="inlineStr">
        <is>
          <t>-</t>
        </is>
      </c>
      <c r="C693" s="11" t="inlineStr">
        <is>
          <t>-</t>
        </is>
      </c>
      <c r="D693" s="11" t="inlineStr">
        <is>
          <t>-</t>
        </is>
      </c>
      <c r="E693" s="11" t="inlineStr">
        <is>
          <t>-</t>
        </is>
      </c>
      <c r="F693" s="11" t="inlineStr">
        <is>
          <t>-</t>
        </is>
      </c>
      <c r="G693" s="11" t="inlineStr">
        <is>
          <t>-</t>
        </is>
      </c>
      <c r="H693" s="11" t="inlineStr">
        <is>
          <t>-</t>
        </is>
      </c>
      <c r="I693" s="11" t="inlineStr">
        <is>
          <t>-</t>
        </is>
      </c>
      <c r="J693" s="11" t="inlineStr">
        <is>
          <t>-</t>
        </is>
      </c>
      <c r="K693" s="11" t="inlineStr">
        <is>
          <t>-</t>
        </is>
      </c>
      <c r="L693" s="11" t="inlineStr">
        <is>
          <t>-</t>
        </is>
      </c>
      <c r="M693" s="11" t="inlineStr">
        <is>
          <t>-</t>
        </is>
      </c>
      <c r="N693" s="11" t="inlineStr">
        <is>
          <t>-</t>
        </is>
      </c>
      <c r="O693" s="11" t="inlineStr">
        <is>
          <t>-</t>
        </is>
      </c>
      <c r="P693" s="11" t="inlineStr">
        <is>
          <t>-</t>
        </is>
      </c>
      <c r="Q693" s="12" t="inlineStr">
        <is>
          <t>-</t>
        </is>
      </c>
    </row>
    <row r="694">
      <c r="A694" s="47" t="inlineStr">
        <is>
          <t>uova</t>
        </is>
      </c>
      <c r="B694" s="13" t="inlineStr">
        <is>
          <t>-</t>
        </is>
      </c>
      <c r="C694" s="14" t="inlineStr">
        <is>
          <t>-</t>
        </is>
      </c>
      <c r="D694" s="14" t="inlineStr">
        <is>
          <t>-</t>
        </is>
      </c>
      <c r="E694" s="14" t="inlineStr">
        <is>
          <t>-</t>
        </is>
      </c>
      <c r="F694" s="14" t="inlineStr">
        <is>
          <t>-</t>
        </is>
      </c>
      <c r="G694" s="14" t="inlineStr">
        <is>
          <t>-</t>
        </is>
      </c>
      <c r="H694" s="14" t="inlineStr">
        <is>
          <t>-</t>
        </is>
      </c>
      <c r="I694" s="14" t="inlineStr">
        <is>
          <t>-</t>
        </is>
      </c>
      <c r="J694" s="14" t="inlineStr">
        <is>
          <t>-</t>
        </is>
      </c>
      <c r="K694" s="14" t="inlineStr">
        <is>
          <t>-</t>
        </is>
      </c>
      <c r="L694" s="14" t="inlineStr">
        <is>
          <t>-</t>
        </is>
      </c>
      <c r="M694" s="14" t="inlineStr">
        <is>
          <t>-</t>
        </is>
      </c>
      <c r="N694" s="14" t="inlineStr">
        <is>
          <t>-</t>
        </is>
      </c>
      <c r="O694" s="14" t="inlineStr">
        <is>
          <t>-</t>
        </is>
      </c>
      <c r="P694" s="14" t="inlineStr">
        <is>
          <t>-</t>
        </is>
      </c>
      <c r="Q694" s="15" t="inlineStr">
        <is>
          <t>-</t>
        </is>
      </c>
    </row>
    <row r="695">
      <c r="A695" s="47" t="inlineStr">
        <is>
          <t>AROMA CROISSANT</t>
        </is>
      </c>
      <c r="B695" s="16" t="inlineStr">
        <is>
          <t>-</t>
        </is>
      </c>
      <c r="C695" s="11" t="inlineStr">
        <is>
          <t>-</t>
        </is>
      </c>
      <c r="D695" s="11" t="inlineStr">
        <is>
          <t>-</t>
        </is>
      </c>
      <c r="E695" s="11" t="inlineStr">
        <is>
          <t>-</t>
        </is>
      </c>
      <c r="F695" s="11" t="inlineStr">
        <is>
          <t>-</t>
        </is>
      </c>
      <c r="G695" s="11" t="inlineStr">
        <is>
          <t>-</t>
        </is>
      </c>
      <c r="H695" s="11" t="inlineStr">
        <is>
          <t>-</t>
        </is>
      </c>
      <c r="I695" s="11" t="inlineStr">
        <is>
          <t>-</t>
        </is>
      </c>
      <c r="J695" s="11" t="inlineStr">
        <is>
          <t>-</t>
        </is>
      </c>
      <c r="K695" s="11" t="inlineStr">
        <is>
          <t>-</t>
        </is>
      </c>
      <c r="L695" s="11" t="inlineStr">
        <is>
          <t>-</t>
        </is>
      </c>
      <c r="M695" s="11" t="inlineStr">
        <is>
          <t>-</t>
        </is>
      </c>
      <c r="N695" s="11" t="inlineStr">
        <is>
          <t>-</t>
        </is>
      </c>
      <c r="O695" s="11" t="inlineStr">
        <is>
          <t>-</t>
        </is>
      </c>
      <c r="P695" s="11" t="inlineStr">
        <is>
          <t>-</t>
        </is>
      </c>
      <c r="Q695" s="12" t="inlineStr">
        <is>
          <t>-</t>
        </is>
      </c>
    </row>
    <row r="696">
      <c r="A696" s="47" t="inlineStr">
        <is>
          <t>latte   1500 int.uht  yma</t>
        </is>
      </c>
      <c r="B696" s="13" t="inlineStr">
        <is>
          <t>-</t>
        </is>
      </c>
      <c r="C696" s="14" t="inlineStr">
        <is>
          <t>-</t>
        </is>
      </c>
      <c r="D696" s="14" t="inlineStr">
        <is>
          <t>-</t>
        </is>
      </c>
      <c r="E696" s="14" t="inlineStr">
        <is>
          <t>-</t>
        </is>
      </c>
      <c r="F696" s="14" t="inlineStr">
        <is>
          <t>-</t>
        </is>
      </c>
      <c r="G696" s="14" t="inlineStr">
        <is>
          <t>-</t>
        </is>
      </c>
      <c r="H696" s="14" t="inlineStr">
        <is>
          <t>-</t>
        </is>
      </c>
      <c r="I696" s="14" t="inlineStr">
        <is>
          <t>-</t>
        </is>
      </c>
      <c r="J696" s="14" t="inlineStr">
        <is>
          <t>-</t>
        </is>
      </c>
      <c r="K696" s="14" t="inlineStr">
        <is>
          <t>-</t>
        </is>
      </c>
      <c r="L696" s="14" t="inlineStr">
        <is>
          <t>-</t>
        </is>
      </c>
      <c r="M696" s="14" t="inlineStr">
        <is>
          <t>-</t>
        </is>
      </c>
      <c r="N696" s="14" t="inlineStr">
        <is>
          <t>-</t>
        </is>
      </c>
      <c r="O696" s="14" t="inlineStr">
        <is>
          <t>-</t>
        </is>
      </c>
      <c r="P696" s="14" t="inlineStr">
        <is>
          <t>-</t>
        </is>
      </c>
      <c r="Q696" s="15" t="inlineStr">
        <is>
          <t>-</t>
        </is>
      </c>
    </row>
    <row r="697">
      <c r="A697" s="48" t="inlineStr">
        <is>
          <t xml:space="preserve">SALE SACCHI SALTECHNO KG.25  </t>
        </is>
      </c>
      <c r="B697" s="16" t="inlineStr">
        <is>
          <t>-</t>
        </is>
      </c>
      <c r="C697" s="11" t="inlineStr">
        <is>
          <t>-</t>
        </is>
      </c>
      <c r="D697" s="11" t="inlineStr">
        <is>
          <t>-</t>
        </is>
      </c>
      <c r="E697" s="11" t="inlineStr">
        <is>
          <t>-</t>
        </is>
      </c>
      <c r="F697" s="11" t="inlineStr">
        <is>
          <t>-</t>
        </is>
      </c>
      <c r="G697" s="11" t="inlineStr">
        <is>
          <t>-</t>
        </is>
      </c>
      <c r="H697" s="11" t="inlineStr">
        <is>
          <t>-</t>
        </is>
      </c>
      <c r="I697" s="11" t="inlineStr">
        <is>
          <t>-</t>
        </is>
      </c>
      <c r="J697" s="11" t="inlineStr">
        <is>
          <t>-</t>
        </is>
      </c>
      <c r="K697" s="11" t="inlineStr">
        <is>
          <t>-</t>
        </is>
      </c>
      <c r="L697" s="11" t="inlineStr">
        <is>
          <t>-</t>
        </is>
      </c>
      <c r="M697" s="11" t="inlineStr">
        <is>
          <t>-</t>
        </is>
      </c>
      <c r="N697" s="11" t="inlineStr">
        <is>
          <t>-</t>
        </is>
      </c>
      <c r="O697" s="11" t="inlineStr">
        <is>
          <t>-</t>
        </is>
      </c>
      <c r="P697" s="11" t="inlineStr">
        <is>
          <t>-</t>
        </is>
      </c>
      <c r="Q697" s="12" t="inlineStr">
        <is>
          <t>-</t>
        </is>
      </c>
    </row>
    <row r="698">
      <c r="A698" s="47" t="inlineStr">
        <is>
          <t>amido</t>
        </is>
      </c>
      <c r="B698" s="13" t="inlineStr">
        <is>
          <t>-</t>
        </is>
      </c>
      <c r="C698" s="14" t="inlineStr">
        <is>
          <t>-</t>
        </is>
      </c>
      <c r="D698" s="14" t="inlineStr">
        <is>
          <t>-</t>
        </is>
      </c>
      <c r="E698" s="14" t="inlineStr">
        <is>
          <t>-</t>
        </is>
      </c>
      <c r="F698" s="14" t="inlineStr">
        <is>
          <t>-</t>
        </is>
      </c>
      <c r="G698" s="14" t="inlineStr">
        <is>
          <t>-</t>
        </is>
      </c>
      <c r="H698" s="14" t="inlineStr">
        <is>
          <t>-</t>
        </is>
      </c>
      <c r="I698" s="14" t="inlineStr">
        <is>
          <t>-</t>
        </is>
      </c>
      <c r="J698" s="14" t="inlineStr">
        <is>
          <t>-</t>
        </is>
      </c>
      <c r="K698" s="14" t="inlineStr">
        <is>
          <t>-</t>
        </is>
      </c>
      <c r="L698" s="14" t="inlineStr">
        <is>
          <t>-</t>
        </is>
      </c>
      <c r="M698" s="14" t="inlineStr">
        <is>
          <t>-</t>
        </is>
      </c>
      <c r="N698" s="14" t="inlineStr">
        <is>
          <t>-</t>
        </is>
      </c>
      <c r="O698" s="14" t="inlineStr">
        <is>
          <t>-</t>
        </is>
      </c>
      <c r="P698" s="14" t="inlineStr">
        <is>
          <t>-</t>
        </is>
      </c>
      <c r="Q698" s="15" t="inlineStr">
        <is>
          <t>-</t>
        </is>
      </c>
    </row>
    <row r="699" ht="24" customHeight="1" s="155">
      <c r="A699" s="47" t="inlineStr">
        <is>
          <t xml:space="preserve">AMARENA NATURALE INTERA IN SCIROPPO DA KG 3  </t>
        </is>
      </c>
      <c r="B699" s="16" t="inlineStr">
        <is>
          <t>-</t>
        </is>
      </c>
      <c r="C699" s="11" t="inlineStr">
        <is>
          <t>-</t>
        </is>
      </c>
      <c r="D699" s="11" t="inlineStr">
        <is>
          <t>-</t>
        </is>
      </c>
      <c r="E699" s="11" t="inlineStr">
        <is>
          <t>-</t>
        </is>
      </c>
      <c r="F699" s="11" t="inlineStr">
        <is>
          <t>-</t>
        </is>
      </c>
      <c r="G699" s="11" t="inlineStr">
        <is>
          <t>-</t>
        </is>
      </c>
      <c r="H699" s="11" t="inlineStr">
        <is>
          <t>-</t>
        </is>
      </c>
      <c r="I699" s="11" t="inlineStr">
        <is>
          <t>-</t>
        </is>
      </c>
      <c r="J699" s="11" t="inlineStr">
        <is>
          <t>-</t>
        </is>
      </c>
      <c r="K699" s="11" t="inlineStr">
        <is>
          <t>-</t>
        </is>
      </c>
      <c r="L699" s="11" t="inlineStr">
        <is>
          <t>-</t>
        </is>
      </c>
      <c r="M699" s="11" t="inlineStr">
        <is>
          <t>-</t>
        </is>
      </c>
      <c r="N699" s="11" t="inlineStr">
        <is>
          <t>-</t>
        </is>
      </c>
      <c r="O699" s="11" t="inlineStr">
        <is>
          <t>-</t>
        </is>
      </c>
      <c r="P699" s="11" t="inlineStr">
        <is>
          <t>-</t>
        </is>
      </c>
      <c r="Q699" s="12" t="inlineStr">
        <is>
          <t>-</t>
        </is>
      </c>
    </row>
    <row r="700">
      <c r="A700" s="47" t="n"/>
      <c r="B700" s="13" t="inlineStr">
        <is>
          <t>-</t>
        </is>
      </c>
      <c r="C700" s="14" t="inlineStr">
        <is>
          <t>-</t>
        </is>
      </c>
      <c r="D700" s="14" t="inlineStr">
        <is>
          <t>-</t>
        </is>
      </c>
      <c r="E700" s="14" t="inlineStr">
        <is>
          <t>-</t>
        </is>
      </c>
      <c r="F700" s="14" t="inlineStr">
        <is>
          <t>-</t>
        </is>
      </c>
      <c r="G700" s="14" t="inlineStr">
        <is>
          <t>-</t>
        </is>
      </c>
      <c r="H700" s="14" t="inlineStr">
        <is>
          <t>-</t>
        </is>
      </c>
      <c r="I700" s="14" t="inlineStr">
        <is>
          <t>-</t>
        </is>
      </c>
      <c r="J700" s="14" t="inlineStr">
        <is>
          <t>-</t>
        </is>
      </c>
      <c r="K700" s="14" t="inlineStr">
        <is>
          <t>-</t>
        </is>
      </c>
      <c r="L700" s="14" t="inlineStr">
        <is>
          <t>-</t>
        </is>
      </c>
      <c r="M700" s="14" t="inlineStr">
        <is>
          <t>-</t>
        </is>
      </c>
      <c r="N700" s="14" t="inlineStr">
        <is>
          <t>-</t>
        </is>
      </c>
      <c r="O700" s="14" t="inlineStr">
        <is>
          <t>-</t>
        </is>
      </c>
      <c r="P700" s="14" t="inlineStr">
        <is>
          <t>-</t>
        </is>
      </c>
      <c r="Q700" s="15" t="inlineStr">
        <is>
          <t>-</t>
        </is>
      </c>
    </row>
    <row r="701">
      <c r="A701" s="47" t="n"/>
      <c r="B701" s="16" t="inlineStr">
        <is>
          <t>-</t>
        </is>
      </c>
      <c r="C701" s="11" t="inlineStr">
        <is>
          <t>-</t>
        </is>
      </c>
      <c r="D701" s="11" t="inlineStr">
        <is>
          <t>-</t>
        </is>
      </c>
      <c r="E701" s="11" t="inlineStr">
        <is>
          <t>-</t>
        </is>
      </c>
      <c r="F701" s="11" t="inlineStr">
        <is>
          <t>-</t>
        </is>
      </c>
      <c r="G701" s="11" t="inlineStr">
        <is>
          <t>-</t>
        </is>
      </c>
      <c r="H701" s="11" t="inlineStr">
        <is>
          <t>-</t>
        </is>
      </c>
      <c r="I701" s="11" t="inlineStr">
        <is>
          <t>-</t>
        </is>
      </c>
      <c r="J701" s="11" t="inlineStr">
        <is>
          <t>-</t>
        </is>
      </c>
      <c r="K701" s="11" t="inlineStr">
        <is>
          <t>-</t>
        </is>
      </c>
      <c r="L701" s="11" t="inlineStr">
        <is>
          <t>-</t>
        </is>
      </c>
      <c r="M701" s="11" t="inlineStr">
        <is>
          <t>-</t>
        </is>
      </c>
      <c r="N701" s="11" t="inlineStr">
        <is>
          <t>-</t>
        </is>
      </c>
      <c r="O701" s="11" t="inlineStr">
        <is>
          <t>-</t>
        </is>
      </c>
      <c r="P701" s="11" t="inlineStr">
        <is>
          <t>-</t>
        </is>
      </c>
      <c r="Q701" s="12" t="inlineStr">
        <is>
          <t>-</t>
        </is>
      </c>
    </row>
    <row r="702">
      <c r="A702" s="47" t="n"/>
      <c r="B702" s="13" t="inlineStr">
        <is>
          <t>-</t>
        </is>
      </c>
      <c r="C702" s="14" t="inlineStr">
        <is>
          <t>-</t>
        </is>
      </c>
      <c r="D702" s="14" t="inlineStr">
        <is>
          <t>-</t>
        </is>
      </c>
      <c r="E702" s="14" t="inlineStr">
        <is>
          <t>-</t>
        </is>
      </c>
      <c r="F702" s="14" t="inlineStr">
        <is>
          <t>-</t>
        </is>
      </c>
      <c r="G702" s="14" t="inlineStr">
        <is>
          <t>-</t>
        </is>
      </c>
      <c r="H702" s="14" t="inlineStr">
        <is>
          <t>-</t>
        </is>
      </c>
      <c r="I702" s="14" t="inlineStr">
        <is>
          <t>-</t>
        </is>
      </c>
      <c r="J702" s="14" t="inlineStr">
        <is>
          <t>-</t>
        </is>
      </c>
      <c r="K702" s="14" t="inlineStr">
        <is>
          <t>-</t>
        </is>
      </c>
      <c r="L702" s="14" t="inlineStr">
        <is>
          <t>-</t>
        </is>
      </c>
      <c r="M702" s="14" t="inlineStr">
        <is>
          <t>-</t>
        </is>
      </c>
      <c r="N702" s="14" t="inlineStr">
        <is>
          <t>-</t>
        </is>
      </c>
      <c r="O702" s="14" t="inlineStr">
        <is>
          <t>-</t>
        </is>
      </c>
      <c r="P702" s="14" t="inlineStr">
        <is>
          <t>-</t>
        </is>
      </c>
      <c r="Q702" s="15" t="inlineStr">
        <is>
          <t>-</t>
        </is>
      </c>
    </row>
    <row r="703">
      <c r="A703" s="47" t="n"/>
      <c r="B703" s="16" t="inlineStr">
        <is>
          <t>-</t>
        </is>
      </c>
      <c r="C703" s="11" t="inlineStr">
        <is>
          <t>-</t>
        </is>
      </c>
      <c r="D703" s="11" t="inlineStr">
        <is>
          <t>-</t>
        </is>
      </c>
      <c r="E703" s="11" t="inlineStr">
        <is>
          <t>-</t>
        </is>
      </c>
      <c r="F703" s="11" t="inlineStr">
        <is>
          <t>-</t>
        </is>
      </c>
      <c r="G703" s="11" t="inlineStr">
        <is>
          <t>-</t>
        </is>
      </c>
      <c r="H703" s="11" t="inlineStr">
        <is>
          <t>-</t>
        </is>
      </c>
      <c r="I703" s="11" t="inlineStr">
        <is>
          <t>-</t>
        </is>
      </c>
      <c r="J703" s="11" t="inlineStr">
        <is>
          <t>-</t>
        </is>
      </c>
      <c r="K703" s="11" t="inlineStr">
        <is>
          <t>-</t>
        </is>
      </c>
      <c r="L703" s="11" t="inlineStr">
        <is>
          <t>-</t>
        </is>
      </c>
      <c r="M703" s="11" t="inlineStr">
        <is>
          <t>-</t>
        </is>
      </c>
      <c r="N703" s="11" t="inlineStr">
        <is>
          <t>-</t>
        </is>
      </c>
      <c r="O703" s="11" t="inlineStr">
        <is>
          <t>-</t>
        </is>
      </c>
      <c r="P703" s="11" t="inlineStr">
        <is>
          <t>-</t>
        </is>
      </c>
      <c r="Q703" s="12" t="inlineStr">
        <is>
          <t>-</t>
        </is>
      </c>
    </row>
    <row r="704">
      <c r="A704" s="47" t="n"/>
      <c r="B704" s="13" t="inlineStr">
        <is>
          <t>-</t>
        </is>
      </c>
      <c r="C704" s="14" t="inlineStr">
        <is>
          <t>-</t>
        </is>
      </c>
      <c r="D704" s="14" t="inlineStr">
        <is>
          <t>-</t>
        </is>
      </c>
      <c r="E704" s="14" t="inlineStr">
        <is>
          <t>-</t>
        </is>
      </c>
      <c r="F704" s="14" t="inlineStr">
        <is>
          <t>-</t>
        </is>
      </c>
      <c r="G704" s="14" t="inlineStr">
        <is>
          <t>-</t>
        </is>
      </c>
      <c r="H704" s="14" t="inlineStr">
        <is>
          <t>-</t>
        </is>
      </c>
      <c r="I704" s="14" t="inlineStr">
        <is>
          <t>-</t>
        </is>
      </c>
      <c r="J704" s="14" t="inlineStr">
        <is>
          <t>-</t>
        </is>
      </c>
      <c r="K704" s="14" t="inlineStr">
        <is>
          <t>-</t>
        </is>
      </c>
      <c r="L704" s="14" t="inlineStr">
        <is>
          <t>-</t>
        </is>
      </c>
      <c r="M704" s="14" t="inlineStr">
        <is>
          <t>-</t>
        </is>
      </c>
      <c r="N704" s="14" t="inlineStr">
        <is>
          <t>-</t>
        </is>
      </c>
      <c r="O704" s="14" t="inlineStr">
        <is>
          <t>-</t>
        </is>
      </c>
      <c r="P704" s="14" t="inlineStr">
        <is>
          <t>-</t>
        </is>
      </c>
      <c r="Q704" s="15" t="inlineStr">
        <is>
          <t>-</t>
        </is>
      </c>
    </row>
    <row r="705">
      <c r="A705" s="47" t="n"/>
      <c r="B705" s="16" t="inlineStr">
        <is>
          <t>-</t>
        </is>
      </c>
      <c r="C705" s="11" t="inlineStr">
        <is>
          <t>-</t>
        </is>
      </c>
      <c r="D705" s="11" t="inlineStr">
        <is>
          <t>-</t>
        </is>
      </c>
      <c r="E705" s="11" t="inlineStr">
        <is>
          <t>-</t>
        </is>
      </c>
      <c r="F705" s="11" t="inlineStr">
        <is>
          <t>-</t>
        </is>
      </c>
      <c r="G705" s="11" t="inlineStr">
        <is>
          <t>-</t>
        </is>
      </c>
      <c r="H705" s="11" t="inlineStr">
        <is>
          <t>-</t>
        </is>
      </c>
      <c r="I705" s="11" t="inlineStr">
        <is>
          <t>-</t>
        </is>
      </c>
      <c r="J705" s="11" t="inlineStr">
        <is>
          <t>-</t>
        </is>
      </c>
      <c r="K705" s="11" t="inlineStr">
        <is>
          <t>-</t>
        </is>
      </c>
      <c r="L705" s="11" t="inlineStr">
        <is>
          <t>-</t>
        </is>
      </c>
      <c r="M705" s="11" t="inlineStr">
        <is>
          <t>-</t>
        </is>
      </c>
      <c r="N705" s="11" t="inlineStr">
        <is>
          <t>-</t>
        </is>
      </c>
      <c r="O705" s="11" t="inlineStr">
        <is>
          <t>-</t>
        </is>
      </c>
      <c r="P705" s="11" t="inlineStr">
        <is>
          <t>-</t>
        </is>
      </c>
      <c r="Q705" s="12" t="inlineStr">
        <is>
          <t>-</t>
        </is>
      </c>
    </row>
    <row r="706" ht="36" customHeight="1" s="155">
      <c r="B706" s="46" t="inlineStr">
        <is>
          <t>cornetto brioche</t>
        </is>
      </c>
      <c r="C706" s="49">
        <f>_xlfn.XLOOKUP(A707,Magazzino!$D$1:$D$1500,Magazzino!$F$1:$F$1500,"",0,1)</f>
        <v/>
      </c>
      <c r="D706" s="50">
        <f>_xlfn.XLOOKUP(A708,Magazzino!$D$1:$D$1500,Magazzino!$F$1:$F$1500,"",0,1)</f>
        <v/>
      </c>
      <c r="E706" s="50">
        <f>_xlfn.XLOOKUP(A709,Magazzino!$D$1:$D$1500,Magazzino!$F$1:$F$1500,"",0,1)</f>
        <v/>
      </c>
      <c r="F706" s="50">
        <f>_xlfn.XLOOKUP(A710,Magazzino!$D$1:$D$1500,Magazzino!$F$1:$F$1500,"",0,1)</f>
        <v/>
      </c>
      <c r="G706" s="50">
        <f>_xlfn.XLOOKUP(A711,Magazzino!$D$1:$D$1500,Magazzino!$F$1:$F$1500,"",0,1)</f>
        <v/>
      </c>
      <c r="H706" s="50">
        <f>_xlfn.XLOOKUP(A712,Magazzino!$D$1:$D$1500,Magazzino!$F$1:$F$1500,"",0,1)</f>
        <v/>
      </c>
      <c r="I706" s="50">
        <f>_xlfn.XLOOKUP(A713,Magazzino!$D$1:$D$1500,Magazzino!$F$1:$F$1500,"",0,1)</f>
        <v/>
      </c>
      <c r="J706" s="50">
        <f>_xlfn.XLOOKUP(A714,Magazzino!$D$1:$D$1500,Magazzino!$F$1:$F$1500,"",0,1)</f>
        <v/>
      </c>
      <c r="K706" s="50">
        <f>_xlfn.XLOOKUP(A715,Magazzino!$D$1:$D$1500,Magazzino!$F$1:$F$1500,"",0,1)</f>
        <v/>
      </c>
      <c r="L706" s="50">
        <f>_xlfn.XLOOKUP(A716,Magazzino!$D$1:$D$1500,Magazzino!$F$1:$F$1500,"",0,1)</f>
        <v/>
      </c>
      <c r="M706" s="50">
        <f>_xlfn.XLOOKUP(A717,Magazzino!$D$1:$D$1500,Magazzino!$F$1:$F$1500,"",0,1)</f>
        <v/>
      </c>
      <c r="N706" s="50">
        <f>_xlfn.XLOOKUP(A718,Magazzino!$D$1:$D$1500,Magazzino!$F$1:$F$1500,"",0,1)</f>
        <v/>
      </c>
      <c r="O706" s="50">
        <f>_xlfn.XLOOKUP(A719,Magazzino!$D$1:$D$1500,Magazzino!$F$1:$F$1500,"",0,1)</f>
        <v/>
      </c>
      <c r="P706" s="50">
        <f>_xlfn.XLOOKUP(A720,Magazzino!$D$1:$D$1500,Magazzino!$F$1:$F$1500,"",0,1)</f>
        <v/>
      </c>
      <c r="Q706" s="51">
        <f>_xlfn.XLOOKUP(A721,Magazzino!$D$1:$D$1500,Magazzino!$F$1:$F$1500,"",0,1)</f>
        <v/>
      </c>
    </row>
    <row r="707">
      <c r="A707" s="47" t="inlineStr">
        <is>
          <t xml:space="preserve">FARINA 0/MAN. CAPUTO DA KG.25  </t>
        </is>
      </c>
      <c r="B707" s="16" t="inlineStr">
        <is>
          <t>-</t>
        </is>
      </c>
      <c r="C707" s="11" t="inlineStr">
        <is>
          <t>-</t>
        </is>
      </c>
      <c r="D707" s="11" t="inlineStr">
        <is>
          <t>-</t>
        </is>
      </c>
      <c r="E707" s="11" t="inlineStr">
        <is>
          <t>-</t>
        </is>
      </c>
      <c r="F707" s="11" t="inlineStr">
        <is>
          <t>-</t>
        </is>
      </c>
      <c r="G707" s="11" t="inlineStr">
        <is>
          <t>-</t>
        </is>
      </c>
      <c r="H707" s="11" t="inlineStr">
        <is>
          <t>-</t>
        </is>
      </c>
      <c r="I707" s="11" t="inlineStr">
        <is>
          <t>-</t>
        </is>
      </c>
      <c r="J707" s="11" t="inlineStr">
        <is>
          <t>-</t>
        </is>
      </c>
      <c r="K707" s="11" t="inlineStr">
        <is>
          <t>-</t>
        </is>
      </c>
      <c r="L707" s="11" t="inlineStr">
        <is>
          <t>-</t>
        </is>
      </c>
      <c r="M707" s="11" t="inlineStr">
        <is>
          <t>-</t>
        </is>
      </c>
      <c r="N707" s="11" t="inlineStr">
        <is>
          <t>-</t>
        </is>
      </c>
      <c r="O707" s="11" t="inlineStr">
        <is>
          <t>-</t>
        </is>
      </c>
      <c r="P707" s="11" t="inlineStr">
        <is>
          <t>-</t>
        </is>
      </c>
      <c r="Q707" s="12" t="inlineStr">
        <is>
          <t>-</t>
        </is>
      </c>
    </row>
    <row r="708">
      <c r="A708" s="47" t="inlineStr">
        <is>
          <t>margarina crema</t>
        </is>
      </c>
      <c r="B708" s="13" t="inlineStr">
        <is>
          <t>-</t>
        </is>
      </c>
      <c r="C708" s="14" t="inlineStr">
        <is>
          <t>-</t>
        </is>
      </c>
      <c r="D708" s="14" t="inlineStr">
        <is>
          <t>-</t>
        </is>
      </c>
      <c r="E708" s="14" t="inlineStr">
        <is>
          <t>-</t>
        </is>
      </c>
      <c r="F708" s="14" t="inlineStr">
        <is>
          <t>-</t>
        </is>
      </c>
      <c r="G708" s="14" t="inlineStr">
        <is>
          <t>-</t>
        </is>
      </c>
      <c r="H708" s="14" t="inlineStr">
        <is>
          <t>-</t>
        </is>
      </c>
      <c r="I708" s="14" t="inlineStr">
        <is>
          <t>-</t>
        </is>
      </c>
      <c r="J708" s="14" t="inlineStr">
        <is>
          <t>-</t>
        </is>
      </c>
      <c r="K708" s="14" t="inlineStr">
        <is>
          <t>-</t>
        </is>
      </c>
      <c r="L708" s="14" t="inlineStr">
        <is>
          <t>-</t>
        </is>
      </c>
      <c r="M708" s="14" t="inlineStr">
        <is>
          <t>-</t>
        </is>
      </c>
      <c r="N708" s="14" t="inlineStr">
        <is>
          <t>-</t>
        </is>
      </c>
      <c r="O708" s="14" t="inlineStr">
        <is>
          <t>-</t>
        </is>
      </c>
      <c r="P708" s="14" t="inlineStr">
        <is>
          <t>-</t>
        </is>
      </c>
      <c r="Q708" s="15" t="inlineStr">
        <is>
          <t>-</t>
        </is>
      </c>
    </row>
    <row r="709">
      <c r="A709" s="47" t="inlineStr">
        <is>
          <t>LIEVITO x 2.5kg</t>
        </is>
      </c>
      <c r="B709" s="16" t="inlineStr">
        <is>
          <t>-</t>
        </is>
      </c>
      <c r="C709" s="11" t="inlineStr">
        <is>
          <t>-</t>
        </is>
      </c>
      <c r="D709" s="11" t="inlineStr">
        <is>
          <t>-</t>
        </is>
      </c>
      <c r="E709" s="11" t="inlineStr">
        <is>
          <t>-</t>
        </is>
      </c>
      <c r="F709" s="11" t="inlineStr">
        <is>
          <t>-</t>
        </is>
      </c>
      <c r="G709" s="11" t="inlineStr">
        <is>
          <t>-</t>
        </is>
      </c>
      <c r="H709" s="11" t="inlineStr">
        <is>
          <t>-</t>
        </is>
      </c>
      <c r="I709" s="11" t="inlineStr">
        <is>
          <t>-</t>
        </is>
      </c>
      <c r="J709" s="11" t="inlineStr">
        <is>
          <t>-</t>
        </is>
      </c>
      <c r="K709" s="11" t="inlineStr">
        <is>
          <t>-</t>
        </is>
      </c>
      <c r="L709" s="11" t="inlineStr">
        <is>
          <t>-</t>
        </is>
      </c>
      <c r="M709" s="11" t="inlineStr">
        <is>
          <t>-</t>
        </is>
      </c>
      <c r="N709" s="11" t="inlineStr">
        <is>
          <t>-</t>
        </is>
      </c>
      <c r="O709" s="11" t="inlineStr">
        <is>
          <t>-</t>
        </is>
      </c>
      <c r="P709" s="11" t="inlineStr">
        <is>
          <t>-</t>
        </is>
      </c>
      <c r="Q709" s="12" t="inlineStr">
        <is>
          <t>-</t>
        </is>
      </c>
    </row>
    <row r="710">
      <c r="A710" s="47" t="inlineStr">
        <is>
          <t>uova</t>
        </is>
      </c>
      <c r="B710" s="13" t="inlineStr">
        <is>
          <t>-</t>
        </is>
      </c>
      <c r="C710" s="14" t="inlineStr">
        <is>
          <t>-</t>
        </is>
      </c>
      <c r="D710" s="14" t="inlineStr">
        <is>
          <t>-</t>
        </is>
      </c>
      <c r="E710" s="14" t="inlineStr">
        <is>
          <t>-</t>
        </is>
      </c>
      <c r="F710" s="14" t="inlineStr">
        <is>
          <t>-</t>
        </is>
      </c>
      <c r="G710" s="14" t="inlineStr">
        <is>
          <t>-</t>
        </is>
      </c>
      <c r="H710" s="14" t="inlineStr">
        <is>
          <t>-</t>
        </is>
      </c>
      <c r="I710" s="14" t="inlineStr">
        <is>
          <t>-</t>
        </is>
      </c>
      <c r="J710" s="14" t="inlineStr">
        <is>
          <t>-</t>
        </is>
      </c>
      <c r="K710" s="14" t="inlineStr">
        <is>
          <t>-</t>
        </is>
      </c>
      <c r="L710" s="14" t="inlineStr">
        <is>
          <t>-</t>
        </is>
      </c>
      <c r="M710" s="14" t="inlineStr">
        <is>
          <t>-</t>
        </is>
      </c>
      <c r="N710" s="14" t="inlineStr">
        <is>
          <t>-</t>
        </is>
      </c>
      <c r="O710" s="14" t="inlineStr">
        <is>
          <t>-</t>
        </is>
      </c>
      <c r="P710" s="14" t="inlineStr">
        <is>
          <t>-</t>
        </is>
      </c>
      <c r="Q710" s="15" t="inlineStr">
        <is>
          <t>-</t>
        </is>
      </c>
    </row>
    <row r="711">
      <c r="A711" s="47" t="inlineStr">
        <is>
          <t>AROMA CROISSANT</t>
        </is>
      </c>
      <c r="B711" s="16" t="inlineStr">
        <is>
          <t>-</t>
        </is>
      </c>
      <c r="C711" s="11" t="inlineStr">
        <is>
          <t>-</t>
        </is>
      </c>
      <c r="D711" s="11" t="inlineStr">
        <is>
          <t>-</t>
        </is>
      </c>
      <c r="E711" s="11" t="inlineStr">
        <is>
          <t>-</t>
        </is>
      </c>
      <c r="F711" s="11" t="inlineStr">
        <is>
          <t>-</t>
        </is>
      </c>
      <c r="G711" s="11" t="inlineStr">
        <is>
          <t>-</t>
        </is>
      </c>
      <c r="H711" s="11" t="inlineStr">
        <is>
          <t>-</t>
        </is>
      </c>
      <c r="I711" s="11" t="inlineStr">
        <is>
          <t>-</t>
        </is>
      </c>
      <c r="J711" s="11" t="inlineStr">
        <is>
          <t>-</t>
        </is>
      </c>
      <c r="K711" s="11" t="inlineStr">
        <is>
          <t>-</t>
        </is>
      </c>
      <c r="L711" s="11" t="inlineStr">
        <is>
          <t>-</t>
        </is>
      </c>
      <c r="M711" s="11" t="inlineStr">
        <is>
          <t>-</t>
        </is>
      </c>
      <c r="N711" s="11" t="inlineStr">
        <is>
          <t>-</t>
        </is>
      </c>
      <c r="O711" s="11" t="inlineStr">
        <is>
          <t>-</t>
        </is>
      </c>
      <c r="P711" s="11" t="inlineStr">
        <is>
          <t>-</t>
        </is>
      </c>
      <c r="Q711" s="12" t="inlineStr">
        <is>
          <t>-</t>
        </is>
      </c>
    </row>
    <row r="712">
      <c r="A712" s="47" t="inlineStr">
        <is>
          <t>latte   1500 int.uht  yma</t>
        </is>
      </c>
      <c r="B712" s="13" t="inlineStr">
        <is>
          <t>-</t>
        </is>
      </c>
      <c r="C712" s="14" t="inlineStr">
        <is>
          <t>-</t>
        </is>
      </c>
      <c r="D712" s="14" t="inlineStr">
        <is>
          <t>-</t>
        </is>
      </c>
      <c r="E712" s="14" t="inlineStr">
        <is>
          <t>-</t>
        </is>
      </c>
      <c r="F712" s="14" t="inlineStr">
        <is>
          <t>-</t>
        </is>
      </c>
      <c r="G712" s="14" t="inlineStr">
        <is>
          <t>-</t>
        </is>
      </c>
      <c r="H712" s="14" t="inlineStr">
        <is>
          <t>-</t>
        </is>
      </c>
      <c r="I712" s="14" t="inlineStr">
        <is>
          <t>-</t>
        </is>
      </c>
      <c r="J712" s="14" t="inlineStr">
        <is>
          <t>-</t>
        </is>
      </c>
      <c r="K712" s="14" t="inlineStr">
        <is>
          <t>-</t>
        </is>
      </c>
      <c r="L712" s="14" t="inlineStr">
        <is>
          <t>-</t>
        </is>
      </c>
      <c r="M712" s="14" t="inlineStr">
        <is>
          <t>-</t>
        </is>
      </c>
      <c r="N712" s="14" t="inlineStr">
        <is>
          <t>-</t>
        </is>
      </c>
      <c r="O712" s="14" t="inlineStr">
        <is>
          <t>-</t>
        </is>
      </c>
      <c r="P712" s="14" t="inlineStr">
        <is>
          <t>-</t>
        </is>
      </c>
      <c r="Q712" s="15" t="inlineStr">
        <is>
          <t>-</t>
        </is>
      </c>
    </row>
    <row r="713">
      <c r="A713" s="48" t="inlineStr">
        <is>
          <t xml:space="preserve">SALE SACCHI SALTECHNO KG.25  </t>
        </is>
      </c>
      <c r="B713" s="16" t="inlineStr">
        <is>
          <t>-</t>
        </is>
      </c>
      <c r="C713" s="11" t="inlineStr">
        <is>
          <t>-</t>
        </is>
      </c>
      <c r="D713" s="11" t="inlineStr">
        <is>
          <t>-</t>
        </is>
      </c>
      <c r="E713" s="11" t="inlineStr">
        <is>
          <t>-</t>
        </is>
      </c>
      <c r="F713" s="11" t="inlineStr">
        <is>
          <t>-</t>
        </is>
      </c>
      <c r="G713" s="11" t="inlineStr">
        <is>
          <t>-</t>
        </is>
      </c>
      <c r="H713" s="11" t="inlineStr">
        <is>
          <t>-</t>
        </is>
      </c>
      <c r="I713" s="11" t="inlineStr">
        <is>
          <t>-</t>
        </is>
      </c>
      <c r="J713" s="11" t="inlineStr">
        <is>
          <t>-</t>
        </is>
      </c>
      <c r="K713" s="11" t="inlineStr">
        <is>
          <t>-</t>
        </is>
      </c>
      <c r="L713" s="11" t="inlineStr">
        <is>
          <t>-</t>
        </is>
      </c>
      <c r="M713" s="11" t="inlineStr">
        <is>
          <t>-</t>
        </is>
      </c>
      <c r="N713" s="11" t="inlineStr">
        <is>
          <t>-</t>
        </is>
      </c>
      <c r="O713" s="11" t="inlineStr">
        <is>
          <t>-</t>
        </is>
      </c>
      <c r="P713" s="11" t="inlineStr">
        <is>
          <t>-</t>
        </is>
      </c>
      <c r="Q713" s="12" t="inlineStr">
        <is>
          <t>-</t>
        </is>
      </c>
    </row>
    <row r="714">
      <c r="A714" s="47" t="n"/>
      <c r="B714" s="13" t="inlineStr">
        <is>
          <t>-</t>
        </is>
      </c>
      <c r="C714" s="14" t="inlineStr">
        <is>
          <t>-</t>
        </is>
      </c>
      <c r="D714" s="14" t="inlineStr">
        <is>
          <t>-</t>
        </is>
      </c>
      <c r="E714" s="14" t="inlineStr">
        <is>
          <t>-</t>
        </is>
      </c>
      <c r="F714" s="14" t="inlineStr">
        <is>
          <t>-</t>
        </is>
      </c>
      <c r="G714" s="14" t="inlineStr">
        <is>
          <t>-</t>
        </is>
      </c>
      <c r="H714" s="14" t="inlineStr">
        <is>
          <t>-</t>
        </is>
      </c>
      <c r="I714" s="14" t="inlineStr">
        <is>
          <t>-</t>
        </is>
      </c>
      <c r="J714" s="14" t="inlineStr">
        <is>
          <t>-</t>
        </is>
      </c>
      <c r="K714" s="14" t="inlineStr">
        <is>
          <t>-</t>
        </is>
      </c>
      <c r="L714" s="14" t="inlineStr">
        <is>
          <t>-</t>
        </is>
      </c>
      <c r="M714" s="14" t="inlineStr">
        <is>
          <t>-</t>
        </is>
      </c>
      <c r="N714" s="14" t="inlineStr">
        <is>
          <t>-</t>
        </is>
      </c>
      <c r="O714" s="14" t="inlineStr">
        <is>
          <t>-</t>
        </is>
      </c>
      <c r="P714" s="14" t="inlineStr">
        <is>
          <t>-</t>
        </is>
      </c>
      <c r="Q714" s="15" t="inlineStr">
        <is>
          <t>-</t>
        </is>
      </c>
    </row>
    <row r="715">
      <c r="A715" s="47" t="n"/>
      <c r="B715" s="16" t="inlineStr">
        <is>
          <t>-</t>
        </is>
      </c>
      <c r="C715" s="11" t="inlineStr">
        <is>
          <t>-</t>
        </is>
      </c>
      <c r="D715" s="11" t="inlineStr">
        <is>
          <t>-</t>
        </is>
      </c>
      <c r="E715" s="11" t="inlineStr">
        <is>
          <t>-</t>
        </is>
      </c>
      <c r="F715" s="11" t="inlineStr">
        <is>
          <t>-</t>
        </is>
      </c>
      <c r="G715" s="11" t="inlineStr">
        <is>
          <t>-</t>
        </is>
      </c>
      <c r="H715" s="11" t="inlineStr">
        <is>
          <t>-</t>
        </is>
      </c>
      <c r="I715" s="11" t="inlineStr">
        <is>
          <t>-</t>
        </is>
      </c>
      <c r="J715" s="11" t="inlineStr">
        <is>
          <t>-</t>
        </is>
      </c>
      <c r="K715" s="11" t="inlineStr">
        <is>
          <t>-</t>
        </is>
      </c>
      <c r="L715" s="11" t="inlineStr">
        <is>
          <t>-</t>
        </is>
      </c>
      <c r="M715" s="11" t="inlineStr">
        <is>
          <t>-</t>
        </is>
      </c>
      <c r="N715" s="11" t="inlineStr">
        <is>
          <t>-</t>
        </is>
      </c>
      <c r="O715" s="11" t="inlineStr">
        <is>
          <t>-</t>
        </is>
      </c>
      <c r="P715" s="11" t="inlineStr">
        <is>
          <t>-</t>
        </is>
      </c>
      <c r="Q715" s="12" t="inlineStr">
        <is>
          <t>-</t>
        </is>
      </c>
    </row>
    <row r="716">
      <c r="A716" s="47" t="n"/>
      <c r="B716" s="13" t="inlineStr">
        <is>
          <t>-</t>
        </is>
      </c>
      <c r="C716" s="14" t="inlineStr">
        <is>
          <t>-</t>
        </is>
      </c>
      <c r="D716" s="14" t="inlineStr">
        <is>
          <t>-</t>
        </is>
      </c>
      <c r="E716" s="14" t="inlineStr">
        <is>
          <t>-</t>
        </is>
      </c>
      <c r="F716" s="14" t="inlineStr">
        <is>
          <t>-</t>
        </is>
      </c>
      <c r="G716" s="14" t="inlineStr">
        <is>
          <t>-</t>
        </is>
      </c>
      <c r="H716" s="14" t="inlineStr">
        <is>
          <t>-</t>
        </is>
      </c>
      <c r="I716" s="14" t="inlineStr">
        <is>
          <t>-</t>
        </is>
      </c>
      <c r="J716" s="14" t="inlineStr">
        <is>
          <t>-</t>
        </is>
      </c>
      <c r="K716" s="14" t="inlineStr">
        <is>
          <t>-</t>
        </is>
      </c>
      <c r="L716" s="14" t="inlineStr">
        <is>
          <t>-</t>
        </is>
      </c>
      <c r="M716" s="14" t="inlineStr">
        <is>
          <t>-</t>
        </is>
      </c>
      <c r="N716" s="14" t="inlineStr">
        <is>
          <t>-</t>
        </is>
      </c>
      <c r="O716" s="14" t="inlineStr">
        <is>
          <t>-</t>
        </is>
      </c>
      <c r="P716" s="14" t="inlineStr">
        <is>
          <t>-</t>
        </is>
      </c>
      <c r="Q716" s="15" t="inlineStr">
        <is>
          <t>-</t>
        </is>
      </c>
    </row>
    <row r="717">
      <c r="A717" s="47" t="n"/>
      <c r="B717" s="16" t="inlineStr">
        <is>
          <t>-</t>
        </is>
      </c>
      <c r="C717" s="11" t="inlineStr">
        <is>
          <t>-</t>
        </is>
      </c>
      <c r="D717" s="11" t="inlineStr">
        <is>
          <t>-</t>
        </is>
      </c>
      <c r="E717" s="11" t="inlineStr">
        <is>
          <t>-</t>
        </is>
      </c>
      <c r="F717" s="11" t="inlineStr">
        <is>
          <t>-</t>
        </is>
      </c>
      <c r="G717" s="11" t="inlineStr">
        <is>
          <t>-</t>
        </is>
      </c>
      <c r="H717" s="11" t="inlineStr">
        <is>
          <t>-</t>
        </is>
      </c>
      <c r="I717" s="11" t="inlineStr">
        <is>
          <t>-</t>
        </is>
      </c>
      <c r="J717" s="11" t="inlineStr">
        <is>
          <t>-</t>
        </is>
      </c>
      <c r="K717" s="11" t="inlineStr">
        <is>
          <t>-</t>
        </is>
      </c>
      <c r="L717" s="11" t="inlineStr">
        <is>
          <t>-</t>
        </is>
      </c>
      <c r="M717" s="11" t="inlineStr">
        <is>
          <t>-</t>
        </is>
      </c>
      <c r="N717" s="11" t="inlineStr">
        <is>
          <t>-</t>
        </is>
      </c>
      <c r="O717" s="11" t="inlineStr">
        <is>
          <t>-</t>
        </is>
      </c>
      <c r="P717" s="11" t="inlineStr">
        <is>
          <t>-</t>
        </is>
      </c>
      <c r="Q717" s="12" t="inlineStr">
        <is>
          <t>-</t>
        </is>
      </c>
    </row>
    <row r="718">
      <c r="A718" s="47" t="n"/>
      <c r="B718" s="13" t="inlineStr">
        <is>
          <t>-</t>
        </is>
      </c>
      <c r="C718" s="14" t="inlineStr">
        <is>
          <t>-</t>
        </is>
      </c>
      <c r="D718" s="14" t="inlineStr">
        <is>
          <t>-</t>
        </is>
      </c>
      <c r="E718" s="14" t="inlineStr">
        <is>
          <t>-</t>
        </is>
      </c>
      <c r="F718" s="14" t="inlineStr">
        <is>
          <t>-</t>
        </is>
      </c>
      <c r="G718" s="14" t="inlineStr">
        <is>
          <t>-</t>
        </is>
      </c>
      <c r="H718" s="14" t="inlineStr">
        <is>
          <t>-</t>
        </is>
      </c>
      <c r="I718" s="14" t="inlineStr">
        <is>
          <t>-</t>
        </is>
      </c>
      <c r="J718" s="14" t="inlineStr">
        <is>
          <t>-</t>
        </is>
      </c>
      <c r="K718" s="14" t="inlineStr">
        <is>
          <t>-</t>
        </is>
      </c>
      <c r="L718" s="14" t="inlineStr">
        <is>
          <t>-</t>
        </is>
      </c>
      <c r="M718" s="14" t="inlineStr">
        <is>
          <t>-</t>
        </is>
      </c>
      <c r="N718" s="14" t="inlineStr">
        <is>
          <t>-</t>
        </is>
      </c>
      <c r="O718" s="14" t="inlineStr">
        <is>
          <t>-</t>
        </is>
      </c>
      <c r="P718" s="14" t="inlineStr">
        <is>
          <t>-</t>
        </is>
      </c>
      <c r="Q718" s="15" t="inlineStr">
        <is>
          <t>-</t>
        </is>
      </c>
    </row>
    <row r="719">
      <c r="A719" s="47" t="n"/>
      <c r="B719" s="16" t="inlineStr">
        <is>
          <t>-</t>
        </is>
      </c>
      <c r="C719" s="11" t="inlineStr">
        <is>
          <t>-</t>
        </is>
      </c>
      <c r="D719" s="11" t="inlineStr">
        <is>
          <t>-</t>
        </is>
      </c>
      <c r="E719" s="11" t="inlineStr">
        <is>
          <t>-</t>
        </is>
      </c>
      <c r="F719" s="11" t="inlineStr">
        <is>
          <t>-</t>
        </is>
      </c>
      <c r="G719" s="11" t="inlineStr">
        <is>
          <t>-</t>
        </is>
      </c>
      <c r="H719" s="11" t="inlineStr">
        <is>
          <t>-</t>
        </is>
      </c>
      <c r="I719" s="11" t="inlineStr">
        <is>
          <t>-</t>
        </is>
      </c>
      <c r="J719" s="11" t="inlineStr">
        <is>
          <t>-</t>
        </is>
      </c>
      <c r="K719" s="11" t="inlineStr">
        <is>
          <t>-</t>
        </is>
      </c>
      <c r="L719" s="11" t="inlineStr">
        <is>
          <t>-</t>
        </is>
      </c>
      <c r="M719" s="11" t="inlineStr">
        <is>
          <t>-</t>
        </is>
      </c>
      <c r="N719" s="11" t="inlineStr">
        <is>
          <t>-</t>
        </is>
      </c>
      <c r="O719" s="11" t="inlineStr">
        <is>
          <t>-</t>
        </is>
      </c>
      <c r="P719" s="11" t="inlineStr">
        <is>
          <t>-</t>
        </is>
      </c>
      <c r="Q719" s="12" t="inlineStr">
        <is>
          <t>-</t>
        </is>
      </c>
    </row>
    <row r="720">
      <c r="A720" s="47" t="n"/>
      <c r="B720" s="13" t="inlineStr">
        <is>
          <t>-</t>
        </is>
      </c>
      <c r="C720" s="14" t="inlineStr">
        <is>
          <t>-</t>
        </is>
      </c>
      <c r="D720" s="14" t="inlineStr">
        <is>
          <t>-</t>
        </is>
      </c>
      <c r="E720" s="14" t="inlineStr">
        <is>
          <t>-</t>
        </is>
      </c>
      <c r="F720" s="14" t="inlineStr">
        <is>
          <t>-</t>
        </is>
      </c>
      <c r="G720" s="14" t="inlineStr">
        <is>
          <t>-</t>
        </is>
      </c>
      <c r="H720" s="14" t="inlineStr">
        <is>
          <t>-</t>
        </is>
      </c>
      <c r="I720" s="14" t="inlineStr">
        <is>
          <t>-</t>
        </is>
      </c>
      <c r="J720" s="14" t="inlineStr">
        <is>
          <t>-</t>
        </is>
      </c>
      <c r="K720" s="14" t="inlineStr">
        <is>
          <t>-</t>
        </is>
      </c>
      <c r="L720" s="14" t="inlineStr">
        <is>
          <t>-</t>
        </is>
      </c>
      <c r="M720" s="14" t="inlineStr">
        <is>
          <t>-</t>
        </is>
      </c>
      <c r="N720" s="14" t="inlineStr">
        <is>
          <t>-</t>
        </is>
      </c>
      <c r="O720" s="14" t="inlineStr">
        <is>
          <t>-</t>
        </is>
      </c>
      <c r="P720" s="14" t="inlineStr">
        <is>
          <t>-</t>
        </is>
      </c>
      <c r="Q720" s="15" t="inlineStr">
        <is>
          <t>-</t>
        </is>
      </c>
    </row>
    <row r="721">
      <c r="A721" s="47" t="n"/>
      <c r="B721" s="16" t="inlineStr">
        <is>
          <t>-</t>
        </is>
      </c>
      <c r="C721" s="11" t="inlineStr">
        <is>
          <t>-</t>
        </is>
      </c>
      <c r="D721" s="11" t="inlineStr">
        <is>
          <t>-</t>
        </is>
      </c>
      <c r="E721" s="11" t="inlineStr">
        <is>
          <t>-</t>
        </is>
      </c>
      <c r="F721" s="11" t="inlineStr">
        <is>
          <t>-</t>
        </is>
      </c>
      <c r="G721" s="11" t="inlineStr">
        <is>
          <t>-</t>
        </is>
      </c>
      <c r="H721" s="11" t="inlineStr">
        <is>
          <t>-</t>
        </is>
      </c>
      <c r="I721" s="11" t="inlineStr">
        <is>
          <t>-</t>
        </is>
      </c>
      <c r="J721" s="11" t="inlineStr">
        <is>
          <t>-</t>
        </is>
      </c>
      <c r="K721" s="11" t="inlineStr">
        <is>
          <t>-</t>
        </is>
      </c>
      <c r="L721" s="11" t="inlineStr">
        <is>
          <t>-</t>
        </is>
      </c>
      <c r="M721" s="11" t="inlineStr">
        <is>
          <t>-</t>
        </is>
      </c>
      <c r="N721" s="11" t="inlineStr">
        <is>
          <t>-</t>
        </is>
      </c>
      <c r="O721" s="11" t="inlineStr">
        <is>
          <t>-</t>
        </is>
      </c>
      <c r="P721" s="11" t="inlineStr">
        <is>
          <t>-</t>
        </is>
      </c>
      <c r="Q721" s="12" t="inlineStr">
        <is>
          <t>-</t>
        </is>
      </c>
    </row>
    <row r="722" ht="48" customHeight="1" s="155">
      <c r="B722" s="46" t="inlineStr">
        <is>
          <t>cornetto ischitano</t>
        </is>
      </c>
      <c r="C722" s="49">
        <f>_xlfn.XLOOKUP(A723,Magazzino!$D$1:$D$1500,Magazzino!$F$1:$F$1500,"",0,1)</f>
        <v/>
      </c>
      <c r="D722" s="50">
        <f>_xlfn.XLOOKUP(A724,Magazzino!$D$1:$D$1500,Magazzino!$F$1:$F$1500,"",0,1)</f>
        <v/>
      </c>
      <c r="E722" s="50">
        <f>_xlfn.XLOOKUP(A725,Magazzino!$D$1:$D$1500,Magazzino!$F$1:$F$1500,"",0,1)</f>
        <v/>
      </c>
      <c r="F722" s="50">
        <f>_xlfn.XLOOKUP(A726,Magazzino!$D$1:$D$1500,Magazzino!$F$1:$F$1500,"",0,1)</f>
        <v/>
      </c>
      <c r="G722" s="50">
        <f>_xlfn.XLOOKUP(A727,Magazzino!$D$1:$D$1500,Magazzino!$F$1:$F$1500,"",0,1)</f>
        <v/>
      </c>
      <c r="H722" s="50">
        <f>_xlfn.XLOOKUP(A728,Magazzino!$D$1:$D$1500,Magazzino!$F$1:$F$1500,"",0,1)</f>
        <v/>
      </c>
      <c r="I722" s="50">
        <f>_xlfn.XLOOKUP(A729,Magazzino!$D$1:$D$1500,Magazzino!$F$1:$F$1500,"",0,1)</f>
        <v/>
      </c>
      <c r="J722" s="50">
        <f>_xlfn.XLOOKUP(A730,Magazzino!$D$1:$D$1500,Magazzino!$F$1:$F$1500,"",0,1)</f>
        <v/>
      </c>
      <c r="K722" s="50">
        <f>_xlfn.XLOOKUP(A731,Magazzino!$D$1:$D$1500,Magazzino!$F$1:$F$1500,"",0,1)</f>
        <v/>
      </c>
      <c r="L722" s="50">
        <f>_xlfn.XLOOKUP(A732,Magazzino!$D$1:$D$1500,Magazzino!$F$1:$F$1500,"",0,1)</f>
        <v/>
      </c>
      <c r="M722" s="50">
        <f>_xlfn.XLOOKUP(A733,Magazzino!$D$1:$D$1500,Magazzino!$F$1:$F$1500,"",0,1)</f>
        <v/>
      </c>
      <c r="N722" s="50">
        <f>_xlfn.XLOOKUP(A734,Magazzino!$D$1:$D$1500,Magazzino!$F$1:$F$1500,"",0,1)</f>
        <v/>
      </c>
      <c r="O722" s="50">
        <f>_xlfn.XLOOKUP(A735,Magazzino!$D$1:$D$1500,Magazzino!$F$1:$F$1500,"",0,1)</f>
        <v/>
      </c>
      <c r="P722" s="50">
        <f>_xlfn.XLOOKUP(A736,Magazzino!$D$1:$D$1500,Magazzino!$F$1:$F$1500,"",0,1)</f>
        <v/>
      </c>
      <c r="Q722" s="51">
        <f>_xlfn.XLOOKUP(A737,Magazzino!$D$1:$D$1500,Magazzino!$F$1:$F$1500,"",0,1)</f>
        <v/>
      </c>
    </row>
    <row r="723">
      <c r="A723" s="47" t="inlineStr">
        <is>
          <t xml:space="preserve">FARINA 0/MAN. CAPUTO DA KG.25  </t>
        </is>
      </c>
      <c r="B723" s="16" t="inlineStr">
        <is>
          <t>-</t>
        </is>
      </c>
      <c r="C723" s="11" t="inlineStr">
        <is>
          <t>-</t>
        </is>
      </c>
      <c r="D723" s="11" t="inlineStr">
        <is>
          <t>-</t>
        </is>
      </c>
      <c r="E723" s="11" t="inlineStr">
        <is>
          <t>-</t>
        </is>
      </c>
      <c r="F723" s="11" t="inlineStr">
        <is>
          <t>-</t>
        </is>
      </c>
      <c r="G723" s="11" t="inlineStr">
        <is>
          <t>-</t>
        </is>
      </c>
      <c r="H723" s="11" t="inlineStr">
        <is>
          <t>-</t>
        </is>
      </c>
      <c r="I723" s="11" t="inlineStr">
        <is>
          <t>-</t>
        </is>
      </c>
      <c r="J723" s="11" t="inlineStr">
        <is>
          <t>-</t>
        </is>
      </c>
      <c r="K723" s="11" t="inlineStr">
        <is>
          <t>-</t>
        </is>
      </c>
      <c r="L723" s="11" t="inlineStr">
        <is>
          <t>-</t>
        </is>
      </c>
      <c r="M723" s="11" t="inlineStr">
        <is>
          <t>-</t>
        </is>
      </c>
      <c r="N723" s="11" t="inlineStr">
        <is>
          <t>-</t>
        </is>
      </c>
      <c r="O723" s="11" t="inlineStr">
        <is>
          <t>-</t>
        </is>
      </c>
      <c r="P723" s="11" t="inlineStr">
        <is>
          <t>-</t>
        </is>
      </c>
      <c r="Q723" s="12" t="inlineStr">
        <is>
          <t>-</t>
        </is>
      </c>
    </row>
    <row r="724">
      <c r="A724" s="47" t="inlineStr">
        <is>
          <t>margarina crema</t>
        </is>
      </c>
      <c r="B724" s="13" t="inlineStr">
        <is>
          <t>-</t>
        </is>
      </c>
      <c r="C724" s="14" t="inlineStr">
        <is>
          <t>-</t>
        </is>
      </c>
      <c r="D724" s="14" t="inlineStr">
        <is>
          <t>-</t>
        </is>
      </c>
      <c r="E724" s="14" t="inlineStr">
        <is>
          <t>-</t>
        </is>
      </c>
      <c r="F724" s="14" t="inlineStr">
        <is>
          <t>-</t>
        </is>
      </c>
      <c r="G724" s="14" t="inlineStr">
        <is>
          <t>-</t>
        </is>
      </c>
      <c r="H724" s="14" t="inlineStr">
        <is>
          <t>-</t>
        </is>
      </c>
      <c r="I724" s="14" t="inlineStr">
        <is>
          <t>-</t>
        </is>
      </c>
      <c r="J724" s="14" t="inlineStr">
        <is>
          <t>-</t>
        </is>
      </c>
      <c r="K724" s="14" t="inlineStr">
        <is>
          <t>-</t>
        </is>
      </c>
      <c r="L724" s="14" t="inlineStr">
        <is>
          <t>-</t>
        </is>
      </c>
      <c r="M724" s="14" t="inlineStr">
        <is>
          <t>-</t>
        </is>
      </c>
      <c r="N724" s="14" t="inlineStr">
        <is>
          <t>-</t>
        </is>
      </c>
      <c r="O724" s="14" t="inlineStr">
        <is>
          <t>-</t>
        </is>
      </c>
      <c r="P724" s="14" t="inlineStr">
        <is>
          <t>-</t>
        </is>
      </c>
      <c r="Q724" s="15" t="inlineStr">
        <is>
          <t>-</t>
        </is>
      </c>
    </row>
    <row r="725">
      <c r="A725" s="47" t="inlineStr">
        <is>
          <t>LIEVITO x 2.5kg</t>
        </is>
      </c>
      <c r="B725" s="16" t="inlineStr">
        <is>
          <t>-</t>
        </is>
      </c>
      <c r="C725" s="11" t="inlineStr">
        <is>
          <t>-</t>
        </is>
      </c>
      <c r="D725" s="11" t="inlineStr">
        <is>
          <t>-</t>
        </is>
      </c>
      <c r="E725" s="11" t="inlineStr">
        <is>
          <t>-</t>
        </is>
      </c>
      <c r="F725" s="11" t="inlineStr">
        <is>
          <t>-</t>
        </is>
      </c>
      <c r="G725" s="11" t="inlineStr">
        <is>
          <t>-</t>
        </is>
      </c>
      <c r="H725" s="11" t="inlineStr">
        <is>
          <t>-</t>
        </is>
      </c>
      <c r="I725" s="11" t="inlineStr">
        <is>
          <t>-</t>
        </is>
      </c>
      <c r="J725" s="11" t="inlineStr">
        <is>
          <t>-</t>
        </is>
      </c>
      <c r="K725" s="11" t="inlineStr">
        <is>
          <t>-</t>
        </is>
      </c>
      <c r="L725" s="11" t="inlineStr">
        <is>
          <t>-</t>
        </is>
      </c>
      <c r="M725" s="11" t="inlineStr">
        <is>
          <t>-</t>
        </is>
      </c>
      <c r="N725" s="11" t="inlineStr">
        <is>
          <t>-</t>
        </is>
      </c>
      <c r="O725" s="11" t="inlineStr">
        <is>
          <t>-</t>
        </is>
      </c>
      <c r="P725" s="11" t="inlineStr">
        <is>
          <t>-</t>
        </is>
      </c>
      <c r="Q725" s="12" t="inlineStr">
        <is>
          <t>-</t>
        </is>
      </c>
    </row>
    <row r="726">
      <c r="A726" s="47" t="inlineStr">
        <is>
          <t>uova</t>
        </is>
      </c>
      <c r="B726" s="13" t="inlineStr">
        <is>
          <t>-</t>
        </is>
      </c>
      <c r="C726" s="14" t="inlineStr">
        <is>
          <t>-</t>
        </is>
      </c>
      <c r="D726" s="14" t="inlineStr">
        <is>
          <t>-</t>
        </is>
      </c>
      <c r="E726" s="14" t="inlineStr">
        <is>
          <t>-</t>
        </is>
      </c>
      <c r="F726" s="14" t="inlineStr">
        <is>
          <t>-</t>
        </is>
      </c>
      <c r="G726" s="14" t="inlineStr">
        <is>
          <t>-</t>
        </is>
      </c>
      <c r="H726" s="14" t="inlineStr">
        <is>
          <t>-</t>
        </is>
      </c>
      <c r="I726" s="14" t="inlineStr">
        <is>
          <t>-</t>
        </is>
      </c>
      <c r="J726" s="14" t="inlineStr">
        <is>
          <t>-</t>
        </is>
      </c>
      <c r="K726" s="14" t="inlineStr">
        <is>
          <t>-</t>
        </is>
      </c>
      <c r="L726" s="14" t="inlineStr">
        <is>
          <t>-</t>
        </is>
      </c>
      <c r="M726" s="14" t="inlineStr">
        <is>
          <t>-</t>
        </is>
      </c>
      <c r="N726" s="14" t="inlineStr">
        <is>
          <t>-</t>
        </is>
      </c>
      <c r="O726" s="14" t="inlineStr">
        <is>
          <t>-</t>
        </is>
      </c>
      <c r="P726" s="14" t="inlineStr">
        <is>
          <t>-</t>
        </is>
      </c>
      <c r="Q726" s="15" t="inlineStr">
        <is>
          <t>-</t>
        </is>
      </c>
    </row>
    <row r="727">
      <c r="A727" s="47" t="inlineStr">
        <is>
          <t>AROMA CROISSANT</t>
        </is>
      </c>
      <c r="B727" s="16" t="inlineStr">
        <is>
          <t>-</t>
        </is>
      </c>
      <c r="C727" s="11" t="inlineStr">
        <is>
          <t>-</t>
        </is>
      </c>
      <c r="D727" s="11" t="inlineStr">
        <is>
          <t>-</t>
        </is>
      </c>
      <c r="E727" s="11" t="inlineStr">
        <is>
          <t>-</t>
        </is>
      </c>
      <c r="F727" s="11" t="inlineStr">
        <is>
          <t>-</t>
        </is>
      </c>
      <c r="G727" s="11" t="inlineStr">
        <is>
          <t>-</t>
        </is>
      </c>
      <c r="H727" s="11" t="inlineStr">
        <is>
          <t>-</t>
        </is>
      </c>
      <c r="I727" s="11" t="inlineStr">
        <is>
          <t>-</t>
        </is>
      </c>
      <c r="J727" s="11" t="inlineStr">
        <is>
          <t>-</t>
        </is>
      </c>
      <c r="K727" s="11" t="inlineStr">
        <is>
          <t>-</t>
        </is>
      </c>
      <c r="L727" s="11" t="inlineStr">
        <is>
          <t>-</t>
        </is>
      </c>
      <c r="M727" s="11" t="inlineStr">
        <is>
          <t>-</t>
        </is>
      </c>
      <c r="N727" s="11" t="inlineStr">
        <is>
          <t>-</t>
        </is>
      </c>
      <c r="O727" s="11" t="inlineStr">
        <is>
          <t>-</t>
        </is>
      </c>
      <c r="P727" s="11" t="inlineStr">
        <is>
          <t>-</t>
        </is>
      </c>
      <c r="Q727" s="12" t="inlineStr">
        <is>
          <t>-</t>
        </is>
      </c>
    </row>
    <row r="728">
      <c r="A728" s="47" t="inlineStr">
        <is>
          <t>latte   1500 int.uht  yma</t>
        </is>
      </c>
      <c r="B728" s="13" t="inlineStr">
        <is>
          <t>-</t>
        </is>
      </c>
      <c r="C728" s="14" t="inlineStr">
        <is>
          <t>-</t>
        </is>
      </c>
      <c r="D728" s="14" t="inlineStr">
        <is>
          <t>-</t>
        </is>
      </c>
      <c r="E728" s="14" t="inlineStr">
        <is>
          <t>-</t>
        </is>
      </c>
      <c r="F728" s="14" t="inlineStr">
        <is>
          <t>-</t>
        </is>
      </c>
      <c r="G728" s="14" t="inlineStr">
        <is>
          <t>-</t>
        </is>
      </c>
      <c r="H728" s="14" t="inlineStr">
        <is>
          <t>-</t>
        </is>
      </c>
      <c r="I728" s="14" t="inlineStr">
        <is>
          <t>-</t>
        </is>
      </c>
      <c r="J728" s="14" t="inlineStr">
        <is>
          <t>-</t>
        </is>
      </c>
      <c r="K728" s="14" t="inlineStr">
        <is>
          <t>-</t>
        </is>
      </c>
      <c r="L728" s="14" t="inlineStr">
        <is>
          <t>-</t>
        </is>
      </c>
      <c r="M728" s="14" t="inlineStr">
        <is>
          <t>-</t>
        </is>
      </c>
      <c r="N728" s="14" t="inlineStr">
        <is>
          <t>-</t>
        </is>
      </c>
      <c r="O728" s="14" t="inlineStr">
        <is>
          <t>-</t>
        </is>
      </c>
      <c r="P728" s="14" t="inlineStr">
        <is>
          <t>-</t>
        </is>
      </c>
      <c r="Q728" s="15" t="inlineStr">
        <is>
          <t>-</t>
        </is>
      </c>
    </row>
    <row r="729">
      <c r="A729" s="48" t="inlineStr">
        <is>
          <t xml:space="preserve">SALE SACCHI SALTECHNO KG.25  </t>
        </is>
      </c>
      <c r="B729" s="16" t="inlineStr">
        <is>
          <t>-</t>
        </is>
      </c>
      <c r="C729" s="11" t="inlineStr">
        <is>
          <t>-</t>
        </is>
      </c>
      <c r="D729" s="11" t="inlineStr">
        <is>
          <t>-</t>
        </is>
      </c>
      <c r="E729" s="11" t="inlineStr">
        <is>
          <t>-</t>
        </is>
      </c>
      <c r="F729" s="11" t="inlineStr">
        <is>
          <t>-</t>
        </is>
      </c>
      <c r="G729" s="11" t="inlineStr">
        <is>
          <t>-</t>
        </is>
      </c>
      <c r="H729" s="11" t="inlineStr">
        <is>
          <t>-</t>
        </is>
      </c>
      <c r="I729" s="11" t="inlineStr">
        <is>
          <t>-</t>
        </is>
      </c>
      <c r="J729" s="11" t="inlineStr">
        <is>
          <t>-</t>
        </is>
      </c>
      <c r="K729" s="11" t="inlineStr">
        <is>
          <t>-</t>
        </is>
      </c>
      <c r="L729" s="11" t="inlineStr">
        <is>
          <t>-</t>
        </is>
      </c>
      <c r="M729" s="11" t="inlineStr">
        <is>
          <t>-</t>
        </is>
      </c>
      <c r="N729" s="11" t="inlineStr">
        <is>
          <t>-</t>
        </is>
      </c>
      <c r="O729" s="11" t="inlineStr">
        <is>
          <t>-</t>
        </is>
      </c>
      <c r="P729" s="11" t="inlineStr">
        <is>
          <t>-</t>
        </is>
      </c>
      <c r="Q729" s="12" t="inlineStr">
        <is>
          <t>-</t>
        </is>
      </c>
    </row>
    <row r="730">
      <c r="A730" s="47" t="inlineStr">
        <is>
          <t>margarina sfoglia</t>
        </is>
      </c>
      <c r="B730" s="13" t="inlineStr">
        <is>
          <t>-</t>
        </is>
      </c>
      <c r="C730" s="14" t="inlineStr">
        <is>
          <t>-</t>
        </is>
      </c>
      <c r="D730" s="14" t="inlineStr">
        <is>
          <t>-</t>
        </is>
      </c>
      <c r="E730" s="14" t="inlineStr">
        <is>
          <t>-</t>
        </is>
      </c>
      <c r="F730" s="14" t="inlineStr">
        <is>
          <t>-</t>
        </is>
      </c>
      <c r="G730" s="14" t="inlineStr">
        <is>
          <t>-</t>
        </is>
      </c>
      <c r="H730" s="14" t="inlineStr">
        <is>
          <t>-</t>
        </is>
      </c>
      <c r="I730" s="14" t="inlineStr">
        <is>
          <t>-</t>
        </is>
      </c>
      <c r="J730" s="14" t="inlineStr">
        <is>
          <t>-</t>
        </is>
      </c>
      <c r="K730" s="14" t="inlineStr">
        <is>
          <t>-</t>
        </is>
      </c>
      <c r="L730" s="14" t="inlineStr">
        <is>
          <t>-</t>
        </is>
      </c>
      <c r="M730" s="14" t="inlineStr">
        <is>
          <t>-</t>
        </is>
      </c>
      <c r="N730" s="14" t="inlineStr">
        <is>
          <t>-</t>
        </is>
      </c>
      <c r="O730" s="14" t="inlineStr">
        <is>
          <t>-</t>
        </is>
      </c>
      <c r="P730" s="14" t="inlineStr">
        <is>
          <t>-</t>
        </is>
      </c>
      <c r="Q730" s="15" t="inlineStr">
        <is>
          <t>-</t>
        </is>
      </c>
    </row>
    <row r="731">
      <c r="A731" s="47" t="inlineStr">
        <is>
          <t>amido</t>
        </is>
      </c>
      <c r="B731" s="16" t="inlineStr">
        <is>
          <t>-</t>
        </is>
      </c>
      <c r="C731" s="11" t="inlineStr">
        <is>
          <t>-</t>
        </is>
      </c>
      <c r="D731" s="11" t="inlineStr">
        <is>
          <t>-</t>
        </is>
      </c>
      <c r="E731" s="11" t="inlineStr">
        <is>
          <t>-</t>
        </is>
      </c>
      <c r="F731" s="11" t="inlineStr">
        <is>
          <t>-</t>
        </is>
      </c>
      <c r="G731" s="11" t="inlineStr">
        <is>
          <t>-</t>
        </is>
      </c>
      <c r="H731" s="11" t="inlineStr">
        <is>
          <t>-</t>
        </is>
      </c>
      <c r="I731" s="11" t="inlineStr">
        <is>
          <t>-</t>
        </is>
      </c>
      <c r="J731" s="11" t="inlineStr">
        <is>
          <t>-</t>
        </is>
      </c>
      <c r="K731" s="11" t="inlineStr">
        <is>
          <t>-</t>
        </is>
      </c>
      <c r="L731" s="11" t="inlineStr">
        <is>
          <t>-</t>
        </is>
      </c>
      <c r="M731" s="11" t="inlineStr">
        <is>
          <t>-</t>
        </is>
      </c>
      <c r="N731" s="11" t="inlineStr">
        <is>
          <t>-</t>
        </is>
      </c>
      <c r="O731" s="11" t="inlineStr">
        <is>
          <t>-</t>
        </is>
      </c>
      <c r="P731" s="11" t="inlineStr">
        <is>
          <t>-</t>
        </is>
      </c>
      <c r="Q731" s="12" t="inlineStr">
        <is>
          <t>-</t>
        </is>
      </c>
    </row>
    <row r="732" ht="24" customHeight="1" s="155">
      <c r="A732" s="47" t="inlineStr">
        <is>
          <t xml:space="preserve">AMARENA INTERA TANTOFRUTTO CAL16/18 IN SCIROPPO KG2,75(02004275)  </t>
        </is>
      </c>
      <c r="B732" s="13" t="inlineStr">
        <is>
          <t>-</t>
        </is>
      </c>
      <c r="C732" s="14" t="inlineStr">
        <is>
          <t>-</t>
        </is>
      </c>
      <c r="D732" s="14" t="inlineStr">
        <is>
          <t>-</t>
        </is>
      </c>
      <c r="E732" s="14" t="inlineStr">
        <is>
          <t>-</t>
        </is>
      </c>
      <c r="F732" s="14" t="inlineStr">
        <is>
          <t>-</t>
        </is>
      </c>
      <c r="G732" s="14" t="inlineStr">
        <is>
          <t>-</t>
        </is>
      </c>
      <c r="H732" s="14" t="inlineStr">
        <is>
          <t>-</t>
        </is>
      </c>
      <c r="I732" s="14" t="inlineStr">
        <is>
          <t>-</t>
        </is>
      </c>
      <c r="J732" s="14" t="inlineStr">
        <is>
          <t>-</t>
        </is>
      </c>
      <c r="K732" s="14" t="inlineStr">
        <is>
          <t>-</t>
        </is>
      </c>
      <c r="L732" s="14" t="inlineStr">
        <is>
          <t>-</t>
        </is>
      </c>
      <c r="M732" s="14" t="inlineStr">
        <is>
          <t>-</t>
        </is>
      </c>
      <c r="N732" s="14" t="inlineStr">
        <is>
          <t>-</t>
        </is>
      </c>
      <c r="O732" s="14" t="inlineStr">
        <is>
          <t>-</t>
        </is>
      </c>
      <c r="P732" s="14" t="inlineStr">
        <is>
          <t>-</t>
        </is>
      </c>
      <c r="Q732" s="15" t="inlineStr">
        <is>
          <t>-</t>
        </is>
      </c>
    </row>
    <row r="733">
      <c r="A733" s="47" t="n"/>
      <c r="B733" s="16" t="inlineStr">
        <is>
          <t>-</t>
        </is>
      </c>
      <c r="C733" s="11" t="inlineStr">
        <is>
          <t>-</t>
        </is>
      </c>
      <c r="D733" s="11" t="inlineStr">
        <is>
          <t>-</t>
        </is>
      </c>
      <c r="E733" s="11" t="inlineStr">
        <is>
          <t>-</t>
        </is>
      </c>
      <c r="F733" s="11" t="inlineStr">
        <is>
          <t>-</t>
        </is>
      </c>
      <c r="G733" s="11" t="inlineStr">
        <is>
          <t>-</t>
        </is>
      </c>
      <c r="H733" s="11" t="inlineStr">
        <is>
          <t>-</t>
        </is>
      </c>
      <c r="I733" s="11" t="inlineStr">
        <is>
          <t>-</t>
        </is>
      </c>
      <c r="J733" s="11" t="inlineStr">
        <is>
          <t>-</t>
        </is>
      </c>
      <c r="K733" s="11" t="inlineStr">
        <is>
          <t>-</t>
        </is>
      </c>
      <c r="L733" s="11" t="inlineStr">
        <is>
          <t>-</t>
        </is>
      </c>
      <c r="M733" s="11" t="inlineStr">
        <is>
          <t>-</t>
        </is>
      </c>
      <c r="N733" s="11" t="inlineStr">
        <is>
          <t>-</t>
        </is>
      </c>
      <c r="O733" s="11" t="inlineStr">
        <is>
          <t>-</t>
        </is>
      </c>
      <c r="P733" s="11" t="inlineStr">
        <is>
          <t>-</t>
        </is>
      </c>
      <c r="Q733" s="12" t="inlineStr">
        <is>
          <t>-</t>
        </is>
      </c>
    </row>
    <row r="734">
      <c r="A734" s="47" t="n"/>
      <c r="B734" s="13" t="inlineStr">
        <is>
          <t>-</t>
        </is>
      </c>
      <c r="C734" s="14" t="inlineStr">
        <is>
          <t>-</t>
        </is>
      </c>
      <c r="D734" s="14" t="inlineStr">
        <is>
          <t>-</t>
        </is>
      </c>
      <c r="E734" s="14" t="inlineStr">
        <is>
          <t>-</t>
        </is>
      </c>
      <c r="F734" s="14" t="inlineStr">
        <is>
          <t>-</t>
        </is>
      </c>
      <c r="G734" s="14" t="inlineStr">
        <is>
          <t>-</t>
        </is>
      </c>
      <c r="H734" s="14" t="inlineStr">
        <is>
          <t>-</t>
        </is>
      </c>
      <c r="I734" s="14" t="inlineStr">
        <is>
          <t>-</t>
        </is>
      </c>
      <c r="J734" s="14" t="inlineStr">
        <is>
          <t>-</t>
        </is>
      </c>
      <c r="K734" s="14" t="inlineStr">
        <is>
          <t>-</t>
        </is>
      </c>
      <c r="L734" s="14" t="inlineStr">
        <is>
          <t>-</t>
        </is>
      </c>
      <c r="M734" s="14" t="inlineStr">
        <is>
          <t>-</t>
        </is>
      </c>
      <c r="N734" s="14" t="inlineStr">
        <is>
          <t>-</t>
        </is>
      </c>
      <c r="O734" s="14" t="inlineStr">
        <is>
          <t>-</t>
        </is>
      </c>
      <c r="P734" s="14" t="inlineStr">
        <is>
          <t>-</t>
        </is>
      </c>
      <c r="Q734" s="15" t="inlineStr">
        <is>
          <t>-</t>
        </is>
      </c>
    </row>
    <row r="735">
      <c r="A735" s="47" t="n"/>
      <c r="B735" s="16" t="inlineStr">
        <is>
          <t>-</t>
        </is>
      </c>
      <c r="C735" s="11" t="inlineStr">
        <is>
          <t>-</t>
        </is>
      </c>
      <c r="D735" s="11" t="inlineStr">
        <is>
          <t>-</t>
        </is>
      </c>
      <c r="E735" s="11" t="inlineStr">
        <is>
          <t>-</t>
        </is>
      </c>
      <c r="F735" s="11" t="inlineStr">
        <is>
          <t>-</t>
        </is>
      </c>
      <c r="G735" s="11" t="inlineStr">
        <is>
          <t>-</t>
        </is>
      </c>
      <c r="H735" s="11" t="inlineStr">
        <is>
          <t>-</t>
        </is>
      </c>
      <c r="I735" s="11" t="inlineStr">
        <is>
          <t>-</t>
        </is>
      </c>
      <c r="J735" s="11" t="inlineStr">
        <is>
          <t>-</t>
        </is>
      </c>
      <c r="K735" s="11" t="inlineStr">
        <is>
          <t>-</t>
        </is>
      </c>
      <c r="L735" s="11" t="inlineStr">
        <is>
          <t>-</t>
        </is>
      </c>
      <c r="M735" s="11" t="inlineStr">
        <is>
          <t>-</t>
        </is>
      </c>
      <c r="N735" s="11" t="inlineStr">
        <is>
          <t>-</t>
        </is>
      </c>
      <c r="O735" s="11" t="inlineStr">
        <is>
          <t>-</t>
        </is>
      </c>
      <c r="P735" s="11" t="inlineStr">
        <is>
          <t>-</t>
        </is>
      </c>
      <c r="Q735" s="12" t="inlineStr">
        <is>
          <t>-</t>
        </is>
      </c>
    </row>
    <row r="736">
      <c r="A736" s="47" t="n"/>
      <c r="B736" s="13" t="inlineStr">
        <is>
          <t>-</t>
        </is>
      </c>
      <c r="C736" s="14" t="inlineStr">
        <is>
          <t>-</t>
        </is>
      </c>
      <c r="D736" s="14" t="inlineStr">
        <is>
          <t>-</t>
        </is>
      </c>
      <c r="E736" s="14" t="inlineStr">
        <is>
          <t>-</t>
        </is>
      </c>
      <c r="F736" s="14" t="inlineStr">
        <is>
          <t>-</t>
        </is>
      </c>
      <c r="G736" s="14" t="inlineStr">
        <is>
          <t>-</t>
        </is>
      </c>
      <c r="H736" s="14" t="inlineStr">
        <is>
          <t>-</t>
        </is>
      </c>
      <c r="I736" s="14" t="inlineStr">
        <is>
          <t>-</t>
        </is>
      </c>
      <c r="J736" s="14" t="inlineStr">
        <is>
          <t>-</t>
        </is>
      </c>
      <c r="K736" s="14" t="inlineStr">
        <is>
          <t>-</t>
        </is>
      </c>
      <c r="L736" s="14" t="inlineStr">
        <is>
          <t>-</t>
        </is>
      </c>
      <c r="M736" s="14" t="inlineStr">
        <is>
          <t>-</t>
        </is>
      </c>
      <c r="N736" s="14" t="inlineStr">
        <is>
          <t>-</t>
        </is>
      </c>
      <c r="O736" s="14" t="inlineStr">
        <is>
          <t>-</t>
        </is>
      </c>
      <c r="P736" s="14" t="inlineStr">
        <is>
          <t>-</t>
        </is>
      </c>
      <c r="Q736" s="15" t="inlineStr">
        <is>
          <t>-</t>
        </is>
      </c>
    </row>
    <row r="737">
      <c r="A737" s="47" t="n"/>
      <c r="B737" s="16" t="inlineStr">
        <is>
          <t>-</t>
        </is>
      </c>
      <c r="C737" s="11" t="inlineStr">
        <is>
          <t>-</t>
        </is>
      </c>
      <c r="D737" s="11" t="inlineStr">
        <is>
          <t>-</t>
        </is>
      </c>
      <c r="E737" s="11" t="inlineStr">
        <is>
          <t>-</t>
        </is>
      </c>
      <c r="F737" s="11" t="inlineStr">
        <is>
          <t>-</t>
        </is>
      </c>
      <c r="G737" s="11" t="inlineStr">
        <is>
          <t>-</t>
        </is>
      </c>
      <c r="H737" s="11" t="inlineStr">
        <is>
          <t>-</t>
        </is>
      </c>
      <c r="I737" s="11" t="inlineStr">
        <is>
          <t>-</t>
        </is>
      </c>
      <c r="J737" s="11" t="inlineStr">
        <is>
          <t>-</t>
        </is>
      </c>
      <c r="K737" s="11" t="inlineStr">
        <is>
          <t>-</t>
        </is>
      </c>
      <c r="L737" s="11" t="inlineStr">
        <is>
          <t>-</t>
        </is>
      </c>
      <c r="M737" s="11" t="inlineStr">
        <is>
          <t>-</t>
        </is>
      </c>
      <c r="N737" s="11" t="inlineStr">
        <is>
          <t>-</t>
        </is>
      </c>
      <c r="O737" s="11" t="inlineStr">
        <is>
          <t>-</t>
        </is>
      </c>
      <c r="P737" s="11" t="inlineStr">
        <is>
          <t>-</t>
        </is>
      </c>
      <c r="Q737" s="12" t="inlineStr">
        <is>
          <t>-</t>
        </is>
      </c>
    </row>
    <row r="738" ht="36" customHeight="1" s="155">
      <c r="B738" s="46" t="inlineStr">
        <is>
          <t>cornetto mignon</t>
        </is>
      </c>
      <c r="C738" s="49">
        <f>_xlfn.XLOOKUP(A739,Magazzino!$D$1:$D$1500,Magazzino!$F$1:$F$1500,"",0,1)</f>
        <v/>
      </c>
      <c r="D738" s="50">
        <f>_xlfn.XLOOKUP(A740,Magazzino!$D$1:$D$1500,Magazzino!$F$1:$F$1500,"",0,1)</f>
        <v/>
      </c>
      <c r="E738" s="50">
        <f>_xlfn.XLOOKUP(A741,Magazzino!$D$1:$D$1500,Magazzino!$F$1:$F$1500,"",0,1)</f>
        <v/>
      </c>
      <c r="F738" s="50">
        <f>_xlfn.XLOOKUP(A742,Magazzino!$D$1:$D$1500,Magazzino!$F$1:$F$1500,"",0,1)</f>
        <v/>
      </c>
      <c r="G738" s="50">
        <f>_xlfn.XLOOKUP(A743,Magazzino!$D$1:$D$1500,Magazzino!$F$1:$F$1500,"",0,1)</f>
        <v/>
      </c>
      <c r="H738" s="50">
        <f>_xlfn.XLOOKUP(A744,Magazzino!$D$1:$D$1500,Magazzino!$F$1:$F$1500,"",0,1)</f>
        <v/>
      </c>
      <c r="I738" s="50">
        <f>_xlfn.XLOOKUP(A745,Magazzino!$D$1:$D$1500,Magazzino!$F$1:$F$1500,"",0,1)</f>
        <v/>
      </c>
      <c r="J738" s="50">
        <f>_xlfn.XLOOKUP(A746,Magazzino!$D$1:$D$1500,Magazzino!$F$1:$F$1500,"",0,1)</f>
        <v/>
      </c>
      <c r="K738" s="50">
        <f>_xlfn.XLOOKUP(A747,Magazzino!$D$1:$D$1500,Magazzino!$F$1:$F$1500,"",0,1)</f>
        <v/>
      </c>
      <c r="L738" s="50">
        <f>_xlfn.XLOOKUP(A748,Magazzino!$D$1:$D$1500,Magazzino!$F$1:$F$1500,"",0,1)</f>
        <v/>
      </c>
      <c r="M738" s="50">
        <f>_xlfn.XLOOKUP(A749,Magazzino!$D$1:$D$1500,Magazzino!$F$1:$F$1500,"",0,1)</f>
        <v/>
      </c>
      <c r="N738" s="50">
        <f>_xlfn.XLOOKUP(A750,Magazzino!$D$1:$D$1500,Magazzino!$F$1:$F$1500,"",0,1)</f>
        <v/>
      </c>
      <c r="O738" s="50">
        <f>_xlfn.XLOOKUP(A751,Magazzino!$D$1:$D$1500,Magazzino!$F$1:$F$1500,"",0,1)</f>
        <v/>
      </c>
      <c r="P738" s="50">
        <f>_xlfn.XLOOKUP(A752,Magazzino!$D$1:$D$1500,Magazzino!$F$1:$F$1500,"",0,1)</f>
        <v/>
      </c>
      <c r="Q738" s="51">
        <f>_xlfn.XLOOKUP(A753,Magazzino!$D$1:$D$1500,Magazzino!$F$1:$F$1500,"",0,1)</f>
        <v/>
      </c>
    </row>
    <row r="739">
      <c r="A739" s="47" t="inlineStr">
        <is>
          <t xml:space="preserve">FARINA 0/MAN. CAPUTO DA KG.25  </t>
        </is>
      </c>
      <c r="B739" s="16" t="inlineStr">
        <is>
          <t>-</t>
        </is>
      </c>
      <c r="C739" s="11" t="inlineStr">
        <is>
          <t>-</t>
        </is>
      </c>
      <c r="D739" s="11" t="inlineStr">
        <is>
          <t>-</t>
        </is>
      </c>
      <c r="E739" s="11" t="inlineStr">
        <is>
          <t>-</t>
        </is>
      </c>
      <c r="F739" s="11" t="inlineStr">
        <is>
          <t>-</t>
        </is>
      </c>
      <c r="G739" s="11" t="inlineStr">
        <is>
          <t>-</t>
        </is>
      </c>
      <c r="H739" s="11" t="inlineStr">
        <is>
          <t>-</t>
        </is>
      </c>
      <c r="I739" s="11" t="inlineStr">
        <is>
          <t>-</t>
        </is>
      </c>
      <c r="J739" s="11" t="inlineStr">
        <is>
          <t>-</t>
        </is>
      </c>
      <c r="K739" s="11" t="inlineStr">
        <is>
          <t>-</t>
        </is>
      </c>
      <c r="L739" s="11" t="inlineStr">
        <is>
          <t>-</t>
        </is>
      </c>
      <c r="M739" s="11" t="inlineStr">
        <is>
          <t>-</t>
        </is>
      </c>
      <c r="N739" s="11" t="inlineStr">
        <is>
          <t>-</t>
        </is>
      </c>
      <c r="O739" s="11" t="inlineStr">
        <is>
          <t>-</t>
        </is>
      </c>
      <c r="P739" s="11" t="inlineStr">
        <is>
          <t>-</t>
        </is>
      </c>
      <c r="Q739" s="12" t="inlineStr">
        <is>
          <t>-</t>
        </is>
      </c>
    </row>
    <row r="740">
      <c r="A740" s="47" t="inlineStr">
        <is>
          <t>margarina sfoglia</t>
        </is>
      </c>
      <c r="B740" s="13" t="inlineStr">
        <is>
          <t>-</t>
        </is>
      </c>
      <c r="C740" s="14" t="inlineStr">
        <is>
          <t>-</t>
        </is>
      </c>
      <c r="D740" s="14" t="inlineStr">
        <is>
          <t>-</t>
        </is>
      </c>
      <c r="E740" s="14" t="inlineStr">
        <is>
          <t>-</t>
        </is>
      </c>
      <c r="F740" s="14" t="inlineStr">
        <is>
          <t>-</t>
        </is>
      </c>
      <c r="G740" s="14" t="inlineStr">
        <is>
          <t>-</t>
        </is>
      </c>
      <c r="H740" s="14" t="inlineStr">
        <is>
          <t>-</t>
        </is>
      </c>
      <c r="I740" s="14" t="inlineStr">
        <is>
          <t>-</t>
        </is>
      </c>
      <c r="J740" s="14" t="inlineStr">
        <is>
          <t>-</t>
        </is>
      </c>
      <c r="K740" s="14" t="inlineStr">
        <is>
          <t>-</t>
        </is>
      </c>
      <c r="L740" s="14" t="inlineStr">
        <is>
          <t>-</t>
        </is>
      </c>
      <c r="M740" s="14" t="inlineStr">
        <is>
          <t>-</t>
        </is>
      </c>
      <c r="N740" s="14" t="inlineStr">
        <is>
          <t>-</t>
        </is>
      </c>
      <c r="O740" s="14" t="inlineStr">
        <is>
          <t>-</t>
        </is>
      </c>
      <c r="P740" s="14" t="inlineStr">
        <is>
          <t>-</t>
        </is>
      </c>
      <c r="Q740" s="15" t="inlineStr">
        <is>
          <t>-</t>
        </is>
      </c>
    </row>
    <row r="741">
      <c r="A741" s="47" t="inlineStr">
        <is>
          <t>LIEVITO x 2.5kg</t>
        </is>
      </c>
      <c r="B741" s="16" t="inlineStr">
        <is>
          <t>-</t>
        </is>
      </c>
      <c r="C741" s="11" t="inlineStr">
        <is>
          <t>-</t>
        </is>
      </c>
      <c r="D741" s="11" t="inlineStr">
        <is>
          <t>-</t>
        </is>
      </c>
      <c r="E741" s="11" t="inlineStr">
        <is>
          <t>-</t>
        </is>
      </c>
      <c r="F741" s="11" t="inlineStr">
        <is>
          <t>-</t>
        </is>
      </c>
      <c r="G741" s="11" t="inlineStr">
        <is>
          <t>-</t>
        </is>
      </c>
      <c r="H741" s="11" t="inlineStr">
        <is>
          <t>-</t>
        </is>
      </c>
      <c r="I741" s="11" t="inlineStr">
        <is>
          <t>-</t>
        </is>
      </c>
      <c r="J741" s="11" t="inlineStr">
        <is>
          <t>-</t>
        </is>
      </c>
      <c r="K741" s="11" t="inlineStr">
        <is>
          <t>-</t>
        </is>
      </c>
      <c r="L741" s="11" t="inlineStr">
        <is>
          <t>-</t>
        </is>
      </c>
      <c r="M741" s="11" t="inlineStr">
        <is>
          <t>-</t>
        </is>
      </c>
      <c r="N741" s="11" t="inlineStr">
        <is>
          <t>-</t>
        </is>
      </c>
      <c r="O741" s="11" t="inlineStr">
        <is>
          <t>-</t>
        </is>
      </c>
      <c r="P741" s="11" t="inlineStr">
        <is>
          <t>-</t>
        </is>
      </c>
      <c r="Q741" s="12" t="inlineStr">
        <is>
          <t>-</t>
        </is>
      </c>
    </row>
    <row r="742">
      <c r="A742" s="47" t="inlineStr">
        <is>
          <t>tuorlo d'uovo pastorizzato</t>
        </is>
      </c>
      <c r="B742" s="13" t="inlineStr">
        <is>
          <t>-</t>
        </is>
      </c>
      <c r="C742" s="14" t="inlineStr">
        <is>
          <t>-</t>
        </is>
      </c>
      <c r="D742" s="14" t="inlineStr">
        <is>
          <t>-</t>
        </is>
      </c>
      <c r="E742" s="14" t="inlineStr">
        <is>
          <t>-</t>
        </is>
      </c>
      <c r="F742" s="14" t="inlineStr">
        <is>
          <t>-</t>
        </is>
      </c>
      <c r="G742" s="14" t="inlineStr">
        <is>
          <t>-</t>
        </is>
      </c>
      <c r="H742" s="14" t="inlineStr">
        <is>
          <t>-</t>
        </is>
      </c>
      <c r="I742" s="14" t="inlineStr">
        <is>
          <t>-</t>
        </is>
      </c>
      <c r="J742" s="14" t="inlineStr">
        <is>
          <t>-</t>
        </is>
      </c>
      <c r="K742" s="14" t="inlineStr">
        <is>
          <t>-</t>
        </is>
      </c>
      <c r="L742" s="14" t="inlineStr">
        <is>
          <t>-</t>
        </is>
      </c>
      <c r="M742" s="14" t="inlineStr">
        <is>
          <t>-</t>
        </is>
      </c>
      <c r="N742" s="14" t="inlineStr">
        <is>
          <t>-</t>
        </is>
      </c>
      <c r="O742" s="14" t="inlineStr">
        <is>
          <t>-</t>
        </is>
      </c>
      <c r="P742" s="14" t="inlineStr">
        <is>
          <t>-</t>
        </is>
      </c>
      <c r="Q742" s="15" t="inlineStr">
        <is>
          <t>-</t>
        </is>
      </c>
    </row>
    <row r="743">
      <c r="A743" s="47" t="inlineStr">
        <is>
          <t>AROMA CROISSANT</t>
        </is>
      </c>
      <c r="B743" s="16" t="inlineStr">
        <is>
          <t>-</t>
        </is>
      </c>
      <c r="C743" s="11" t="inlineStr">
        <is>
          <t>-</t>
        </is>
      </c>
      <c r="D743" s="11" t="inlineStr">
        <is>
          <t>-</t>
        </is>
      </c>
      <c r="E743" s="11" t="inlineStr">
        <is>
          <t>-</t>
        </is>
      </c>
      <c r="F743" s="11" t="inlineStr">
        <is>
          <t>-</t>
        </is>
      </c>
      <c r="G743" s="11" t="inlineStr">
        <is>
          <t>-</t>
        </is>
      </c>
      <c r="H743" s="11" t="inlineStr">
        <is>
          <t>-</t>
        </is>
      </c>
      <c r="I743" s="11" t="inlineStr">
        <is>
          <t>-</t>
        </is>
      </c>
      <c r="J743" s="11" t="inlineStr">
        <is>
          <t>-</t>
        </is>
      </c>
      <c r="K743" s="11" t="inlineStr">
        <is>
          <t>-</t>
        </is>
      </c>
      <c r="L743" s="11" t="inlineStr">
        <is>
          <t>-</t>
        </is>
      </c>
      <c r="M743" s="11" t="inlineStr">
        <is>
          <t>-</t>
        </is>
      </c>
      <c r="N743" s="11" t="inlineStr">
        <is>
          <t>-</t>
        </is>
      </c>
      <c r="O743" s="11" t="inlineStr">
        <is>
          <t>-</t>
        </is>
      </c>
      <c r="P743" s="11" t="inlineStr">
        <is>
          <t>-</t>
        </is>
      </c>
      <c r="Q743" s="12" t="inlineStr">
        <is>
          <t>-</t>
        </is>
      </c>
    </row>
    <row r="744">
      <c r="A744" s="47" t="inlineStr">
        <is>
          <t>latte   1500 int.uht  yma</t>
        </is>
      </c>
      <c r="B744" s="13" t="inlineStr">
        <is>
          <t>-</t>
        </is>
      </c>
      <c r="C744" s="14" t="inlineStr">
        <is>
          <t>-</t>
        </is>
      </c>
      <c r="D744" s="14" t="inlineStr">
        <is>
          <t>-</t>
        </is>
      </c>
      <c r="E744" s="14" t="inlineStr">
        <is>
          <t>-</t>
        </is>
      </c>
      <c r="F744" s="14" t="inlineStr">
        <is>
          <t>-</t>
        </is>
      </c>
      <c r="G744" s="14" t="inlineStr">
        <is>
          <t>-</t>
        </is>
      </c>
      <c r="H744" s="14" t="inlineStr">
        <is>
          <t>-</t>
        </is>
      </c>
      <c r="I744" s="14" t="inlineStr">
        <is>
          <t>-</t>
        </is>
      </c>
      <c r="J744" s="14" t="inlineStr">
        <is>
          <t>-</t>
        </is>
      </c>
      <c r="K744" s="14" t="inlineStr">
        <is>
          <t>-</t>
        </is>
      </c>
      <c r="L744" s="14" t="inlineStr">
        <is>
          <t>-</t>
        </is>
      </c>
      <c r="M744" s="14" t="inlineStr">
        <is>
          <t>-</t>
        </is>
      </c>
      <c r="N744" s="14" t="inlineStr">
        <is>
          <t>-</t>
        </is>
      </c>
      <c r="O744" s="14" t="inlineStr">
        <is>
          <t>-</t>
        </is>
      </c>
      <c r="P744" s="14" t="inlineStr">
        <is>
          <t>-</t>
        </is>
      </c>
      <c r="Q744" s="15" t="inlineStr">
        <is>
          <t>-</t>
        </is>
      </c>
    </row>
    <row r="745">
      <c r="A745" s="48" t="inlineStr">
        <is>
          <t xml:space="preserve">SALE SACCHI SALTECHNO KG.25  </t>
        </is>
      </c>
      <c r="B745" s="16" t="inlineStr">
        <is>
          <t>-</t>
        </is>
      </c>
      <c r="C745" s="11" t="inlineStr">
        <is>
          <t>-</t>
        </is>
      </c>
      <c r="D745" s="11" t="inlineStr">
        <is>
          <t>-</t>
        </is>
      </c>
      <c r="E745" s="11" t="inlineStr">
        <is>
          <t>-</t>
        </is>
      </c>
      <c r="F745" s="11" t="inlineStr">
        <is>
          <t>-</t>
        </is>
      </c>
      <c r="G745" s="11" t="inlineStr">
        <is>
          <t>-</t>
        </is>
      </c>
      <c r="H745" s="11" t="inlineStr">
        <is>
          <t>-</t>
        </is>
      </c>
      <c r="I745" s="11" t="inlineStr">
        <is>
          <t>-</t>
        </is>
      </c>
      <c r="J745" s="11" t="inlineStr">
        <is>
          <t>-</t>
        </is>
      </c>
      <c r="K745" s="11" t="inlineStr">
        <is>
          <t>-</t>
        </is>
      </c>
      <c r="L745" s="11" t="inlineStr">
        <is>
          <t>-</t>
        </is>
      </c>
      <c r="M745" s="11" t="inlineStr">
        <is>
          <t>-</t>
        </is>
      </c>
      <c r="N745" s="11" t="inlineStr">
        <is>
          <t>-</t>
        </is>
      </c>
      <c r="O745" s="11" t="inlineStr">
        <is>
          <t>-</t>
        </is>
      </c>
      <c r="P745" s="11" t="inlineStr">
        <is>
          <t>-</t>
        </is>
      </c>
      <c r="Q745" s="12" t="inlineStr">
        <is>
          <t>-</t>
        </is>
      </c>
    </row>
    <row r="746">
      <c r="A746" s="47" t="n"/>
      <c r="B746" s="13" t="inlineStr">
        <is>
          <t>-</t>
        </is>
      </c>
      <c r="C746" s="14" t="inlineStr">
        <is>
          <t>-</t>
        </is>
      </c>
      <c r="D746" s="14" t="inlineStr">
        <is>
          <t>-</t>
        </is>
      </c>
      <c r="E746" s="14" t="inlineStr">
        <is>
          <t>-</t>
        </is>
      </c>
      <c r="F746" s="14" t="inlineStr">
        <is>
          <t>-</t>
        </is>
      </c>
      <c r="G746" s="14" t="inlineStr">
        <is>
          <t>-</t>
        </is>
      </c>
      <c r="H746" s="14" t="inlineStr">
        <is>
          <t>-</t>
        </is>
      </c>
      <c r="I746" s="14" t="inlineStr">
        <is>
          <t>-</t>
        </is>
      </c>
      <c r="J746" s="14" t="inlineStr">
        <is>
          <t>-</t>
        </is>
      </c>
      <c r="K746" s="14" t="inlineStr">
        <is>
          <t>-</t>
        </is>
      </c>
      <c r="L746" s="14" t="inlineStr">
        <is>
          <t>-</t>
        </is>
      </c>
      <c r="M746" s="14" t="inlineStr">
        <is>
          <t>-</t>
        </is>
      </c>
      <c r="N746" s="14" t="inlineStr">
        <is>
          <t>-</t>
        </is>
      </c>
      <c r="O746" s="14" t="inlineStr">
        <is>
          <t>-</t>
        </is>
      </c>
      <c r="P746" s="14" t="inlineStr">
        <is>
          <t>-</t>
        </is>
      </c>
      <c r="Q746" s="15" t="inlineStr">
        <is>
          <t>-</t>
        </is>
      </c>
    </row>
    <row r="747">
      <c r="A747" s="47" t="n"/>
      <c r="B747" s="16" t="inlineStr">
        <is>
          <t>-</t>
        </is>
      </c>
      <c r="C747" s="11" t="inlineStr">
        <is>
          <t>-</t>
        </is>
      </c>
      <c r="D747" s="11" t="inlineStr">
        <is>
          <t>-</t>
        </is>
      </c>
      <c r="E747" s="11" t="inlineStr">
        <is>
          <t>-</t>
        </is>
      </c>
      <c r="F747" s="11" t="inlineStr">
        <is>
          <t>-</t>
        </is>
      </c>
      <c r="G747" s="11" t="inlineStr">
        <is>
          <t>-</t>
        </is>
      </c>
      <c r="H747" s="11" t="inlineStr">
        <is>
          <t>-</t>
        </is>
      </c>
      <c r="I747" s="11" t="inlineStr">
        <is>
          <t>-</t>
        </is>
      </c>
      <c r="J747" s="11" t="inlineStr">
        <is>
          <t>-</t>
        </is>
      </c>
      <c r="K747" s="11" t="inlineStr">
        <is>
          <t>-</t>
        </is>
      </c>
      <c r="L747" s="11" t="inlineStr">
        <is>
          <t>-</t>
        </is>
      </c>
      <c r="M747" s="11" t="inlineStr">
        <is>
          <t>-</t>
        </is>
      </c>
      <c r="N747" s="11" t="inlineStr">
        <is>
          <t>-</t>
        </is>
      </c>
      <c r="O747" s="11" t="inlineStr">
        <is>
          <t>-</t>
        </is>
      </c>
      <c r="P747" s="11" t="inlineStr">
        <is>
          <t>-</t>
        </is>
      </c>
      <c r="Q747" s="12" t="inlineStr">
        <is>
          <t>-</t>
        </is>
      </c>
    </row>
    <row r="748">
      <c r="A748" s="47" t="n"/>
      <c r="B748" s="13" t="inlineStr">
        <is>
          <t>-</t>
        </is>
      </c>
      <c r="C748" s="14" t="inlineStr">
        <is>
          <t>-</t>
        </is>
      </c>
      <c r="D748" s="14" t="inlineStr">
        <is>
          <t>-</t>
        </is>
      </c>
      <c r="E748" s="14" t="inlineStr">
        <is>
          <t>-</t>
        </is>
      </c>
      <c r="F748" s="14" t="inlineStr">
        <is>
          <t>-</t>
        </is>
      </c>
      <c r="G748" s="14" t="inlineStr">
        <is>
          <t>-</t>
        </is>
      </c>
      <c r="H748" s="14" t="inlineStr">
        <is>
          <t>-</t>
        </is>
      </c>
      <c r="I748" s="14" t="inlineStr">
        <is>
          <t>-</t>
        </is>
      </c>
      <c r="J748" s="14" t="inlineStr">
        <is>
          <t>-</t>
        </is>
      </c>
      <c r="K748" s="14" t="inlineStr">
        <is>
          <t>-</t>
        </is>
      </c>
      <c r="L748" s="14" t="inlineStr">
        <is>
          <t>-</t>
        </is>
      </c>
      <c r="M748" s="14" t="inlineStr">
        <is>
          <t>-</t>
        </is>
      </c>
      <c r="N748" s="14" t="inlineStr">
        <is>
          <t>-</t>
        </is>
      </c>
      <c r="O748" s="14" t="inlineStr">
        <is>
          <t>-</t>
        </is>
      </c>
      <c r="P748" s="14" t="inlineStr">
        <is>
          <t>-</t>
        </is>
      </c>
      <c r="Q748" s="15" t="inlineStr">
        <is>
          <t>-</t>
        </is>
      </c>
    </row>
    <row r="749">
      <c r="A749" s="47" t="n"/>
      <c r="B749" s="16" t="inlineStr">
        <is>
          <t>-</t>
        </is>
      </c>
      <c r="C749" s="11" t="inlineStr">
        <is>
          <t>-</t>
        </is>
      </c>
      <c r="D749" s="11" t="inlineStr">
        <is>
          <t>-</t>
        </is>
      </c>
      <c r="E749" s="11" t="inlineStr">
        <is>
          <t>-</t>
        </is>
      </c>
      <c r="F749" s="11" t="inlineStr">
        <is>
          <t>-</t>
        </is>
      </c>
      <c r="G749" s="11" t="inlineStr">
        <is>
          <t>-</t>
        </is>
      </c>
      <c r="H749" s="11" t="inlineStr">
        <is>
          <t>-</t>
        </is>
      </c>
      <c r="I749" s="11" t="inlineStr">
        <is>
          <t>-</t>
        </is>
      </c>
      <c r="J749" s="11" t="inlineStr">
        <is>
          <t>-</t>
        </is>
      </c>
      <c r="K749" s="11" t="inlineStr">
        <is>
          <t>-</t>
        </is>
      </c>
      <c r="L749" s="11" t="inlineStr">
        <is>
          <t>-</t>
        </is>
      </c>
      <c r="M749" s="11" t="inlineStr">
        <is>
          <t>-</t>
        </is>
      </c>
      <c r="N749" s="11" t="inlineStr">
        <is>
          <t>-</t>
        </is>
      </c>
      <c r="O749" s="11" t="inlineStr">
        <is>
          <t>-</t>
        </is>
      </c>
      <c r="P749" s="11" t="inlineStr">
        <is>
          <t>-</t>
        </is>
      </c>
      <c r="Q749" s="12" t="inlineStr">
        <is>
          <t>-</t>
        </is>
      </c>
    </row>
    <row r="750">
      <c r="A750" s="47" t="n"/>
      <c r="B750" s="13" t="inlineStr">
        <is>
          <t>-</t>
        </is>
      </c>
      <c r="C750" s="14" t="inlineStr">
        <is>
          <t>-</t>
        </is>
      </c>
      <c r="D750" s="14" t="inlineStr">
        <is>
          <t>-</t>
        </is>
      </c>
      <c r="E750" s="14" t="inlineStr">
        <is>
          <t>-</t>
        </is>
      </c>
      <c r="F750" s="14" t="inlineStr">
        <is>
          <t>-</t>
        </is>
      </c>
      <c r="G750" s="14" t="inlineStr">
        <is>
          <t>-</t>
        </is>
      </c>
      <c r="H750" s="14" t="inlineStr">
        <is>
          <t>-</t>
        </is>
      </c>
      <c r="I750" s="14" t="inlineStr">
        <is>
          <t>-</t>
        </is>
      </c>
      <c r="J750" s="14" t="inlineStr">
        <is>
          <t>-</t>
        </is>
      </c>
      <c r="K750" s="14" t="inlineStr">
        <is>
          <t>-</t>
        </is>
      </c>
      <c r="L750" s="14" t="inlineStr">
        <is>
          <t>-</t>
        </is>
      </c>
      <c r="M750" s="14" t="inlineStr">
        <is>
          <t>-</t>
        </is>
      </c>
      <c r="N750" s="14" t="inlineStr">
        <is>
          <t>-</t>
        </is>
      </c>
      <c r="O750" s="14" t="inlineStr">
        <is>
          <t>-</t>
        </is>
      </c>
      <c r="P750" s="14" t="inlineStr">
        <is>
          <t>-</t>
        </is>
      </c>
      <c r="Q750" s="15" t="inlineStr">
        <is>
          <t>-</t>
        </is>
      </c>
    </row>
    <row r="751">
      <c r="A751" s="47" t="n"/>
      <c r="B751" s="16" t="inlineStr">
        <is>
          <t>-</t>
        </is>
      </c>
      <c r="C751" s="11" t="inlineStr">
        <is>
          <t>-</t>
        </is>
      </c>
      <c r="D751" s="11" t="inlineStr">
        <is>
          <t>-</t>
        </is>
      </c>
      <c r="E751" s="11" t="inlineStr">
        <is>
          <t>-</t>
        </is>
      </c>
      <c r="F751" s="11" t="inlineStr">
        <is>
          <t>-</t>
        </is>
      </c>
      <c r="G751" s="11" t="inlineStr">
        <is>
          <t>-</t>
        </is>
      </c>
      <c r="H751" s="11" t="inlineStr">
        <is>
          <t>-</t>
        </is>
      </c>
      <c r="I751" s="11" t="inlineStr">
        <is>
          <t>-</t>
        </is>
      </c>
      <c r="J751" s="11" t="inlineStr">
        <is>
          <t>-</t>
        </is>
      </c>
      <c r="K751" s="11" t="inlineStr">
        <is>
          <t>-</t>
        </is>
      </c>
      <c r="L751" s="11" t="inlineStr">
        <is>
          <t>-</t>
        </is>
      </c>
      <c r="M751" s="11" t="inlineStr">
        <is>
          <t>-</t>
        </is>
      </c>
      <c r="N751" s="11" t="inlineStr">
        <is>
          <t>-</t>
        </is>
      </c>
      <c r="O751" s="11" t="inlineStr">
        <is>
          <t>-</t>
        </is>
      </c>
      <c r="P751" s="11" t="inlineStr">
        <is>
          <t>-</t>
        </is>
      </c>
      <c r="Q751" s="12" t="inlineStr">
        <is>
          <t>-</t>
        </is>
      </c>
    </row>
    <row r="752">
      <c r="A752" s="47" t="n"/>
      <c r="B752" s="13" t="inlineStr">
        <is>
          <t>-</t>
        </is>
      </c>
      <c r="C752" s="14" t="inlineStr">
        <is>
          <t>-</t>
        </is>
      </c>
      <c r="D752" s="14" t="inlineStr">
        <is>
          <t>-</t>
        </is>
      </c>
      <c r="E752" s="14" t="inlineStr">
        <is>
          <t>-</t>
        </is>
      </c>
      <c r="F752" s="14" t="inlineStr">
        <is>
          <t>-</t>
        </is>
      </c>
      <c r="G752" s="14" t="inlineStr">
        <is>
          <t>-</t>
        </is>
      </c>
      <c r="H752" s="14" t="inlineStr">
        <is>
          <t>-</t>
        </is>
      </c>
      <c r="I752" s="14" t="inlineStr">
        <is>
          <t>-</t>
        </is>
      </c>
      <c r="J752" s="14" t="inlineStr">
        <is>
          <t>-</t>
        </is>
      </c>
      <c r="K752" s="14" t="inlineStr">
        <is>
          <t>-</t>
        </is>
      </c>
      <c r="L752" s="14" t="inlineStr">
        <is>
          <t>-</t>
        </is>
      </c>
      <c r="M752" s="14" t="inlineStr">
        <is>
          <t>-</t>
        </is>
      </c>
      <c r="N752" s="14" t="inlineStr">
        <is>
          <t>-</t>
        </is>
      </c>
      <c r="O752" s="14" t="inlineStr">
        <is>
          <t>-</t>
        </is>
      </c>
      <c r="P752" s="14" t="inlineStr">
        <is>
          <t>-</t>
        </is>
      </c>
      <c r="Q752" s="15" t="inlineStr">
        <is>
          <t>-</t>
        </is>
      </c>
    </row>
    <row r="753">
      <c r="A753" s="47" t="n"/>
      <c r="B753" s="16" t="inlineStr">
        <is>
          <t>-</t>
        </is>
      </c>
      <c r="C753" s="11" t="inlineStr">
        <is>
          <t>-</t>
        </is>
      </c>
      <c r="D753" s="11" t="inlineStr">
        <is>
          <t>-</t>
        </is>
      </c>
      <c r="E753" s="11" t="inlineStr">
        <is>
          <t>-</t>
        </is>
      </c>
      <c r="F753" s="11" t="inlineStr">
        <is>
          <t>-</t>
        </is>
      </c>
      <c r="G753" s="11" t="inlineStr">
        <is>
          <t>-</t>
        </is>
      </c>
      <c r="H753" s="11" t="inlineStr">
        <is>
          <t>-</t>
        </is>
      </c>
      <c r="I753" s="11" t="inlineStr">
        <is>
          <t>-</t>
        </is>
      </c>
      <c r="J753" s="11" t="inlineStr">
        <is>
          <t>-</t>
        </is>
      </c>
      <c r="K753" s="11" t="inlineStr">
        <is>
          <t>-</t>
        </is>
      </c>
      <c r="L753" s="11" t="inlineStr">
        <is>
          <t>-</t>
        </is>
      </c>
      <c r="M753" s="11" t="inlineStr">
        <is>
          <t>-</t>
        </is>
      </c>
      <c r="N753" s="11" t="inlineStr">
        <is>
          <t>-</t>
        </is>
      </c>
      <c r="O753" s="11" t="inlineStr">
        <is>
          <t>-</t>
        </is>
      </c>
      <c r="P753" s="11" t="inlineStr">
        <is>
          <t>-</t>
        </is>
      </c>
      <c r="Q753" s="12" t="inlineStr">
        <is>
          <t>-</t>
        </is>
      </c>
    </row>
    <row r="754" ht="36" customHeight="1" s="155">
      <c r="B754" s="46" t="inlineStr">
        <is>
          <t>cornetto sfoglia</t>
        </is>
      </c>
      <c r="C754" s="49">
        <f>_xlfn.XLOOKUP(A755,Magazzino!$D$1:$D$1500,Magazzino!$F$1:$F$1500,"",0,1)</f>
        <v/>
      </c>
      <c r="D754" s="50">
        <f>_xlfn.XLOOKUP(A756,Magazzino!$D$1:$D$1500,Magazzino!$F$1:$F$1500,"",0,1)</f>
        <v/>
      </c>
      <c r="E754" s="50">
        <f>_xlfn.XLOOKUP(A757,Magazzino!$D$1:$D$1500,Magazzino!$F$1:$F$1500,"",0,1)</f>
        <v/>
      </c>
      <c r="F754" s="50">
        <f>_xlfn.XLOOKUP(A758,Magazzino!$D$1:$D$1500,Magazzino!$F$1:$F$1500,"",0,1)</f>
        <v/>
      </c>
      <c r="G754" s="50">
        <f>_xlfn.XLOOKUP(A759,Magazzino!$D$1:$D$1500,Magazzino!$F$1:$F$1500,"",0,1)</f>
        <v/>
      </c>
      <c r="H754" s="50">
        <f>_xlfn.XLOOKUP(A760,Magazzino!$D$1:$D$1500,Magazzino!$F$1:$F$1500,"",0,1)</f>
        <v/>
      </c>
      <c r="I754" s="50">
        <f>_xlfn.XLOOKUP(A761,Magazzino!$D$1:$D$1500,Magazzino!$F$1:$F$1500,"",0,1)</f>
        <v/>
      </c>
      <c r="J754" s="50">
        <f>_xlfn.XLOOKUP(A762,Magazzino!$D$1:$D$1500,Magazzino!$F$1:$F$1500,"",0,1)</f>
        <v/>
      </c>
      <c r="K754" s="50">
        <f>_xlfn.XLOOKUP(A763,Magazzino!$D$1:$D$1500,Magazzino!$F$1:$F$1500,"",0,1)</f>
        <v/>
      </c>
      <c r="L754" s="50">
        <f>_xlfn.XLOOKUP(A764,Magazzino!$D$1:$D$1500,Magazzino!$F$1:$F$1500,"",0,1)</f>
        <v/>
      </c>
      <c r="M754" s="50">
        <f>_xlfn.XLOOKUP(A765,Magazzino!$D$1:$D$1500,Magazzino!$F$1:$F$1500,"",0,1)</f>
        <v/>
      </c>
      <c r="N754" s="50">
        <f>_xlfn.XLOOKUP(A766,Magazzino!$D$1:$D$1500,Magazzino!$F$1:$F$1500,"",0,1)</f>
        <v/>
      </c>
      <c r="O754" s="50">
        <f>_xlfn.XLOOKUP(A767,Magazzino!$D$1:$D$1500,Magazzino!$F$1:$F$1500,"",0,1)</f>
        <v/>
      </c>
      <c r="P754" s="50">
        <f>_xlfn.XLOOKUP(A768,Magazzino!$D$1:$D$1500,Magazzino!$F$1:$F$1500,"",0,1)</f>
        <v/>
      </c>
      <c r="Q754" s="51">
        <f>_xlfn.XLOOKUP(A769,Magazzino!$D$1:$D$1500,Magazzino!$F$1:$F$1500,"",0,1)</f>
        <v/>
      </c>
    </row>
    <row r="755">
      <c r="A755" s="47" t="inlineStr">
        <is>
          <t xml:space="preserve">FARINA 0/MAN. CAPUTO DA KG.25  </t>
        </is>
      </c>
      <c r="B755" s="16" t="inlineStr">
        <is>
          <t>-</t>
        </is>
      </c>
      <c r="C755" s="11" t="inlineStr">
        <is>
          <t>-</t>
        </is>
      </c>
      <c r="D755" s="11" t="inlineStr">
        <is>
          <t>-</t>
        </is>
      </c>
      <c r="E755" s="11" t="inlineStr">
        <is>
          <t>-</t>
        </is>
      </c>
      <c r="F755" s="11" t="inlineStr">
        <is>
          <t>-</t>
        </is>
      </c>
      <c r="G755" s="11" t="inlineStr">
        <is>
          <t>-</t>
        </is>
      </c>
      <c r="H755" s="11" t="inlineStr">
        <is>
          <t>-</t>
        </is>
      </c>
      <c r="I755" s="11" t="inlineStr">
        <is>
          <t>-</t>
        </is>
      </c>
      <c r="J755" s="11" t="inlineStr">
        <is>
          <t>-</t>
        </is>
      </c>
      <c r="K755" s="11" t="inlineStr">
        <is>
          <t>-</t>
        </is>
      </c>
      <c r="L755" s="11" t="inlineStr">
        <is>
          <t>-</t>
        </is>
      </c>
      <c r="M755" s="11" t="inlineStr">
        <is>
          <t>-</t>
        </is>
      </c>
      <c r="N755" s="11" t="inlineStr">
        <is>
          <t>-</t>
        </is>
      </c>
      <c r="O755" s="11" t="inlineStr">
        <is>
          <t>-</t>
        </is>
      </c>
      <c r="P755" s="11" t="inlineStr">
        <is>
          <t>-</t>
        </is>
      </c>
      <c r="Q755" s="12" t="inlineStr">
        <is>
          <t>-</t>
        </is>
      </c>
    </row>
    <row r="756">
      <c r="A756" s="47" t="inlineStr">
        <is>
          <t>margarina sfoglia</t>
        </is>
      </c>
      <c r="B756" s="13" t="inlineStr">
        <is>
          <t>-</t>
        </is>
      </c>
      <c r="C756" s="14" t="inlineStr">
        <is>
          <t>-</t>
        </is>
      </c>
      <c r="D756" s="14" t="inlineStr">
        <is>
          <t>-</t>
        </is>
      </c>
      <c r="E756" s="14" t="inlineStr">
        <is>
          <t>-</t>
        </is>
      </c>
      <c r="F756" s="14" t="inlineStr">
        <is>
          <t>-</t>
        </is>
      </c>
      <c r="G756" s="14" t="inlineStr">
        <is>
          <t>-</t>
        </is>
      </c>
      <c r="H756" s="14" t="inlineStr">
        <is>
          <t>-</t>
        </is>
      </c>
      <c r="I756" s="14" t="inlineStr">
        <is>
          <t>-</t>
        </is>
      </c>
      <c r="J756" s="14" t="inlineStr">
        <is>
          <t>-</t>
        </is>
      </c>
      <c r="K756" s="14" t="inlineStr">
        <is>
          <t>-</t>
        </is>
      </c>
      <c r="L756" s="14" t="inlineStr">
        <is>
          <t>-</t>
        </is>
      </c>
      <c r="M756" s="14" t="inlineStr">
        <is>
          <t>-</t>
        </is>
      </c>
      <c r="N756" s="14" t="inlineStr">
        <is>
          <t>-</t>
        </is>
      </c>
      <c r="O756" s="14" t="inlineStr">
        <is>
          <t>-</t>
        </is>
      </c>
      <c r="P756" s="14" t="inlineStr">
        <is>
          <t>-</t>
        </is>
      </c>
      <c r="Q756" s="15" t="inlineStr">
        <is>
          <t>-</t>
        </is>
      </c>
    </row>
    <row r="757">
      <c r="A757" s="47" t="inlineStr">
        <is>
          <t>LIEVITO x 2.5kg</t>
        </is>
      </c>
      <c r="B757" s="16" t="inlineStr">
        <is>
          <t>-</t>
        </is>
      </c>
      <c r="C757" s="11" t="inlineStr">
        <is>
          <t>-</t>
        </is>
      </c>
      <c r="D757" s="11" t="inlineStr">
        <is>
          <t>-</t>
        </is>
      </c>
      <c r="E757" s="11" t="inlineStr">
        <is>
          <t>-</t>
        </is>
      </c>
      <c r="F757" s="11" t="inlineStr">
        <is>
          <t>-</t>
        </is>
      </c>
      <c r="G757" s="11" t="inlineStr">
        <is>
          <t>-</t>
        </is>
      </c>
      <c r="H757" s="11" t="inlineStr">
        <is>
          <t>-</t>
        </is>
      </c>
      <c r="I757" s="11" t="inlineStr">
        <is>
          <t>-</t>
        </is>
      </c>
      <c r="J757" s="11" t="inlineStr">
        <is>
          <t>-</t>
        </is>
      </c>
      <c r="K757" s="11" t="inlineStr">
        <is>
          <t>-</t>
        </is>
      </c>
      <c r="L757" s="11" t="inlineStr">
        <is>
          <t>-</t>
        </is>
      </c>
      <c r="M757" s="11" t="inlineStr">
        <is>
          <t>-</t>
        </is>
      </c>
      <c r="N757" s="11" t="inlineStr">
        <is>
          <t>-</t>
        </is>
      </c>
      <c r="O757" s="11" t="inlineStr">
        <is>
          <t>-</t>
        </is>
      </c>
      <c r="P757" s="11" t="inlineStr">
        <is>
          <t>-</t>
        </is>
      </c>
      <c r="Q757" s="12" t="inlineStr">
        <is>
          <t>-</t>
        </is>
      </c>
    </row>
    <row r="758">
      <c r="A758" s="47" t="inlineStr">
        <is>
          <t>uova</t>
        </is>
      </c>
      <c r="B758" s="13" t="inlineStr">
        <is>
          <t>-</t>
        </is>
      </c>
      <c r="C758" s="14" t="inlineStr">
        <is>
          <t>-</t>
        </is>
      </c>
      <c r="D758" s="14" t="inlineStr">
        <is>
          <t>-</t>
        </is>
      </c>
      <c r="E758" s="14" t="inlineStr">
        <is>
          <t>-</t>
        </is>
      </c>
      <c r="F758" s="14" t="inlineStr">
        <is>
          <t>-</t>
        </is>
      </c>
      <c r="G758" s="14" t="inlineStr">
        <is>
          <t>-</t>
        </is>
      </c>
      <c r="H758" s="14" t="inlineStr">
        <is>
          <t>-</t>
        </is>
      </c>
      <c r="I758" s="14" t="inlineStr">
        <is>
          <t>-</t>
        </is>
      </c>
      <c r="J758" s="14" t="inlineStr">
        <is>
          <t>-</t>
        </is>
      </c>
      <c r="K758" s="14" t="inlineStr">
        <is>
          <t>-</t>
        </is>
      </c>
      <c r="L758" s="14" t="inlineStr">
        <is>
          <t>-</t>
        </is>
      </c>
      <c r="M758" s="14" t="inlineStr">
        <is>
          <t>-</t>
        </is>
      </c>
      <c r="N758" s="14" t="inlineStr">
        <is>
          <t>-</t>
        </is>
      </c>
      <c r="O758" s="14" t="inlineStr">
        <is>
          <t>-</t>
        </is>
      </c>
      <c r="P758" s="14" t="inlineStr">
        <is>
          <t>-</t>
        </is>
      </c>
      <c r="Q758" s="15" t="inlineStr">
        <is>
          <t>-</t>
        </is>
      </c>
    </row>
    <row r="759">
      <c r="A759" s="47" t="inlineStr">
        <is>
          <t>AROMA CROISSANT</t>
        </is>
      </c>
      <c r="B759" s="16" t="inlineStr">
        <is>
          <t>-</t>
        </is>
      </c>
      <c r="C759" s="11" t="inlineStr">
        <is>
          <t>-</t>
        </is>
      </c>
      <c r="D759" s="11" t="inlineStr">
        <is>
          <t>-</t>
        </is>
      </c>
      <c r="E759" s="11" t="inlineStr">
        <is>
          <t>-</t>
        </is>
      </c>
      <c r="F759" s="11" t="inlineStr">
        <is>
          <t>-</t>
        </is>
      </c>
      <c r="G759" s="11" t="inlineStr">
        <is>
          <t>-</t>
        </is>
      </c>
      <c r="H759" s="11" t="inlineStr">
        <is>
          <t>-</t>
        </is>
      </c>
      <c r="I759" s="11" t="inlineStr">
        <is>
          <t>-</t>
        </is>
      </c>
      <c r="J759" s="11" t="inlineStr">
        <is>
          <t>-</t>
        </is>
      </c>
      <c r="K759" s="11" t="inlineStr">
        <is>
          <t>-</t>
        </is>
      </c>
      <c r="L759" s="11" t="inlineStr">
        <is>
          <t>-</t>
        </is>
      </c>
      <c r="M759" s="11" t="inlineStr">
        <is>
          <t>-</t>
        </is>
      </c>
      <c r="N759" s="11" t="inlineStr">
        <is>
          <t>-</t>
        </is>
      </c>
      <c r="O759" s="11" t="inlineStr">
        <is>
          <t>-</t>
        </is>
      </c>
      <c r="P759" s="11" t="inlineStr">
        <is>
          <t>-</t>
        </is>
      </c>
      <c r="Q759" s="12" t="inlineStr">
        <is>
          <t>-</t>
        </is>
      </c>
    </row>
    <row r="760">
      <c r="A760" s="47" t="inlineStr">
        <is>
          <t>latte   1500 int.uht  yma</t>
        </is>
      </c>
      <c r="B760" s="13" t="inlineStr">
        <is>
          <t>-</t>
        </is>
      </c>
      <c r="C760" s="14" t="inlineStr">
        <is>
          <t>-</t>
        </is>
      </c>
      <c r="D760" s="14" t="inlineStr">
        <is>
          <t>-</t>
        </is>
      </c>
      <c r="E760" s="14" t="inlineStr">
        <is>
          <t>-</t>
        </is>
      </c>
      <c r="F760" s="14" t="inlineStr">
        <is>
          <t>-</t>
        </is>
      </c>
      <c r="G760" s="14" t="inlineStr">
        <is>
          <t>-</t>
        </is>
      </c>
      <c r="H760" s="14" t="inlineStr">
        <is>
          <t>-</t>
        </is>
      </c>
      <c r="I760" s="14" t="inlineStr">
        <is>
          <t>-</t>
        </is>
      </c>
      <c r="J760" s="14" t="inlineStr">
        <is>
          <t>-</t>
        </is>
      </c>
      <c r="K760" s="14" t="inlineStr">
        <is>
          <t>-</t>
        </is>
      </c>
      <c r="L760" s="14" t="inlineStr">
        <is>
          <t>-</t>
        </is>
      </c>
      <c r="M760" s="14" t="inlineStr">
        <is>
          <t>-</t>
        </is>
      </c>
      <c r="N760" s="14" t="inlineStr">
        <is>
          <t>-</t>
        </is>
      </c>
      <c r="O760" s="14" t="inlineStr">
        <is>
          <t>-</t>
        </is>
      </c>
      <c r="P760" s="14" t="inlineStr">
        <is>
          <t>-</t>
        </is>
      </c>
      <c r="Q760" s="15" t="inlineStr">
        <is>
          <t>-</t>
        </is>
      </c>
    </row>
    <row r="761">
      <c r="A761" s="48" t="inlineStr">
        <is>
          <t xml:space="preserve">SALE SACCHI SALTECHNO KG.25  </t>
        </is>
      </c>
      <c r="B761" s="16" t="inlineStr">
        <is>
          <t>-</t>
        </is>
      </c>
      <c r="C761" s="11" t="inlineStr">
        <is>
          <t>-</t>
        </is>
      </c>
      <c r="D761" s="11" t="inlineStr">
        <is>
          <t>-</t>
        </is>
      </c>
      <c r="E761" s="11" t="inlineStr">
        <is>
          <t>-</t>
        </is>
      </c>
      <c r="F761" s="11" t="inlineStr">
        <is>
          <t>-</t>
        </is>
      </c>
      <c r="G761" s="11" t="inlineStr">
        <is>
          <t>-</t>
        </is>
      </c>
      <c r="H761" s="11" t="inlineStr">
        <is>
          <t>-</t>
        </is>
      </c>
      <c r="I761" s="11" t="inlineStr">
        <is>
          <t>-</t>
        </is>
      </c>
      <c r="J761" s="11" t="inlineStr">
        <is>
          <t>-</t>
        </is>
      </c>
      <c r="K761" s="11" t="inlineStr">
        <is>
          <t>-</t>
        </is>
      </c>
      <c r="L761" s="11" t="inlineStr">
        <is>
          <t>-</t>
        </is>
      </c>
      <c r="M761" s="11" t="inlineStr">
        <is>
          <t>-</t>
        </is>
      </c>
      <c r="N761" s="11" t="inlineStr">
        <is>
          <t>-</t>
        </is>
      </c>
      <c r="O761" s="11" t="inlineStr">
        <is>
          <t>-</t>
        </is>
      </c>
      <c r="P761" s="11" t="inlineStr">
        <is>
          <t>-</t>
        </is>
      </c>
      <c r="Q761" s="12" t="inlineStr">
        <is>
          <t>-</t>
        </is>
      </c>
    </row>
    <row r="762">
      <c r="A762" s="47" t="inlineStr">
        <is>
          <t>margarina sfoglia</t>
        </is>
      </c>
      <c r="B762" s="13" t="inlineStr">
        <is>
          <t>-</t>
        </is>
      </c>
      <c r="C762" s="14" t="inlineStr">
        <is>
          <t>-</t>
        </is>
      </c>
      <c r="D762" s="14" t="inlineStr">
        <is>
          <t>-</t>
        </is>
      </c>
      <c r="E762" s="14" t="inlineStr">
        <is>
          <t>-</t>
        </is>
      </c>
      <c r="F762" s="14" t="inlineStr">
        <is>
          <t>-</t>
        </is>
      </c>
      <c r="G762" s="14" t="inlineStr">
        <is>
          <t>-</t>
        </is>
      </c>
      <c r="H762" s="14" t="inlineStr">
        <is>
          <t>-</t>
        </is>
      </c>
      <c r="I762" s="14" t="inlineStr">
        <is>
          <t>-</t>
        </is>
      </c>
      <c r="J762" s="14" t="inlineStr">
        <is>
          <t>-</t>
        </is>
      </c>
      <c r="K762" s="14" t="inlineStr">
        <is>
          <t>-</t>
        </is>
      </c>
      <c r="L762" s="14" t="inlineStr">
        <is>
          <t>-</t>
        </is>
      </c>
      <c r="M762" s="14" t="inlineStr">
        <is>
          <t>-</t>
        </is>
      </c>
      <c r="N762" s="14" t="inlineStr">
        <is>
          <t>-</t>
        </is>
      </c>
      <c r="O762" s="14" t="inlineStr">
        <is>
          <t>-</t>
        </is>
      </c>
      <c r="P762" s="14" t="inlineStr">
        <is>
          <t>-</t>
        </is>
      </c>
      <c r="Q762" s="15" t="inlineStr">
        <is>
          <t>-</t>
        </is>
      </c>
    </row>
    <row r="763">
      <c r="A763" s="47" t="n"/>
      <c r="B763" s="16" t="inlineStr">
        <is>
          <t>-</t>
        </is>
      </c>
      <c r="C763" s="11" t="inlineStr">
        <is>
          <t>-</t>
        </is>
      </c>
      <c r="D763" s="11" t="inlineStr">
        <is>
          <t>-</t>
        </is>
      </c>
      <c r="E763" s="11" t="inlineStr">
        <is>
          <t>-</t>
        </is>
      </c>
      <c r="F763" s="11" t="inlineStr">
        <is>
          <t>-</t>
        </is>
      </c>
      <c r="G763" s="11" t="inlineStr">
        <is>
          <t>-</t>
        </is>
      </c>
      <c r="H763" s="11" t="inlineStr">
        <is>
          <t>-</t>
        </is>
      </c>
      <c r="I763" s="11" t="inlineStr">
        <is>
          <t>-</t>
        </is>
      </c>
      <c r="J763" s="11" t="inlineStr">
        <is>
          <t>-</t>
        </is>
      </c>
      <c r="K763" s="11" t="inlineStr">
        <is>
          <t>-</t>
        </is>
      </c>
      <c r="L763" s="11" t="inlineStr">
        <is>
          <t>-</t>
        </is>
      </c>
      <c r="M763" s="11" t="inlineStr">
        <is>
          <t>-</t>
        </is>
      </c>
      <c r="N763" s="11" t="inlineStr">
        <is>
          <t>-</t>
        </is>
      </c>
      <c r="O763" s="11" t="inlineStr">
        <is>
          <t>-</t>
        </is>
      </c>
      <c r="P763" s="11" t="inlineStr">
        <is>
          <t>-</t>
        </is>
      </c>
      <c r="Q763" s="12" t="inlineStr">
        <is>
          <t>-</t>
        </is>
      </c>
    </row>
    <row r="764">
      <c r="A764" s="47" t="n"/>
      <c r="B764" s="13" t="inlineStr">
        <is>
          <t>-</t>
        </is>
      </c>
      <c r="C764" s="14" t="inlineStr">
        <is>
          <t>-</t>
        </is>
      </c>
      <c r="D764" s="14" t="inlineStr">
        <is>
          <t>-</t>
        </is>
      </c>
      <c r="E764" s="14" t="inlineStr">
        <is>
          <t>-</t>
        </is>
      </c>
      <c r="F764" s="14" t="inlineStr">
        <is>
          <t>-</t>
        </is>
      </c>
      <c r="G764" s="14" t="inlineStr">
        <is>
          <t>-</t>
        </is>
      </c>
      <c r="H764" s="14" t="inlineStr">
        <is>
          <t>-</t>
        </is>
      </c>
      <c r="I764" s="14" t="inlineStr">
        <is>
          <t>-</t>
        </is>
      </c>
      <c r="J764" s="14" t="inlineStr">
        <is>
          <t>-</t>
        </is>
      </c>
      <c r="K764" s="14" t="inlineStr">
        <is>
          <t>-</t>
        </is>
      </c>
      <c r="L764" s="14" t="inlineStr">
        <is>
          <t>-</t>
        </is>
      </c>
      <c r="M764" s="14" t="inlineStr">
        <is>
          <t>-</t>
        </is>
      </c>
      <c r="N764" s="14" t="inlineStr">
        <is>
          <t>-</t>
        </is>
      </c>
      <c r="O764" s="14" t="inlineStr">
        <is>
          <t>-</t>
        </is>
      </c>
      <c r="P764" s="14" t="inlineStr">
        <is>
          <t>-</t>
        </is>
      </c>
      <c r="Q764" s="15" t="inlineStr">
        <is>
          <t>-</t>
        </is>
      </c>
    </row>
    <row r="765">
      <c r="A765" s="47" t="n"/>
      <c r="B765" s="16" t="inlineStr">
        <is>
          <t>-</t>
        </is>
      </c>
      <c r="C765" s="11" t="inlineStr">
        <is>
          <t>-</t>
        </is>
      </c>
      <c r="D765" s="11" t="inlineStr">
        <is>
          <t>-</t>
        </is>
      </c>
      <c r="E765" s="11" t="inlineStr">
        <is>
          <t>-</t>
        </is>
      </c>
      <c r="F765" s="11" t="inlineStr">
        <is>
          <t>-</t>
        </is>
      </c>
      <c r="G765" s="11" t="inlineStr">
        <is>
          <t>-</t>
        </is>
      </c>
      <c r="H765" s="11" t="inlineStr">
        <is>
          <t>-</t>
        </is>
      </c>
      <c r="I765" s="11" t="inlineStr">
        <is>
          <t>-</t>
        </is>
      </c>
      <c r="J765" s="11" t="inlineStr">
        <is>
          <t>-</t>
        </is>
      </c>
      <c r="K765" s="11" t="inlineStr">
        <is>
          <t>-</t>
        </is>
      </c>
      <c r="L765" s="11" t="inlineStr">
        <is>
          <t>-</t>
        </is>
      </c>
      <c r="M765" s="11" t="inlineStr">
        <is>
          <t>-</t>
        </is>
      </c>
      <c r="N765" s="11" t="inlineStr">
        <is>
          <t>-</t>
        </is>
      </c>
      <c r="O765" s="11" t="inlineStr">
        <is>
          <t>-</t>
        </is>
      </c>
      <c r="P765" s="11" t="inlineStr">
        <is>
          <t>-</t>
        </is>
      </c>
      <c r="Q765" s="12" t="inlineStr">
        <is>
          <t>-</t>
        </is>
      </c>
    </row>
    <row r="766">
      <c r="A766" s="47" t="n"/>
      <c r="B766" s="13" t="inlineStr">
        <is>
          <t>-</t>
        </is>
      </c>
      <c r="C766" s="14" t="inlineStr">
        <is>
          <t>-</t>
        </is>
      </c>
      <c r="D766" s="14" t="inlineStr">
        <is>
          <t>-</t>
        </is>
      </c>
      <c r="E766" s="14" t="inlineStr">
        <is>
          <t>-</t>
        </is>
      </c>
      <c r="F766" s="14" t="inlineStr">
        <is>
          <t>-</t>
        </is>
      </c>
      <c r="G766" s="14" t="inlineStr">
        <is>
          <t>-</t>
        </is>
      </c>
      <c r="H766" s="14" t="inlineStr">
        <is>
          <t>-</t>
        </is>
      </c>
      <c r="I766" s="14" t="inlineStr">
        <is>
          <t>-</t>
        </is>
      </c>
      <c r="J766" s="14" t="inlineStr">
        <is>
          <t>-</t>
        </is>
      </c>
      <c r="K766" s="14" t="inlineStr">
        <is>
          <t>-</t>
        </is>
      </c>
      <c r="L766" s="14" t="inlineStr">
        <is>
          <t>-</t>
        </is>
      </c>
      <c r="M766" s="14" t="inlineStr">
        <is>
          <t>-</t>
        </is>
      </c>
      <c r="N766" s="14" t="inlineStr">
        <is>
          <t>-</t>
        </is>
      </c>
      <c r="O766" s="14" t="inlineStr">
        <is>
          <t>-</t>
        </is>
      </c>
      <c r="P766" s="14" t="inlineStr">
        <is>
          <t>-</t>
        </is>
      </c>
      <c r="Q766" s="15" t="inlineStr">
        <is>
          <t>-</t>
        </is>
      </c>
    </row>
    <row r="767">
      <c r="A767" s="47" t="n"/>
      <c r="B767" s="16" t="inlineStr">
        <is>
          <t>-</t>
        </is>
      </c>
      <c r="C767" s="11" t="inlineStr">
        <is>
          <t>-</t>
        </is>
      </c>
      <c r="D767" s="11" t="inlineStr">
        <is>
          <t>-</t>
        </is>
      </c>
      <c r="E767" s="11" t="inlineStr">
        <is>
          <t>-</t>
        </is>
      </c>
      <c r="F767" s="11" t="inlineStr">
        <is>
          <t>-</t>
        </is>
      </c>
      <c r="G767" s="11" t="inlineStr">
        <is>
          <t>-</t>
        </is>
      </c>
      <c r="H767" s="11" t="inlineStr">
        <is>
          <t>-</t>
        </is>
      </c>
      <c r="I767" s="11" t="inlineStr">
        <is>
          <t>-</t>
        </is>
      </c>
      <c r="J767" s="11" t="inlineStr">
        <is>
          <t>-</t>
        </is>
      </c>
      <c r="K767" s="11" t="inlineStr">
        <is>
          <t>-</t>
        </is>
      </c>
      <c r="L767" s="11" t="inlineStr">
        <is>
          <t>-</t>
        </is>
      </c>
      <c r="M767" s="11" t="inlineStr">
        <is>
          <t>-</t>
        </is>
      </c>
      <c r="N767" s="11" t="inlineStr">
        <is>
          <t>-</t>
        </is>
      </c>
      <c r="O767" s="11" t="inlineStr">
        <is>
          <t>-</t>
        </is>
      </c>
      <c r="P767" s="11" t="inlineStr">
        <is>
          <t>-</t>
        </is>
      </c>
      <c r="Q767" s="12" t="inlineStr">
        <is>
          <t>-</t>
        </is>
      </c>
    </row>
    <row r="768">
      <c r="A768" s="47" t="n"/>
      <c r="B768" s="13" t="inlineStr">
        <is>
          <t>-</t>
        </is>
      </c>
      <c r="C768" s="14" t="inlineStr">
        <is>
          <t>-</t>
        </is>
      </c>
      <c r="D768" s="14" t="inlineStr">
        <is>
          <t>-</t>
        </is>
      </c>
      <c r="E768" s="14" t="inlineStr">
        <is>
          <t>-</t>
        </is>
      </c>
      <c r="F768" s="14" t="inlineStr">
        <is>
          <t>-</t>
        </is>
      </c>
      <c r="G768" s="14" t="inlineStr">
        <is>
          <t>-</t>
        </is>
      </c>
      <c r="H768" s="14" t="inlineStr">
        <is>
          <t>-</t>
        </is>
      </c>
      <c r="I768" s="14" t="inlineStr">
        <is>
          <t>-</t>
        </is>
      </c>
      <c r="J768" s="14" t="inlineStr">
        <is>
          <t>-</t>
        </is>
      </c>
      <c r="K768" s="14" t="inlineStr">
        <is>
          <t>-</t>
        </is>
      </c>
      <c r="L768" s="14" t="inlineStr">
        <is>
          <t>-</t>
        </is>
      </c>
      <c r="M768" s="14" t="inlineStr">
        <is>
          <t>-</t>
        </is>
      </c>
      <c r="N768" s="14" t="inlineStr">
        <is>
          <t>-</t>
        </is>
      </c>
      <c r="O768" s="14" t="inlineStr">
        <is>
          <t>-</t>
        </is>
      </c>
      <c r="P768" s="14" t="inlineStr">
        <is>
          <t>-</t>
        </is>
      </c>
      <c r="Q768" s="15" t="inlineStr">
        <is>
          <t>-</t>
        </is>
      </c>
    </row>
    <row r="769">
      <c r="A769" s="47" t="n"/>
      <c r="B769" s="16" t="inlineStr">
        <is>
          <t>-</t>
        </is>
      </c>
      <c r="C769" s="11" t="inlineStr">
        <is>
          <t>-</t>
        </is>
      </c>
      <c r="D769" s="11" t="inlineStr">
        <is>
          <t>-</t>
        </is>
      </c>
      <c r="E769" s="11" t="inlineStr">
        <is>
          <t>-</t>
        </is>
      </c>
      <c r="F769" s="11" t="inlineStr">
        <is>
          <t>-</t>
        </is>
      </c>
      <c r="G769" s="11" t="inlineStr">
        <is>
          <t>-</t>
        </is>
      </c>
      <c r="H769" s="11" t="inlineStr">
        <is>
          <t>-</t>
        </is>
      </c>
      <c r="I769" s="11" t="inlineStr">
        <is>
          <t>-</t>
        </is>
      </c>
      <c r="J769" s="11" t="inlineStr">
        <is>
          <t>-</t>
        </is>
      </c>
      <c r="K769" s="11" t="inlineStr">
        <is>
          <t>-</t>
        </is>
      </c>
      <c r="L769" s="11" t="inlineStr">
        <is>
          <t>-</t>
        </is>
      </c>
      <c r="M769" s="11" t="inlineStr">
        <is>
          <t>-</t>
        </is>
      </c>
      <c r="N769" s="11" t="inlineStr">
        <is>
          <t>-</t>
        </is>
      </c>
      <c r="O769" s="11" t="inlineStr">
        <is>
          <t>-</t>
        </is>
      </c>
      <c r="P769" s="11" t="inlineStr">
        <is>
          <t>-</t>
        </is>
      </c>
      <c r="Q769" s="12" t="inlineStr">
        <is>
          <t>-</t>
        </is>
      </c>
    </row>
    <row r="770" ht="24" customHeight="1" s="155">
      <c r="B770" s="46" t="inlineStr">
        <is>
          <t>crema chantilly</t>
        </is>
      </c>
      <c r="C770" s="49">
        <f>_xlfn.XLOOKUP(A771,Magazzino!$D$1:$D$1500,Magazzino!$F$1:$F$1500,"",0,1)</f>
        <v/>
      </c>
      <c r="D770" s="50">
        <f>_xlfn.XLOOKUP(A772,Magazzino!$D$1:$D$1500,Magazzino!$F$1:$F$1500,"",0,1)</f>
        <v/>
      </c>
      <c r="E770" s="50">
        <f>_xlfn.XLOOKUP(A773,Magazzino!$D$1:$D$1500,Magazzino!$F$1:$F$1500,"",0,1)</f>
        <v/>
      </c>
      <c r="F770" s="50">
        <f>_xlfn.XLOOKUP(A774,Magazzino!$D$1:$D$1500,Magazzino!$F$1:$F$1500,"",0,1)</f>
        <v/>
      </c>
      <c r="G770" s="50">
        <f>_xlfn.XLOOKUP(A775,Magazzino!$D$1:$D$1500,Magazzino!$F$1:$F$1500,"",0,1)</f>
        <v/>
      </c>
      <c r="H770" s="50">
        <f>_xlfn.XLOOKUP(A776,Magazzino!$D$1:$D$1500,Magazzino!$F$1:$F$1500,"",0,1)</f>
        <v/>
      </c>
      <c r="I770" s="50">
        <f>_xlfn.XLOOKUP(A777,Magazzino!$D$1:$D$1500,Magazzino!$F$1:$F$1500,"",0,1)</f>
        <v/>
      </c>
      <c r="J770" s="50">
        <f>_xlfn.XLOOKUP(A778,Magazzino!$D$1:$D$1500,Magazzino!$F$1:$F$1500,"",0,1)</f>
        <v/>
      </c>
      <c r="K770" s="50">
        <f>_xlfn.XLOOKUP(A779,Magazzino!$D$1:$D$1500,Magazzino!$F$1:$F$1500,"",0,1)</f>
        <v/>
      </c>
      <c r="L770" s="50">
        <f>_xlfn.XLOOKUP(A780,Magazzino!$D$1:$D$1500,Magazzino!$F$1:$F$1500,"",0,1)</f>
        <v/>
      </c>
      <c r="M770" s="50">
        <f>_xlfn.XLOOKUP(A781,Magazzino!$D$1:$D$1500,Magazzino!$F$1:$F$1500,"",0,1)</f>
        <v/>
      </c>
      <c r="N770" s="50">
        <f>_xlfn.XLOOKUP(A782,Magazzino!$D$1:$D$1500,Magazzino!$F$1:$F$1500,"",0,1)</f>
        <v/>
      </c>
      <c r="O770" s="50">
        <f>_xlfn.XLOOKUP(A783,Magazzino!$D$1:$D$1500,Magazzino!$F$1:$F$1500,"",0,1)</f>
        <v/>
      </c>
      <c r="P770" s="50">
        <f>_xlfn.XLOOKUP(A784,Magazzino!$D$1:$D$1500,Magazzino!$F$1:$F$1500,"",0,1)</f>
        <v/>
      </c>
      <c r="Q770" s="51">
        <f>_xlfn.XLOOKUP(A785,Magazzino!$D$1:$D$1500,Magazzino!$F$1:$F$1500,"",0,1)</f>
        <v/>
      </c>
    </row>
    <row r="771">
      <c r="A771" s="47" t="inlineStr">
        <is>
          <t>amido</t>
        </is>
      </c>
      <c r="B771" s="16" t="inlineStr">
        <is>
          <t>-</t>
        </is>
      </c>
      <c r="C771" s="11" t="inlineStr">
        <is>
          <t>-</t>
        </is>
      </c>
      <c r="D771" s="11" t="inlineStr">
        <is>
          <t>-</t>
        </is>
      </c>
      <c r="E771" s="11" t="inlineStr">
        <is>
          <t>-</t>
        </is>
      </c>
      <c r="F771" s="11" t="inlineStr">
        <is>
          <t>-</t>
        </is>
      </c>
      <c r="G771" s="11" t="inlineStr">
        <is>
          <t>-</t>
        </is>
      </c>
      <c r="H771" s="11" t="inlineStr">
        <is>
          <t>-</t>
        </is>
      </c>
      <c r="I771" s="11" t="inlineStr">
        <is>
          <t>-</t>
        </is>
      </c>
      <c r="J771" s="11" t="inlineStr">
        <is>
          <t>-</t>
        </is>
      </c>
      <c r="K771" s="11" t="inlineStr">
        <is>
          <t>-</t>
        </is>
      </c>
      <c r="L771" s="11" t="inlineStr">
        <is>
          <t>-</t>
        </is>
      </c>
      <c r="M771" s="11" t="inlineStr">
        <is>
          <t>-</t>
        </is>
      </c>
      <c r="N771" s="11" t="inlineStr">
        <is>
          <t>-</t>
        </is>
      </c>
      <c r="O771" s="11" t="inlineStr">
        <is>
          <t>-</t>
        </is>
      </c>
      <c r="P771" s="11" t="inlineStr">
        <is>
          <t>-</t>
        </is>
      </c>
      <c r="Q771" s="12" t="inlineStr">
        <is>
          <t>-</t>
        </is>
      </c>
    </row>
    <row r="772">
      <c r="A772" s="47" t="inlineStr">
        <is>
          <t>latte   1500 int.uht  yma</t>
        </is>
      </c>
      <c r="B772" s="13" t="inlineStr">
        <is>
          <t>-</t>
        </is>
      </c>
      <c r="C772" s="14" t="inlineStr">
        <is>
          <t>-</t>
        </is>
      </c>
      <c r="D772" s="14" t="inlineStr">
        <is>
          <t>-</t>
        </is>
      </c>
      <c r="E772" s="14" t="inlineStr">
        <is>
          <t>-</t>
        </is>
      </c>
      <c r="F772" s="14" t="inlineStr">
        <is>
          <t>-</t>
        </is>
      </c>
      <c r="G772" s="14" t="inlineStr">
        <is>
          <t>-</t>
        </is>
      </c>
      <c r="H772" s="14" t="inlineStr">
        <is>
          <t>-</t>
        </is>
      </c>
      <c r="I772" s="14" t="inlineStr">
        <is>
          <t>-</t>
        </is>
      </c>
      <c r="J772" s="14" t="inlineStr">
        <is>
          <t>-</t>
        </is>
      </c>
      <c r="K772" s="14" t="inlineStr">
        <is>
          <t>-</t>
        </is>
      </c>
      <c r="L772" s="14" t="inlineStr">
        <is>
          <t>-</t>
        </is>
      </c>
      <c r="M772" s="14" t="inlineStr">
        <is>
          <t>-</t>
        </is>
      </c>
      <c r="N772" s="14" t="inlineStr">
        <is>
          <t>-</t>
        </is>
      </c>
      <c r="O772" s="14" t="inlineStr">
        <is>
          <t>-</t>
        </is>
      </c>
      <c r="P772" s="14" t="inlineStr">
        <is>
          <t>-</t>
        </is>
      </c>
      <c r="Q772" s="15" t="inlineStr">
        <is>
          <t>-</t>
        </is>
      </c>
    </row>
    <row r="773">
      <c r="A773" s="47" t="inlineStr">
        <is>
          <t>zucchero semolato</t>
        </is>
      </c>
      <c r="B773" s="16" t="inlineStr">
        <is>
          <t>-</t>
        </is>
      </c>
      <c r="C773" s="11" t="inlineStr">
        <is>
          <t>-</t>
        </is>
      </c>
      <c r="D773" s="11" t="inlineStr">
        <is>
          <t>-</t>
        </is>
      </c>
      <c r="E773" s="11" t="inlineStr">
        <is>
          <t>-</t>
        </is>
      </c>
      <c r="F773" s="11" t="inlineStr">
        <is>
          <t>-</t>
        </is>
      </c>
      <c r="G773" s="11" t="inlineStr">
        <is>
          <t>-</t>
        </is>
      </c>
      <c r="H773" s="11" t="inlineStr">
        <is>
          <t>-</t>
        </is>
      </c>
      <c r="I773" s="11" t="inlineStr">
        <is>
          <t>-</t>
        </is>
      </c>
      <c r="J773" s="11" t="inlineStr">
        <is>
          <t>-</t>
        </is>
      </c>
      <c r="K773" s="11" t="inlineStr">
        <is>
          <t>-</t>
        </is>
      </c>
      <c r="L773" s="11" t="inlineStr">
        <is>
          <t>-</t>
        </is>
      </c>
      <c r="M773" s="11" t="inlineStr">
        <is>
          <t>-</t>
        </is>
      </c>
      <c r="N773" s="11" t="inlineStr">
        <is>
          <t>-</t>
        </is>
      </c>
      <c r="O773" s="11" t="inlineStr">
        <is>
          <t>-</t>
        </is>
      </c>
      <c r="P773" s="11" t="inlineStr">
        <is>
          <t>-</t>
        </is>
      </c>
      <c r="Q773" s="12" t="inlineStr">
        <is>
          <t>-</t>
        </is>
      </c>
    </row>
    <row r="774">
      <c r="A774" s="47" t="inlineStr">
        <is>
          <t>tuorlo d'uovo pastorizzato</t>
        </is>
      </c>
      <c r="B774" s="13" t="inlineStr">
        <is>
          <t>-</t>
        </is>
      </c>
      <c r="C774" s="14" t="inlineStr">
        <is>
          <t>-</t>
        </is>
      </c>
      <c r="D774" s="14" t="inlineStr">
        <is>
          <t>-</t>
        </is>
      </c>
      <c r="E774" s="14" t="inlineStr">
        <is>
          <t>-</t>
        </is>
      </c>
      <c r="F774" s="14" t="inlineStr">
        <is>
          <t>-</t>
        </is>
      </c>
      <c r="G774" s="14" t="inlineStr">
        <is>
          <t>-</t>
        </is>
      </c>
      <c r="H774" s="14" t="inlineStr">
        <is>
          <t>-</t>
        </is>
      </c>
      <c r="I774" s="14" t="inlineStr">
        <is>
          <t>-</t>
        </is>
      </c>
      <c r="J774" s="14" t="inlineStr">
        <is>
          <t>-</t>
        </is>
      </c>
      <c r="K774" s="14" t="inlineStr">
        <is>
          <t>-</t>
        </is>
      </c>
      <c r="L774" s="14" t="inlineStr">
        <is>
          <t>-</t>
        </is>
      </c>
      <c r="M774" s="14" t="inlineStr">
        <is>
          <t>-</t>
        </is>
      </c>
      <c r="N774" s="14" t="inlineStr">
        <is>
          <t>-</t>
        </is>
      </c>
      <c r="O774" s="14" t="inlineStr">
        <is>
          <t>-</t>
        </is>
      </c>
      <c r="P774" s="14" t="inlineStr">
        <is>
          <t>-</t>
        </is>
      </c>
      <c r="Q774" s="15" t="inlineStr">
        <is>
          <t>-</t>
        </is>
      </c>
    </row>
    <row r="775">
      <c r="A775" s="47" t="inlineStr">
        <is>
          <t>panna hoplà</t>
        </is>
      </c>
      <c r="B775" s="16" t="inlineStr">
        <is>
          <t>-</t>
        </is>
      </c>
      <c r="C775" s="11" t="inlineStr">
        <is>
          <t>-</t>
        </is>
      </c>
      <c r="D775" s="11" t="inlineStr">
        <is>
          <t>-</t>
        </is>
      </c>
      <c r="E775" s="11" t="inlineStr">
        <is>
          <t>-</t>
        </is>
      </c>
      <c r="F775" s="11" t="inlineStr">
        <is>
          <t>-</t>
        </is>
      </c>
      <c r="G775" s="11" t="inlineStr">
        <is>
          <t>-</t>
        </is>
      </c>
      <c r="H775" s="11" t="inlineStr">
        <is>
          <t>-</t>
        </is>
      </c>
      <c r="I775" s="11" t="inlineStr">
        <is>
          <t>-</t>
        </is>
      </c>
      <c r="J775" s="11" t="inlineStr">
        <is>
          <t>-</t>
        </is>
      </c>
      <c r="K775" s="11" t="inlineStr">
        <is>
          <t>-</t>
        </is>
      </c>
      <c r="L775" s="11" t="inlineStr">
        <is>
          <t>-</t>
        </is>
      </c>
      <c r="M775" s="11" t="inlineStr">
        <is>
          <t>-</t>
        </is>
      </c>
      <c r="N775" s="11" t="inlineStr">
        <is>
          <t>-</t>
        </is>
      </c>
      <c r="O775" s="11" t="inlineStr">
        <is>
          <t>-</t>
        </is>
      </c>
      <c r="P775" s="11" t="inlineStr">
        <is>
          <t>-</t>
        </is>
      </c>
      <c r="Q775" s="12" t="inlineStr">
        <is>
          <t>-</t>
        </is>
      </c>
    </row>
    <row r="776">
      <c r="A776" s="47" t="n"/>
      <c r="B776" s="13" t="inlineStr">
        <is>
          <t>-</t>
        </is>
      </c>
      <c r="C776" s="14" t="inlineStr">
        <is>
          <t>-</t>
        </is>
      </c>
      <c r="D776" s="14" t="inlineStr">
        <is>
          <t>-</t>
        </is>
      </c>
      <c r="E776" s="14" t="inlineStr">
        <is>
          <t>-</t>
        </is>
      </c>
      <c r="F776" s="14" t="inlineStr">
        <is>
          <t>-</t>
        </is>
      </c>
      <c r="G776" s="14" t="inlineStr">
        <is>
          <t>-</t>
        </is>
      </c>
      <c r="H776" s="14" t="inlineStr">
        <is>
          <t>-</t>
        </is>
      </c>
      <c r="I776" s="14" t="inlineStr">
        <is>
          <t>-</t>
        </is>
      </c>
      <c r="J776" s="14" t="inlineStr">
        <is>
          <t>-</t>
        </is>
      </c>
      <c r="K776" s="14" t="inlineStr">
        <is>
          <t>-</t>
        </is>
      </c>
      <c r="L776" s="14" t="inlineStr">
        <is>
          <t>-</t>
        </is>
      </c>
      <c r="M776" s="14" t="inlineStr">
        <is>
          <t>-</t>
        </is>
      </c>
      <c r="N776" s="14" t="inlineStr">
        <is>
          <t>-</t>
        </is>
      </c>
      <c r="O776" s="14" t="inlineStr">
        <is>
          <t>-</t>
        </is>
      </c>
      <c r="P776" s="14" t="inlineStr">
        <is>
          <t>-</t>
        </is>
      </c>
      <c r="Q776" s="15" t="inlineStr">
        <is>
          <t>-</t>
        </is>
      </c>
    </row>
    <row r="777">
      <c r="A777" s="47" t="n"/>
      <c r="B777" s="16" t="inlineStr">
        <is>
          <t>-</t>
        </is>
      </c>
      <c r="C777" s="11" t="inlineStr">
        <is>
          <t>-</t>
        </is>
      </c>
      <c r="D777" s="11" t="inlineStr">
        <is>
          <t>-</t>
        </is>
      </c>
      <c r="E777" s="11" t="inlineStr">
        <is>
          <t>-</t>
        </is>
      </c>
      <c r="F777" s="11" t="inlineStr">
        <is>
          <t>-</t>
        </is>
      </c>
      <c r="G777" s="11" t="inlineStr">
        <is>
          <t>-</t>
        </is>
      </c>
      <c r="H777" s="11" t="inlineStr">
        <is>
          <t>-</t>
        </is>
      </c>
      <c r="I777" s="11" t="inlineStr">
        <is>
          <t>-</t>
        </is>
      </c>
      <c r="J777" s="11" t="inlineStr">
        <is>
          <t>-</t>
        </is>
      </c>
      <c r="K777" s="11" t="inlineStr">
        <is>
          <t>-</t>
        </is>
      </c>
      <c r="L777" s="11" t="inlineStr">
        <is>
          <t>-</t>
        </is>
      </c>
      <c r="M777" s="11" t="inlineStr">
        <is>
          <t>-</t>
        </is>
      </c>
      <c r="N777" s="11" t="inlineStr">
        <is>
          <t>-</t>
        </is>
      </c>
      <c r="O777" s="11" t="inlineStr">
        <is>
          <t>-</t>
        </is>
      </c>
      <c r="P777" s="11" t="inlineStr">
        <is>
          <t>-</t>
        </is>
      </c>
      <c r="Q777" s="12" t="inlineStr">
        <is>
          <t>-</t>
        </is>
      </c>
    </row>
    <row r="778">
      <c r="A778" s="47" t="n"/>
      <c r="B778" s="13" t="inlineStr">
        <is>
          <t>-</t>
        </is>
      </c>
      <c r="C778" s="14" t="inlineStr">
        <is>
          <t>-</t>
        </is>
      </c>
      <c r="D778" s="14" t="inlineStr">
        <is>
          <t>-</t>
        </is>
      </c>
      <c r="E778" s="14" t="inlineStr">
        <is>
          <t>-</t>
        </is>
      </c>
      <c r="F778" s="14" t="inlineStr">
        <is>
          <t>-</t>
        </is>
      </c>
      <c r="G778" s="14" t="inlineStr">
        <is>
          <t>-</t>
        </is>
      </c>
      <c r="H778" s="14" t="inlineStr">
        <is>
          <t>-</t>
        </is>
      </c>
      <c r="I778" s="14" t="inlineStr">
        <is>
          <t>-</t>
        </is>
      </c>
      <c r="J778" s="14" t="inlineStr">
        <is>
          <t>-</t>
        </is>
      </c>
      <c r="K778" s="14" t="inlineStr">
        <is>
          <t>-</t>
        </is>
      </c>
      <c r="L778" s="14" t="inlineStr">
        <is>
          <t>-</t>
        </is>
      </c>
      <c r="M778" s="14" t="inlineStr">
        <is>
          <t>-</t>
        </is>
      </c>
      <c r="N778" s="14" t="inlineStr">
        <is>
          <t>-</t>
        </is>
      </c>
      <c r="O778" s="14" t="inlineStr">
        <is>
          <t>-</t>
        </is>
      </c>
      <c r="P778" s="14" t="inlineStr">
        <is>
          <t>-</t>
        </is>
      </c>
      <c r="Q778" s="15" t="inlineStr">
        <is>
          <t>-</t>
        </is>
      </c>
    </row>
    <row r="779">
      <c r="A779" s="47" t="n"/>
      <c r="B779" s="16" t="inlineStr">
        <is>
          <t>-</t>
        </is>
      </c>
      <c r="C779" s="11" t="inlineStr">
        <is>
          <t>-</t>
        </is>
      </c>
      <c r="D779" s="11" t="inlineStr">
        <is>
          <t>-</t>
        </is>
      </c>
      <c r="E779" s="11" t="inlineStr">
        <is>
          <t>-</t>
        </is>
      </c>
      <c r="F779" s="11" t="inlineStr">
        <is>
          <t>-</t>
        </is>
      </c>
      <c r="G779" s="11" t="inlineStr">
        <is>
          <t>-</t>
        </is>
      </c>
      <c r="H779" s="11" t="inlineStr">
        <is>
          <t>-</t>
        </is>
      </c>
      <c r="I779" s="11" t="inlineStr">
        <is>
          <t>-</t>
        </is>
      </c>
      <c r="J779" s="11" t="inlineStr">
        <is>
          <t>-</t>
        </is>
      </c>
      <c r="K779" s="11" t="inlineStr">
        <is>
          <t>-</t>
        </is>
      </c>
      <c r="L779" s="11" t="inlineStr">
        <is>
          <t>-</t>
        </is>
      </c>
      <c r="M779" s="11" t="inlineStr">
        <is>
          <t>-</t>
        </is>
      </c>
      <c r="N779" s="11" t="inlineStr">
        <is>
          <t>-</t>
        </is>
      </c>
      <c r="O779" s="11" t="inlineStr">
        <is>
          <t>-</t>
        </is>
      </c>
      <c r="P779" s="11" t="inlineStr">
        <is>
          <t>-</t>
        </is>
      </c>
      <c r="Q779" s="12" t="inlineStr">
        <is>
          <t>-</t>
        </is>
      </c>
    </row>
    <row r="780">
      <c r="A780" s="47" t="n"/>
      <c r="B780" s="13" t="inlineStr">
        <is>
          <t>-</t>
        </is>
      </c>
      <c r="C780" s="14" t="inlineStr">
        <is>
          <t>-</t>
        </is>
      </c>
      <c r="D780" s="14" t="inlineStr">
        <is>
          <t>-</t>
        </is>
      </c>
      <c r="E780" s="14" t="inlineStr">
        <is>
          <t>-</t>
        </is>
      </c>
      <c r="F780" s="14" t="inlineStr">
        <is>
          <t>-</t>
        </is>
      </c>
      <c r="G780" s="14" t="inlineStr">
        <is>
          <t>-</t>
        </is>
      </c>
      <c r="H780" s="14" t="inlineStr">
        <is>
          <t>-</t>
        </is>
      </c>
      <c r="I780" s="14" t="inlineStr">
        <is>
          <t>-</t>
        </is>
      </c>
      <c r="J780" s="14" t="inlineStr">
        <is>
          <t>-</t>
        </is>
      </c>
      <c r="K780" s="14" t="inlineStr">
        <is>
          <t>-</t>
        </is>
      </c>
      <c r="L780" s="14" t="inlineStr">
        <is>
          <t>-</t>
        </is>
      </c>
      <c r="M780" s="14" t="inlineStr">
        <is>
          <t>-</t>
        </is>
      </c>
      <c r="N780" s="14" t="inlineStr">
        <is>
          <t>-</t>
        </is>
      </c>
      <c r="O780" s="14" t="inlineStr">
        <is>
          <t>-</t>
        </is>
      </c>
      <c r="P780" s="14" t="inlineStr">
        <is>
          <t>-</t>
        </is>
      </c>
      <c r="Q780" s="15" t="inlineStr">
        <is>
          <t>-</t>
        </is>
      </c>
    </row>
    <row r="781">
      <c r="A781" s="47" t="n"/>
      <c r="B781" s="16" t="inlineStr">
        <is>
          <t>-</t>
        </is>
      </c>
      <c r="C781" s="11" t="inlineStr">
        <is>
          <t>-</t>
        </is>
      </c>
      <c r="D781" s="11" t="inlineStr">
        <is>
          <t>-</t>
        </is>
      </c>
      <c r="E781" s="11" t="inlineStr">
        <is>
          <t>-</t>
        </is>
      </c>
      <c r="F781" s="11" t="inlineStr">
        <is>
          <t>-</t>
        </is>
      </c>
      <c r="G781" s="11" t="inlineStr">
        <is>
          <t>-</t>
        </is>
      </c>
      <c r="H781" s="11" t="inlineStr">
        <is>
          <t>-</t>
        </is>
      </c>
      <c r="I781" s="11" t="inlineStr">
        <is>
          <t>-</t>
        </is>
      </c>
      <c r="J781" s="11" t="inlineStr">
        <is>
          <t>-</t>
        </is>
      </c>
      <c r="K781" s="11" t="inlineStr">
        <is>
          <t>-</t>
        </is>
      </c>
      <c r="L781" s="11" t="inlineStr">
        <is>
          <t>-</t>
        </is>
      </c>
      <c r="M781" s="11" t="inlineStr">
        <is>
          <t>-</t>
        </is>
      </c>
      <c r="N781" s="11" t="inlineStr">
        <is>
          <t>-</t>
        </is>
      </c>
      <c r="O781" s="11" t="inlineStr">
        <is>
          <t>-</t>
        </is>
      </c>
      <c r="P781" s="11" t="inlineStr">
        <is>
          <t>-</t>
        </is>
      </c>
      <c r="Q781" s="12" t="inlineStr">
        <is>
          <t>-</t>
        </is>
      </c>
    </row>
    <row r="782">
      <c r="A782" s="47" t="n"/>
      <c r="B782" s="13" t="inlineStr">
        <is>
          <t>-</t>
        </is>
      </c>
      <c r="C782" s="14" t="inlineStr">
        <is>
          <t>-</t>
        </is>
      </c>
      <c r="D782" s="14" t="inlineStr">
        <is>
          <t>-</t>
        </is>
      </c>
      <c r="E782" s="14" t="inlineStr">
        <is>
          <t>-</t>
        </is>
      </c>
      <c r="F782" s="14" t="inlineStr">
        <is>
          <t>-</t>
        </is>
      </c>
      <c r="G782" s="14" t="inlineStr">
        <is>
          <t>-</t>
        </is>
      </c>
      <c r="H782" s="14" t="inlineStr">
        <is>
          <t>-</t>
        </is>
      </c>
      <c r="I782" s="14" t="inlineStr">
        <is>
          <t>-</t>
        </is>
      </c>
      <c r="J782" s="14" t="inlineStr">
        <is>
          <t>-</t>
        </is>
      </c>
      <c r="K782" s="14" t="inlineStr">
        <is>
          <t>-</t>
        </is>
      </c>
      <c r="L782" s="14" t="inlineStr">
        <is>
          <t>-</t>
        </is>
      </c>
      <c r="M782" s="14" t="inlineStr">
        <is>
          <t>-</t>
        </is>
      </c>
      <c r="N782" s="14" t="inlineStr">
        <is>
          <t>-</t>
        </is>
      </c>
      <c r="O782" s="14" t="inlineStr">
        <is>
          <t>-</t>
        </is>
      </c>
      <c r="P782" s="14" t="inlineStr">
        <is>
          <t>-</t>
        </is>
      </c>
      <c r="Q782" s="15" t="inlineStr">
        <is>
          <t>-</t>
        </is>
      </c>
    </row>
    <row r="783">
      <c r="A783" s="47" t="n"/>
      <c r="B783" s="16" t="inlineStr">
        <is>
          <t>-</t>
        </is>
      </c>
      <c r="C783" s="11" t="inlineStr">
        <is>
          <t>-</t>
        </is>
      </c>
      <c r="D783" s="11" t="inlineStr">
        <is>
          <t>-</t>
        </is>
      </c>
      <c r="E783" s="11" t="inlineStr">
        <is>
          <t>-</t>
        </is>
      </c>
      <c r="F783" s="11" t="inlineStr">
        <is>
          <t>-</t>
        </is>
      </c>
      <c r="G783" s="11" t="inlineStr">
        <is>
          <t>-</t>
        </is>
      </c>
      <c r="H783" s="11" t="inlineStr">
        <is>
          <t>-</t>
        </is>
      </c>
      <c r="I783" s="11" t="inlineStr">
        <is>
          <t>-</t>
        </is>
      </c>
      <c r="J783" s="11" t="inlineStr">
        <is>
          <t>-</t>
        </is>
      </c>
      <c r="K783" s="11" t="inlineStr">
        <is>
          <t>-</t>
        </is>
      </c>
      <c r="L783" s="11" t="inlineStr">
        <is>
          <t>-</t>
        </is>
      </c>
      <c r="M783" s="11" t="inlineStr">
        <is>
          <t>-</t>
        </is>
      </c>
      <c r="N783" s="11" t="inlineStr">
        <is>
          <t>-</t>
        </is>
      </c>
      <c r="O783" s="11" t="inlineStr">
        <is>
          <t>-</t>
        </is>
      </c>
      <c r="P783" s="11" t="inlineStr">
        <is>
          <t>-</t>
        </is>
      </c>
      <c r="Q783" s="12" t="inlineStr">
        <is>
          <t>-</t>
        </is>
      </c>
    </row>
    <row r="784">
      <c r="A784" s="47" t="n"/>
      <c r="B784" s="13" t="inlineStr">
        <is>
          <t>-</t>
        </is>
      </c>
      <c r="C784" s="14" t="inlineStr">
        <is>
          <t>-</t>
        </is>
      </c>
      <c r="D784" s="14" t="inlineStr">
        <is>
          <t>-</t>
        </is>
      </c>
      <c r="E784" s="14" t="inlineStr">
        <is>
          <t>-</t>
        </is>
      </c>
      <c r="F784" s="14" t="inlineStr">
        <is>
          <t>-</t>
        </is>
      </c>
      <c r="G784" s="14" t="inlineStr">
        <is>
          <t>-</t>
        </is>
      </c>
      <c r="H784" s="14" t="inlineStr">
        <is>
          <t>-</t>
        </is>
      </c>
      <c r="I784" s="14" t="inlineStr">
        <is>
          <t>-</t>
        </is>
      </c>
      <c r="J784" s="14" t="inlineStr">
        <is>
          <t>-</t>
        </is>
      </c>
      <c r="K784" s="14" t="inlineStr">
        <is>
          <t>-</t>
        </is>
      </c>
      <c r="L784" s="14" t="inlineStr">
        <is>
          <t>-</t>
        </is>
      </c>
      <c r="M784" s="14" t="inlineStr">
        <is>
          <t>-</t>
        </is>
      </c>
      <c r="N784" s="14" t="inlineStr">
        <is>
          <t>-</t>
        </is>
      </c>
      <c r="O784" s="14" t="inlineStr">
        <is>
          <t>-</t>
        </is>
      </c>
      <c r="P784" s="14" t="inlineStr">
        <is>
          <t>-</t>
        </is>
      </c>
      <c r="Q784" s="15" t="inlineStr">
        <is>
          <t>-</t>
        </is>
      </c>
    </row>
    <row r="785">
      <c r="A785" s="47" t="n"/>
      <c r="B785" s="16" t="inlineStr">
        <is>
          <t>-</t>
        </is>
      </c>
      <c r="C785" s="11" t="inlineStr">
        <is>
          <t>-</t>
        </is>
      </c>
      <c r="D785" s="11" t="inlineStr">
        <is>
          <t>-</t>
        </is>
      </c>
      <c r="E785" s="11" t="inlineStr">
        <is>
          <t>-</t>
        </is>
      </c>
      <c r="F785" s="11" t="inlineStr">
        <is>
          <t>-</t>
        </is>
      </c>
      <c r="G785" s="11" t="inlineStr">
        <is>
          <t>-</t>
        </is>
      </c>
      <c r="H785" s="11" t="inlineStr">
        <is>
          <t>-</t>
        </is>
      </c>
      <c r="I785" s="11" t="inlineStr">
        <is>
          <t>-</t>
        </is>
      </c>
      <c r="J785" s="11" t="inlineStr">
        <is>
          <t>-</t>
        </is>
      </c>
      <c r="K785" s="11" t="inlineStr">
        <is>
          <t>-</t>
        </is>
      </c>
      <c r="L785" s="11" t="inlineStr">
        <is>
          <t>-</t>
        </is>
      </c>
      <c r="M785" s="11" t="inlineStr">
        <is>
          <t>-</t>
        </is>
      </c>
      <c r="N785" s="11" t="inlineStr">
        <is>
          <t>-</t>
        </is>
      </c>
      <c r="O785" s="11" t="inlineStr">
        <is>
          <t>-</t>
        </is>
      </c>
      <c r="P785" s="11" t="inlineStr">
        <is>
          <t>-</t>
        </is>
      </c>
      <c r="Q785" s="12" t="inlineStr">
        <is>
          <t>-</t>
        </is>
      </c>
    </row>
    <row r="786" ht="36" customHeight="1" s="155">
      <c r="B786" s="46" t="inlineStr">
        <is>
          <t>crostatina albicocca</t>
        </is>
      </c>
      <c r="C786" s="49">
        <f>_xlfn.XLOOKUP(A787,Magazzino!$D$1:$D$1500,Magazzino!$F$1:$F$1500,"",0,1)</f>
        <v/>
      </c>
      <c r="D786" s="50">
        <f>_xlfn.XLOOKUP(A788,Magazzino!$D$1:$D$1500,Magazzino!$F$1:$F$1500,"",0,1)</f>
        <v/>
      </c>
      <c r="E786" s="50">
        <f>_xlfn.XLOOKUP(A789,Magazzino!$D$1:$D$1500,Magazzino!$F$1:$F$1500,"",0,1)</f>
        <v/>
      </c>
      <c r="F786" s="50">
        <f>_xlfn.XLOOKUP(A790,Magazzino!$D$1:$D$1500,Magazzino!$F$1:$F$1500,"",0,1)</f>
        <v/>
      </c>
      <c r="G786" s="50">
        <f>_xlfn.XLOOKUP(A791,Magazzino!$D$1:$D$1500,Magazzino!$F$1:$F$1500,"",0,1)</f>
        <v/>
      </c>
      <c r="H786" s="50">
        <f>_xlfn.XLOOKUP(A792,Magazzino!$D$1:$D$1500,Magazzino!$F$1:$F$1500,"",0,1)</f>
        <v/>
      </c>
      <c r="I786" s="50">
        <f>_xlfn.XLOOKUP(A793,Magazzino!$D$1:$D$1500,Magazzino!$F$1:$F$1500,"",0,1)</f>
        <v/>
      </c>
      <c r="J786" s="50">
        <f>_xlfn.XLOOKUP(A794,Magazzino!$D$1:$D$1500,Magazzino!$F$1:$F$1500,"",0,1)</f>
        <v/>
      </c>
      <c r="K786" s="50">
        <f>_xlfn.XLOOKUP(A795,Magazzino!$D$1:$D$1500,Magazzino!$F$1:$F$1500,"",0,1)</f>
        <v/>
      </c>
      <c r="L786" s="50">
        <f>_xlfn.XLOOKUP(A796,Magazzino!$D$1:$D$1500,Magazzino!$F$1:$F$1500,"",0,1)</f>
        <v/>
      </c>
      <c r="M786" s="50">
        <f>_xlfn.XLOOKUP(A797,Magazzino!$D$1:$D$1500,Magazzino!$F$1:$F$1500,"",0,1)</f>
        <v/>
      </c>
      <c r="N786" s="50">
        <f>_xlfn.XLOOKUP(A798,Magazzino!$D$1:$D$1500,Magazzino!$F$1:$F$1500,"",0,1)</f>
        <v/>
      </c>
      <c r="O786" s="50">
        <f>_xlfn.XLOOKUP(A799,Magazzino!$D$1:$D$1500,Magazzino!$F$1:$F$1500,"",0,1)</f>
        <v/>
      </c>
      <c r="P786" s="50">
        <f>_xlfn.XLOOKUP(A800,Magazzino!$D$1:$D$1500,Magazzino!$F$1:$F$1500,"",0,1)</f>
        <v/>
      </c>
      <c r="Q786" s="51">
        <f>_xlfn.XLOOKUP(A801,Magazzino!$D$1:$D$1500,Magazzino!$F$1:$F$1500,"",0,1)</f>
        <v/>
      </c>
    </row>
    <row r="787">
      <c r="A787" s="47" t="inlineStr">
        <is>
          <t xml:space="preserve">FARINA 0/MAN. CAPUTO DA KG.25  </t>
        </is>
      </c>
      <c r="B787" s="16" t="inlineStr">
        <is>
          <t>-</t>
        </is>
      </c>
      <c r="C787" s="11" t="inlineStr">
        <is>
          <t>-</t>
        </is>
      </c>
      <c r="D787" s="11" t="inlineStr">
        <is>
          <t>-</t>
        </is>
      </c>
      <c r="E787" s="11" t="inlineStr">
        <is>
          <t>-</t>
        </is>
      </c>
      <c r="F787" s="11" t="inlineStr">
        <is>
          <t>-</t>
        </is>
      </c>
      <c r="G787" s="11" t="inlineStr">
        <is>
          <t>-</t>
        </is>
      </c>
      <c r="H787" s="11" t="inlineStr">
        <is>
          <t>-</t>
        </is>
      </c>
      <c r="I787" s="11" t="inlineStr">
        <is>
          <t>-</t>
        </is>
      </c>
      <c r="J787" s="11" t="inlineStr">
        <is>
          <t>-</t>
        </is>
      </c>
      <c r="K787" s="11" t="inlineStr">
        <is>
          <t>-</t>
        </is>
      </c>
      <c r="L787" s="11" t="inlineStr">
        <is>
          <t>-</t>
        </is>
      </c>
      <c r="M787" s="11" t="inlineStr">
        <is>
          <t>-</t>
        </is>
      </c>
      <c r="N787" s="11" t="inlineStr">
        <is>
          <t>-</t>
        </is>
      </c>
      <c r="O787" s="11" t="inlineStr">
        <is>
          <t>-</t>
        </is>
      </c>
      <c r="P787" s="11" t="inlineStr">
        <is>
          <t>-</t>
        </is>
      </c>
      <c r="Q787" s="12" t="inlineStr">
        <is>
          <t>-</t>
        </is>
      </c>
    </row>
    <row r="788">
      <c r="A788" s="47" t="inlineStr">
        <is>
          <t xml:space="preserve">STRUTTO RAFFINATO I B VERDE  </t>
        </is>
      </c>
      <c r="B788" s="13" t="inlineStr">
        <is>
          <t>-</t>
        </is>
      </c>
      <c r="C788" s="14" t="inlineStr">
        <is>
          <t>-</t>
        </is>
      </c>
      <c r="D788" s="14" t="inlineStr">
        <is>
          <t>-</t>
        </is>
      </c>
      <c r="E788" s="14" t="inlineStr">
        <is>
          <t>-</t>
        </is>
      </c>
      <c r="F788" s="14" t="inlineStr">
        <is>
          <t>-</t>
        </is>
      </c>
      <c r="G788" s="14" t="inlineStr">
        <is>
          <t>-</t>
        </is>
      </c>
      <c r="H788" s="14" t="inlineStr">
        <is>
          <t>-</t>
        </is>
      </c>
      <c r="I788" s="14" t="inlineStr">
        <is>
          <t>-</t>
        </is>
      </c>
      <c r="J788" s="14" t="inlineStr">
        <is>
          <t>-</t>
        </is>
      </c>
      <c r="K788" s="14" t="inlineStr">
        <is>
          <t>-</t>
        </is>
      </c>
      <c r="L788" s="14" t="inlineStr">
        <is>
          <t>-</t>
        </is>
      </c>
      <c r="M788" s="14" t="inlineStr">
        <is>
          <t>-</t>
        </is>
      </c>
      <c r="N788" s="14" t="inlineStr">
        <is>
          <t>-</t>
        </is>
      </c>
      <c r="O788" s="14" t="inlineStr">
        <is>
          <t>-</t>
        </is>
      </c>
      <c r="P788" s="14" t="inlineStr">
        <is>
          <t>-</t>
        </is>
      </c>
      <c r="Q788" s="15" t="inlineStr">
        <is>
          <t>-</t>
        </is>
      </c>
    </row>
    <row r="789">
      <c r="A789" s="47" t="inlineStr">
        <is>
          <t>PASSATA ALBICOCCA x 10kg</t>
        </is>
      </c>
      <c r="B789" s="16" t="inlineStr">
        <is>
          <t>-</t>
        </is>
      </c>
      <c r="C789" s="11" t="inlineStr">
        <is>
          <t>-</t>
        </is>
      </c>
      <c r="D789" s="11" t="inlineStr">
        <is>
          <t>-</t>
        </is>
      </c>
      <c r="E789" s="11" t="inlineStr">
        <is>
          <t>-</t>
        </is>
      </c>
      <c r="F789" s="11" t="inlineStr">
        <is>
          <t>-</t>
        </is>
      </c>
      <c r="G789" s="11" t="inlineStr">
        <is>
          <t>-</t>
        </is>
      </c>
      <c r="H789" s="11" t="inlineStr">
        <is>
          <t>-</t>
        </is>
      </c>
      <c r="I789" s="11" t="inlineStr">
        <is>
          <t>-</t>
        </is>
      </c>
      <c r="J789" s="11" t="inlineStr">
        <is>
          <t>-</t>
        </is>
      </c>
      <c r="K789" s="11" t="inlineStr">
        <is>
          <t>-</t>
        </is>
      </c>
      <c r="L789" s="11" t="inlineStr">
        <is>
          <t>-</t>
        </is>
      </c>
      <c r="M789" s="11" t="inlineStr">
        <is>
          <t>-</t>
        </is>
      </c>
      <c r="N789" s="11" t="inlineStr">
        <is>
          <t>-</t>
        </is>
      </c>
      <c r="O789" s="11" t="inlineStr">
        <is>
          <t>-</t>
        </is>
      </c>
      <c r="P789" s="11" t="inlineStr">
        <is>
          <t>-</t>
        </is>
      </c>
      <c r="Q789" s="12" t="inlineStr">
        <is>
          <t>-</t>
        </is>
      </c>
    </row>
    <row r="790">
      <c r="A790" s="47" t="inlineStr">
        <is>
          <t>zucchero semolato</t>
        </is>
      </c>
      <c r="B790" s="13" t="inlineStr">
        <is>
          <t>-</t>
        </is>
      </c>
      <c r="C790" s="14" t="inlineStr">
        <is>
          <t>-</t>
        </is>
      </c>
      <c r="D790" s="14" t="inlineStr">
        <is>
          <t>-</t>
        </is>
      </c>
      <c r="E790" s="14" t="inlineStr">
        <is>
          <t>-</t>
        </is>
      </c>
      <c r="F790" s="14" t="inlineStr">
        <is>
          <t>-</t>
        </is>
      </c>
      <c r="G790" s="14" t="inlineStr">
        <is>
          <t>-</t>
        </is>
      </c>
      <c r="H790" s="14" t="inlineStr">
        <is>
          <t>-</t>
        </is>
      </c>
      <c r="I790" s="14" t="inlineStr">
        <is>
          <t>-</t>
        </is>
      </c>
      <c r="J790" s="14" t="inlineStr">
        <is>
          <t>-</t>
        </is>
      </c>
      <c r="K790" s="14" t="inlineStr">
        <is>
          <t>-</t>
        </is>
      </c>
      <c r="L790" s="14" t="inlineStr">
        <is>
          <t>-</t>
        </is>
      </c>
      <c r="M790" s="14" t="inlineStr">
        <is>
          <t>-</t>
        </is>
      </c>
      <c r="N790" s="14" t="inlineStr">
        <is>
          <t>-</t>
        </is>
      </c>
      <c r="O790" s="14" t="inlineStr">
        <is>
          <t>-</t>
        </is>
      </c>
      <c r="P790" s="14" t="inlineStr">
        <is>
          <t>-</t>
        </is>
      </c>
      <c r="Q790" s="15" t="inlineStr">
        <is>
          <t>-</t>
        </is>
      </c>
    </row>
    <row r="791">
      <c r="A791" s="47" t="n"/>
      <c r="B791" s="16" t="inlineStr">
        <is>
          <t>-</t>
        </is>
      </c>
      <c r="C791" s="11" t="inlineStr">
        <is>
          <t>-</t>
        </is>
      </c>
      <c r="D791" s="11" t="inlineStr">
        <is>
          <t>-</t>
        </is>
      </c>
      <c r="E791" s="11" t="inlineStr">
        <is>
          <t>-</t>
        </is>
      </c>
      <c r="F791" s="11" t="inlineStr">
        <is>
          <t>-</t>
        </is>
      </c>
      <c r="G791" s="11" t="inlineStr">
        <is>
          <t>-</t>
        </is>
      </c>
      <c r="H791" s="11" t="inlineStr">
        <is>
          <t>-</t>
        </is>
      </c>
      <c r="I791" s="11" t="inlineStr">
        <is>
          <t>-</t>
        </is>
      </c>
      <c r="J791" s="11" t="inlineStr">
        <is>
          <t>-</t>
        </is>
      </c>
      <c r="K791" s="11" t="inlineStr">
        <is>
          <t>-</t>
        </is>
      </c>
      <c r="L791" s="11" t="inlineStr">
        <is>
          <t>-</t>
        </is>
      </c>
      <c r="M791" s="11" t="inlineStr">
        <is>
          <t>-</t>
        </is>
      </c>
      <c r="N791" s="11" t="inlineStr">
        <is>
          <t>-</t>
        </is>
      </c>
      <c r="O791" s="11" t="inlineStr">
        <is>
          <t>-</t>
        </is>
      </c>
      <c r="P791" s="11" t="inlineStr">
        <is>
          <t>-</t>
        </is>
      </c>
      <c r="Q791" s="12" t="inlineStr">
        <is>
          <t>-</t>
        </is>
      </c>
    </row>
    <row r="792">
      <c r="A792" s="47" t="n"/>
      <c r="B792" s="13" t="inlineStr">
        <is>
          <t>-</t>
        </is>
      </c>
      <c r="C792" s="14" t="inlineStr">
        <is>
          <t>-</t>
        </is>
      </c>
      <c r="D792" s="14" t="inlineStr">
        <is>
          <t>-</t>
        </is>
      </c>
      <c r="E792" s="14" t="inlineStr">
        <is>
          <t>-</t>
        </is>
      </c>
      <c r="F792" s="14" t="inlineStr">
        <is>
          <t>-</t>
        </is>
      </c>
      <c r="G792" s="14" t="inlineStr">
        <is>
          <t>-</t>
        </is>
      </c>
      <c r="H792" s="14" t="inlineStr">
        <is>
          <t>-</t>
        </is>
      </c>
      <c r="I792" s="14" t="inlineStr">
        <is>
          <t>-</t>
        </is>
      </c>
      <c r="J792" s="14" t="inlineStr">
        <is>
          <t>-</t>
        </is>
      </c>
      <c r="K792" s="14" t="inlineStr">
        <is>
          <t>-</t>
        </is>
      </c>
      <c r="L792" s="14" t="inlineStr">
        <is>
          <t>-</t>
        </is>
      </c>
      <c r="M792" s="14" t="inlineStr">
        <is>
          <t>-</t>
        </is>
      </c>
      <c r="N792" s="14" t="inlineStr">
        <is>
          <t>-</t>
        </is>
      </c>
      <c r="O792" s="14" t="inlineStr">
        <is>
          <t>-</t>
        </is>
      </c>
      <c r="P792" s="14" t="inlineStr">
        <is>
          <t>-</t>
        </is>
      </c>
      <c r="Q792" s="15" t="inlineStr">
        <is>
          <t>-</t>
        </is>
      </c>
    </row>
    <row r="793">
      <c r="A793" s="47" t="n"/>
      <c r="B793" s="16" t="inlineStr">
        <is>
          <t>-</t>
        </is>
      </c>
      <c r="C793" s="11" t="inlineStr">
        <is>
          <t>-</t>
        </is>
      </c>
      <c r="D793" s="11" t="inlineStr">
        <is>
          <t>-</t>
        </is>
      </c>
      <c r="E793" s="11" t="inlineStr">
        <is>
          <t>-</t>
        </is>
      </c>
      <c r="F793" s="11" t="inlineStr">
        <is>
          <t>-</t>
        </is>
      </c>
      <c r="G793" s="11" t="inlineStr">
        <is>
          <t>-</t>
        </is>
      </c>
      <c r="H793" s="11" t="inlineStr">
        <is>
          <t>-</t>
        </is>
      </c>
      <c r="I793" s="11" t="inlineStr">
        <is>
          <t>-</t>
        </is>
      </c>
      <c r="J793" s="11" t="inlineStr">
        <is>
          <t>-</t>
        </is>
      </c>
      <c r="K793" s="11" t="inlineStr">
        <is>
          <t>-</t>
        </is>
      </c>
      <c r="L793" s="11" t="inlineStr">
        <is>
          <t>-</t>
        </is>
      </c>
      <c r="M793" s="11" t="inlineStr">
        <is>
          <t>-</t>
        </is>
      </c>
      <c r="N793" s="11" t="inlineStr">
        <is>
          <t>-</t>
        </is>
      </c>
      <c r="O793" s="11" t="inlineStr">
        <is>
          <t>-</t>
        </is>
      </c>
      <c r="P793" s="11" t="inlineStr">
        <is>
          <t>-</t>
        </is>
      </c>
      <c r="Q793" s="12" t="inlineStr">
        <is>
          <t>-</t>
        </is>
      </c>
    </row>
    <row r="794">
      <c r="A794" s="47" t="n"/>
      <c r="B794" s="13" t="inlineStr">
        <is>
          <t>-</t>
        </is>
      </c>
      <c r="C794" s="14" t="inlineStr">
        <is>
          <t>-</t>
        </is>
      </c>
      <c r="D794" s="14" t="inlineStr">
        <is>
          <t>-</t>
        </is>
      </c>
      <c r="E794" s="14" t="inlineStr">
        <is>
          <t>-</t>
        </is>
      </c>
      <c r="F794" s="14" t="inlineStr">
        <is>
          <t>-</t>
        </is>
      </c>
      <c r="G794" s="14" t="inlineStr">
        <is>
          <t>-</t>
        </is>
      </c>
      <c r="H794" s="14" t="inlineStr">
        <is>
          <t>-</t>
        </is>
      </c>
      <c r="I794" s="14" t="inlineStr">
        <is>
          <t>-</t>
        </is>
      </c>
      <c r="J794" s="14" t="inlineStr">
        <is>
          <t>-</t>
        </is>
      </c>
      <c r="K794" s="14" t="inlineStr">
        <is>
          <t>-</t>
        </is>
      </c>
      <c r="L794" s="14" t="inlineStr">
        <is>
          <t>-</t>
        </is>
      </c>
      <c r="M794" s="14" t="inlineStr">
        <is>
          <t>-</t>
        </is>
      </c>
      <c r="N794" s="14" t="inlineStr">
        <is>
          <t>-</t>
        </is>
      </c>
      <c r="O794" s="14" t="inlineStr">
        <is>
          <t>-</t>
        </is>
      </c>
      <c r="P794" s="14" t="inlineStr">
        <is>
          <t>-</t>
        </is>
      </c>
      <c r="Q794" s="15" t="inlineStr">
        <is>
          <t>-</t>
        </is>
      </c>
    </row>
    <row r="795">
      <c r="A795" s="47" t="n"/>
      <c r="B795" s="16" t="inlineStr">
        <is>
          <t>-</t>
        </is>
      </c>
      <c r="C795" s="11" t="inlineStr">
        <is>
          <t>-</t>
        </is>
      </c>
      <c r="D795" s="11" t="inlineStr">
        <is>
          <t>-</t>
        </is>
      </c>
      <c r="E795" s="11" t="inlineStr">
        <is>
          <t>-</t>
        </is>
      </c>
      <c r="F795" s="11" t="inlineStr">
        <is>
          <t>-</t>
        </is>
      </c>
      <c r="G795" s="11" t="inlineStr">
        <is>
          <t>-</t>
        </is>
      </c>
      <c r="H795" s="11" t="inlineStr">
        <is>
          <t>-</t>
        </is>
      </c>
      <c r="I795" s="11" t="inlineStr">
        <is>
          <t>-</t>
        </is>
      </c>
      <c r="J795" s="11" t="inlineStr">
        <is>
          <t>-</t>
        </is>
      </c>
      <c r="K795" s="11" t="inlineStr">
        <is>
          <t>-</t>
        </is>
      </c>
      <c r="L795" s="11" t="inlineStr">
        <is>
          <t>-</t>
        </is>
      </c>
      <c r="M795" s="11" t="inlineStr">
        <is>
          <t>-</t>
        </is>
      </c>
      <c r="N795" s="11" t="inlineStr">
        <is>
          <t>-</t>
        </is>
      </c>
      <c r="O795" s="11" t="inlineStr">
        <is>
          <t>-</t>
        </is>
      </c>
      <c r="P795" s="11" t="inlineStr">
        <is>
          <t>-</t>
        </is>
      </c>
      <c r="Q795" s="12" t="inlineStr">
        <is>
          <t>-</t>
        </is>
      </c>
    </row>
    <row r="796">
      <c r="A796" s="47" t="n"/>
      <c r="B796" s="13" t="inlineStr">
        <is>
          <t>-</t>
        </is>
      </c>
      <c r="C796" s="14" t="inlineStr">
        <is>
          <t>-</t>
        </is>
      </c>
      <c r="D796" s="14" t="inlineStr">
        <is>
          <t>-</t>
        </is>
      </c>
      <c r="E796" s="14" t="inlineStr">
        <is>
          <t>-</t>
        </is>
      </c>
      <c r="F796" s="14" t="inlineStr">
        <is>
          <t>-</t>
        </is>
      </c>
      <c r="G796" s="14" t="inlineStr">
        <is>
          <t>-</t>
        </is>
      </c>
      <c r="H796" s="14" t="inlineStr">
        <is>
          <t>-</t>
        </is>
      </c>
      <c r="I796" s="14" t="inlineStr">
        <is>
          <t>-</t>
        </is>
      </c>
      <c r="J796" s="14" t="inlineStr">
        <is>
          <t>-</t>
        </is>
      </c>
      <c r="K796" s="14" t="inlineStr">
        <is>
          <t>-</t>
        </is>
      </c>
      <c r="L796" s="14" t="inlineStr">
        <is>
          <t>-</t>
        </is>
      </c>
      <c r="M796" s="14" t="inlineStr">
        <is>
          <t>-</t>
        </is>
      </c>
      <c r="N796" s="14" t="inlineStr">
        <is>
          <t>-</t>
        </is>
      </c>
      <c r="O796" s="14" t="inlineStr">
        <is>
          <t>-</t>
        </is>
      </c>
      <c r="P796" s="14" t="inlineStr">
        <is>
          <t>-</t>
        </is>
      </c>
      <c r="Q796" s="15" t="inlineStr">
        <is>
          <t>-</t>
        </is>
      </c>
    </row>
    <row r="797">
      <c r="A797" s="47" t="n"/>
      <c r="B797" s="16" t="inlineStr">
        <is>
          <t>-</t>
        </is>
      </c>
      <c r="C797" s="11" t="inlineStr">
        <is>
          <t>-</t>
        </is>
      </c>
      <c r="D797" s="11" t="inlineStr">
        <is>
          <t>-</t>
        </is>
      </c>
      <c r="E797" s="11" t="inlineStr">
        <is>
          <t>-</t>
        </is>
      </c>
      <c r="F797" s="11" t="inlineStr">
        <is>
          <t>-</t>
        </is>
      </c>
      <c r="G797" s="11" t="inlineStr">
        <is>
          <t>-</t>
        </is>
      </c>
      <c r="H797" s="11" t="inlineStr">
        <is>
          <t>-</t>
        </is>
      </c>
      <c r="I797" s="11" t="inlineStr">
        <is>
          <t>-</t>
        </is>
      </c>
      <c r="J797" s="11" t="inlineStr">
        <is>
          <t>-</t>
        </is>
      </c>
      <c r="K797" s="11" t="inlineStr">
        <is>
          <t>-</t>
        </is>
      </c>
      <c r="L797" s="11" t="inlineStr">
        <is>
          <t>-</t>
        </is>
      </c>
      <c r="M797" s="11" t="inlineStr">
        <is>
          <t>-</t>
        </is>
      </c>
      <c r="N797" s="11" t="inlineStr">
        <is>
          <t>-</t>
        </is>
      </c>
      <c r="O797" s="11" t="inlineStr">
        <is>
          <t>-</t>
        </is>
      </c>
      <c r="P797" s="11" t="inlineStr">
        <is>
          <t>-</t>
        </is>
      </c>
      <c r="Q797" s="12" t="inlineStr">
        <is>
          <t>-</t>
        </is>
      </c>
    </row>
    <row r="798">
      <c r="A798" s="47" t="n"/>
      <c r="B798" s="13" t="inlineStr">
        <is>
          <t>-</t>
        </is>
      </c>
      <c r="C798" s="14" t="inlineStr">
        <is>
          <t>-</t>
        </is>
      </c>
      <c r="D798" s="14" t="inlineStr">
        <is>
          <t>-</t>
        </is>
      </c>
      <c r="E798" s="14" t="inlineStr">
        <is>
          <t>-</t>
        </is>
      </c>
      <c r="F798" s="14" t="inlineStr">
        <is>
          <t>-</t>
        </is>
      </c>
      <c r="G798" s="14" t="inlineStr">
        <is>
          <t>-</t>
        </is>
      </c>
      <c r="H798" s="14" t="inlineStr">
        <is>
          <t>-</t>
        </is>
      </c>
      <c r="I798" s="14" t="inlineStr">
        <is>
          <t>-</t>
        </is>
      </c>
      <c r="J798" s="14" t="inlineStr">
        <is>
          <t>-</t>
        </is>
      </c>
      <c r="K798" s="14" t="inlineStr">
        <is>
          <t>-</t>
        </is>
      </c>
      <c r="L798" s="14" t="inlineStr">
        <is>
          <t>-</t>
        </is>
      </c>
      <c r="M798" s="14" t="inlineStr">
        <is>
          <t>-</t>
        </is>
      </c>
      <c r="N798" s="14" t="inlineStr">
        <is>
          <t>-</t>
        </is>
      </c>
      <c r="O798" s="14" t="inlineStr">
        <is>
          <t>-</t>
        </is>
      </c>
      <c r="P798" s="14" t="inlineStr">
        <is>
          <t>-</t>
        </is>
      </c>
      <c r="Q798" s="15" t="inlineStr">
        <is>
          <t>-</t>
        </is>
      </c>
    </row>
    <row r="799">
      <c r="A799" s="47" t="n"/>
      <c r="B799" s="16" t="inlineStr">
        <is>
          <t>-</t>
        </is>
      </c>
      <c r="C799" s="11" t="inlineStr">
        <is>
          <t>-</t>
        </is>
      </c>
      <c r="D799" s="11" t="inlineStr">
        <is>
          <t>-</t>
        </is>
      </c>
      <c r="E799" s="11" t="inlineStr">
        <is>
          <t>-</t>
        </is>
      </c>
      <c r="F799" s="11" t="inlineStr">
        <is>
          <t>-</t>
        </is>
      </c>
      <c r="G799" s="11" t="inlineStr">
        <is>
          <t>-</t>
        </is>
      </c>
      <c r="H799" s="11" t="inlineStr">
        <is>
          <t>-</t>
        </is>
      </c>
      <c r="I799" s="11" t="inlineStr">
        <is>
          <t>-</t>
        </is>
      </c>
      <c r="J799" s="11" t="inlineStr">
        <is>
          <t>-</t>
        </is>
      </c>
      <c r="K799" s="11" t="inlineStr">
        <is>
          <t>-</t>
        </is>
      </c>
      <c r="L799" s="11" t="inlineStr">
        <is>
          <t>-</t>
        </is>
      </c>
      <c r="M799" s="11" t="inlineStr">
        <is>
          <t>-</t>
        </is>
      </c>
      <c r="N799" s="11" t="inlineStr">
        <is>
          <t>-</t>
        </is>
      </c>
      <c r="O799" s="11" t="inlineStr">
        <is>
          <t>-</t>
        </is>
      </c>
      <c r="P799" s="11" t="inlineStr">
        <is>
          <t>-</t>
        </is>
      </c>
      <c r="Q799" s="12" t="inlineStr">
        <is>
          <t>-</t>
        </is>
      </c>
    </row>
    <row r="800">
      <c r="A800" s="47" t="n"/>
      <c r="B800" s="13" t="inlineStr">
        <is>
          <t>-</t>
        </is>
      </c>
      <c r="C800" s="14" t="inlineStr">
        <is>
          <t>-</t>
        </is>
      </c>
      <c r="D800" s="14" t="inlineStr">
        <is>
          <t>-</t>
        </is>
      </c>
      <c r="E800" s="14" t="inlineStr">
        <is>
          <t>-</t>
        </is>
      </c>
      <c r="F800" s="14" t="inlineStr">
        <is>
          <t>-</t>
        </is>
      </c>
      <c r="G800" s="14" t="inlineStr">
        <is>
          <t>-</t>
        </is>
      </c>
      <c r="H800" s="14" t="inlineStr">
        <is>
          <t>-</t>
        </is>
      </c>
      <c r="I800" s="14" t="inlineStr">
        <is>
          <t>-</t>
        </is>
      </c>
      <c r="J800" s="14" t="inlineStr">
        <is>
          <t>-</t>
        </is>
      </c>
      <c r="K800" s="14" t="inlineStr">
        <is>
          <t>-</t>
        </is>
      </c>
      <c r="L800" s="14" t="inlineStr">
        <is>
          <t>-</t>
        </is>
      </c>
      <c r="M800" s="14" t="inlineStr">
        <is>
          <t>-</t>
        </is>
      </c>
      <c r="N800" s="14" t="inlineStr">
        <is>
          <t>-</t>
        </is>
      </c>
      <c r="O800" s="14" t="inlineStr">
        <is>
          <t>-</t>
        </is>
      </c>
      <c r="P800" s="14" t="inlineStr">
        <is>
          <t>-</t>
        </is>
      </c>
      <c r="Q800" s="15" t="inlineStr">
        <is>
          <t>-</t>
        </is>
      </c>
    </row>
    <row r="801">
      <c r="A801" s="47" t="n"/>
      <c r="B801" s="16" t="inlineStr">
        <is>
          <t>-</t>
        </is>
      </c>
      <c r="C801" s="11" t="inlineStr">
        <is>
          <t>-</t>
        </is>
      </c>
      <c r="D801" s="11" t="inlineStr">
        <is>
          <t>-</t>
        </is>
      </c>
      <c r="E801" s="11" t="inlineStr">
        <is>
          <t>-</t>
        </is>
      </c>
      <c r="F801" s="11" t="inlineStr">
        <is>
          <t>-</t>
        </is>
      </c>
      <c r="G801" s="11" t="inlineStr">
        <is>
          <t>-</t>
        </is>
      </c>
      <c r="H801" s="11" t="inlineStr">
        <is>
          <t>-</t>
        </is>
      </c>
      <c r="I801" s="11" t="inlineStr">
        <is>
          <t>-</t>
        </is>
      </c>
      <c r="J801" s="11" t="inlineStr">
        <is>
          <t>-</t>
        </is>
      </c>
      <c r="K801" s="11" t="inlineStr">
        <is>
          <t>-</t>
        </is>
      </c>
      <c r="L801" s="11" t="inlineStr">
        <is>
          <t>-</t>
        </is>
      </c>
      <c r="M801" s="11" t="inlineStr">
        <is>
          <t>-</t>
        </is>
      </c>
      <c r="N801" s="11" t="inlineStr">
        <is>
          <t>-</t>
        </is>
      </c>
      <c r="O801" s="11" t="inlineStr">
        <is>
          <t>-</t>
        </is>
      </c>
      <c r="P801" s="11" t="inlineStr">
        <is>
          <t>-</t>
        </is>
      </c>
      <c r="Q801" s="12" t="inlineStr">
        <is>
          <t>-</t>
        </is>
      </c>
    </row>
    <row r="802" ht="36" customHeight="1" s="155">
      <c r="B802" s="46" t="inlineStr">
        <is>
          <t>crostatina cioccolato</t>
        </is>
      </c>
      <c r="C802" s="49">
        <f>_xlfn.XLOOKUP(A803,Magazzino!$D$1:$D$1500,Magazzino!$F$1:$F$1500,"",0,1)</f>
        <v/>
      </c>
      <c r="D802" s="50">
        <f>_xlfn.XLOOKUP(A804,Magazzino!$D$1:$D$1500,Magazzino!$F$1:$F$1500,"",0,1)</f>
        <v/>
      </c>
      <c r="E802" s="50">
        <f>_xlfn.XLOOKUP(A805,Magazzino!$D$1:$D$1500,Magazzino!$F$1:$F$1500,"",0,1)</f>
        <v/>
      </c>
      <c r="F802" s="50">
        <f>_xlfn.XLOOKUP(A806,Magazzino!$D$1:$D$1500,Magazzino!$F$1:$F$1500,"",0,1)</f>
        <v/>
      </c>
      <c r="G802" s="50">
        <f>_xlfn.XLOOKUP(A807,Magazzino!$D$1:$D$1500,Magazzino!$F$1:$F$1500,"",0,1)</f>
        <v/>
      </c>
      <c r="H802" s="50">
        <f>_xlfn.XLOOKUP(A808,Magazzino!$D$1:$D$1500,Magazzino!$F$1:$F$1500,"",0,1)</f>
        <v/>
      </c>
      <c r="I802" s="50">
        <f>_xlfn.XLOOKUP(A809,Magazzino!$D$1:$D$1500,Magazzino!$F$1:$F$1500,"",0,1)</f>
        <v/>
      </c>
      <c r="J802" s="50">
        <f>_xlfn.XLOOKUP(A810,Magazzino!$D$1:$D$1500,Magazzino!$F$1:$F$1500,"",0,1)</f>
        <v/>
      </c>
      <c r="K802" s="50">
        <f>_xlfn.XLOOKUP(A811,Magazzino!$D$1:$D$1500,Magazzino!$F$1:$F$1500,"",0,1)</f>
        <v/>
      </c>
      <c r="L802" s="50">
        <f>_xlfn.XLOOKUP(A812,Magazzino!$D$1:$D$1500,Magazzino!$F$1:$F$1500,"",0,1)</f>
        <v/>
      </c>
      <c r="M802" s="50">
        <f>_xlfn.XLOOKUP(A813,Magazzino!$D$1:$D$1500,Magazzino!$F$1:$F$1500,"",0,1)</f>
        <v/>
      </c>
      <c r="N802" s="50">
        <f>_xlfn.XLOOKUP(A814,Magazzino!$D$1:$D$1500,Magazzino!$F$1:$F$1500,"",0,1)</f>
        <v/>
      </c>
      <c r="O802" s="50">
        <f>_xlfn.XLOOKUP(A815,Magazzino!$D$1:$D$1500,Magazzino!$F$1:$F$1500,"",0,1)</f>
        <v/>
      </c>
      <c r="P802" s="50">
        <f>_xlfn.XLOOKUP(A816,Magazzino!$D$1:$D$1500,Magazzino!$F$1:$F$1500,"",0,1)</f>
        <v/>
      </c>
      <c r="Q802" s="51">
        <f>_xlfn.XLOOKUP(A817,Magazzino!$D$1:$D$1500,Magazzino!$F$1:$F$1500,"",0,1)</f>
        <v/>
      </c>
    </row>
    <row r="803">
      <c r="A803" s="47" t="inlineStr">
        <is>
          <t xml:space="preserve">FARINA 0/MAN. CAPUTO DA KG.25  </t>
        </is>
      </c>
      <c r="B803" s="16" t="inlineStr">
        <is>
          <t>-</t>
        </is>
      </c>
      <c r="C803" s="11" t="inlineStr">
        <is>
          <t>-</t>
        </is>
      </c>
      <c r="D803" s="11" t="inlineStr">
        <is>
          <t>-</t>
        </is>
      </c>
      <c r="E803" s="11" t="inlineStr">
        <is>
          <t>-</t>
        </is>
      </c>
      <c r="F803" s="11" t="inlineStr">
        <is>
          <t>-</t>
        </is>
      </c>
      <c r="G803" s="11" t="inlineStr">
        <is>
          <t>-</t>
        </is>
      </c>
      <c r="H803" s="11" t="inlineStr">
        <is>
          <t>-</t>
        </is>
      </c>
      <c r="I803" s="11" t="inlineStr">
        <is>
          <t>-</t>
        </is>
      </c>
      <c r="J803" s="11" t="inlineStr">
        <is>
          <t>-</t>
        </is>
      </c>
      <c r="K803" s="11" t="inlineStr">
        <is>
          <t>-</t>
        </is>
      </c>
      <c r="L803" s="11" t="inlineStr">
        <is>
          <t>-</t>
        </is>
      </c>
      <c r="M803" s="11" t="inlineStr">
        <is>
          <t>-</t>
        </is>
      </c>
      <c r="N803" s="11" t="inlineStr">
        <is>
          <t>-</t>
        </is>
      </c>
      <c r="O803" s="11" t="inlineStr">
        <is>
          <t>-</t>
        </is>
      </c>
      <c r="P803" s="11" t="inlineStr">
        <is>
          <t>-</t>
        </is>
      </c>
      <c r="Q803" s="12" t="inlineStr">
        <is>
          <t>-</t>
        </is>
      </c>
    </row>
    <row r="804">
      <c r="A804" s="47" t="inlineStr">
        <is>
          <t xml:space="preserve">STRUTTO RAFFINATO I B VERDE  </t>
        </is>
      </c>
      <c r="B804" s="13" t="inlineStr">
        <is>
          <t>-</t>
        </is>
      </c>
      <c r="C804" s="14" t="inlineStr">
        <is>
          <t>-</t>
        </is>
      </c>
      <c r="D804" s="14" t="inlineStr">
        <is>
          <t>-</t>
        </is>
      </c>
      <c r="E804" s="14" t="inlineStr">
        <is>
          <t>-</t>
        </is>
      </c>
      <c r="F804" s="14" t="inlineStr">
        <is>
          <t>-</t>
        </is>
      </c>
      <c r="G804" s="14" t="inlineStr">
        <is>
          <t>-</t>
        </is>
      </c>
      <c r="H804" s="14" t="inlineStr">
        <is>
          <t>-</t>
        </is>
      </c>
      <c r="I804" s="14" t="inlineStr">
        <is>
          <t>-</t>
        </is>
      </c>
      <c r="J804" s="14" t="inlineStr">
        <is>
          <t>-</t>
        </is>
      </c>
      <c r="K804" s="14" t="inlineStr">
        <is>
          <t>-</t>
        </is>
      </c>
      <c r="L804" s="14" t="inlineStr">
        <is>
          <t>-</t>
        </is>
      </c>
      <c r="M804" s="14" t="inlineStr">
        <is>
          <t>-</t>
        </is>
      </c>
      <c r="N804" s="14" t="inlineStr">
        <is>
          <t>-</t>
        </is>
      </c>
      <c r="O804" s="14" t="inlineStr">
        <is>
          <t>-</t>
        </is>
      </c>
      <c r="P804" s="14" t="inlineStr">
        <is>
          <t>-</t>
        </is>
      </c>
      <c r="Q804" s="15" t="inlineStr">
        <is>
          <t>-</t>
        </is>
      </c>
    </row>
    <row r="805">
      <c r="A805" s="47" t="inlineStr">
        <is>
          <t>zucchero semolato</t>
        </is>
      </c>
      <c r="B805" s="16" t="inlineStr">
        <is>
          <t>-</t>
        </is>
      </c>
      <c r="C805" s="11" t="inlineStr">
        <is>
          <t>-</t>
        </is>
      </c>
      <c r="D805" s="11" t="inlineStr">
        <is>
          <t>-</t>
        </is>
      </c>
      <c r="E805" s="11" t="inlineStr">
        <is>
          <t>-</t>
        </is>
      </c>
      <c r="F805" s="11" t="inlineStr">
        <is>
          <t>-</t>
        </is>
      </c>
      <c r="G805" s="11" t="inlineStr">
        <is>
          <t>-</t>
        </is>
      </c>
      <c r="H805" s="11" t="inlineStr">
        <is>
          <t>-</t>
        </is>
      </c>
      <c r="I805" s="11" t="inlineStr">
        <is>
          <t>-</t>
        </is>
      </c>
      <c r="J805" s="11" t="inlineStr">
        <is>
          <t>-</t>
        </is>
      </c>
      <c r="K805" s="11" t="inlineStr">
        <is>
          <t>-</t>
        </is>
      </c>
      <c r="L805" s="11" t="inlineStr">
        <is>
          <t>-</t>
        </is>
      </c>
      <c r="M805" s="11" t="inlineStr">
        <is>
          <t>-</t>
        </is>
      </c>
      <c r="N805" s="11" t="inlineStr">
        <is>
          <t>-</t>
        </is>
      </c>
      <c r="O805" s="11" t="inlineStr">
        <is>
          <t>-</t>
        </is>
      </c>
      <c r="P805" s="11" t="inlineStr">
        <is>
          <t>-</t>
        </is>
      </c>
      <c r="Q805" s="12" t="inlineStr">
        <is>
          <t>-</t>
        </is>
      </c>
    </row>
    <row r="806">
      <c r="A806" s="48" t="inlineStr">
        <is>
          <t xml:space="preserve">SALE SACCHI SALTECHNO KG.25  </t>
        </is>
      </c>
      <c r="B806" s="13" t="inlineStr">
        <is>
          <t>-</t>
        </is>
      </c>
      <c r="C806" s="14" t="inlineStr">
        <is>
          <t>-</t>
        </is>
      </c>
      <c r="D806" s="14" t="inlineStr">
        <is>
          <t>-</t>
        </is>
      </c>
      <c r="E806" s="14" t="inlineStr">
        <is>
          <t>-</t>
        </is>
      </c>
      <c r="F806" s="14" t="inlineStr">
        <is>
          <t>-</t>
        </is>
      </c>
      <c r="G806" s="14" t="inlineStr">
        <is>
          <t>-</t>
        </is>
      </c>
      <c r="H806" s="14" t="inlineStr">
        <is>
          <t>-</t>
        </is>
      </c>
      <c r="I806" s="14" t="inlineStr">
        <is>
          <t>-</t>
        </is>
      </c>
      <c r="J806" s="14" t="inlineStr">
        <is>
          <t>-</t>
        </is>
      </c>
      <c r="K806" s="14" t="inlineStr">
        <is>
          <t>-</t>
        </is>
      </c>
      <c r="L806" s="14" t="inlineStr">
        <is>
          <t>-</t>
        </is>
      </c>
      <c r="M806" s="14" t="inlineStr">
        <is>
          <t>-</t>
        </is>
      </c>
      <c r="N806" s="14" t="inlineStr">
        <is>
          <t>-</t>
        </is>
      </c>
      <c r="O806" s="14" t="inlineStr">
        <is>
          <t>-</t>
        </is>
      </c>
      <c r="P806" s="14" t="inlineStr">
        <is>
          <t>-</t>
        </is>
      </c>
      <c r="Q806" s="15" t="inlineStr">
        <is>
          <t>-</t>
        </is>
      </c>
    </row>
    <row r="807">
      <c r="A807" s="47" t="inlineStr">
        <is>
          <t>nocciola</t>
        </is>
      </c>
      <c r="B807" s="16" t="inlineStr">
        <is>
          <t>-</t>
        </is>
      </c>
      <c r="C807" s="11" t="inlineStr">
        <is>
          <t>-</t>
        </is>
      </c>
      <c r="D807" s="11" t="inlineStr">
        <is>
          <t>-</t>
        </is>
      </c>
      <c r="E807" s="11" t="inlineStr">
        <is>
          <t>-</t>
        </is>
      </c>
      <c r="F807" s="11" t="inlineStr">
        <is>
          <t>-</t>
        </is>
      </c>
      <c r="G807" s="11" t="inlineStr">
        <is>
          <t>-</t>
        </is>
      </c>
      <c r="H807" s="11" t="inlineStr">
        <is>
          <t>-</t>
        </is>
      </c>
      <c r="I807" s="11" t="inlineStr">
        <is>
          <t>-</t>
        </is>
      </c>
      <c r="J807" s="11" t="inlineStr">
        <is>
          <t>-</t>
        </is>
      </c>
      <c r="K807" s="11" t="inlineStr">
        <is>
          <t>-</t>
        </is>
      </c>
      <c r="L807" s="11" t="inlineStr">
        <is>
          <t>-</t>
        </is>
      </c>
      <c r="M807" s="11" t="inlineStr">
        <is>
          <t>-</t>
        </is>
      </c>
      <c r="N807" s="11" t="inlineStr">
        <is>
          <t>-</t>
        </is>
      </c>
      <c r="O807" s="11" t="inlineStr">
        <is>
          <t>-</t>
        </is>
      </c>
      <c r="P807" s="11" t="inlineStr">
        <is>
          <t>-</t>
        </is>
      </c>
      <c r="Q807" s="12" t="inlineStr">
        <is>
          <t>-</t>
        </is>
      </c>
    </row>
    <row r="808">
      <c r="A808" s="47" t="n"/>
      <c r="B808" s="13" t="inlineStr">
        <is>
          <t>-</t>
        </is>
      </c>
      <c r="C808" s="14" t="inlineStr">
        <is>
          <t>-</t>
        </is>
      </c>
      <c r="D808" s="14" t="inlineStr">
        <is>
          <t>-</t>
        </is>
      </c>
      <c r="E808" s="14" t="inlineStr">
        <is>
          <t>-</t>
        </is>
      </c>
      <c r="F808" s="14" t="inlineStr">
        <is>
          <t>-</t>
        </is>
      </c>
      <c r="G808" s="14" t="inlineStr">
        <is>
          <t>-</t>
        </is>
      </c>
      <c r="H808" s="14" t="inlineStr">
        <is>
          <t>-</t>
        </is>
      </c>
      <c r="I808" s="14" t="inlineStr">
        <is>
          <t>-</t>
        </is>
      </c>
      <c r="J808" s="14" t="inlineStr">
        <is>
          <t>-</t>
        </is>
      </c>
      <c r="K808" s="14" t="inlineStr">
        <is>
          <t>-</t>
        </is>
      </c>
      <c r="L808" s="14" t="inlineStr">
        <is>
          <t>-</t>
        </is>
      </c>
      <c r="M808" s="14" t="inlineStr">
        <is>
          <t>-</t>
        </is>
      </c>
      <c r="N808" s="14" t="inlineStr">
        <is>
          <t>-</t>
        </is>
      </c>
      <c r="O808" s="14" t="inlineStr">
        <is>
          <t>-</t>
        </is>
      </c>
      <c r="P808" s="14" t="inlineStr">
        <is>
          <t>-</t>
        </is>
      </c>
      <c r="Q808" s="15" t="inlineStr">
        <is>
          <t>-</t>
        </is>
      </c>
    </row>
    <row r="809">
      <c r="A809" s="47" t="n"/>
      <c r="B809" s="16" t="inlineStr">
        <is>
          <t>-</t>
        </is>
      </c>
      <c r="C809" s="11" t="inlineStr">
        <is>
          <t>-</t>
        </is>
      </c>
      <c r="D809" s="11" t="inlineStr">
        <is>
          <t>-</t>
        </is>
      </c>
      <c r="E809" s="11" t="inlineStr">
        <is>
          <t>-</t>
        </is>
      </c>
      <c r="F809" s="11" t="inlineStr">
        <is>
          <t>-</t>
        </is>
      </c>
      <c r="G809" s="11" t="inlineStr">
        <is>
          <t>-</t>
        </is>
      </c>
      <c r="H809" s="11" t="inlineStr">
        <is>
          <t>-</t>
        </is>
      </c>
      <c r="I809" s="11" t="inlineStr">
        <is>
          <t>-</t>
        </is>
      </c>
      <c r="J809" s="11" t="inlineStr">
        <is>
          <t>-</t>
        </is>
      </c>
      <c r="K809" s="11" t="inlineStr">
        <is>
          <t>-</t>
        </is>
      </c>
      <c r="L809" s="11" t="inlineStr">
        <is>
          <t>-</t>
        </is>
      </c>
      <c r="M809" s="11" t="inlineStr">
        <is>
          <t>-</t>
        </is>
      </c>
      <c r="N809" s="11" t="inlineStr">
        <is>
          <t>-</t>
        </is>
      </c>
      <c r="O809" s="11" t="inlineStr">
        <is>
          <t>-</t>
        </is>
      </c>
      <c r="P809" s="11" t="inlineStr">
        <is>
          <t>-</t>
        </is>
      </c>
      <c r="Q809" s="12" t="inlineStr">
        <is>
          <t>-</t>
        </is>
      </c>
    </row>
    <row r="810">
      <c r="A810" s="47" t="n"/>
      <c r="B810" s="13" t="inlineStr">
        <is>
          <t>-</t>
        </is>
      </c>
      <c r="C810" s="14" t="inlineStr">
        <is>
          <t>-</t>
        </is>
      </c>
      <c r="D810" s="14" t="inlineStr">
        <is>
          <t>-</t>
        </is>
      </c>
      <c r="E810" s="14" t="inlineStr">
        <is>
          <t>-</t>
        </is>
      </c>
      <c r="F810" s="14" t="inlineStr">
        <is>
          <t>-</t>
        </is>
      </c>
      <c r="G810" s="14" t="inlineStr">
        <is>
          <t>-</t>
        </is>
      </c>
      <c r="H810" s="14" t="inlineStr">
        <is>
          <t>-</t>
        </is>
      </c>
      <c r="I810" s="14" t="inlineStr">
        <is>
          <t>-</t>
        </is>
      </c>
      <c r="J810" s="14" t="inlineStr">
        <is>
          <t>-</t>
        </is>
      </c>
      <c r="K810" s="14" t="inlineStr">
        <is>
          <t>-</t>
        </is>
      </c>
      <c r="L810" s="14" t="inlineStr">
        <is>
          <t>-</t>
        </is>
      </c>
      <c r="M810" s="14" t="inlineStr">
        <is>
          <t>-</t>
        </is>
      </c>
      <c r="N810" s="14" t="inlineStr">
        <is>
          <t>-</t>
        </is>
      </c>
      <c r="O810" s="14" t="inlineStr">
        <is>
          <t>-</t>
        </is>
      </c>
      <c r="P810" s="14" t="inlineStr">
        <is>
          <t>-</t>
        </is>
      </c>
      <c r="Q810" s="15" t="inlineStr">
        <is>
          <t>-</t>
        </is>
      </c>
    </row>
    <row r="811">
      <c r="A811" s="47" t="n"/>
      <c r="B811" s="16" t="inlineStr">
        <is>
          <t>-</t>
        </is>
      </c>
      <c r="C811" s="11" t="inlineStr">
        <is>
          <t>-</t>
        </is>
      </c>
      <c r="D811" s="11" t="inlineStr">
        <is>
          <t>-</t>
        </is>
      </c>
      <c r="E811" s="11" t="inlineStr">
        <is>
          <t>-</t>
        </is>
      </c>
      <c r="F811" s="11" t="inlineStr">
        <is>
          <t>-</t>
        </is>
      </c>
      <c r="G811" s="11" t="inlineStr">
        <is>
          <t>-</t>
        </is>
      </c>
      <c r="H811" s="11" t="inlineStr">
        <is>
          <t>-</t>
        </is>
      </c>
      <c r="I811" s="11" t="inlineStr">
        <is>
          <t>-</t>
        </is>
      </c>
      <c r="J811" s="11" t="inlineStr">
        <is>
          <t>-</t>
        </is>
      </c>
      <c r="K811" s="11" t="inlineStr">
        <is>
          <t>-</t>
        </is>
      </c>
      <c r="L811" s="11" t="inlineStr">
        <is>
          <t>-</t>
        </is>
      </c>
      <c r="M811" s="11" t="inlineStr">
        <is>
          <t>-</t>
        </is>
      </c>
      <c r="N811" s="11" t="inlineStr">
        <is>
          <t>-</t>
        </is>
      </c>
      <c r="O811" s="11" t="inlineStr">
        <is>
          <t>-</t>
        </is>
      </c>
      <c r="P811" s="11" t="inlineStr">
        <is>
          <t>-</t>
        </is>
      </c>
      <c r="Q811" s="12" t="inlineStr">
        <is>
          <t>-</t>
        </is>
      </c>
    </row>
    <row r="812">
      <c r="A812" s="47" t="n"/>
      <c r="B812" s="13" t="inlineStr">
        <is>
          <t>-</t>
        </is>
      </c>
      <c r="C812" s="14" t="inlineStr">
        <is>
          <t>-</t>
        </is>
      </c>
      <c r="D812" s="14" t="inlineStr">
        <is>
          <t>-</t>
        </is>
      </c>
      <c r="E812" s="14" t="inlineStr">
        <is>
          <t>-</t>
        </is>
      </c>
      <c r="F812" s="14" t="inlineStr">
        <is>
          <t>-</t>
        </is>
      </c>
      <c r="G812" s="14" t="inlineStr">
        <is>
          <t>-</t>
        </is>
      </c>
      <c r="H812" s="14" t="inlineStr">
        <is>
          <t>-</t>
        </is>
      </c>
      <c r="I812" s="14" t="inlineStr">
        <is>
          <t>-</t>
        </is>
      </c>
      <c r="J812" s="14" t="inlineStr">
        <is>
          <t>-</t>
        </is>
      </c>
      <c r="K812" s="14" t="inlineStr">
        <is>
          <t>-</t>
        </is>
      </c>
      <c r="L812" s="14" t="inlineStr">
        <is>
          <t>-</t>
        </is>
      </c>
      <c r="M812" s="14" t="inlineStr">
        <is>
          <t>-</t>
        </is>
      </c>
      <c r="N812" s="14" t="inlineStr">
        <is>
          <t>-</t>
        </is>
      </c>
      <c r="O812" s="14" t="inlineStr">
        <is>
          <t>-</t>
        </is>
      </c>
      <c r="P812" s="14" t="inlineStr">
        <is>
          <t>-</t>
        </is>
      </c>
      <c r="Q812" s="15" t="inlineStr">
        <is>
          <t>-</t>
        </is>
      </c>
    </row>
    <row r="813">
      <c r="A813" s="47" t="n"/>
      <c r="B813" s="16" t="inlineStr">
        <is>
          <t>-</t>
        </is>
      </c>
      <c r="C813" s="11" t="inlineStr">
        <is>
          <t>-</t>
        </is>
      </c>
      <c r="D813" s="11" t="inlineStr">
        <is>
          <t>-</t>
        </is>
      </c>
      <c r="E813" s="11" t="inlineStr">
        <is>
          <t>-</t>
        </is>
      </c>
      <c r="F813" s="11" t="inlineStr">
        <is>
          <t>-</t>
        </is>
      </c>
      <c r="G813" s="11" t="inlineStr">
        <is>
          <t>-</t>
        </is>
      </c>
      <c r="H813" s="11" t="inlineStr">
        <is>
          <t>-</t>
        </is>
      </c>
      <c r="I813" s="11" t="inlineStr">
        <is>
          <t>-</t>
        </is>
      </c>
      <c r="J813" s="11" t="inlineStr">
        <is>
          <t>-</t>
        </is>
      </c>
      <c r="K813" s="11" t="inlineStr">
        <is>
          <t>-</t>
        </is>
      </c>
      <c r="L813" s="11" t="inlineStr">
        <is>
          <t>-</t>
        </is>
      </c>
      <c r="M813" s="11" t="inlineStr">
        <is>
          <t>-</t>
        </is>
      </c>
      <c r="N813" s="11" t="inlineStr">
        <is>
          <t>-</t>
        </is>
      </c>
      <c r="O813" s="11" t="inlineStr">
        <is>
          <t>-</t>
        </is>
      </c>
      <c r="P813" s="11" t="inlineStr">
        <is>
          <t>-</t>
        </is>
      </c>
      <c r="Q813" s="12" t="inlineStr">
        <is>
          <t>-</t>
        </is>
      </c>
    </row>
    <row r="814">
      <c r="A814" s="47" t="n"/>
      <c r="B814" s="13" t="inlineStr">
        <is>
          <t>-</t>
        </is>
      </c>
      <c r="C814" s="14" t="inlineStr">
        <is>
          <t>-</t>
        </is>
      </c>
      <c r="D814" s="14" t="inlineStr">
        <is>
          <t>-</t>
        </is>
      </c>
      <c r="E814" s="14" t="inlineStr">
        <is>
          <t>-</t>
        </is>
      </c>
      <c r="F814" s="14" t="inlineStr">
        <is>
          <t>-</t>
        </is>
      </c>
      <c r="G814" s="14" t="inlineStr">
        <is>
          <t>-</t>
        </is>
      </c>
      <c r="H814" s="14" t="inlineStr">
        <is>
          <t>-</t>
        </is>
      </c>
      <c r="I814" s="14" t="inlineStr">
        <is>
          <t>-</t>
        </is>
      </c>
      <c r="J814" s="14" t="inlineStr">
        <is>
          <t>-</t>
        </is>
      </c>
      <c r="K814" s="14" t="inlineStr">
        <is>
          <t>-</t>
        </is>
      </c>
      <c r="L814" s="14" t="inlineStr">
        <is>
          <t>-</t>
        </is>
      </c>
      <c r="M814" s="14" t="inlineStr">
        <is>
          <t>-</t>
        </is>
      </c>
      <c r="N814" s="14" t="inlineStr">
        <is>
          <t>-</t>
        </is>
      </c>
      <c r="O814" s="14" t="inlineStr">
        <is>
          <t>-</t>
        </is>
      </c>
      <c r="P814" s="14" t="inlineStr">
        <is>
          <t>-</t>
        </is>
      </c>
      <c r="Q814" s="15" t="inlineStr">
        <is>
          <t>-</t>
        </is>
      </c>
    </row>
    <row r="815">
      <c r="A815" s="47" t="n"/>
      <c r="B815" s="16" t="inlineStr">
        <is>
          <t>-</t>
        </is>
      </c>
      <c r="C815" s="11" t="inlineStr">
        <is>
          <t>-</t>
        </is>
      </c>
      <c r="D815" s="11" t="inlineStr">
        <is>
          <t>-</t>
        </is>
      </c>
      <c r="E815" s="11" t="inlineStr">
        <is>
          <t>-</t>
        </is>
      </c>
      <c r="F815" s="11" t="inlineStr">
        <is>
          <t>-</t>
        </is>
      </c>
      <c r="G815" s="11" t="inlineStr">
        <is>
          <t>-</t>
        </is>
      </c>
      <c r="H815" s="11" t="inlineStr">
        <is>
          <t>-</t>
        </is>
      </c>
      <c r="I815" s="11" t="inlineStr">
        <is>
          <t>-</t>
        </is>
      </c>
      <c r="J815" s="11" t="inlineStr">
        <is>
          <t>-</t>
        </is>
      </c>
      <c r="K815" s="11" t="inlineStr">
        <is>
          <t>-</t>
        </is>
      </c>
      <c r="L815" s="11" t="inlineStr">
        <is>
          <t>-</t>
        </is>
      </c>
      <c r="M815" s="11" t="inlineStr">
        <is>
          <t>-</t>
        </is>
      </c>
      <c r="N815" s="11" t="inlineStr">
        <is>
          <t>-</t>
        </is>
      </c>
      <c r="O815" s="11" t="inlineStr">
        <is>
          <t>-</t>
        </is>
      </c>
      <c r="P815" s="11" t="inlineStr">
        <is>
          <t>-</t>
        </is>
      </c>
      <c r="Q815" s="12" t="inlineStr">
        <is>
          <t>-</t>
        </is>
      </c>
    </row>
    <row r="816">
      <c r="A816" s="47" t="n"/>
      <c r="B816" s="13" t="inlineStr">
        <is>
          <t>-</t>
        </is>
      </c>
      <c r="C816" s="14" t="inlineStr">
        <is>
          <t>-</t>
        </is>
      </c>
      <c r="D816" s="14" t="inlineStr">
        <is>
          <t>-</t>
        </is>
      </c>
      <c r="E816" s="14" t="inlineStr">
        <is>
          <t>-</t>
        </is>
      </c>
      <c r="F816" s="14" t="inlineStr">
        <is>
          <t>-</t>
        </is>
      </c>
      <c r="G816" s="14" t="inlineStr">
        <is>
          <t>-</t>
        </is>
      </c>
      <c r="H816" s="14" t="inlineStr">
        <is>
          <t>-</t>
        </is>
      </c>
      <c r="I816" s="14" t="inlineStr">
        <is>
          <t>-</t>
        </is>
      </c>
      <c r="J816" s="14" t="inlineStr">
        <is>
          <t>-</t>
        </is>
      </c>
      <c r="K816" s="14" t="inlineStr">
        <is>
          <t>-</t>
        </is>
      </c>
      <c r="L816" s="14" t="inlineStr">
        <is>
          <t>-</t>
        </is>
      </c>
      <c r="M816" s="14" t="inlineStr">
        <is>
          <t>-</t>
        </is>
      </c>
      <c r="N816" s="14" t="inlineStr">
        <is>
          <t>-</t>
        </is>
      </c>
      <c r="O816" s="14" t="inlineStr">
        <is>
          <t>-</t>
        </is>
      </c>
      <c r="P816" s="14" t="inlineStr">
        <is>
          <t>-</t>
        </is>
      </c>
      <c r="Q816" s="15" t="inlineStr">
        <is>
          <t>-</t>
        </is>
      </c>
    </row>
    <row r="817">
      <c r="A817" s="47" t="n"/>
      <c r="B817" s="16" t="inlineStr">
        <is>
          <t>-</t>
        </is>
      </c>
      <c r="C817" s="11" t="inlineStr">
        <is>
          <t>-</t>
        </is>
      </c>
      <c r="D817" s="11" t="inlineStr">
        <is>
          <t>-</t>
        </is>
      </c>
      <c r="E817" s="11" t="inlineStr">
        <is>
          <t>-</t>
        </is>
      </c>
      <c r="F817" s="11" t="inlineStr">
        <is>
          <t>-</t>
        </is>
      </c>
      <c r="G817" s="11" t="inlineStr">
        <is>
          <t>-</t>
        </is>
      </c>
      <c r="H817" s="11" t="inlineStr">
        <is>
          <t>-</t>
        </is>
      </c>
      <c r="I817" s="11" t="inlineStr">
        <is>
          <t>-</t>
        </is>
      </c>
      <c r="J817" s="11" t="inlineStr">
        <is>
          <t>-</t>
        </is>
      </c>
      <c r="K817" s="11" t="inlineStr">
        <is>
          <t>-</t>
        </is>
      </c>
      <c r="L817" s="11" t="inlineStr">
        <is>
          <t>-</t>
        </is>
      </c>
      <c r="M817" s="11" t="inlineStr">
        <is>
          <t>-</t>
        </is>
      </c>
      <c r="N817" s="11" t="inlineStr">
        <is>
          <t>-</t>
        </is>
      </c>
      <c r="O817" s="11" t="inlineStr">
        <is>
          <t>-</t>
        </is>
      </c>
      <c r="P817" s="11" t="inlineStr">
        <is>
          <t>-</t>
        </is>
      </c>
      <c r="Q817" s="12" t="inlineStr">
        <is>
          <t>-</t>
        </is>
      </c>
    </row>
    <row r="818" ht="36" customHeight="1" s="155">
      <c r="B818" s="46" t="inlineStr">
        <is>
          <t>delizia al limone</t>
        </is>
      </c>
      <c r="C818" s="49">
        <f>_xlfn.XLOOKUP(A819,Magazzino!$D$1:$D$1500,Magazzino!$F$1:$F$1500,"",0,1)</f>
        <v/>
      </c>
      <c r="D818" s="50">
        <f>_xlfn.XLOOKUP(A820,Magazzino!$D$1:$D$1500,Magazzino!$F$1:$F$1500,"",0,1)</f>
        <v/>
      </c>
      <c r="E818" s="50">
        <f>_xlfn.XLOOKUP(A821,Magazzino!$D$1:$D$1500,Magazzino!$F$1:$F$1500,"",0,1)</f>
        <v/>
      </c>
      <c r="F818" s="50">
        <f>_xlfn.XLOOKUP(A822,Magazzino!$D$1:$D$1500,Magazzino!$F$1:$F$1500,"",0,1)</f>
        <v/>
      </c>
      <c r="G818" s="50">
        <f>_xlfn.XLOOKUP(A823,Magazzino!$D$1:$D$1500,Magazzino!$F$1:$F$1500,"",0,1)</f>
        <v/>
      </c>
      <c r="H818" s="50">
        <f>_xlfn.XLOOKUP(A824,Magazzino!$D$1:$D$1500,Magazzino!$F$1:$F$1500,"",0,1)</f>
        <v/>
      </c>
      <c r="I818" s="50">
        <f>_xlfn.XLOOKUP(A825,Magazzino!$D$1:$D$1500,Magazzino!$F$1:$F$1500,"",0,1)</f>
        <v/>
      </c>
      <c r="J818" s="50">
        <f>_xlfn.XLOOKUP(A826,Magazzino!$D$1:$D$1500,Magazzino!$F$1:$F$1500,"",0,1)</f>
        <v/>
      </c>
      <c r="K818" s="50">
        <f>_xlfn.XLOOKUP(A827,Magazzino!$D$1:$D$1500,Magazzino!$F$1:$F$1500,"",0,1)</f>
        <v/>
      </c>
      <c r="L818" s="50">
        <f>_xlfn.XLOOKUP(A828,Magazzino!$D$1:$D$1500,Magazzino!$F$1:$F$1500,"",0,1)</f>
        <v/>
      </c>
      <c r="M818" s="50">
        <f>_xlfn.XLOOKUP(A829,Magazzino!$D$1:$D$1500,Magazzino!$F$1:$F$1500,"",0,1)</f>
        <v/>
      </c>
      <c r="N818" s="50">
        <f>_xlfn.XLOOKUP(A830,Magazzino!$D$1:$D$1500,Magazzino!$F$1:$F$1500,"",0,1)</f>
        <v/>
      </c>
      <c r="O818" s="50">
        <f>_xlfn.XLOOKUP(A831,Magazzino!$D$1:$D$1500,Magazzino!$F$1:$F$1500,"",0,1)</f>
        <v/>
      </c>
      <c r="P818" s="50">
        <f>_xlfn.XLOOKUP(A832,Magazzino!$D$1:$D$1500,Magazzino!$F$1:$F$1500,"",0,1)</f>
        <v/>
      </c>
      <c r="Q818" s="51">
        <f>_xlfn.XLOOKUP(A833,Magazzino!$D$1:$D$1500,Magazzino!$F$1:$F$1500,"",0,1)</f>
        <v/>
      </c>
    </row>
    <row r="819">
      <c r="A819" s="47" t="inlineStr">
        <is>
          <t xml:space="preserve">FARINA 0/MAN. CAPUTO DA KG.25  </t>
        </is>
      </c>
      <c r="B819" s="16" t="inlineStr">
        <is>
          <t>-</t>
        </is>
      </c>
      <c r="C819" s="11" t="inlineStr">
        <is>
          <t>-</t>
        </is>
      </c>
      <c r="D819" s="11" t="inlineStr">
        <is>
          <t>-</t>
        </is>
      </c>
      <c r="E819" s="11" t="inlineStr">
        <is>
          <t>-</t>
        </is>
      </c>
      <c r="F819" s="11" t="inlineStr">
        <is>
          <t>-</t>
        </is>
      </c>
      <c r="G819" s="11" t="inlineStr">
        <is>
          <t>-</t>
        </is>
      </c>
      <c r="H819" s="11" t="inlineStr">
        <is>
          <t>-</t>
        </is>
      </c>
      <c r="I819" s="11" t="inlineStr">
        <is>
          <t>-</t>
        </is>
      </c>
      <c r="J819" s="11" t="inlineStr">
        <is>
          <t>-</t>
        </is>
      </c>
      <c r="K819" s="11" t="inlineStr">
        <is>
          <t>-</t>
        </is>
      </c>
      <c r="L819" s="11" t="inlineStr">
        <is>
          <t>-</t>
        </is>
      </c>
      <c r="M819" s="11" t="inlineStr">
        <is>
          <t>-</t>
        </is>
      </c>
      <c r="N819" s="11" t="inlineStr">
        <is>
          <t>-</t>
        </is>
      </c>
      <c r="O819" s="11" t="inlineStr">
        <is>
          <t>-</t>
        </is>
      </c>
      <c r="P819" s="11" t="inlineStr">
        <is>
          <t>-</t>
        </is>
      </c>
      <c r="Q819" s="12" t="inlineStr">
        <is>
          <t>-</t>
        </is>
      </c>
    </row>
    <row r="820">
      <c r="A820" s="48" t="inlineStr">
        <is>
          <t xml:space="preserve">SALE SACCHI SALTECHNO KG.25  </t>
        </is>
      </c>
      <c r="B820" s="13" t="inlineStr">
        <is>
          <t>-</t>
        </is>
      </c>
      <c r="C820" s="14" t="inlineStr">
        <is>
          <t>-</t>
        </is>
      </c>
      <c r="D820" s="14" t="inlineStr">
        <is>
          <t>-</t>
        </is>
      </c>
      <c r="E820" s="14" t="inlineStr">
        <is>
          <t>-</t>
        </is>
      </c>
      <c r="F820" s="14" t="inlineStr">
        <is>
          <t>-</t>
        </is>
      </c>
      <c r="G820" s="14" t="inlineStr">
        <is>
          <t>-</t>
        </is>
      </c>
      <c r="H820" s="14" t="inlineStr">
        <is>
          <t>-</t>
        </is>
      </c>
      <c r="I820" s="14" t="inlineStr">
        <is>
          <t>-</t>
        </is>
      </c>
      <c r="J820" s="14" t="inlineStr">
        <is>
          <t>-</t>
        </is>
      </c>
      <c r="K820" s="14" t="inlineStr">
        <is>
          <t>-</t>
        </is>
      </c>
      <c r="L820" s="14" t="inlineStr">
        <is>
          <t>-</t>
        </is>
      </c>
      <c r="M820" s="14" t="inlineStr">
        <is>
          <t>-</t>
        </is>
      </c>
      <c r="N820" s="14" t="inlineStr">
        <is>
          <t>-</t>
        </is>
      </c>
      <c r="O820" s="14" t="inlineStr">
        <is>
          <t>-</t>
        </is>
      </c>
      <c r="P820" s="14" t="inlineStr">
        <is>
          <t>-</t>
        </is>
      </c>
      <c r="Q820" s="15" t="inlineStr">
        <is>
          <t>-</t>
        </is>
      </c>
    </row>
    <row r="821">
      <c r="A821" s="47" t="inlineStr">
        <is>
          <t>amido</t>
        </is>
      </c>
      <c r="B821" s="16" t="inlineStr">
        <is>
          <t>-</t>
        </is>
      </c>
      <c r="C821" s="11" t="inlineStr">
        <is>
          <t>-</t>
        </is>
      </c>
      <c r="D821" s="11" t="inlineStr">
        <is>
          <t>-</t>
        </is>
      </c>
      <c r="E821" s="11" t="inlineStr">
        <is>
          <t>-</t>
        </is>
      </c>
      <c r="F821" s="11" t="inlineStr">
        <is>
          <t>-</t>
        </is>
      </c>
      <c r="G821" s="11" t="inlineStr">
        <is>
          <t>-</t>
        </is>
      </c>
      <c r="H821" s="11" t="inlineStr">
        <is>
          <t>-</t>
        </is>
      </c>
      <c r="I821" s="11" t="inlineStr">
        <is>
          <t>-</t>
        </is>
      </c>
      <c r="J821" s="11" t="inlineStr">
        <is>
          <t>-</t>
        </is>
      </c>
      <c r="K821" s="11" t="inlineStr">
        <is>
          <t>-</t>
        </is>
      </c>
      <c r="L821" s="11" t="inlineStr">
        <is>
          <t>-</t>
        </is>
      </c>
      <c r="M821" s="11" t="inlineStr">
        <is>
          <t>-</t>
        </is>
      </c>
      <c r="N821" s="11" t="inlineStr">
        <is>
          <t>-</t>
        </is>
      </c>
      <c r="O821" s="11" t="inlineStr">
        <is>
          <t>-</t>
        </is>
      </c>
      <c r="P821" s="11" t="inlineStr">
        <is>
          <t>-</t>
        </is>
      </c>
      <c r="Q821" s="12" t="inlineStr">
        <is>
          <t>-</t>
        </is>
      </c>
    </row>
    <row r="822">
      <c r="A822" s="47" t="inlineStr">
        <is>
          <t xml:space="preserve">Limoni </t>
        </is>
      </c>
      <c r="B822" s="13" t="inlineStr">
        <is>
          <t>-</t>
        </is>
      </c>
      <c r="C822" s="14" t="inlineStr">
        <is>
          <t>-</t>
        </is>
      </c>
      <c r="D822" s="14" t="inlineStr">
        <is>
          <t>-</t>
        </is>
      </c>
      <c r="E822" s="14" t="inlineStr">
        <is>
          <t>-</t>
        </is>
      </c>
      <c r="F822" s="14" t="inlineStr">
        <is>
          <t>-</t>
        </is>
      </c>
      <c r="G822" s="14" t="inlineStr">
        <is>
          <t>-</t>
        </is>
      </c>
      <c r="H822" s="14" t="inlineStr">
        <is>
          <t>-</t>
        </is>
      </c>
      <c r="I822" s="14" t="inlineStr">
        <is>
          <t>-</t>
        </is>
      </c>
      <c r="J822" s="14" t="inlineStr">
        <is>
          <t>-</t>
        </is>
      </c>
      <c r="K822" s="14" t="inlineStr">
        <is>
          <t>-</t>
        </is>
      </c>
      <c r="L822" s="14" t="inlineStr">
        <is>
          <t>-</t>
        </is>
      </c>
      <c r="M822" s="14" t="inlineStr">
        <is>
          <t>-</t>
        </is>
      </c>
      <c r="N822" s="14" t="inlineStr">
        <is>
          <t>-</t>
        </is>
      </c>
      <c r="O822" s="14" t="inlineStr">
        <is>
          <t>-</t>
        </is>
      </c>
      <c r="P822" s="14" t="inlineStr">
        <is>
          <t>-</t>
        </is>
      </c>
      <c r="Q822" s="15" t="inlineStr">
        <is>
          <t>-</t>
        </is>
      </c>
    </row>
    <row r="823">
      <c r="A823" s="47" t="inlineStr">
        <is>
          <t>tuorlo d'uovo pastorizzato</t>
        </is>
      </c>
      <c r="B823" s="16" t="inlineStr">
        <is>
          <t>-</t>
        </is>
      </c>
      <c r="C823" s="11" t="inlineStr">
        <is>
          <t>-</t>
        </is>
      </c>
      <c r="D823" s="11" t="inlineStr">
        <is>
          <t>-</t>
        </is>
      </c>
      <c r="E823" s="11" t="inlineStr">
        <is>
          <t>-</t>
        </is>
      </c>
      <c r="F823" s="11" t="inlineStr">
        <is>
          <t>-</t>
        </is>
      </c>
      <c r="G823" s="11" t="inlineStr">
        <is>
          <t>-</t>
        </is>
      </c>
      <c r="H823" s="11" t="inlineStr">
        <is>
          <t>-</t>
        </is>
      </c>
      <c r="I823" s="11" t="inlineStr">
        <is>
          <t>-</t>
        </is>
      </c>
      <c r="J823" s="11" t="inlineStr">
        <is>
          <t>-</t>
        </is>
      </c>
      <c r="K823" s="11" t="inlineStr">
        <is>
          <t>-</t>
        </is>
      </c>
      <c r="L823" s="11" t="inlineStr">
        <is>
          <t>-</t>
        </is>
      </c>
      <c r="M823" s="11" t="inlineStr">
        <is>
          <t>-</t>
        </is>
      </c>
      <c r="N823" s="11" t="inlineStr">
        <is>
          <t>-</t>
        </is>
      </c>
      <c r="O823" s="11" t="inlineStr">
        <is>
          <t>-</t>
        </is>
      </c>
      <c r="P823" s="11" t="inlineStr">
        <is>
          <t>-</t>
        </is>
      </c>
      <c r="Q823" s="12" t="inlineStr">
        <is>
          <t>-</t>
        </is>
      </c>
    </row>
    <row r="824">
      <c r="A824" s="47" t="inlineStr">
        <is>
          <t>zucchero semolato</t>
        </is>
      </c>
      <c r="B824" s="13" t="inlineStr">
        <is>
          <t>-</t>
        </is>
      </c>
      <c r="C824" s="14" t="inlineStr">
        <is>
          <t>-</t>
        </is>
      </c>
      <c r="D824" s="14" t="inlineStr">
        <is>
          <t>-</t>
        </is>
      </c>
      <c r="E824" s="14" t="inlineStr">
        <is>
          <t>-</t>
        </is>
      </c>
      <c r="F824" s="14" t="inlineStr">
        <is>
          <t>-</t>
        </is>
      </c>
      <c r="G824" s="14" t="inlineStr">
        <is>
          <t>-</t>
        </is>
      </c>
      <c r="H824" s="14" t="inlineStr">
        <is>
          <t>-</t>
        </is>
      </c>
      <c r="I824" s="14" t="inlineStr">
        <is>
          <t>-</t>
        </is>
      </c>
      <c r="J824" s="14" t="inlineStr">
        <is>
          <t>-</t>
        </is>
      </c>
      <c r="K824" s="14" t="inlineStr">
        <is>
          <t>-</t>
        </is>
      </c>
      <c r="L824" s="14" t="inlineStr">
        <is>
          <t>-</t>
        </is>
      </c>
      <c r="M824" s="14" t="inlineStr">
        <is>
          <t>-</t>
        </is>
      </c>
      <c r="N824" s="14" t="inlineStr">
        <is>
          <t>-</t>
        </is>
      </c>
      <c r="O824" s="14" t="inlineStr">
        <is>
          <t>-</t>
        </is>
      </c>
      <c r="P824" s="14" t="inlineStr">
        <is>
          <t>-</t>
        </is>
      </c>
      <c r="Q824" s="15" t="inlineStr">
        <is>
          <t>-</t>
        </is>
      </c>
    </row>
    <row r="825">
      <c r="A825" s="47" t="inlineStr">
        <is>
          <t>panna</t>
        </is>
      </c>
      <c r="B825" s="16" t="inlineStr">
        <is>
          <t>-</t>
        </is>
      </c>
      <c r="C825" s="11" t="inlineStr">
        <is>
          <t>-</t>
        </is>
      </c>
      <c r="D825" s="11" t="inlineStr">
        <is>
          <t>-</t>
        </is>
      </c>
      <c r="E825" s="11" t="inlineStr">
        <is>
          <t>-</t>
        </is>
      </c>
      <c r="F825" s="11" t="inlineStr">
        <is>
          <t>-</t>
        </is>
      </c>
      <c r="G825" s="11" t="inlineStr">
        <is>
          <t>-</t>
        </is>
      </c>
      <c r="H825" s="11" t="inlineStr">
        <is>
          <t>-</t>
        </is>
      </c>
      <c r="I825" s="11" t="inlineStr">
        <is>
          <t>-</t>
        </is>
      </c>
      <c r="J825" s="11" t="inlineStr">
        <is>
          <t>-</t>
        </is>
      </c>
      <c r="K825" s="11" t="inlineStr">
        <is>
          <t>-</t>
        </is>
      </c>
      <c r="L825" s="11" t="inlineStr">
        <is>
          <t>-</t>
        </is>
      </c>
      <c r="M825" s="11" t="inlineStr">
        <is>
          <t>-</t>
        </is>
      </c>
      <c r="N825" s="11" t="inlineStr">
        <is>
          <t>-</t>
        </is>
      </c>
      <c r="O825" s="11" t="inlineStr">
        <is>
          <t>-</t>
        </is>
      </c>
      <c r="P825" s="11" t="inlineStr">
        <is>
          <t>-</t>
        </is>
      </c>
      <c r="Q825" s="12" t="inlineStr">
        <is>
          <t>-</t>
        </is>
      </c>
    </row>
    <row r="826">
      <c r="A826" s="47" t="n"/>
      <c r="B826" s="13" t="inlineStr">
        <is>
          <t>-</t>
        </is>
      </c>
      <c r="C826" s="14" t="inlineStr">
        <is>
          <t>-</t>
        </is>
      </c>
      <c r="D826" s="14" t="inlineStr">
        <is>
          <t>-</t>
        </is>
      </c>
      <c r="E826" s="14" t="inlineStr">
        <is>
          <t>-</t>
        </is>
      </c>
      <c r="F826" s="14" t="inlineStr">
        <is>
          <t>-</t>
        </is>
      </c>
      <c r="G826" s="14" t="inlineStr">
        <is>
          <t>-</t>
        </is>
      </c>
      <c r="H826" s="14" t="inlineStr">
        <is>
          <t>-</t>
        </is>
      </c>
      <c r="I826" s="14" t="inlineStr">
        <is>
          <t>-</t>
        </is>
      </c>
      <c r="J826" s="14" t="inlineStr">
        <is>
          <t>-</t>
        </is>
      </c>
      <c r="K826" s="14" t="inlineStr">
        <is>
          <t>-</t>
        </is>
      </c>
      <c r="L826" s="14" t="inlineStr">
        <is>
          <t>-</t>
        </is>
      </c>
      <c r="M826" s="14" t="inlineStr">
        <is>
          <t>-</t>
        </is>
      </c>
      <c r="N826" s="14" t="inlineStr">
        <is>
          <t>-</t>
        </is>
      </c>
      <c r="O826" s="14" t="inlineStr">
        <is>
          <t>-</t>
        </is>
      </c>
      <c r="P826" s="14" t="inlineStr">
        <is>
          <t>-</t>
        </is>
      </c>
      <c r="Q826" s="15" t="inlineStr">
        <is>
          <t>-</t>
        </is>
      </c>
    </row>
    <row r="827">
      <c r="A827" s="47" t="n"/>
      <c r="B827" s="16" t="inlineStr">
        <is>
          <t>-</t>
        </is>
      </c>
      <c r="C827" s="11" t="inlineStr">
        <is>
          <t>-</t>
        </is>
      </c>
      <c r="D827" s="11" t="inlineStr">
        <is>
          <t>-</t>
        </is>
      </c>
      <c r="E827" s="11" t="inlineStr">
        <is>
          <t>-</t>
        </is>
      </c>
      <c r="F827" s="11" t="inlineStr">
        <is>
          <t>-</t>
        </is>
      </c>
      <c r="G827" s="11" t="inlineStr">
        <is>
          <t>-</t>
        </is>
      </c>
      <c r="H827" s="11" t="inlineStr">
        <is>
          <t>-</t>
        </is>
      </c>
      <c r="I827" s="11" t="inlineStr">
        <is>
          <t>-</t>
        </is>
      </c>
      <c r="J827" s="11" t="inlineStr">
        <is>
          <t>-</t>
        </is>
      </c>
      <c r="K827" s="11" t="inlineStr">
        <is>
          <t>-</t>
        </is>
      </c>
      <c r="L827" s="11" t="inlineStr">
        <is>
          <t>-</t>
        </is>
      </c>
      <c r="M827" s="11" t="inlineStr">
        <is>
          <t>-</t>
        </is>
      </c>
      <c r="N827" s="11" t="inlineStr">
        <is>
          <t>-</t>
        </is>
      </c>
      <c r="O827" s="11" t="inlineStr">
        <is>
          <t>-</t>
        </is>
      </c>
      <c r="P827" s="11" t="inlineStr">
        <is>
          <t>-</t>
        </is>
      </c>
      <c r="Q827" s="12" t="inlineStr">
        <is>
          <t>-</t>
        </is>
      </c>
    </row>
    <row r="828">
      <c r="A828" s="47" t="n"/>
      <c r="B828" s="13" t="inlineStr">
        <is>
          <t>-</t>
        </is>
      </c>
      <c r="C828" s="14" t="inlineStr">
        <is>
          <t>-</t>
        </is>
      </c>
      <c r="D828" s="14" t="inlineStr">
        <is>
          <t>-</t>
        </is>
      </c>
      <c r="E828" s="14" t="inlineStr">
        <is>
          <t>-</t>
        </is>
      </c>
      <c r="F828" s="14" t="inlineStr">
        <is>
          <t>-</t>
        </is>
      </c>
      <c r="G828" s="14" t="inlineStr">
        <is>
          <t>-</t>
        </is>
      </c>
      <c r="H828" s="14" t="inlineStr">
        <is>
          <t>-</t>
        </is>
      </c>
      <c r="I828" s="14" t="inlineStr">
        <is>
          <t>-</t>
        </is>
      </c>
      <c r="J828" s="14" t="inlineStr">
        <is>
          <t>-</t>
        </is>
      </c>
      <c r="K828" s="14" t="inlineStr">
        <is>
          <t>-</t>
        </is>
      </c>
      <c r="L828" s="14" t="inlineStr">
        <is>
          <t>-</t>
        </is>
      </c>
      <c r="M828" s="14" t="inlineStr">
        <is>
          <t>-</t>
        </is>
      </c>
      <c r="N828" s="14" t="inlineStr">
        <is>
          <t>-</t>
        </is>
      </c>
      <c r="O828" s="14" t="inlineStr">
        <is>
          <t>-</t>
        </is>
      </c>
      <c r="P828" s="14" t="inlineStr">
        <is>
          <t>-</t>
        </is>
      </c>
      <c r="Q828" s="15" t="inlineStr">
        <is>
          <t>-</t>
        </is>
      </c>
    </row>
    <row r="829">
      <c r="A829" s="47" t="n"/>
      <c r="B829" s="16" t="inlineStr">
        <is>
          <t>-</t>
        </is>
      </c>
      <c r="C829" s="11" t="inlineStr">
        <is>
          <t>-</t>
        </is>
      </c>
      <c r="D829" s="11" t="inlineStr">
        <is>
          <t>-</t>
        </is>
      </c>
      <c r="E829" s="11" t="inlineStr">
        <is>
          <t>-</t>
        </is>
      </c>
      <c r="F829" s="11" t="inlineStr">
        <is>
          <t>-</t>
        </is>
      </c>
      <c r="G829" s="11" t="inlineStr">
        <is>
          <t>-</t>
        </is>
      </c>
      <c r="H829" s="11" t="inlineStr">
        <is>
          <t>-</t>
        </is>
      </c>
      <c r="I829" s="11" t="inlineStr">
        <is>
          <t>-</t>
        </is>
      </c>
      <c r="J829" s="11" t="inlineStr">
        <is>
          <t>-</t>
        </is>
      </c>
      <c r="K829" s="11" t="inlineStr">
        <is>
          <t>-</t>
        </is>
      </c>
      <c r="L829" s="11" t="inlineStr">
        <is>
          <t>-</t>
        </is>
      </c>
      <c r="M829" s="11" t="inlineStr">
        <is>
          <t>-</t>
        </is>
      </c>
      <c r="N829" s="11" t="inlineStr">
        <is>
          <t>-</t>
        </is>
      </c>
      <c r="O829" s="11" t="inlineStr">
        <is>
          <t>-</t>
        </is>
      </c>
      <c r="P829" s="11" t="inlineStr">
        <is>
          <t>-</t>
        </is>
      </c>
      <c r="Q829" s="12" t="inlineStr">
        <is>
          <t>-</t>
        </is>
      </c>
    </row>
    <row r="830">
      <c r="A830" s="47" t="n"/>
      <c r="B830" s="13" t="inlineStr">
        <is>
          <t>-</t>
        </is>
      </c>
      <c r="C830" s="14" t="inlineStr">
        <is>
          <t>-</t>
        </is>
      </c>
      <c r="D830" s="14" t="inlineStr">
        <is>
          <t>-</t>
        </is>
      </c>
      <c r="E830" s="14" t="inlineStr">
        <is>
          <t>-</t>
        </is>
      </c>
      <c r="F830" s="14" t="inlineStr">
        <is>
          <t>-</t>
        </is>
      </c>
      <c r="G830" s="14" t="inlineStr">
        <is>
          <t>-</t>
        </is>
      </c>
      <c r="H830" s="14" t="inlineStr">
        <is>
          <t>-</t>
        </is>
      </c>
      <c r="I830" s="14" t="inlineStr">
        <is>
          <t>-</t>
        </is>
      </c>
      <c r="J830" s="14" t="inlineStr">
        <is>
          <t>-</t>
        </is>
      </c>
      <c r="K830" s="14" t="inlineStr">
        <is>
          <t>-</t>
        </is>
      </c>
      <c r="L830" s="14" t="inlineStr">
        <is>
          <t>-</t>
        </is>
      </c>
      <c r="M830" s="14" t="inlineStr">
        <is>
          <t>-</t>
        </is>
      </c>
      <c r="N830" s="14" t="inlineStr">
        <is>
          <t>-</t>
        </is>
      </c>
      <c r="O830" s="14" t="inlineStr">
        <is>
          <t>-</t>
        </is>
      </c>
      <c r="P830" s="14" t="inlineStr">
        <is>
          <t>-</t>
        </is>
      </c>
      <c r="Q830" s="15" t="inlineStr">
        <is>
          <t>-</t>
        </is>
      </c>
    </row>
    <row r="831">
      <c r="A831" s="47" t="n"/>
      <c r="B831" s="16" t="inlineStr">
        <is>
          <t>-</t>
        </is>
      </c>
      <c r="C831" s="11" t="inlineStr">
        <is>
          <t>-</t>
        </is>
      </c>
      <c r="D831" s="11" t="inlineStr">
        <is>
          <t>-</t>
        </is>
      </c>
      <c r="E831" s="11" t="inlineStr">
        <is>
          <t>-</t>
        </is>
      </c>
      <c r="F831" s="11" t="inlineStr">
        <is>
          <t>-</t>
        </is>
      </c>
      <c r="G831" s="11" t="inlineStr">
        <is>
          <t>-</t>
        </is>
      </c>
      <c r="H831" s="11" t="inlineStr">
        <is>
          <t>-</t>
        </is>
      </c>
      <c r="I831" s="11" t="inlineStr">
        <is>
          <t>-</t>
        </is>
      </c>
      <c r="J831" s="11" t="inlineStr">
        <is>
          <t>-</t>
        </is>
      </c>
      <c r="K831" s="11" t="inlineStr">
        <is>
          <t>-</t>
        </is>
      </c>
      <c r="L831" s="11" t="inlineStr">
        <is>
          <t>-</t>
        </is>
      </c>
      <c r="M831" s="11" t="inlineStr">
        <is>
          <t>-</t>
        </is>
      </c>
      <c r="N831" s="11" t="inlineStr">
        <is>
          <t>-</t>
        </is>
      </c>
      <c r="O831" s="11" t="inlineStr">
        <is>
          <t>-</t>
        </is>
      </c>
      <c r="P831" s="11" t="inlineStr">
        <is>
          <t>-</t>
        </is>
      </c>
      <c r="Q831" s="12" t="inlineStr">
        <is>
          <t>-</t>
        </is>
      </c>
    </row>
    <row r="832">
      <c r="A832" s="47" t="n"/>
      <c r="B832" s="13" t="inlineStr">
        <is>
          <t>-</t>
        </is>
      </c>
      <c r="C832" s="14" t="inlineStr">
        <is>
          <t>-</t>
        </is>
      </c>
      <c r="D832" s="14" t="inlineStr">
        <is>
          <t>-</t>
        </is>
      </c>
      <c r="E832" s="14" t="inlineStr">
        <is>
          <t>-</t>
        </is>
      </c>
      <c r="F832" s="14" t="inlineStr">
        <is>
          <t>-</t>
        </is>
      </c>
      <c r="G832" s="14" t="inlineStr">
        <is>
          <t>-</t>
        </is>
      </c>
      <c r="H832" s="14" t="inlineStr">
        <is>
          <t>-</t>
        </is>
      </c>
      <c r="I832" s="14" t="inlineStr">
        <is>
          <t>-</t>
        </is>
      </c>
      <c r="J832" s="14" t="inlineStr">
        <is>
          <t>-</t>
        </is>
      </c>
      <c r="K832" s="14" t="inlineStr">
        <is>
          <t>-</t>
        </is>
      </c>
      <c r="L832" s="14" t="inlineStr">
        <is>
          <t>-</t>
        </is>
      </c>
      <c r="M832" s="14" t="inlineStr">
        <is>
          <t>-</t>
        </is>
      </c>
      <c r="N832" s="14" t="inlineStr">
        <is>
          <t>-</t>
        </is>
      </c>
      <c r="O832" s="14" t="inlineStr">
        <is>
          <t>-</t>
        </is>
      </c>
      <c r="P832" s="14" t="inlineStr">
        <is>
          <t>-</t>
        </is>
      </c>
      <c r="Q832" s="15" t="inlineStr">
        <is>
          <t>-</t>
        </is>
      </c>
    </row>
    <row r="833">
      <c r="A833" s="47" t="n"/>
      <c r="B833" s="16" t="inlineStr">
        <is>
          <t>-</t>
        </is>
      </c>
      <c r="C833" s="11" t="inlineStr">
        <is>
          <t>-</t>
        </is>
      </c>
      <c r="D833" s="11" t="inlineStr">
        <is>
          <t>-</t>
        </is>
      </c>
      <c r="E833" s="11" t="inlineStr">
        <is>
          <t>-</t>
        </is>
      </c>
      <c r="F833" s="11" t="inlineStr">
        <is>
          <t>-</t>
        </is>
      </c>
      <c r="G833" s="11" t="inlineStr">
        <is>
          <t>-</t>
        </is>
      </c>
      <c r="H833" s="11" t="inlineStr">
        <is>
          <t>-</t>
        </is>
      </c>
      <c r="I833" s="11" t="inlineStr">
        <is>
          <t>-</t>
        </is>
      </c>
      <c r="J833" s="11" t="inlineStr">
        <is>
          <t>-</t>
        </is>
      </c>
      <c r="K833" s="11" t="inlineStr">
        <is>
          <t>-</t>
        </is>
      </c>
      <c r="L833" s="11" t="inlineStr">
        <is>
          <t>-</t>
        </is>
      </c>
      <c r="M833" s="11" t="inlineStr">
        <is>
          <t>-</t>
        </is>
      </c>
      <c r="N833" s="11" t="inlineStr">
        <is>
          <t>-</t>
        </is>
      </c>
      <c r="O833" s="11" t="inlineStr">
        <is>
          <t>-</t>
        </is>
      </c>
      <c r="P833" s="11" t="inlineStr">
        <is>
          <t>-</t>
        </is>
      </c>
      <c r="Q833" s="12" t="inlineStr">
        <is>
          <t>-</t>
        </is>
      </c>
    </row>
    <row r="834" ht="36" customHeight="1" s="155">
      <c r="B834" s="46" t="inlineStr">
        <is>
          <t>fagioli uccelletto</t>
        </is>
      </c>
      <c r="C834" s="49">
        <f>_xlfn.XLOOKUP(A835,Magazzino!$D$1:$D$1500,Magazzino!$F$1:$F$1500,"",0,1)</f>
        <v/>
      </c>
      <c r="D834" s="50">
        <f>_xlfn.XLOOKUP(A836,Magazzino!$D$1:$D$1500,Magazzino!$F$1:$F$1500,"",0,1)</f>
        <v/>
      </c>
      <c r="E834" s="50">
        <f>_xlfn.XLOOKUP(A837,Magazzino!$D$1:$D$1500,Magazzino!$F$1:$F$1500,"",0,1)</f>
        <v/>
      </c>
      <c r="F834" s="50">
        <f>_xlfn.XLOOKUP(A838,Magazzino!$D$1:$D$1500,Magazzino!$F$1:$F$1500,"",0,1)</f>
        <v/>
      </c>
      <c r="G834" s="50">
        <f>_xlfn.XLOOKUP(A839,Magazzino!$D$1:$D$1500,Magazzino!$F$1:$F$1500,"",0,1)</f>
        <v/>
      </c>
      <c r="H834" s="50">
        <f>_xlfn.XLOOKUP(A840,Magazzino!$D$1:$D$1500,Magazzino!$F$1:$F$1500,"",0,1)</f>
        <v/>
      </c>
      <c r="I834" s="50">
        <f>_xlfn.XLOOKUP(A841,Magazzino!$D$1:$D$1500,Magazzino!$F$1:$F$1500,"",0,1)</f>
        <v/>
      </c>
      <c r="J834" s="50">
        <f>_xlfn.XLOOKUP(A842,Magazzino!$D$1:$D$1500,Magazzino!$F$1:$F$1500,"",0,1)</f>
        <v/>
      </c>
      <c r="K834" s="50">
        <f>_xlfn.XLOOKUP(A843,Magazzino!$D$1:$D$1500,Magazzino!$F$1:$F$1500,"",0,1)</f>
        <v/>
      </c>
      <c r="L834" s="50">
        <f>_xlfn.XLOOKUP(A844,Magazzino!$D$1:$D$1500,Magazzino!$F$1:$F$1500,"",0,1)</f>
        <v/>
      </c>
      <c r="M834" s="50">
        <f>_xlfn.XLOOKUP(A845,Magazzino!$D$1:$D$1500,Magazzino!$F$1:$F$1500,"",0,1)</f>
        <v/>
      </c>
      <c r="N834" s="50">
        <f>_xlfn.XLOOKUP(A846,Magazzino!$D$1:$D$1500,Magazzino!$F$1:$F$1500,"",0,1)</f>
        <v/>
      </c>
      <c r="O834" s="50">
        <f>_xlfn.XLOOKUP(A847,Magazzino!$D$1:$D$1500,Magazzino!$F$1:$F$1500,"",0,1)</f>
        <v/>
      </c>
      <c r="P834" s="50">
        <f>_xlfn.XLOOKUP(A848,Magazzino!$D$1:$D$1500,Magazzino!$F$1:$F$1500,"",0,1)</f>
        <v/>
      </c>
      <c r="Q834" s="51">
        <f>_xlfn.XLOOKUP(A849,Magazzino!$D$1:$D$1500,Magazzino!$F$1:$F$1500,"",0,1)</f>
        <v/>
      </c>
    </row>
    <row r="835">
      <c r="A835" s="47" t="inlineStr">
        <is>
          <t xml:space="preserve">FAGIOLI BORLOTTI da KG.3X6  </t>
        </is>
      </c>
      <c r="B835" s="16" t="inlineStr">
        <is>
          <t>-</t>
        </is>
      </c>
      <c r="C835" s="11" t="inlineStr">
        <is>
          <t>-</t>
        </is>
      </c>
      <c r="D835" s="11" t="inlineStr">
        <is>
          <t>-</t>
        </is>
      </c>
      <c r="E835" s="11" t="inlineStr">
        <is>
          <t>-</t>
        </is>
      </c>
      <c r="F835" s="11" t="inlineStr">
        <is>
          <t>-</t>
        </is>
      </c>
      <c r="G835" s="11" t="inlineStr">
        <is>
          <t>-</t>
        </is>
      </c>
      <c r="H835" s="11" t="inlineStr">
        <is>
          <t>-</t>
        </is>
      </c>
      <c r="I835" s="11" t="inlineStr">
        <is>
          <t>-</t>
        </is>
      </c>
      <c r="J835" s="11" t="inlineStr">
        <is>
          <t>-</t>
        </is>
      </c>
      <c r="K835" s="11" t="inlineStr">
        <is>
          <t>-</t>
        </is>
      </c>
      <c r="L835" s="11" t="inlineStr">
        <is>
          <t>-</t>
        </is>
      </c>
      <c r="M835" s="11" t="inlineStr">
        <is>
          <t>-</t>
        </is>
      </c>
      <c r="N835" s="11" t="inlineStr">
        <is>
          <t>-</t>
        </is>
      </c>
      <c r="O835" s="11" t="inlineStr">
        <is>
          <t>-</t>
        </is>
      </c>
      <c r="P835" s="11" t="inlineStr">
        <is>
          <t>-</t>
        </is>
      </c>
      <c r="Q835" s="12" t="inlineStr">
        <is>
          <t>-</t>
        </is>
      </c>
    </row>
    <row r="836">
      <c r="A836" s="48" t="inlineStr">
        <is>
          <t xml:space="preserve">SALE SACCHI SALTECHNO KG.25  </t>
        </is>
      </c>
      <c r="B836" s="13" t="inlineStr">
        <is>
          <t>-</t>
        </is>
      </c>
      <c r="C836" s="14" t="inlineStr">
        <is>
          <t>-</t>
        </is>
      </c>
      <c r="D836" s="14" t="inlineStr">
        <is>
          <t>-</t>
        </is>
      </c>
      <c r="E836" s="14" t="inlineStr">
        <is>
          <t>-</t>
        </is>
      </c>
      <c r="F836" s="14" t="inlineStr">
        <is>
          <t>-</t>
        </is>
      </c>
      <c r="G836" s="14" t="inlineStr">
        <is>
          <t>-</t>
        </is>
      </c>
      <c r="H836" s="14" t="inlineStr">
        <is>
          <t>-</t>
        </is>
      </c>
      <c r="I836" s="14" t="inlineStr">
        <is>
          <t>-</t>
        </is>
      </c>
      <c r="J836" s="14" t="inlineStr">
        <is>
          <t>-</t>
        </is>
      </c>
      <c r="K836" s="14" t="inlineStr">
        <is>
          <t>-</t>
        </is>
      </c>
      <c r="L836" s="14" t="inlineStr">
        <is>
          <t>-</t>
        </is>
      </c>
      <c r="M836" s="14" t="inlineStr">
        <is>
          <t>-</t>
        </is>
      </c>
      <c r="N836" s="14" t="inlineStr">
        <is>
          <t>-</t>
        </is>
      </c>
      <c r="O836" s="14" t="inlineStr">
        <is>
          <t>-</t>
        </is>
      </c>
      <c r="P836" s="14" t="inlineStr">
        <is>
          <t>-</t>
        </is>
      </c>
      <c r="Q836" s="15" t="inlineStr">
        <is>
          <t>-</t>
        </is>
      </c>
    </row>
    <row r="837">
      <c r="A837" s="47" t="inlineStr">
        <is>
          <t>olio extravergine oliva</t>
        </is>
      </c>
      <c r="B837" s="16" t="inlineStr">
        <is>
          <t>-</t>
        </is>
      </c>
      <c r="C837" s="11" t="inlineStr">
        <is>
          <t>-</t>
        </is>
      </c>
      <c r="D837" s="11" t="inlineStr">
        <is>
          <t>-</t>
        </is>
      </c>
      <c r="E837" s="11" t="inlineStr">
        <is>
          <t>-</t>
        </is>
      </c>
      <c r="F837" s="11" t="inlineStr">
        <is>
          <t>-</t>
        </is>
      </c>
      <c r="G837" s="11" t="inlineStr">
        <is>
          <t>-</t>
        </is>
      </c>
      <c r="H837" s="11" t="inlineStr">
        <is>
          <t>-</t>
        </is>
      </c>
      <c r="I837" s="11" t="inlineStr">
        <is>
          <t>-</t>
        </is>
      </c>
      <c r="J837" s="11" t="inlineStr">
        <is>
          <t>-</t>
        </is>
      </c>
      <c r="K837" s="11" t="inlineStr">
        <is>
          <t>-</t>
        </is>
      </c>
      <c r="L837" s="11" t="inlineStr">
        <is>
          <t>-</t>
        </is>
      </c>
      <c r="M837" s="11" t="inlineStr">
        <is>
          <t>-</t>
        </is>
      </c>
      <c r="N837" s="11" t="inlineStr">
        <is>
          <t>-</t>
        </is>
      </c>
      <c r="O837" s="11" t="inlineStr">
        <is>
          <t>-</t>
        </is>
      </c>
      <c r="P837" s="11" t="inlineStr">
        <is>
          <t>-</t>
        </is>
      </c>
      <c r="Q837" s="12" t="inlineStr">
        <is>
          <t>-</t>
        </is>
      </c>
    </row>
    <row r="838">
      <c r="A838" s="47" t="inlineStr">
        <is>
          <t>SALAME NAPOLI SV. SENDERO</t>
        </is>
      </c>
      <c r="B838" s="13" t="inlineStr">
        <is>
          <t>-</t>
        </is>
      </c>
      <c r="C838" s="14" t="inlineStr">
        <is>
          <t>-</t>
        </is>
      </c>
      <c r="D838" s="14" t="inlineStr">
        <is>
          <t>-</t>
        </is>
      </c>
      <c r="E838" s="14" t="inlineStr">
        <is>
          <t>-</t>
        </is>
      </c>
      <c r="F838" s="14" t="inlineStr">
        <is>
          <t>-</t>
        </is>
      </c>
      <c r="G838" s="14" t="inlineStr">
        <is>
          <t>-</t>
        </is>
      </c>
      <c r="H838" s="14" t="inlineStr">
        <is>
          <t>-</t>
        </is>
      </c>
      <c r="I838" s="14" t="inlineStr">
        <is>
          <t>-</t>
        </is>
      </c>
      <c r="J838" s="14" t="inlineStr">
        <is>
          <t>-</t>
        </is>
      </c>
      <c r="K838" s="14" t="inlineStr">
        <is>
          <t>-</t>
        </is>
      </c>
      <c r="L838" s="14" t="inlineStr">
        <is>
          <t>-</t>
        </is>
      </c>
      <c r="M838" s="14" t="inlineStr">
        <is>
          <t>-</t>
        </is>
      </c>
      <c r="N838" s="14" t="inlineStr">
        <is>
          <t>-</t>
        </is>
      </c>
      <c r="O838" s="14" t="inlineStr">
        <is>
          <t>-</t>
        </is>
      </c>
      <c r="P838" s="14" t="inlineStr">
        <is>
          <t>-</t>
        </is>
      </c>
      <c r="Q838" s="15" t="inlineStr">
        <is>
          <t>-</t>
        </is>
      </c>
    </row>
    <row r="839">
      <c r="A839" s="47" t="inlineStr">
        <is>
          <t>pomod ciliegine l.197-004081-0002379</t>
        </is>
      </c>
      <c r="B839" s="16" t="inlineStr">
        <is>
          <t>-</t>
        </is>
      </c>
      <c r="C839" s="11" t="inlineStr">
        <is>
          <t>-</t>
        </is>
      </c>
      <c r="D839" s="11" t="inlineStr">
        <is>
          <t>-</t>
        </is>
      </c>
      <c r="E839" s="11" t="inlineStr">
        <is>
          <t>-</t>
        </is>
      </c>
      <c r="F839" s="11" t="inlineStr">
        <is>
          <t>-</t>
        </is>
      </c>
      <c r="G839" s="11" t="inlineStr">
        <is>
          <t>-</t>
        </is>
      </c>
      <c r="H839" s="11" t="inlineStr">
        <is>
          <t>-</t>
        </is>
      </c>
      <c r="I839" s="11" t="inlineStr">
        <is>
          <t>-</t>
        </is>
      </c>
      <c r="J839" s="11" t="inlineStr">
        <is>
          <t>-</t>
        </is>
      </c>
      <c r="K839" s="11" t="inlineStr">
        <is>
          <t>-</t>
        </is>
      </c>
      <c r="L839" s="11" t="inlineStr">
        <is>
          <t>-</t>
        </is>
      </c>
      <c r="M839" s="11" t="inlineStr">
        <is>
          <t>-</t>
        </is>
      </c>
      <c r="N839" s="11" t="inlineStr">
        <is>
          <t>-</t>
        </is>
      </c>
      <c r="O839" s="11" t="inlineStr">
        <is>
          <t>-</t>
        </is>
      </c>
      <c r="P839" s="11" t="inlineStr">
        <is>
          <t>-</t>
        </is>
      </c>
      <c r="Q839" s="12" t="inlineStr">
        <is>
          <t>-</t>
        </is>
      </c>
    </row>
    <row r="840">
      <c r="A840" s="47" t="n"/>
      <c r="B840" s="13" t="inlineStr">
        <is>
          <t>-</t>
        </is>
      </c>
      <c r="C840" s="14" t="inlineStr">
        <is>
          <t>-</t>
        </is>
      </c>
      <c r="D840" s="14" t="inlineStr">
        <is>
          <t>-</t>
        </is>
      </c>
      <c r="E840" s="14" t="inlineStr">
        <is>
          <t>-</t>
        </is>
      </c>
      <c r="F840" s="14" t="inlineStr">
        <is>
          <t>-</t>
        </is>
      </c>
      <c r="G840" s="14" t="inlineStr">
        <is>
          <t>-</t>
        </is>
      </c>
      <c r="H840" s="14" t="inlineStr">
        <is>
          <t>-</t>
        </is>
      </c>
      <c r="I840" s="14" t="inlineStr">
        <is>
          <t>-</t>
        </is>
      </c>
      <c r="J840" s="14" t="inlineStr">
        <is>
          <t>-</t>
        </is>
      </c>
      <c r="K840" s="14" t="inlineStr">
        <is>
          <t>-</t>
        </is>
      </c>
      <c r="L840" s="14" t="inlineStr">
        <is>
          <t>-</t>
        </is>
      </c>
      <c r="M840" s="14" t="inlineStr">
        <is>
          <t>-</t>
        </is>
      </c>
      <c r="N840" s="14" t="inlineStr">
        <is>
          <t>-</t>
        </is>
      </c>
      <c r="O840" s="14" t="inlineStr">
        <is>
          <t>-</t>
        </is>
      </c>
      <c r="P840" s="14" t="inlineStr">
        <is>
          <t>-</t>
        </is>
      </c>
      <c r="Q840" s="15" t="inlineStr">
        <is>
          <t>-</t>
        </is>
      </c>
    </row>
    <row r="841">
      <c r="A841" s="47" t="n"/>
      <c r="B841" s="16" t="inlineStr">
        <is>
          <t>-</t>
        </is>
      </c>
      <c r="C841" s="11" t="inlineStr">
        <is>
          <t>-</t>
        </is>
      </c>
      <c r="D841" s="11" t="inlineStr">
        <is>
          <t>-</t>
        </is>
      </c>
      <c r="E841" s="11" t="inlineStr">
        <is>
          <t>-</t>
        </is>
      </c>
      <c r="F841" s="11" t="inlineStr">
        <is>
          <t>-</t>
        </is>
      </c>
      <c r="G841" s="11" t="inlineStr">
        <is>
          <t>-</t>
        </is>
      </c>
      <c r="H841" s="11" t="inlineStr">
        <is>
          <t>-</t>
        </is>
      </c>
      <c r="I841" s="11" t="inlineStr">
        <is>
          <t>-</t>
        </is>
      </c>
      <c r="J841" s="11" t="inlineStr">
        <is>
          <t>-</t>
        </is>
      </c>
      <c r="K841" s="11" t="inlineStr">
        <is>
          <t>-</t>
        </is>
      </c>
      <c r="L841" s="11" t="inlineStr">
        <is>
          <t>-</t>
        </is>
      </c>
      <c r="M841" s="11" t="inlineStr">
        <is>
          <t>-</t>
        </is>
      </c>
      <c r="N841" s="11" t="inlineStr">
        <is>
          <t>-</t>
        </is>
      </c>
      <c r="O841" s="11" t="inlineStr">
        <is>
          <t>-</t>
        </is>
      </c>
      <c r="P841" s="11" t="inlineStr">
        <is>
          <t>-</t>
        </is>
      </c>
      <c r="Q841" s="12" t="inlineStr">
        <is>
          <t>-</t>
        </is>
      </c>
    </row>
    <row r="842">
      <c r="A842" s="47" t="n"/>
      <c r="B842" s="13" t="inlineStr">
        <is>
          <t>-</t>
        </is>
      </c>
      <c r="C842" s="14" t="inlineStr">
        <is>
          <t>-</t>
        </is>
      </c>
      <c r="D842" s="14" t="inlineStr">
        <is>
          <t>-</t>
        </is>
      </c>
      <c r="E842" s="14" t="inlineStr">
        <is>
          <t>-</t>
        </is>
      </c>
      <c r="F842" s="14" t="inlineStr">
        <is>
          <t>-</t>
        </is>
      </c>
      <c r="G842" s="14" t="inlineStr">
        <is>
          <t>-</t>
        </is>
      </c>
      <c r="H842" s="14" t="inlineStr">
        <is>
          <t>-</t>
        </is>
      </c>
      <c r="I842" s="14" t="inlineStr">
        <is>
          <t>-</t>
        </is>
      </c>
      <c r="J842" s="14" t="inlineStr">
        <is>
          <t>-</t>
        </is>
      </c>
      <c r="K842" s="14" t="inlineStr">
        <is>
          <t>-</t>
        </is>
      </c>
      <c r="L842" s="14" t="inlineStr">
        <is>
          <t>-</t>
        </is>
      </c>
      <c r="M842" s="14" t="inlineStr">
        <is>
          <t>-</t>
        </is>
      </c>
      <c r="N842" s="14" t="inlineStr">
        <is>
          <t>-</t>
        </is>
      </c>
      <c r="O842" s="14" t="inlineStr">
        <is>
          <t>-</t>
        </is>
      </c>
      <c r="P842" s="14" t="inlineStr">
        <is>
          <t>-</t>
        </is>
      </c>
      <c r="Q842" s="15" t="inlineStr">
        <is>
          <t>-</t>
        </is>
      </c>
    </row>
    <row r="843">
      <c r="A843" s="47" t="n"/>
      <c r="B843" s="16" t="inlineStr">
        <is>
          <t>-</t>
        </is>
      </c>
      <c r="C843" s="11" t="inlineStr">
        <is>
          <t>-</t>
        </is>
      </c>
      <c r="D843" s="11" t="inlineStr">
        <is>
          <t>-</t>
        </is>
      </c>
      <c r="E843" s="11" t="inlineStr">
        <is>
          <t>-</t>
        </is>
      </c>
      <c r="F843" s="11" t="inlineStr">
        <is>
          <t>-</t>
        </is>
      </c>
      <c r="G843" s="11" t="inlineStr">
        <is>
          <t>-</t>
        </is>
      </c>
      <c r="H843" s="11" t="inlineStr">
        <is>
          <t>-</t>
        </is>
      </c>
      <c r="I843" s="11" t="inlineStr">
        <is>
          <t>-</t>
        </is>
      </c>
      <c r="J843" s="11" t="inlineStr">
        <is>
          <t>-</t>
        </is>
      </c>
      <c r="K843" s="11" t="inlineStr">
        <is>
          <t>-</t>
        </is>
      </c>
      <c r="L843" s="11" t="inlineStr">
        <is>
          <t>-</t>
        </is>
      </c>
      <c r="M843" s="11" t="inlineStr">
        <is>
          <t>-</t>
        </is>
      </c>
      <c r="N843" s="11" t="inlineStr">
        <is>
          <t>-</t>
        </is>
      </c>
      <c r="O843" s="11" t="inlineStr">
        <is>
          <t>-</t>
        </is>
      </c>
      <c r="P843" s="11" t="inlineStr">
        <is>
          <t>-</t>
        </is>
      </c>
      <c r="Q843" s="12" t="inlineStr">
        <is>
          <t>-</t>
        </is>
      </c>
    </row>
    <row r="844">
      <c r="A844" s="47" t="n"/>
      <c r="B844" s="13" t="inlineStr">
        <is>
          <t>-</t>
        </is>
      </c>
      <c r="C844" s="14" t="inlineStr">
        <is>
          <t>-</t>
        </is>
      </c>
      <c r="D844" s="14" t="inlineStr">
        <is>
          <t>-</t>
        </is>
      </c>
      <c r="E844" s="14" t="inlineStr">
        <is>
          <t>-</t>
        </is>
      </c>
      <c r="F844" s="14" t="inlineStr">
        <is>
          <t>-</t>
        </is>
      </c>
      <c r="G844" s="14" t="inlineStr">
        <is>
          <t>-</t>
        </is>
      </c>
      <c r="H844" s="14" t="inlineStr">
        <is>
          <t>-</t>
        </is>
      </c>
      <c r="I844" s="14" t="inlineStr">
        <is>
          <t>-</t>
        </is>
      </c>
      <c r="J844" s="14" t="inlineStr">
        <is>
          <t>-</t>
        </is>
      </c>
      <c r="K844" s="14" t="inlineStr">
        <is>
          <t>-</t>
        </is>
      </c>
      <c r="L844" s="14" t="inlineStr">
        <is>
          <t>-</t>
        </is>
      </c>
      <c r="M844" s="14" t="inlineStr">
        <is>
          <t>-</t>
        </is>
      </c>
      <c r="N844" s="14" t="inlineStr">
        <is>
          <t>-</t>
        </is>
      </c>
      <c r="O844" s="14" t="inlineStr">
        <is>
          <t>-</t>
        </is>
      </c>
      <c r="P844" s="14" t="inlineStr">
        <is>
          <t>-</t>
        </is>
      </c>
      <c r="Q844" s="15" t="inlineStr">
        <is>
          <t>-</t>
        </is>
      </c>
    </row>
    <row r="845">
      <c r="A845" s="47" t="n"/>
      <c r="B845" s="16" t="inlineStr">
        <is>
          <t>-</t>
        </is>
      </c>
      <c r="C845" s="11" t="inlineStr">
        <is>
          <t>-</t>
        </is>
      </c>
      <c r="D845" s="11" t="inlineStr">
        <is>
          <t>-</t>
        </is>
      </c>
      <c r="E845" s="11" t="inlineStr">
        <is>
          <t>-</t>
        </is>
      </c>
      <c r="F845" s="11" t="inlineStr">
        <is>
          <t>-</t>
        </is>
      </c>
      <c r="G845" s="11" t="inlineStr">
        <is>
          <t>-</t>
        </is>
      </c>
      <c r="H845" s="11" t="inlineStr">
        <is>
          <t>-</t>
        </is>
      </c>
      <c r="I845" s="11" t="inlineStr">
        <is>
          <t>-</t>
        </is>
      </c>
      <c r="J845" s="11" t="inlineStr">
        <is>
          <t>-</t>
        </is>
      </c>
      <c r="K845" s="11" t="inlineStr">
        <is>
          <t>-</t>
        </is>
      </c>
      <c r="L845" s="11" t="inlineStr">
        <is>
          <t>-</t>
        </is>
      </c>
      <c r="M845" s="11" t="inlineStr">
        <is>
          <t>-</t>
        </is>
      </c>
      <c r="N845" s="11" t="inlineStr">
        <is>
          <t>-</t>
        </is>
      </c>
      <c r="O845" s="11" t="inlineStr">
        <is>
          <t>-</t>
        </is>
      </c>
      <c r="P845" s="11" t="inlineStr">
        <is>
          <t>-</t>
        </is>
      </c>
      <c r="Q845" s="12" t="inlineStr">
        <is>
          <t>-</t>
        </is>
      </c>
    </row>
    <row r="846">
      <c r="A846" s="47" t="n"/>
      <c r="B846" s="13" t="inlineStr">
        <is>
          <t>-</t>
        </is>
      </c>
      <c r="C846" s="14" t="inlineStr">
        <is>
          <t>-</t>
        </is>
      </c>
      <c r="D846" s="14" t="inlineStr">
        <is>
          <t>-</t>
        </is>
      </c>
      <c r="E846" s="14" t="inlineStr">
        <is>
          <t>-</t>
        </is>
      </c>
      <c r="F846" s="14" t="inlineStr">
        <is>
          <t>-</t>
        </is>
      </c>
      <c r="G846" s="14" t="inlineStr">
        <is>
          <t>-</t>
        </is>
      </c>
      <c r="H846" s="14" t="inlineStr">
        <is>
          <t>-</t>
        </is>
      </c>
      <c r="I846" s="14" t="inlineStr">
        <is>
          <t>-</t>
        </is>
      </c>
      <c r="J846" s="14" t="inlineStr">
        <is>
          <t>-</t>
        </is>
      </c>
      <c r="K846" s="14" t="inlineStr">
        <is>
          <t>-</t>
        </is>
      </c>
      <c r="L846" s="14" t="inlineStr">
        <is>
          <t>-</t>
        </is>
      </c>
      <c r="M846" s="14" t="inlineStr">
        <is>
          <t>-</t>
        </is>
      </c>
      <c r="N846" s="14" t="inlineStr">
        <is>
          <t>-</t>
        </is>
      </c>
      <c r="O846" s="14" t="inlineStr">
        <is>
          <t>-</t>
        </is>
      </c>
      <c r="P846" s="14" t="inlineStr">
        <is>
          <t>-</t>
        </is>
      </c>
      <c r="Q846" s="15" t="inlineStr">
        <is>
          <t>-</t>
        </is>
      </c>
    </row>
    <row r="847">
      <c r="A847" s="47" t="n"/>
      <c r="B847" s="16" t="inlineStr">
        <is>
          <t>-</t>
        </is>
      </c>
      <c r="C847" s="11" t="inlineStr">
        <is>
          <t>-</t>
        </is>
      </c>
      <c r="D847" s="11" t="inlineStr">
        <is>
          <t>-</t>
        </is>
      </c>
      <c r="E847" s="11" t="inlineStr">
        <is>
          <t>-</t>
        </is>
      </c>
      <c r="F847" s="11" t="inlineStr">
        <is>
          <t>-</t>
        </is>
      </c>
      <c r="G847" s="11" t="inlineStr">
        <is>
          <t>-</t>
        </is>
      </c>
      <c r="H847" s="11" t="inlineStr">
        <is>
          <t>-</t>
        </is>
      </c>
      <c r="I847" s="11" t="inlineStr">
        <is>
          <t>-</t>
        </is>
      </c>
      <c r="J847" s="11" t="inlineStr">
        <is>
          <t>-</t>
        </is>
      </c>
      <c r="K847" s="11" t="inlineStr">
        <is>
          <t>-</t>
        </is>
      </c>
      <c r="L847" s="11" t="inlineStr">
        <is>
          <t>-</t>
        </is>
      </c>
      <c r="M847" s="11" t="inlineStr">
        <is>
          <t>-</t>
        </is>
      </c>
      <c r="N847" s="11" t="inlineStr">
        <is>
          <t>-</t>
        </is>
      </c>
      <c r="O847" s="11" t="inlineStr">
        <is>
          <t>-</t>
        </is>
      </c>
      <c r="P847" s="11" t="inlineStr">
        <is>
          <t>-</t>
        </is>
      </c>
      <c r="Q847" s="12" t="inlineStr">
        <is>
          <t>-</t>
        </is>
      </c>
    </row>
    <row r="848">
      <c r="A848" s="47" t="n"/>
      <c r="B848" s="13" t="inlineStr">
        <is>
          <t>-</t>
        </is>
      </c>
      <c r="C848" s="14" t="inlineStr">
        <is>
          <t>-</t>
        </is>
      </c>
      <c r="D848" s="14" t="inlineStr">
        <is>
          <t>-</t>
        </is>
      </c>
      <c r="E848" s="14" t="inlineStr">
        <is>
          <t>-</t>
        </is>
      </c>
      <c r="F848" s="14" t="inlineStr">
        <is>
          <t>-</t>
        </is>
      </c>
      <c r="G848" s="14" t="inlineStr">
        <is>
          <t>-</t>
        </is>
      </c>
      <c r="H848" s="14" t="inlineStr">
        <is>
          <t>-</t>
        </is>
      </c>
      <c r="I848" s="14" t="inlineStr">
        <is>
          <t>-</t>
        </is>
      </c>
      <c r="J848" s="14" t="inlineStr">
        <is>
          <t>-</t>
        </is>
      </c>
      <c r="K848" s="14" t="inlineStr">
        <is>
          <t>-</t>
        </is>
      </c>
      <c r="L848" s="14" t="inlineStr">
        <is>
          <t>-</t>
        </is>
      </c>
      <c r="M848" s="14" t="inlineStr">
        <is>
          <t>-</t>
        </is>
      </c>
      <c r="N848" s="14" t="inlineStr">
        <is>
          <t>-</t>
        </is>
      </c>
      <c r="O848" s="14" t="inlineStr">
        <is>
          <t>-</t>
        </is>
      </c>
      <c r="P848" s="14" t="inlineStr">
        <is>
          <t>-</t>
        </is>
      </c>
      <c r="Q848" s="15" t="inlineStr">
        <is>
          <t>-</t>
        </is>
      </c>
    </row>
    <row r="849">
      <c r="A849" s="47" t="n"/>
      <c r="B849" s="16" t="inlineStr">
        <is>
          <t>-</t>
        </is>
      </c>
      <c r="C849" s="11" t="inlineStr">
        <is>
          <t>-</t>
        </is>
      </c>
      <c r="D849" s="11" t="inlineStr">
        <is>
          <t>-</t>
        </is>
      </c>
      <c r="E849" s="11" t="inlineStr">
        <is>
          <t>-</t>
        </is>
      </c>
      <c r="F849" s="11" t="inlineStr">
        <is>
          <t>-</t>
        </is>
      </c>
      <c r="G849" s="11" t="inlineStr">
        <is>
          <t>-</t>
        </is>
      </c>
      <c r="H849" s="11" t="inlineStr">
        <is>
          <t>-</t>
        </is>
      </c>
      <c r="I849" s="11" t="inlineStr">
        <is>
          <t>-</t>
        </is>
      </c>
      <c r="J849" s="11" t="inlineStr">
        <is>
          <t>-</t>
        </is>
      </c>
      <c r="K849" s="11" t="inlineStr">
        <is>
          <t>-</t>
        </is>
      </c>
      <c r="L849" s="11" t="inlineStr">
        <is>
          <t>-</t>
        </is>
      </c>
      <c r="M849" s="11" t="inlineStr">
        <is>
          <t>-</t>
        </is>
      </c>
      <c r="N849" s="11" t="inlineStr">
        <is>
          <t>-</t>
        </is>
      </c>
      <c r="O849" s="11" t="inlineStr">
        <is>
          <t>-</t>
        </is>
      </c>
      <c r="P849" s="11" t="inlineStr">
        <is>
          <t>-</t>
        </is>
      </c>
      <c r="Q849" s="12" t="inlineStr">
        <is>
          <t>-</t>
        </is>
      </c>
    </row>
    <row r="850" ht="36" customHeight="1" s="155">
      <c r="B850" s="46" t="inlineStr">
        <is>
          <t>fiocco di neve</t>
        </is>
      </c>
      <c r="C850" s="49">
        <f>_xlfn.XLOOKUP(A851,Magazzino!$D$1:$D$1500,Magazzino!$F$1:$F$1500,"",0,1)</f>
        <v/>
      </c>
      <c r="D850" s="50">
        <f>_xlfn.XLOOKUP(A852,Magazzino!$D$1:$D$1500,Magazzino!$F$1:$F$1500,"",0,1)</f>
        <v/>
      </c>
      <c r="E850" s="50">
        <f>_xlfn.XLOOKUP(A853,Magazzino!$D$1:$D$1500,Magazzino!$F$1:$F$1500,"",0,1)</f>
        <v/>
      </c>
      <c r="F850" s="50">
        <f>_xlfn.XLOOKUP(A854,Magazzino!$D$1:$D$1500,Magazzino!$F$1:$F$1500,"",0,1)</f>
        <v/>
      </c>
      <c r="G850" s="50">
        <f>_xlfn.XLOOKUP(A855,Magazzino!$D$1:$D$1500,Magazzino!$F$1:$F$1500,"",0,1)</f>
        <v/>
      </c>
      <c r="H850" s="50">
        <f>_xlfn.XLOOKUP(A856,Magazzino!$D$1:$D$1500,Magazzino!$F$1:$F$1500,"",0,1)</f>
        <v/>
      </c>
      <c r="I850" s="50">
        <f>_xlfn.XLOOKUP(A857,Magazzino!$D$1:$D$1500,Magazzino!$F$1:$F$1500,"",0,1)</f>
        <v/>
      </c>
      <c r="J850" s="50">
        <f>_xlfn.XLOOKUP(A858,Magazzino!$D$1:$D$1500,Magazzino!$F$1:$F$1500,"",0,1)</f>
        <v/>
      </c>
      <c r="K850" s="50">
        <f>_xlfn.XLOOKUP(A859,Magazzino!$D$1:$D$1500,Magazzino!$F$1:$F$1500,"",0,1)</f>
        <v/>
      </c>
      <c r="L850" s="50">
        <f>_xlfn.XLOOKUP(A860,Magazzino!$D$1:$D$1500,Magazzino!$F$1:$F$1500,"",0,1)</f>
        <v/>
      </c>
      <c r="M850" s="50">
        <f>_xlfn.XLOOKUP(A861,Magazzino!$D$1:$D$1500,Magazzino!$F$1:$F$1500,"",0,1)</f>
        <v/>
      </c>
      <c r="N850" s="50">
        <f>_xlfn.XLOOKUP(A862,Magazzino!$D$1:$D$1500,Magazzino!$F$1:$F$1500,"",0,1)</f>
        <v/>
      </c>
      <c r="O850" s="50">
        <f>_xlfn.XLOOKUP(A863,Magazzino!$D$1:$D$1500,Magazzino!$F$1:$F$1500,"",0,1)</f>
        <v/>
      </c>
      <c r="P850" s="50">
        <f>_xlfn.XLOOKUP(A864,Magazzino!$D$1:$D$1500,Magazzino!$F$1:$F$1500,"",0,1)</f>
        <v/>
      </c>
      <c r="Q850" s="51">
        <f>_xlfn.XLOOKUP(A865,Magazzino!$D$1:$D$1500,Magazzino!$F$1:$F$1500,"",0,1)</f>
        <v/>
      </c>
    </row>
    <row r="851">
      <c r="A851" s="47" t="inlineStr">
        <is>
          <t xml:space="preserve">FARINA 0/MAN. CAPUTO DA KG.25  </t>
        </is>
      </c>
      <c r="B851" s="16" t="inlineStr">
        <is>
          <t>-</t>
        </is>
      </c>
      <c r="C851" s="11" t="inlineStr">
        <is>
          <t>-</t>
        </is>
      </c>
      <c r="D851" s="11" t="inlineStr">
        <is>
          <t>-</t>
        </is>
      </c>
      <c r="E851" s="11" t="inlineStr">
        <is>
          <t>-</t>
        </is>
      </c>
      <c r="F851" s="11" t="inlineStr">
        <is>
          <t>-</t>
        </is>
      </c>
      <c r="G851" s="11" t="inlineStr">
        <is>
          <t>-</t>
        </is>
      </c>
      <c r="H851" s="11" t="inlineStr">
        <is>
          <t>-</t>
        </is>
      </c>
      <c r="I851" s="11" t="inlineStr">
        <is>
          <t>-</t>
        </is>
      </c>
      <c r="J851" s="11" t="inlineStr">
        <is>
          <t>-</t>
        </is>
      </c>
      <c r="K851" s="11" t="inlineStr">
        <is>
          <t>-</t>
        </is>
      </c>
      <c r="L851" s="11" t="inlineStr">
        <is>
          <t>-</t>
        </is>
      </c>
      <c r="M851" s="11" t="inlineStr">
        <is>
          <t>-</t>
        </is>
      </c>
      <c r="N851" s="11" t="inlineStr">
        <is>
          <t>-</t>
        </is>
      </c>
      <c r="O851" s="11" t="inlineStr">
        <is>
          <t>-</t>
        </is>
      </c>
      <c r="P851" s="11" t="inlineStr">
        <is>
          <t>-</t>
        </is>
      </c>
      <c r="Q851" s="12" t="inlineStr">
        <is>
          <t>-</t>
        </is>
      </c>
    </row>
    <row r="852">
      <c r="A852" s="47" t="inlineStr">
        <is>
          <t>margarina sfoglia</t>
        </is>
      </c>
      <c r="B852" s="13" t="inlineStr">
        <is>
          <t>-</t>
        </is>
      </c>
      <c r="C852" s="14" t="inlineStr">
        <is>
          <t>-</t>
        </is>
      </c>
      <c r="D852" s="14" t="inlineStr">
        <is>
          <t>-</t>
        </is>
      </c>
      <c r="E852" s="14" t="inlineStr">
        <is>
          <t>-</t>
        </is>
      </c>
      <c r="F852" s="14" t="inlineStr">
        <is>
          <t>-</t>
        </is>
      </c>
      <c r="G852" s="14" t="inlineStr">
        <is>
          <t>-</t>
        </is>
      </c>
      <c r="H852" s="14" t="inlineStr">
        <is>
          <t>-</t>
        </is>
      </c>
      <c r="I852" s="14" t="inlineStr">
        <is>
          <t>-</t>
        </is>
      </c>
      <c r="J852" s="14" t="inlineStr">
        <is>
          <t>-</t>
        </is>
      </c>
      <c r="K852" s="14" t="inlineStr">
        <is>
          <t>-</t>
        </is>
      </c>
      <c r="L852" s="14" t="inlineStr">
        <is>
          <t>-</t>
        </is>
      </c>
      <c r="M852" s="14" t="inlineStr">
        <is>
          <t>-</t>
        </is>
      </c>
      <c r="N852" s="14" t="inlineStr">
        <is>
          <t>-</t>
        </is>
      </c>
      <c r="O852" s="14" t="inlineStr">
        <is>
          <t>-</t>
        </is>
      </c>
      <c r="P852" s="14" t="inlineStr">
        <is>
          <t>-</t>
        </is>
      </c>
      <c r="Q852" s="15" t="inlineStr">
        <is>
          <t>-</t>
        </is>
      </c>
    </row>
    <row r="853">
      <c r="A853" s="47" t="inlineStr">
        <is>
          <t>LIEVITO x 2.5kg</t>
        </is>
      </c>
      <c r="B853" s="16" t="inlineStr">
        <is>
          <t>-</t>
        </is>
      </c>
      <c r="C853" s="11" t="inlineStr">
        <is>
          <t>-</t>
        </is>
      </c>
      <c r="D853" s="11" t="inlineStr">
        <is>
          <t>-</t>
        </is>
      </c>
      <c r="E853" s="11" t="inlineStr">
        <is>
          <t>-</t>
        </is>
      </c>
      <c r="F853" s="11" t="inlineStr">
        <is>
          <t>-</t>
        </is>
      </c>
      <c r="G853" s="11" t="inlineStr">
        <is>
          <t>-</t>
        </is>
      </c>
      <c r="H853" s="11" t="inlineStr">
        <is>
          <t>-</t>
        </is>
      </c>
      <c r="I853" s="11" t="inlineStr">
        <is>
          <t>-</t>
        </is>
      </c>
      <c r="J853" s="11" t="inlineStr">
        <is>
          <t>-</t>
        </is>
      </c>
      <c r="K853" s="11" t="inlineStr">
        <is>
          <t>-</t>
        </is>
      </c>
      <c r="L853" s="11" t="inlineStr">
        <is>
          <t>-</t>
        </is>
      </c>
      <c r="M853" s="11" t="inlineStr">
        <is>
          <t>-</t>
        </is>
      </c>
      <c r="N853" s="11" t="inlineStr">
        <is>
          <t>-</t>
        </is>
      </c>
      <c r="O853" s="11" t="inlineStr">
        <is>
          <t>-</t>
        </is>
      </c>
      <c r="P853" s="11" t="inlineStr">
        <is>
          <t>-</t>
        </is>
      </c>
      <c r="Q853" s="12" t="inlineStr">
        <is>
          <t>-</t>
        </is>
      </c>
    </row>
    <row r="854">
      <c r="A854" s="47" t="inlineStr">
        <is>
          <t>uova</t>
        </is>
      </c>
      <c r="B854" s="13" t="inlineStr">
        <is>
          <t>-</t>
        </is>
      </c>
      <c r="C854" s="14" t="inlineStr">
        <is>
          <t>-</t>
        </is>
      </c>
      <c r="D854" s="14" t="inlineStr">
        <is>
          <t>-</t>
        </is>
      </c>
      <c r="E854" s="14" t="inlineStr">
        <is>
          <t>-</t>
        </is>
      </c>
      <c r="F854" s="14" t="inlineStr">
        <is>
          <t>-</t>
        </is>
      </c>
      <c r="G854" s="14" t="inlineStr">
        <is>
          <t>-</t>
        </is>
      </c>
      <c r="H854" s="14" t="inlineStr">
        <is>
          <t>-</t>
        </is>
      </c>
      <c r="I854" s="14" t="inlineStr">
        <is>
          <t>-</t>
        </is>
      </c>
      <c r="J854" s="14" t="inlineStr">
        <is>
          <t>-</t>
        </is>
      </c>
      <c r="K854" s="14" t="inlineStr">
        <is>
          <t>-</t>
        </is>
      </c>
      <c r="L854" s="14" t="inlineStr">
        <is>
          <t>-</t>
        </is>
      </c>
      <c r="M854" s="14" t="inlineStr">
        <is>
          <t>-</t>
        </is>
      </c>
      <c r="N854" s="14" t="inlineStr">
        <is>
          <t>-</t>
        </is>
      </c>
      <c r="O854" s="14" t="inlineStr">
        <is>
          <t>-</t>
        </is>
      </c>
      <c r="P854" s="14" t="inlineStr">
        <is>
          <t>-</t>
        </is>
      </c>
      <c r="Q854" s="15" t="inlineStr">
        <is>
          <t>-</t>
        </is>
      </c>
    </row>
    <row r="855">
      <c r="A855" s="47" t="inlineStr">
        <is>
          <t>AROMA CROISSANT</t>
        </is>
      </c>
      <c r="B855" s="16" t="inlineStr">
        <is>
          <t>-</t>
        </is>
      </c>
      <c r="C855" s="11" t="inlineStr">
        <is>
          <t>-</t>
        </is>
      </c>
      <c r="D855" s="11" t="inlineStr">
        <is>
          <t>-</t>
        </is>
      </c>
      <c r="E855" s="11" t="inlineStr">
        <is>
          <t>-</t>
        </is>
      </c>
      <c r="F855" s="11" t="inlineStr">
        <is>
          <t>-</t>
        </is>
      </c>
      <c r="G855" s="11" t="inlineStr">
        <is>
          <t>-</t>
        </is>
      </c>
      <c r="H855" s="11" t="inlineStr">
        <is>
          <t>-</t>
        </is>
      </c>
      <c r="I855" s="11" t="inlineStr">
        <is>
          <t>-</t>
        </is>
      </c>
      <c r="J855" s="11" t="inlineStr">
        <is>
          <t>-</t>
        </is>
      </c>
      <c r="K855" s="11" t="inlineStr">
        <is>
          <t>-</t>
        </is>
      </c>
      <c r="L855" s="11" t="inlineStr">
        <is>
          <t>-</t>
        </is>
      </c>
      <c r="M855" s="11" t="inlineStr">
        <is>
          <t>-</t>
        </is>
      </c>
      <c r="N855" s="11" t="inlineStr">
        <is>
          <t>-</t>
        </is>
      </c>
      <c r="O855" s="11" t="inlineStr">
        <is>
          <t>-</t>
        </is>
      </c>
      <c r="P855" s="11" t="inlineStr">
        <is>
          <t>-</t>
        </is>
      </c>
      <c r="Q855" s="12" t="inlineStr">
        <is>
          <t>-</t>
        </is>
      </c>
    </row>
    <row r="856">
      <c r="A856" s="47" t="inlineStr">
        <is>
          <t>latte   1500 int.uht  yma</t>
        </is>
      </c>
      <c r="B856" s="13" t="inlineStr">
        <is>
          <t>-</t>
        </is>
      </c>
      <c r="C856" s="14" t="inlineStr">
        <is>
          <t>-</t>
        </is>
      </c>
      <c r="D856" s="14" t="inlineStr">
        <is>
          <t>-</t>
        </is>
      </c>
      <c r="E856" s="14" t="inlineStr">
        <is>
          <t>-</t>
        </is>
      </c>
      <c r="F856" s="14" t="inlineStr">
        <is>
          <t>-</t>
        </is>
      </c>
      <c r="G856" s="14" t="inlineStr">
        <is>
          <t>-</t>
        </is>
      </c>
      <c r="H856" s="14" t="inlineStr">
        <is>
          <t>-</t>
        </is>
      </c>
      <c r="I856" s="14" t="inlineStr">
        <is>
          <t>-</t>
        </is>
      </c>
      <c r="J856" s="14" t="inlineStr">
        <is>
          <t>-</t>
        </is>
      </c>
      <c r="K856" s="14" t="inlineStr">
        <is>
          <t>-</t>
        </is>
      </c>
      <c r="L856" s="14" t="inlineStr">
        <is>
          <t>-</t>
        </is>
      </c>
      <c r="M856" s="14" t="inlineStr">
        <is>
          <t>-</t>
        </is>
      </c>
      <c r="N856" s="14" t="inlineStr">
        <is>
          <t>-</t>
        </is>
      </c>
      <c r="O856" s="14" t="inlineStr">
        <is>
          <t>-</t>
        </is>
      </c>
      <c r="P856" s="14" t="inlineStr">
        <is>
          <t>-</t>
        </is>
      </c>
      <c r="Q856" s="15" t="inlineStr">
        <is>
          <t>-</t>
        </is>
      </c>
    </row>
    <row r="857">
      <c r="A857" s="48" t="inlineStr">
        <is>
          <t xml:space="preserve">SALE SACCHI SALTECHNO KG.25  </t>
        </is>
      </c>
      <c r="B857" s="16" t="inlineStr">
        <is>
          <t>-</t>
        </is>
      </c>
      <c r="C857" s="11" t="inlineStr">
        <is>
          <t>-</t>
        </is>
      </c>
      <c r="D857" s="11" t="inlineStr">
        <is>
          <t>-</t>
        </is>
      </c>
      <c r="E857" s="11" t="inlineStr">
        <is>
          <t>-</t>
        </is>
      </c>
      <c r="F857" s="11" t="inlineStr">
        <is>
          <t>-</t>
        </is>
      </c>
      <c r="G857" s="11" t="inlineStr">
        <is>
          <t>-</t>
        </is>
      </c>
      <c r="H857" s="11" t="inlineStr">
        <is>
          <t>-</t>
        </is>
      </c>
      <c r="I857" s="11" t="inlineStr">
        <is>
          <t>-</t>
        </is>
      </c>
      <c r="J857" s="11" t="inlineStr">
        <is>
          <t>-</t>
        </is>
      </c>
      <c r="K857" s="11" t="inlineStr">
        <is>
          <t>-</t>
        </is>
      </c>
      <c r="L857" s="11" t="inlineStr">
        <is>
          <t>-</t>
        </is>
      </c>
      <c r="M857" s="11" t="inlineStr">
        <is>
          <t>-</t>
        </is>
      </c>
      <c r="N857" s="11" t="inlineStr">
        <is>
          <t>-</t>
        </is>
      </c>
      <c r="O857" s="11" t="inlineStr">
        <is>
          <t>-</t>
        </is>
      </c>
      <c r="P857" s="11" t="inlineStr">
        <is>
          <t>-</t>
        </is>
      </c>
      <c r="Q857" s="12" t="inlineStr">
        <is>
          <t>-</t>
        </is>
      </c>
    </row>
    <row r="858">
      <c r="A858" s="47" t="inlineStr">
        <is>
          <t>panna</t>
        </is>
      </c>
      <c r="B858" s="13" t="inlineStr">
        <is>
          <t>-</t>
        </is>
      </c>
      <c r="C858" s="14" t="inlineStr">
        <is>
          <t>-</t>
        </is>
      </c>
      <c r="D858" s="14" t="inlineStr">
        <is>
          <t>-</t>
        </is>
      </c>
      <c r="E858" s="14" t="inlineStr">
        <is>
          <t>-</t>
        </is>
      </c>
      <c r="F858" s="14" t="inlineStr">
        <is>
          <t>-</t>
        </is>
      </c>
      <c r="G858" s="14" t="inlineStr">
        <is>
          <t>-</t>
        </is>
      </c>
      <c r="H858" s="14" t="inlineStr">
        <is>
          <t>-</t>
        </is>
      </c>
      <c r="I858" s="14" t="inlineStr">
        <is>
          <t>-</t>
        </is>
      </c>
      <c r="J858" s="14" t="inlineStr">
        <is>
          <t>-</t>
        </is>
      </c>
      <c r="K858" s="14" t="inlineStr">
        <is>
          <t>-</t>
        </is>
      </c>
      <c r="L858" s="14" t="inlineStr">
        <is>
          <t>-</t>
        </is>
      </c>
      <c r="M858" s="14" t="inlineStr">
        <is>
          <t>-</t>
        </is>
      </c>
      <c r="N858" s="14" t="inlineStr">
        <is>
          <t>-</t>
        </is>
      </c>
      <c r="O858" s="14" t="inlineStr">
        <is>
          <t>-</t>
        </is>
      </c>
      <c r="P858" s="14" t="inlineStr">
        <is>
          <t>-</t>
        </is>
      </c>
      <c r="Q858" s="15" t="inlineStr">
        <is>
          <t>-</t>
        </is>
      </c>
    </row>
    <row r="859">
      <c r="A859" s="47" t="inlineStr">
        <is>
          <t>ricotta omogeneizzata ii 5kg</t>
        </is>
      </c>
      <c r="B859" s="16" t="inlineStr">
        <is>
          <t>-</t>
        </is>
      </c>
      <c r="C859" s="11" t="inlineStr">
        <is>
          <t>-</t>
        </is>
      </c>
      <c r="D859" s="11" t="inlineStr">
        <is>
          <t>-</t>
        </is>
      </c>
      <c r="E859" s="11" t="inlineStr">
        <is>
          <t>-</t>
        </is>
      </c>
      <c r="F859" s="11" t="inlineStr">
        <is>
          <t>-</t>
        </is>
      </c>
      <c r="G859" s="11" t="inlineStr">
        <is>
          <t>-</t>
        </is>
      </c>
      <c r="H859" s="11" t="inlineStr">
        <is>
          <t>-</t>
        </is>
      </c>
      <c r="I859" s="11" t="inlineStr">
        <is>
          <t>-</t>
        </is>
      </c>
      <c r="J859" s="11" t="inlineStr">
        <is>
          <t>-</t>
        </is>
      </c>
      <c r="K859" s="11" t="inlineStr">
        <is>
          <t>-</t>
        </is>
      </c>
      <c r="L859" s="11" t="inlineStr">
        <is>
          <t>-</t>
        </is>
      </c>
      <c r="M859" s="11" t="inlineStr">
        <is>
          <t>-</t>
        </is>
      </c>
      <c r="N859" s="11" t="inlineStr">
        <is>
          <t>-</t>
        </is>
      </c>
      <c r="O859" s="11" t="inlineStr">
        <is>
          <t>-</t>
        </is>
      </c>
      <c r="P859" s="11" t="inlineStr">
        <is>
          <t>-</t>
        </is>
      </c>
      <c r="Q859" s="12" t="inlineStr">
        <is>
          <t>-</t>
        </is>
      </c>
    </row>
    <row r="860">
      <c r="A860" s="47" t="n"/>
      <c r="B860" s="13" t="inlineStr">
        <is>
          <t>-</t>
        </is>
      </c>
      <c r="C860" s="14" t="inlineStr">
        <is>
          <t>-</t>
        </is>
      </c>
      <c r="D860" s="14" t="inlineStr">
        <is>
          <t>-</t>
        </is>
      </c>
      <c r="E860" s="14" t="inlineStr">
        <is>
          <t>-</t>
        </is>
      </c>
      <c r="F860" s="14" t="inlineStr">
        <is>
          <t>-</t>
        </is>
      </c>
      <c r="G860" s="14" t="inlineStr">
        <is>
          <t>-</t>
        </is>
      </c>
      <c r="H860" s="14" t="inlineStr">
        <is>
          <t>-</t>
        </is>
      </c>
      <c r="I860" s="14" t="inlineStr">
        <is>
          <t>-</t>
        </is>
      </c>
      <c r="J860" s="14" t="inlineStr">
        <is>
          <t>-</t>
        </is>
      </c>
      <c r="K860" s="14" t="inlineStr">
        <is>
          <t>-</t>
        </is>
      </c>
      <c r="L860" s="14" t="inlineStr">
        <is>
          <t>-</t>
        </is>
      </c>
      <c r="M860" s="14" t="inlineStr">
        <is>
          <t>-</t>
        </is>
      </c>
      <c r="N860" s="14" t="inlineStr">
        <is>
          <t>-</t>
        </is>
      </c>
      <c r="O860" s="14" t="inlineStr">
        <is>
          <t>-</t>
        </is>
      </c>
      <c r="P860" s="14" t="inlineStr">
        <is>
          <t>-</t>
        </is>
      </c>
      <c r="Q860" s="15" t="inlineStr">
        <is>
          <t>-</t>
        </is>
      </c>
    </row>
    <row r="861">
      <c r="A861" s="47" t="n"/>
      <c r="B861" s="16" t="inlineStr">
        <is>
          <t>-</t>
        </is>
      </c>
      <c r="C861" s="11" t="inlineStr">
        <is>
          <t>-</t>
        </is>
      </c>
      <c r="D861" s="11" t="inlineStr">
        <is>
          <t>-</t>
        </is>
      </c>
      <c r="E861" s="11" t="inlineStr">
        <is>
          <t>-</t>
        </is>
      </c>
      <c r="F861" s="11" t="inlineStr">
        <is>
          <t>-</t>
        </is>
      </c>
      <c r="G861" s="11" t="inlineStr">
        <is>
          <t>-</t>
        </is>
      </c>
      <c r="H861" s="11" t="inlineStr">
        <is>
          <t>-</t>
        </is>
      </c>
      <c r="I861" s="11" t="inlineStr">
        <is>
          <t>-</t>
        </is>
      </c>
      <c r="J861" s="11" t="inlineStr">
        <is>
          <t>-</t>
        </is>
      </c>
      <c r="K861" s="11" t="inlineStr">
        <is>
          <t>-</t>
        </is>
      </c>
      <c r="L861" s="11" t="inlineStr">
        <is>
          <t>-</t>
        </is>
      </c>
      <c r="M861" s="11" t="inlineStr">
        <is>
          <t>-</t>
        </is>
      </c>
      <c r="N861" s="11" t="inlineStr">
        <is>
          <t>-</t>
        </is>
      </c>
      <c r="O861" s="11" t="inlineStr">
        <is>
          <t>-</t>
        </is>
      </c>
      <c r="P861" s="11" t="inlineStr">
        <is>
          <t>-</t>
        </is>
      </c>
      <c r="Q861" s="12" t="inlineStr">
        <is>
          <t>-</t>
        </is>
      </c>
    </row>
    <row r="862">
      <c r="A862" s="47" t="n"/>
      <c r="B862" s="13" t="inlineStr">
        <is>
          <t>-</t>
        </is>
      </c>
      <c r="C862" s="14" t="inlineStr">
        <is>
          <t>-</t>
        </is>
      </c>
      <c r="D862" s="14" t="inlineStr">
        <is>
          <t>-</t>
        </is>
      </c>
      <c r="E862" s="14" t="inlineStr">
        <is>
          <t>-</t>
        </is>
      </c>
      <c r="F862" s="14" t="inlineStr">
        <is>
          <t>-</t>
        </is>
      </c>
      <c r="G862" s="14" t="inlineStr">
        <is>
          <t>-</t>
        </is>
      </c>
      <c r="H862" s="14" t="inlineStr">
        <is>
          <t>-</t>
        </is>
      </c>
      <c r="I862" s="14" t="inlineStr">
        <is>
          <t>-</t>
        </is>
      </c>
      <c r="J862" s="14" t="inlineStr">
        <is>
          <t>-</t>
        </is>
      </c>
      <c r="K862" s="14" t="inlineStr">
        <is>
          <t>-</t>
        </is>
      </c>
      <c r="L862" s="14" t="inlineStr">
        <is>
          <t>-</t>
        </is>
      </c>
      <c r="M862" s="14" t="inlineStr">
        <is>
          <t>-</t>
        </is>
      </c>
      <c r="N862" s="14" t="inlineStr">
        <is>
          <t>-</t>
        </is>
      </c>
      <c r="O862" s="14" t="inlineStr">
        <is>
          <t>-</t>
        </is>
      </c>
      <c r="P862" s="14" t="inlineStr">
        <is>
          <t>-</t>
        </is>
      </c>
      <c r="Q862" s="15" t="inlineStr">
        <is>
          <t>-</t>
        </is>
      </c>
    </row>
    <row r="863">
      <c r="A863" s="47" t="n"/>
      <c r="B863" s="16" t="inlineStr">
        <is>
          <t>-</t>
        </is>
      </c>
      <c r="C863" s="11" t="inlineStr">
        <is>
          <t>-</t>
        </is>
      </c>
      <c r="D863" s="11" t="inlineStr">
        <is>
          <t>-</t>
        </is>
      </c>
      <c r="E863" s="11" t="inlineStr">
        <is>
          <t>-</t>
        </is>
      </c>
      <c r="F863" s="11" t="inlineStr">
        <is>
          <t>-</t>
        </is>
      </c>
      <c r="G863" s="11" t="inlineStr">
        <is>
          <t>-</t>
        </is>
      </c>
      <c r="H863" s="11" t="inlineStr">
        <is>
          <t>-</t>
        </is>
      </c>
      <c r="I863" s="11" t="inlineStr">
        <is>
          <t>-</t>
        </is>
      </c>
      <c r="J863" s="11" t="inlineStr">
        <is>
          <t>-</t>
        </is>
      </c>
      <c r="K863" s="11" t="inlineStr">
        <is>
          <t>-</t>
        </is>
      </c>
      <c r="L863" s="11" t="inlineStr">
        <is>
          <t>-</t>
        </is>
      </c>
      <c r="M863" s="11" t="inlineStr">
        <is>
          <t>-</t>
        </is>
      </c>
      <c r="N863" s="11" t="inlineStr">
        <is>
          <t>-</t>
        </is>
      </c>
      <c r="O863" s="11" t="inlineStr">
        <is>
          <t>-</t>
        </is>
      </c>
      <c r="P863" s="11" t="inlineStr">
        <is>
          <t>-</t>
        </is>
      </c>
      <c r="Q863" s="12" t="inlineStr">
        <is>
          <t>-</t>
        </is>
      </c>
    </row>
    <row r="864">
      <c r="A864" s="47" t="n"/>
      <c r="B864" s="13" t="inlineStr">
        <is>
          <t>-</t>
        </is>
      </c>
      <c r="C864" s="14" t="inlineStr">
        <is>
          <t>-</t>
        </is>
      </c>
      <c r="D864" s="14" t="inlineStr">
        <is>
          <t>-</t>
        </is>
      </c>
      <c r="E864" s="14" t="inlineStr">
        <is>
          <t>-</t>
        </is>
      </c>
      <c r="F864" s="14" t="inlineStr">
        <is>
          <t>-</t>
        </is>
      </c>
      <c r="G864" s="14" t="inlineStr">
        <is>
          <t>-</t>
        </is>
      </c>
      <c r="H864" s="14" t="inlineStr">
        <is>
          <t>-</t>
        </is>
      </c>
      <c r="I864" s="14" t="inlineStr">
        <is>
          <t>-</t>
        </is>
      </c>
      <c r="J864" s="14" t="inlineStr">
        <is>
          <t>-</t>
        </is>
      </c>
      <c r="K864" s="14" t="inlineStr">
        <is>
          <t>-</t>
        </is>
      </c>
      <c r="L864" s="14" t="inlineStr">
        <is>
          <t>-</t>
        </is>
      </c>
      <c r="M864" s="14" t="inlineStr">
        <is>
          <t>-</t>
        </is>
      </c>
      <c r="N864" s="14" t="inlineStr">
        <is>
          <t>-</t>
        </is>
      </c>
      <c r="O864" s="14" t="inlineStr">
        <is>
          <t>-</t>
        </is>
      </c>
      <c r="P864" s="14" t="inlineStr">
        <is>
          <t>-</t>
        </is>
      </c>
      <c r="Q864" s="15" t="inlineStr">
        <is>
          <t>-</t>
        </is>
      </c>
    </row>
    <row r="865">
      <c r="A865" s="47" t="n"/>
      <c r="B865" s="16" t="inlineStr">
        <is>
          <t>-</t>
        </is>
      </c>
      <c r="C865" s="11" t="inlineStr">
        <is>
          <t>-</t>
        </is>
      </c>
      <c r="D865" s="11" t="inlineStr">
        <is>
          <t>-</t>
        </is>
      </c>
      <c r="E865" s="11" t="inlineStr">
        <is>
          <t>-</t>
        </is>
      </c>
      <c r="F865" s="11" t="inlineStr">
        <is>
          <t>-</t>
        </is>
      </c>
      <c r="G865" s="11" t="inlineStr">
        <is>
          <t>-</t>
        </is>
      </c>
      <c r="H865" s="11" t="inlineStr">
        <is>
          <t>-</t>
        </is>
      </c>
      <c r="I865" s="11" t="inlineStr">
        <is>
          <t>-</t>
        </is>
      </c>
      <c r="J865" s="11" t="inlineStr">
        <is>
          <t>-</t>
        </is>
      </c>
      <c r="K865" s="11" t="inlineStr">
        <is>
          <t>-</t>
        </is>
      </c>
      <c r="L865" s="11" t="inlineStr">
        <is>
          <t>-</t>
        </is>
      </c>
      <c r="M865" s="11" t="inlineStr">
        <is>
          <t>-</t>
        </is>
      </c>
      <c r="N865" s="11" t="inlineStr">
        <is>
          <t>-</t>
        </is>
      </c>
      <c r="O865" s="11" t="inlineStr">
        <is>
          <t>-</t>
        </is>
      </c>
      <c r="P865" s="11" t="inlineStr">
        <is>
          <t>-</t>
        </is>
      </c>
      <c r="Q865" s="12" t="inlineStr">
        <is>
          <t>-</t>
        </is>
      </c>
    </row>
    <row r="866" ht="36" customHeight="1" s="155">
      <c r="B866" s="46" t="inlineStr">
        <is>
          <t>francesina cioccolato</t>
        </is>
      </c>
      <c r="C866" s="49">
        <f>_xlfn.XLOOKUP(A867,Magazzino!$D$1:$D$1500,Magazzino!$F$1:$F$1500,"",0,1)</f>
        <v/>
      </c>
      <c r="D866" s="50">
        <f>_xlfn.XLOOKUP(A868,Magazzino!$D$1:$D$1500,Magazzino!$F$1:$F$1500,"",0,1)</f>
        <v/>
      </c>
      <c r="E866" s="50">
        <f>_xlfn.XLOOKUP(A869,Magazzino!$D$1:$D$1500,Magazzino!$F$1:$F$1500,"",0,1)</f>
        <v/>
      </c>
      <c r="F866" s="50">
        <f>_xlfn.XLOOKUP(A870,Magazzino!$D$1:$D$1500,Magazzino!$F$1:$F$1500,"",0,1)</f>
        <v/>
      </c>
      <c r="G866" s="50">
        <f>_xlfn.XLOOKUP(A871,Magazzino!$D$1:$D$1500,Magazzino!$F$1:$F$1500,"",0,1)</f>
        <v/>
      </c>
      <c r="H866" s="50">
        <f>_xlfn.XLOOKUP(A872,Magazzino!$D$1:$D$1500,Magazzino!$F$1:$F$1500,"",0,1)</f>
        <v/>
      </c>
      <c r="I866" s="50">
        <f>_xlfn.XLOOKUP(A873,Magazzino!$D$1:$D$1500,Magazzino!$F$1:$F$1500,"",0,1)</f>
        <v/>
      </c>
      <c r="J866" s="50">
        <f>_xlfn.XLOOKUP(A874,Magazzino!$D$1:$D$1500,Magazzino!$F$1:$F$1500,"",0,1)</f>
        <v/>
      </c>
      <c r="K866" s="50">
        <f>_xlfn.XLOOKUP(A875,Magazzino!$D$1:$D$1500,Magazzino!$F$1:$F$1500,"",0,1)</f>
        <v/>
      </c>
      <c r="L866" s="50">
        <f>_xlfn.XLOOKUP(A876,Magazzino!$D$1:$D$1500,Magazzino!$F$1:$F$1500,"",0,1)</f>
        <v/>
      </c>
      <c r="M866" s="50">
        <f>_xlfn.XLOOKUP(A877,Magazzino!$D$1:$D$1500,Magazzino!$F$1:$F$1500,"",0,1)</f>
        <v/>
      </c>
      <c r="N866" s="50">
        <f>_xlfn.XLOOKUP(A878,Magazzino!$D$1:$D$1500,Magazzino!$F$1:$F$1500,"",0,1)</f>
        <v/>
      </c>
      <c r="O866" s="50">
        <f>_xlfn.XLOOKUP(A879,Magazzino!$D$1:$D$1500,Magazzino!$F$1:$F$1500,"",0,1)</f>
        <v/>
      </c>
      <c r="P866" s="50">
        <f>_xlfn.XLOOKUP(A880,Magazzino!$D$1:$D$1500,Magazzino!$F$1:$F$1500,"",0,1)</f>
        <v/>
      </c>
      <c r="Q866" s="51">
        <f>_xlfn.XLOOKUP(A881,Magazzino!$D$1:$D$1500,Magazzino!$F$1:$F$1500,"",0,1)</f>
        <v/>
      </c>
    </row>
    <row r="867">
      <c r="A867" s="47" t="inlineStr">
        <is>
          <t xml:space="preserve">FARINA 0/MAN. CAPUTO DA KG.25  </t>
        </is>
      </c>
      <c r="B867" s="16" t="inlineStr">
        <is>
          <t>-</t>
        </is>
      </c>
      <c r="C867" s="11" t="inlineStr">
        <is>
          <t>-</t>
        </is>
      </c>
      <c r="D867" s="11" t="inlineStr">
        <is>
          <t>-</t>
        </is>
      </c>
      <c r="E867" s="11" t="inlineStr">
        <is>
          <t>-</t>
        </is>
      </c>
      <c r="F867" s="11" t="inlineStr">
        <is>
          <t>-</t>
        </is>
      </c>
      <c r="G867" s="11" t="inlineStr">
        <is>
          <t>-</t>
        </is>
      </c>
      <c r="H867" s="11" t="inlineStr">
        <is>
          <t>-</t>
        </is>
      </c>
      <c r="I867" s="11" t="inlineStr">
        <is>
          <t>-</t>
        </is>
      </c>
      <c r="J867" s="11" t="inlineStr">
        <is>
          <t>-</t>
        </is>
      </c>
      <c r="K867" s="11" t="inlineStr">
        <is>
          <t>-</t>
        </is>
      </c>
      <c r="L867" s="11" t="inlineStr">
        <is>
          <t>-</t>
        </is>
      </c>
      <c r="M867" s="11" t="inlineStr">
        <is>
          <t>-</t>
        </is>
      </c>
      <c r="N867" s="11" t="inlineStr">
        <is>
          <t>-</t>
        </is>
      </c>
      <c r="O867" s="11" t="inlineStr">
        <is>
          <t>-</t>
        </is>
      </c>
      <c r="P867" s="11" t="inlineStr">
        <is>
          <t>-</t>
        </is>
      </c>
      <c r="Q867" s="12" t="inlineStr">
        <is>
          <t>-</t>
        </is>
      </c>
    </row>
    <row r="868">
      <c r="A868" s="47" t="inlineStr">
        <is>
          <t>margarina sfoglia</t>
        </is>
      </c>
      <c r="B868" s="13" t="inlineStr">
        <is>
          <t>-</t>
        </is>
      </c>
      <c r="C868" s="14" t="inlineStr">
        <is>
          <t>-</t>
        </is>
      </c>
      <c r="D868" s="14" t="inlineStr">
        <is>
          <t>-</t>
        </is>
      </c>
      <c r="E868" s="14" t="inlineStr">
        <is>
          <t>-</t>
        </is>
      </c>
      <c r="F868" s="14" t="inlineStr">
        <is>
          <t>-</t>
        </is>
      </c>
      <c r="G868" s="14" t="inlineStr">
        <is>
          <t>-</t>
        </is>
      </c>
      <c r="H868" s="14" t="inlineStr">
        <is>
          <t>-</t>
        </is>
      </c>
      <c r="I868" s="14" t="inlineStr">
        <is>
          <t>-</t>
        </is>
      </c>
      <c r="J868" s="14" t="inlineStr">
        <is>
          <t>-</t>
        </is>
      </c>
      <c r="K868" s="14" t="inlineStr">
        <is>
          <t>-</t>
        </is>
      </c>
      <c r="L868" s="14" t="inlineStr">
        <is>
          <t>-</t>
        </is>
      </c>
      <c r="M868" s="14" t="inlineStr">
        <is>
          <t>-</t>
        </is>
      </c>
      <c r="N868" s="14" t="inlineStr">
        <is>
          <t>-</t>
        </is>
      </c>
      <c r="O868" s="14" t="inlineStr">
        <is>
          <t>-</t>
        </is>
      </c>
      <c r="P868" s="14" t="inlineStr">
        <is>
          <t>-</t>
        </is>
      </c>
      <c r="Q868" s="15" t="inlineStr">
        <is>
          <t>-</t>
        </is>
      </c>
    </row>
    <row r="869">
      <c r="A869" s="47" t="inlineStr">
        <is>
          <t>zucchero semolato</t>
        </is>
      </c>
      <c r="B869" s="16" t="inlineStr">
        <is>
          <t>-</t>
        </is>
      </c>
      <c r="C869" s="11" t="inlineStr">
        <is>
          <t>-</t>
        </is>
      </c>
      <c r="D869" s="11" t="inlineStr">
        <is>
          <t>-</t>
        </is>
      </c>
      <c r="E869" s="11" t="inlineStr">
        <is>
          <t>-</t>
        </is>
      </c>
      <c r="F869" s="11" t="inlineStr">
        <is>
          <t>-</t>
        </is>
      </c>
      <c r="G869" s="11" t="inlineStr">
        <is>
          <t>-</t>
        </is>
      </c>
      <c r="H869" s="11" t="inlineStr">
        <is>
          <t>-</t>
        </is>
      </c>
      <c r="I869" s="11" t="inlineStr">
        <is>
          <t>-</t>
        </is>
      </c>
      <c r="J869" s="11" t="inlineStr">
        <is>
          <t>-</t>
        </is>
      </c>
      <c r="K869" s="11" t="inlineStr">
        <is>
          <t>-</t>
        </is>
      </c>
      <c r="L869" s="11" t="inlineStr">
        <is>
          <t>-</t>
        </is>
      </c>
      <c r="M869" s="11" t="inlineStr">
        <is>
          <t>-</t>
        </is>
      </c>
      <c r="N869" s="11" t="inlineStr">
        <is>
          <t>-</t>
        </is>
      </c>
      <c r="O869" s="11" t="inlineStr">
        <is>
          <t>-</t>
        </is>
      </c>
      <c r="P869" s="11" t="inlineStr">
        <is>
          <t>-</t>
        </is>
      </c>
      <c r="Q869" s="12" t="inlineStr">
        <is>
          <t>-</t>
        </is>
      </c>
    </row>
    <row r="870">
      <c r="A870" s="47" t="inlineStr">
        <is>
          <t>amido</t>
        </is>
      </c>
      <c r="B870" s="13" t="inlineStr">
        <is>
          <t>-</t>
        </is>
      </c>
      <c r="C870" s="14" t="inlineStr">
        <is>
          <t>-</t>
        </is>
      </c>
      <c r="D870" s="14" t="inlineStr">
        <is>
          <t>-</t>
        </is>
      </c>
      <c r="E870" s="14" t="inlineStr">
        <is>
          <t>-</t>
        </is>
      </c>
      <c r="F870" s="14" t="inlineStr">
        <is>
          <t>-</t>
        </is>
      </c>
      <c r="G870" s="14" t="inlineStr">
        <is>
          <t>-</t>
        </is>
      </c>
      <c r="H870" s="14" t="inlineStr">
        <is>
          <t>-</t>
        </is>
      </c>
      <c r="I870" s="14" t="inlineStr">
        <is>
          <t>-</t>
        </is>
      </c>
      <c r="J870" s="14" t="inlineStr">
        <is>
          <t>-</t>
        </is>
      </c>
      <c r="K870" s="14" t="inlineStr">
        <is>
          <t>-</t>
        </is>
      </c>
      <c r="L870" s="14" t="inlineStr">
        <is>
          <t>-</t>
        </is>
      </c>
      <c r="M870" s="14" t="inlineStr">
        <is>
          <t>-</t>
        </is>
      </c>
      <c r="N870" s="14" t="inlineStr">
        <is>
          <t>-</t>
        </is>
      </c>
      <c r="O870" s="14" t="inlineStr">
        <is>
          <t>-</t>
        </is>
      </c>
      <c r="P870" s="14" t="inlineStr">
        <is>
          <t>-</t>
        </is>
      </c>
      <c r="Q870" s="15" t="inlineStr">
        <is>
          <t>-</t>
        </is>
      </c>
    </row>
    <row r="871">
      <c r="A871" s="47" t="inlineStr">
        <is>
          <t>latte   1500 int.uht  yma</t>
        </is>
      </c>
      <c r="B871" s="16" t="inlineStr">
        <is>
          <t>-</t>
        </is>
      </c>
      <c r="C871" s="11" t="inlineStr">
        <is>
          <t>-</t>
        </is>
      </c>
      <c r="D871" s="11" t="inlineStr">
        <is>
          <t>-</t>
        </is>
      </c>
      <c r="E871" s="11" t="inlineStr">
        <is>
          <t>-</t>
        </is>
      </c>
      <c r="F871" s="11" t="inlineStr">
        <is>
          <t>-</t>
        </is>
      </c>
      <c r="G871" s="11" t="inlineStr">
        <is>
          <t>-</t>
        </is>
      </c>
      <c r="H871" s="11" t="inlineStr">
        <is>
          <t>-</t>
        </is>
      </c>
      <c r="I871" s="11" t="inlineStr">
        <is>
          <t>-</t>
        </is>
      </c>
      <c r="J871" s="11" t="inlineStr">
        <is>
          <t>-</t>
        </is>
      </c>
      <c r="K871" s="11" t="inlineStr">
        <is>
          <t>-</t>
        </is>
      </c>
      <c r="L871" s="11" t="inlineStr">
        <is>
          <t>-</t>
        </is>
      </c>
      <c r="M871" s="11" t="inlineStr">
        <is>
          <t>-</t>
        </is>
      </c>
      <c r="N871" s="11" t="inlineStr">
        <is>
          <t>-</t>
        </is>
      </c>
      <c r="O871" s="11" t="inlineStr">
        <is>
          <t>-</t>
        </is>
      </c>
      <c r="P871" s="11" t="inlineStr">
        <is>
          <t>-</t>
        </is>
      </c>
      <c r="Q871" s="12" t="inlineStr">
        <is>
          <t>-</t>
        </is>
      </c>
    </row>
    <row r="872">
      <c r="A872" s="47" t="inlineStr">
        <is>
          <t>cioccolato</t>
        </is>
      </c>
      <c r="B872" s="13" t="inlineStr">
        <is>
          <t>-</t>
        </is>
      </c>
      <c r="C872" s="14" t="inlineStr">
        <is>
          <t>-</t>
        </is>
      </c>
      <c r="D872" s="14" t="inlineStr">
        <is>
          <t>-</t>
        </is>
      </c>
      <c r="E872" s="14" t="inlineStr">
        <is>
          <t>-</t>
        </is>
      </c>
      <c r="F872" s="14" t="inlineStr">
        <is>
          <t>-</t>
        </is>
      </c>
      <c r="G872" s="14" t="inlineStr">
        <is>
          <t>-</t>
        </is>
      </c>
      <c r="H872" s="14" t="inlineStr">
        <is>
          <t>-</t>
        </is>
      </c>
      <c r="I872" s="14" t="inlineStr">
        <is>
          <t>-</t>
        </is>
      </c>
      <c r="J872" s="14" t="inlineStr">
        <is>
          <t>-</t>
        </is>
      </c>
      <c r="K872" s="14" t="inlineStr">
        <is>
          <t>-</t>
        </is>
      </c>
      <c r="L872" s="14" t="inlineStr">
        <is>
          <t>-</t>
        </is>
      </c>
      <c r="M872" s="14" t="inlineStr">
        <is>
          <t>-</t>
        </is>
      </c>
      <c r="N872" s="14" t="inlineStr">
        <is>
          <t>-</t>
        </is>
      </c>
      <c r="O872" s="14" t="inlineStr">
        <is>
          <t>-</t>
        </is>
      </c>
      <c r="P872" s="14" t="inlineStr">
        <is>
          <t>-</t>
        </is>
      </c>
      <c r="Q872" s="15" t="inlineStr">
        <is>
          <t>-</t>
        </is>
      </c>
    </row>
    <row r="873">
      <c r="A873" s="47" t="inlineStr">
        <is>
          <t>tuorlo d'uovo pastorizzato</t>
        </is>
      </c>
      <c r="B873" s="16" t="inlineStr">
        <is>
          <t>-</t>
        </is>
      </c>
      <c r="C873" s="11" t="inlineStr">
        <is>
          <t>-</t>
        </is>
      </c>
      <c r="D873" s="11" t="inlineStr">
        <is>
          <t>-</t>
        </is>
      </c>
      <c r="E873" s="11" t="inlineStr">
        <is>
          <t>-</t>
        </is>
      </c>
      <c r="F873" s="11" t="inlineStr">
        <is>
          <t>-</t>
        </is>
      </c>
      <c r="G873" s="11" t="inlineStr">
        <is>
          <t>-</t>
        </is>
      </c>
      <c r="H873" s="11" t="inlineStr">
        <is>
          <t>-</t>
        </is>
      </c>
      <c r="I873" s="11" t="inlineStr">
        <is>
          <t>-</t>
        </is>
      </c>
      <c r="J873" s="11" t="inlineStr">
        <is>
          <t>-</t>
        </is>
      </c>
      <c r="K873" s="11" t="inlineStr">
        <is>
          <t>-</t>
        </is>
      </c>
      <c r="L873" s="11" t="inlineStr">
        <is>
          <t>-</t>
        </is>
      </c>
      <c r="M873" s="11" t="inlineStr">
        <is>
          <t>-</t>
        </is>
      </c>
      <c r="N873" s="11" t="inlineStr">
        <is>
          <t>-</t>
        </is>
      </c>
      <c r="O873" s="11" t="inlineStr">
        <is>
          <t>-</t>
        </is>
      </c>
      <c r="P873" s="11" t="inlineStr">
        <is>
          <t>-</t>
        </is>
      </c>
      <c r="Q873" s="12" t="inlineStr">
        <is>
          <t>-</t>
        </is>
      </c>
    </row>
    <row r="874">
      <c r="A874" s="47" t="inlineStr">
        <is>
          <t>nocciola</t>
        </is>
      </c>
      <c r="B874" s="13" t="inlineStr">
        <is>
          <t>-</t>
        </is>
      </c>
      <c r="C874" s="14" t="inlineStr">
        <is>
          <t>-</t>
        </is>
      </c>
      <c r="D874" s="14" t="inlineStr">
        <is>
          <t>-</t>
        </is>
      </c>
      <c r="E874" s="14" t="inlineStr">
        <is>
          <t>-</t>
        </is>
      </c>
      <c r="F874" s="14" t="inlineStr">
        <is>
          <t>-</t>
        </is>
      </c>
      <c r="G874" s="14" t="inlineStr">
        <is>
          <t>-</t>
        </is>
      </c>
      <c r="H874" s="14" t="inlineStr">
        <is>
          <t>-</t>
        </is>
      </c>
      <c r="I874" s="14" t="inlineStr">
        <is>
          <t>-</t>
        </is>
      </c>
      <c r="J874" s="14" t="inlineStr">
        <is>
          <t>-</t>
        </is>
      </c>
      <c r="K874" s="14" t="inlineStr">
        <is>
          <t>-</t>
        </is>
      </c>
      <c r="L874" s="14" t="inlineStr">
        <is>
          <t>-</t>
        </is>
      </c>
      <c r="M874" s="14" t="inlineStr">
        <is>
          <t>-</t>
        </is>
      </c>
      <c r="N874" s="14" t="inlineStr">
        <is>
          <t>-</t>
        </is>
      </c>
      <c r="O874" s="14" t="inlineStr">
        <is>
          <t>-</t>
        </is>
      </c>
      <c r="P874" s="14" t="inlineStr">
        <is>
          <t>-</t>
        </is>
      </c>
      <c r="Q874" s="15" t="inlineStr">
        <is>
          <t>-</t>
        </is>
      </c>
    </row>
    <row r="875">
      <c r="A875" s="47" t="n"/>
      <c r="B875" s="16" t="inlineStr">
        <is>
          <t>-</t>
        </is>
      </c>
      <c r="C875" s="11" t="inlineStr">
        <is>
          <t>-</t>
        </is>
      </c>
      <c r="D875" s="11" t="inlineStr">
        <is>
          <t>-</t>
        </is>
      </c>
      <c r="E875" s="11" t="inlineStr">
        <is>
          <t>-</t>
        </is>
      </c>
      <c r="F875" s="11" t="inlineStr">
        <is>
          <t>-</t>
        </is>
      </c>
      <c r="G875" s="11" t="inlineStr">
        <is>
          <t>-</t>
        </is>
      </c>
      <c r="H875" s="11" t="inlineStr">
        <is>
          <t>-</t>
        </is>
      </c>
      <c r="I875" s="11" t="inlineStr">
        <is>
          <t>-</t>
        </is>
      </c>
      <c r="J875" s="11" t="inlineStr">
        <is>
          <t>-</t>
        </is>
      </c>
      <c r="K875" s="11" t="inlineStr">
        <is>
          <t>-</t>
        </is>
      </c>
      <c r="L875" s="11" t="inlineStr">
        <is>
          <t>-</t>
        </is>
      </c>
      <c r="M875" s="11" t="inlineStr">
        <is>
          <t>-</t>
        </is>
      </c>
      <c r="N875" s="11" t="inlineStr">
        <is>
          <t>-</t>
        </is>
      </c>
      <c r="O875" s="11" t="inlineStr">
        <is>
          <t>-</t>
        </is>
      </c>
      <c r="P875" s="11" t="inlineStr">
        <is>
          <t>-</t>
        </is>
      </c>
      <c r="Q875" s="12" t="inlineStr">
        <is>
          <t>-</t>
        </is>
      </c>
    </row>
    <row r="876">
      <c r="A876" s="47" t="n"/>
      <c r="B876" s="13" t="inlineStr">
        <is>
          <t>-</t>
        </is>
      </c>
      <c r="C876" s="14" t="inlineStr">
        <is>
          <t>-</t>
        </is>
      </c>
      <c r="D876" s="14" t="inlineStr">
        <is>
          <t>-</t>
        </is>
      </c>
      <c r="E876" s="14" t="inlineStr">
        <is>
          <t>-</t>
        </is>
      </c>
      <c r="F876" s="14" t="inlineStr">
        <is>
          <t>-</t>
        </is>
      </c>
      <c r="G876" s="14" t="inlineStr">
        <is>
          <t>-</t>
        </is>
      </c>
      <c r="H876" s="14" t="inlineStr">
        <is>
          <t>-</t>
        </is>
      </c>
      <c r="I876" s="14" t="inlineStr">
        <is>
          <t>-</t>
        </is>
      </c>
      <c r="J876" s="14" t="inlineStr">
        <is>
          <t>-</t>
        </is>
      </c>
      <c r="K876" s="14" t="inlineStr">
        <is>
          <t>-</t>
        </is>
      </c>
      <c r="L876" s="14" t="inlineStr">
        <is>
          <t>-</t>
        </is>
      </c>
      <c r="M876" s="14" t="inlineStr">
        <is>
          <t>-</t>
        </is>
      </c>
      <c r="N876" s="14" t="inlineStr">
        <is>
          <t>-</t>
        </is>
      </c>
      <c r="O876" s="14" t="inlineStr">
        <is>
          <t>-</t>
        </is>
      </c>
      <c r="P876" s="14" t="inlineStr">
        <is>
          <t>-</t>
        </is>
      </c>
      <c r="Q876" s="15" t="inlineStr">
        <is>
          <t>-</t>
        </is>
      </c>
    </row>
    <row r="877">
      <c r="A877" s="47" t="n"/>
      <c r="B877" s="16" t="inlineStr">
        <is>
          <t>-</t>
        </is>
      </c>
      <c r="C877" s="11" t="inlineStr">
        <is>
          <t>-</t>
        </is>
      </c>
      <c r="D877" s="11" t="inlineStr">
        <is>
          <t>-</t>
        </is>
      </c>
      <c r="E877" s="11" t="inlineStr">
        <is>
          <t>-</t>
        </is>
      </c>
      <c r="F877" s="11" t="inlineStr">
        <is>
          <t>-</t>
        </is>
      </c>
      <c r="G877" s="11" t="inlineStr">
        <is>
          <t>-</t>
        </is>
      </c>
      <c r="H877" s="11" t="inlineStr">
        <is>
          <t>-</t>
        </is>
      </c>
      <c r="I877" s="11" t="inlineStr">
        <is>
          <t>-</t>
        </is>
      </c>
      <c r="J877" s="11" t="inlineStr">
        <is>
          <t>-</t>
        </is>
      </c>
      <c r="K877" s="11" t="inlineStr">
        <is>
          <t>-</t>
        </is>
      </c>
      <c r="L877" s="11" t="inlineStr">
        <is>
          <t>-</t>
        </is>
      </c>
      <c r="M877" s="11" t="inlineStr">
        <is>
          <t>-</t>
        </is>
      </c>
      <c r="N877" s="11" t="inlineStr">
        <is>
          <t>-</t>
        </is>
      </c>
      <c r="O877" s="11" t="inlineStr">
        <is>
          <t>-</t>
        </is>
      </c>
      <c r="P877" s="11" t="inlineStr">
        <is>
          <t>-</t>
        </is>
      </c>
      <c r="Q877" s="12" t="inlineStr">
        <is>
          <t>-</t>
        </is>
      </c>
    </row>
    <row r="878">
      <c r="A878" s="47" t="n"/>
      <c r="B878" s="13" t="inlineStr">
        <is>
          <t>-</t>
        </is>
      </c>
      <c r="C878" s="14" t="inlineStr">
        <is>
          <t>-</t>
        </is>
      </c>
      <c r="D878" s="14" t="inlineStr">
        <is>
          <t>-</t>
        </is>
      </c>
      <c r="E878" s="14" t="inlineStr">
        <is>
          <t>-</t>
        </is>
      </c>
      <c r="F878" s="14" t="inlineStr">
        <is>
          <t>-</t>
        </is>
      </c>
      <c r="G878" s="14" t="inlineStr">
        <is>
          <t>-</t>
        </is>
      </c>
      <c r="H878" s="14" t="inlineStr">
        <is>
          <t>-</t>
        </is>
      </c>
      <c r="I878" s="14" t="inlineStr">
        <is>
          <t>-</t>
        </is>
      </c>
      <c r="J878" s="14" t="inlineStr">
        <is>
          <t>-</t>
        </is>
      </c>
      <c r="K878" s="14" t="inlineStr">
        <is>
          <t>-</t>
        </is>
      </c>
      <c r="L878" s="14" t="inlineStr">
        <is>
          <t>-</t>
        </is>
      </c>
      <c r="M878" s="14" t="inlineStr">
        <is>
          <t>-</t>
        </is>
      </c>
      <c r="N878" s="14" t="inlineStr">
        <is>
          <t>-</t>
        </is>
      </c>
      <c r="O878" s="14" t="inlineStr">
        <is>
          <t>-</t>
        </is>
      </c>
      <c r="P878" s="14" t="inlineStr">
        <is>
          <t>-</t>
        </is>
      </c>
      <c r="Q878" s="15" t="inlineStr">
        <is>
          <t>-</t>
        </is>
      </c>
    </row>
    <row r="879">
      <c r="A879" s="47" t="n"/>
      <c r="B879" s="16" t="inlineStr">
        <is>
          <t>-</t>
        </is>
      </c>
      <c r="C879" s="11" t="inlineStr">
        <is>
          <t>-</t>
        </is>
      </c>
      <c r="D879" s="11" t="inlineStr">
        <is>
          <t>-</t>
        </is>
      </c>
      <c r="E879" s="11" t="inlineStr">
        <is>
          <t>-</t>
        </is>
      </c>
      <c r="F879" s="11" t="inlineStr">
        <is>
          <t>-</t>
        </is>
      </c>
      <c r="G879" s="11" t="inlineStr">
        <is>
          <t>-</t>
        </is>
      </c>
      <c r="H879" s="11" t="inlineStr">
        <is>
          <t>-</t>
        </is>
      </c>
      <c r="I879" s="11" t="inlineStr">
        <is>
          <t>-</t>
        </is>
      </c>
      <c r="J879" s="11" t="inlineStr">
        <is>
          <t>-</t>
        </is>
      </c>
      <c r="K879" s="11" t="inlineStr">
        <is>
          <t>-</t>
        </is>
      </c>
      <c r="L879" s="11" t="inlineStr">
        <is>
          <t>-</t>
        </is>
      </c>
      <c r="M879" s="11" t="inlineStr">
        <is>
          <t>-</t>
        </is>
      </c>
      <c r="N879" s="11" t="inlineStr">
        <is>
          <t>-</t>
        </is>
      </c>
      <c r="O879" s="11" t="inlineStr">
        <is>
          <t>-</t>
        </is>
      </c>
      <c r="P879" s="11" t="inlineStr">
        <is>
          <t>-</t>
        </is>
      </c>
      <c r="Q879" s="12" t="inlineStr">
        <is>
          <t>-</t>
        </is>
      </c>
    </row>
    <row r="880">
      <c r="A880" s="47" t="n"/>
      <c r="B880" s="13" t="inlineStr">
        <is>
          <t>-</t>
        </is>
      </c>
      <c r="C880" s="14" t="inlineStr">
        <is>
          <t>-</t>
        </is>
      </c>
      <c r="D880" s="14" t="inlineStr">
        <is>
          <t>-</t>
        </is>
      </c>
      <c r="E880" s="14" t="inlineStr">
        <is>
          <t>-</t>
        </is>
      </c>
      <c r="F880" s="14" t="inlineStr">
        <is>
          <t>-</t>
        </is>
      </c>
      <c r="G880" s="14" t="inlineStr">
        <is>
          <t>-</t>
        </is>
      </c>
      <c r="H880" s="14" t="inlineStr">
        <is>
          <t>-</t>
        </is>
      </c>
      <c r="I880" s="14" t="inlineStr">
        <is>
          <t>-</t>
        </is>
      </c>
      <c r="J880" s="14" t="inlineStr">
        <is>
          <t>-</t>
        </is>
      </c>
      <c r="K880" s="14" t="inlineStr">
        <is>
          <t>-</t>
        </is>
      </c>
      <c r="L880" s="14" t="inlineStr">
        <is>
          <t>-</t>
        </is>
      </c>
      <c r="M880" s="14" t="inlineStr">
        <is>
          <t>-</t>
        </is>
      </c>
      <c r="N880" s="14" t="inlineStr">
        <is>
          <t>-</t>
        </is>
      </c>
      <c r="O880" s="14" t="inlineStr">
        <is>
          <t>-</t>
        </is>
      </c>
      <c r="P880" s="14" t="inlineStr">
        <is>
          <t>-</t>
        </is>
      </c>
      <c r="Q880" s="15" t="inlineStr">
        <is>
          <t>-</t>
        </is>
      </c>
    </row>
    <row r="881">
      <c r="A881" s="47" t="n"/>
      <c r="B881" s="16" t="inlineStr">
        <is>
          <t>-</t>
        </is>
      </c>
      <c r="C881" s="11" t="inlineStr">
        <is>
          <t>-</t>
        </is>
      </c>
      <c r="D881" s="11" t="inlineStr">
        <is>
          <t>-</t>
        </is>
      </c>
      <c r="E881" s="11" t="inlineStr">
        <is>
          <t>-</t>
        </is>
      </c>
      <c r="F881" s="11" t="inlineStr">
        <is>
          <t>-</t>
        </is>
      </c>
      <c r="G881" s="11" t="inlineStr">
        <is>
          <t>-</t>
        </is>
      </c>
      <c r="H881" s="11" t="inlineStr">
        <is>
          <t>-</t>
        </is>
      </c>
      <c r="I881" s="11" t="inlineStr">
        <is>
          <t>-</t>
        </is>
      </c>
      <c r="J881" s="11" t="inlineStr">
        <is>
          <t>-</t>
        </is>
      </c>
      <c r="K881" s="11" t="inlineStr">
        <is>
          <t>-</t>
        </is>
      </c>
      <c r="L881" s="11" t="inlineStr">
        <is>
          <t>-</t>
        </is>
      </c>
      <c r="M881" s="11" t="inlineStr">
        <is>
          <t>-</t>
        </is>
      </c>
      <c r="N881" s="11" t="inlineStr">
        <is>
          <t>-</t>
        </is>
      </c>
      <c r="O881" s="11" t="inlineStr">
        <is>
          <t>-</t>
        </is>
      </c>
      <c r="P881" s="11" t="inlineStr">
        <is>
          <t>-</t>
        </is>
      </c>
      <c r="Q881" s="12" t="inlineStr">
        <is>
          <t>-</t>
        </is>
      </c>
    </row>
    <row r="882" ht="36" customHeight="1" s="155">
      <c r="B882" s="46" t="inlineStr">
        <is>
          <t>francesina crema</t>
        </is>
      </c>
      <c r="C882" s="49">
        <f>_xlfn.XLOOKUP(A883,Magazzino!$D$1:$D$1500,Magazzino!$F$1:$F$1500,"",0,1)</f>
        <v/>
      </c>
      <c r="D882" s="50">
        <f>_xlfn.XLOOKUP(A884,Magazzino!$D$1:$D$1500,Magazzino!$F$1:$F$1500,"",0,1)</f>
        <v/>
      </c>
      <c r="E882" s="50">
        <f>_xlfn.XLOOKUP(A885,Magazzino!$D$1:$D$1500,Magazzino!$F$1:$F$1500,"",0,1)</f>
        <v/>
      </c>
      <c r="F882" s="50">
        <f>_xlfn.XLOOKUP(A886,Magazzino!$D$1:$D$1500,Magazzino!$F$1:$F$1500,"",0,1)</f>
        <v/>
      </c>
      <c r="G882" s="50">
        <f>_xlfn.XLOOKUP(A887,Magazzino!$D$1:$D$1500,Magazzino!$F$1:$F$1500,"",0,1)</f>
        <v/>
      </c>
      <c r="H882" s="50">
        <f>_xlfn.XLOOKUP(A888,Magazzino!$D$1:$D$1500,Magazzino!$F$1:$F$1500,"",0,1)</f>
        <v/>
      </c>
      <c r="I882" s="50">
        <f>_xlfn.XLOOKUP(A889,Magazzino!$D$1:$D$1500,Magazzino!$F$1:$F$1500,"",0,1)</f>
        <v/>
      </c>
      <c r="J882" s="50">
        <f>_xlfn.XLOOKUP(A890,Magazzino!$D$1:$D$1500,Magazzino!$F$1:$F$1500,"",0,1)</f>
        <v/>
      </c>
      <c r="K882" s="50">
        <f>_xlfn.XLOOKUP(A891,Magazzino!$D$1:$D$1500,Magazzino!$F$1:$F$1500,"",0,1)</f>
        <v/>
      </c>
      <c r="L882" s="50">
        <f>_xlfn.XLOOKUP(A892,Magazzino!$D$1:$D$1500,Magazzino!$F$1:$F$1500,"",0,1)</f>
        <v/>
      </c>
      <c r="M882" s="50">
        <f>_xlfn.XLOOKUP(A893,Magazzino!$D$1:$D$1500,Magazzino!$F$1:$F$1500,"",0,1)</f>
        <v/>
      </c>
      <c r="N882" s="50">
        <f>_xlfn.XLOOKUP(A894,Magazzino!$D$1:$D$1500,Magazzino!$F$1:$F$1500,"",0,1)</f>
        <v/>
      </c>
      <c r="O882" s="50">
        <f>_xlfn.XLOOKUP(A895,Magazzino!$D$1:$D$1500,Magazzino!$F$1:$F$1500,"",0,1)</f>
        <v/>
      </c>
      <c r="P882" s="50">
        <f>_xlfn.XLOOKUP(A896,Magazzino!$D$1:$D$1500,Magazzino!$F$1:$F$1500,"",0,1)</f>
        <v/>
      </c>
      <c r="Q882" s="51">
        <f>_xlfn.XLOOKUP(A897,Magazzino!$D$1:$D$1500,Magazzino!$F$1:$F$1500,"",0,1)</f>
        <v/>
      </c>
    </row>
    <row r="883">
      <c r="A883" s="47" t="inlineStr">
        <is>
          <t xml:space="preserve">FARINA 0/MAN. CAPUTO DA KG.25  </t>
        </is>
      </c>
      <c r="B883" s="16" t="inlineStr">
        <is>
          <t>-</t>
        </is>
      </c>
      <c r="C883" s="11" t="inlineStr">
        <is>
          <t>-</t>
        </is>
      </c>
      <c r="D883" s="11" t="inlineStr">
        <is>
          <t>-</t>
        </is>
      </c>
      <c r="E883" s="11" t="inlineStr">
        <is>
          <t>-</t>
        </is>
      </c>
      <c r="F883" s="11" t="inlineStr">
        <is>
          <t>-</t>
        </is>
      </c>
      <c r="G883" s="11" t="inlineStr">
        <is>
          <t>-</t>
        </is>
      </c>
      <c r="H883" s="11" t="inlineStr">
        <is>
          <t>-</t>
        </is>
      </c>
      <c r="I883" s="11" t="inlineStr">
        <is>
          <t>-</t>
        </is>
      </c>
      <c r="J883" s="11" t="inlineStr">
        <is>
          <t>-</t>
        </is>
      </c>
      <c r="K883" s="11" t="inlineStr">
        <is>
          <t>-</t>
        </is>
      </c>
      <c r="L883" s="11" t="inlineStr">
        <is>
          <t>-</t>
        </is>
      </c>
      <c r="M883" s="11" t="inlineStr">
        <is>
          <t>-</t>
        </is>
      </c>
      <c r="N883" s="11" t="inlineStr">
        <is>
          <t>-</t>
        </is>
      </c>
      <c r="O883" s="11" t="inlineStr">
        <is>
          <t>-</t>
        </is>
      </c>
      <c r="P883" s="11" t="inlineStr">
        <is>
          <t>-</t>
        </is>
      </c>
      <c r="Q883" s="12" t="inlineStr">
        <is>
          <t>-</t>
        </is>
      </c>
    </row>
    <row r="884">
      <c r="A884" s="47" t="inlineStr">
        <is>
          <t>margarina sfoglia</t>
        </is>
      </c>
      <c r="B884" s="13" t="inlineStr">
        <is>
          <t>-</t>
        </is>
      </c>
      <c r="C884" s="14" t="inlineStr">
        <is>
          <t>-</t>
        </is>
      </c>
      <c r="D884" s="14" t="inlineStr">
        <is>
          <t>-</t>
        </is>
      </c>
      <c r="E884" s="14" t="inlineStr">
        <is>
          <t>-</t>
        </is>
      </c>
      <c r="F884" s="14" t="inlineStr">
        <is>
          <t>-</t>
        </is>
      </c>
      <c r="G884" s="14" t="inlineStr">
        <is>
          <t>-</t>
        </is>
      </c>
      <c r="H884" s="14" t="inlineStr">
        <is>
          <t>-</t>
        </is>
      </c>
      <c r="I884" s="14" t="inlineStr">
        <is>
          <t>-</t>
        </is>
      </c>
      <c r="J884" s="14" t="inlineStr">
        <is>
          <t>-</t>
        </is>
      </c>
      <c r="K884" s="14" t="inlineStr">
        <is>
          <t>-</t>
        </is>
      </c>
      <c r="L884" s="14" t="inlineStr">
        <is>
          <t>-</t>
        </is>
      </c>
      <c r="M884" s="14" t="inlineStr">
        <is>
          <t>-</t>
        </is>
      </c>
      <c r="N884" s="14" t="inlineStr">
        <is>
          <t>-</t>
        </is>
      </c>
      <c r="O884" s="14" t="inlineStr">
        <is>
          <t>-</t>
        </is>
      </c>
      <c r="P884" s="14" t="inlineStr">
        <is>
          <t>-</t>
        </is>
      </c>
      <c r="Q884" s="15" t="inlineStr">
        <is>
          <t>-</t>
        </is>
      </c>
    </row>
    <row r="885">
      <c r="A885" s="47" t="inlineStr">
        <is>
          <t>zucchero semolato</t>
        </is>
      </c>
      <c r="B885" s="16" t="inlineStr">
        <is>
          <t>-</t>
        </is>
      </c>
      <c r="C885" s="11" t="inlineStr">
        <is>
          <t>-</t>
        </is>
      </c>
      <c r="D885" s="11" t="inlineStr">
        <is>
          <t>-</t>
        </is>
      </c>
      <c r="E885" s="11" t="inlineStr">
        <is>
          <t>-</t>
        </is>
      </c>
      <c r="F885" s="11" t="inlineStr">
        <is>
          <t>-</t>
        </is>
      </c>
      <c r="G885" s="11" t="inlineStr">
        <is>
          <t>-</t>
        </is>
      </c>
      <c r="H885" s="11" t="inlineStr">
        <is>
          <t>-</t>
        </is>
      </c>
      <c r="I885" s="11" t="inlineStr">
        <is>
          <t>-</t>
        </is>
      </c>
      <c r="J885" s="11" t="inlineStr">
        <is>
          <t>-</t>
        </is>
      </c>
      <c r="K885" s="11" t="inlineStr">
        <is>
          <t>-</t>
        </is>
      </c>
      <c r="L885" s="11" t="inlineStr">
        <is>
          <t>-</t>
        </is>
      </c>
      <c r="M885" s="11" t="inlineStr">
        <is>
          <t>-</t>
        </is>
      </c>
      <c r="N885" s="11" t="inlineStr">
        <is>
          <t>-</t>
        </is>
      </c>
      <c r="O885" s="11" t="inlineStr">
        <is>
          <t>-</t>
        </is>
      </c>
      <c r="P885" s="11" t="inlineStr">
        <is>
          <t>-</t>
        </is>
      </c>
      <c r="Q885" s="12" t="inlineStr">
        <is>
          <t>-</t>
        </is>
      </c>
    </row>
    <row r="886">
      <c r="A886" s="47" t="inlineStr">
        <is>
          <t>amido</t>
        </is>
      </c>
      <c r="B886" s="13" t="inlineStr">
        <is>
          <t>-</t>
        </is>
      </c>
      <c r="C886" s="14" t="inlineStr">
        <is>
          <t>-</t>
        </is>
      </c>
      <c r="D886" s="14" t="inlineStr">
        <is>
          <t>-</t>
        </is>
      </c>
      <c r="E886" s="14" t="inlineStr">
        <is>
          <t>-</t>
        </is>
      </c>
      <c r="F886" s="14" t="inlineStr">
        <is>
          <t>-</t>
        </is>
      </c>
      <c r="G886" s="14" t="inlineStr">
        <is>
          <t>-</t>
        </is>
      </c>
      <c r="H886" s="14" t="inlineStr">
        <is>
          <t>-</t>
        </is>
      </c>
      <c r="I886" s="14" t="inlineStr">
        <is>
          <t>-</t>
        </is>
      </c>
      <c r="J886" s="14" t="inlineStr">
        <is>
          <t>-</t>
        </is>
      </c>
      <c r="K886" s="14" t="inlineStr">
        <is>
          <t>-</t>
        </is>
      </c>
      <c r="L886" s="14" t="inlineStr">
        <is>
          <t>-</t>
        </is>
      </c>
      <c r="M886" s="14" t="inlineStr">
        <is>
          <t>-</t>
        </is>
      </c>
      <c r="N886" s="14" t="inlineStr">
        <is>
          <t>-</t>
        </is>
      </c>
      <c r="O886" s="14" t="inlineStr">
        <is>
          <t>-</t>
        </is>
      </c>
      <c r="P886" s="14" t="inlineStr">
        <is>
          <t>-</t>
        </is>
      </c>
      <c r="Q886" s="15" t="inlineStr">
        <is>
          <t>-</t>
        </is>
      </c>
    </row>
    <row r="887">
      <c r="A887" s="47" t="inlineStr">
        <is>
          <t>latte   1500 int.uht  yma</t>
        </is>
      </c>
      <c r="B887" s="16" t="inlineStr">
        <is>
          <t>-</t>
        </is>
      </c>
      <c r="C887" s="11" t="inlineStr">
        <is>
          <t>-</t>
        </is>
      </c>
      <c r="D887" s="11" t="inlineStr">
        <is>
          <t>-</t>
        </is>
      </c>
      <c r="E887" s="11" t="inlineStr">
        <is>
          <t>-</t>
        </is>
      </c>
      <c r="F887" s="11" t="inlineStr">
        <is>
          <t>-</t>
        </is>
      </c>
      <c r="G887" s="11" t="inlineStr">
        <is>
          <t>-</t>
        </is>
      </c>
      <c r="H887" s="11" t="inlineStr">
        <is>
          <t>-</t>
        </is>
      </c>
      <c r="I887" s="11" t="inlineStr">
        <is>
          <t>-</t>
        </is>
      </c>
      <c r="J887" s="11" t="inlineStr">
        <is>
          <t>-</t>
        </is>
      </c>
      <c r="K887" s="11" t="inlineStr">
        <is>
          <t>-</t>
        </is>
      </c>
      <c r="L887" s="11" t="inlineStr">
        <is>
          <t>-</t>
        </is>
      </c>
      <c r="M887" s="11" t="inlineStr">
        <is>
          <t>-</t>
        </is>
      </c>
      <c r="N887" s="11" t="inlineStr">
        <is>
          <t>-</t>
        </is>
      </c>
      <c r="O887" s="11" t="inlineStr">
        <is>
          <t>-</t>
        </is>
      </c>
      <c r="P887" s="11" t="inlineStr">
        <is>
          <t>-</t>
        </is>
      </c>
      <c r="Q887" s="12" t="inlineStr">
        <is>
          <t>-</t>
        </is>
      </c>
    </row>
    <row r="888">
      <c r="A888" s="47" t="inlineStr">
        <is>
          <t>tuorlo d'uovo pastorizzato</t>
        </is>
      </c>
      <c r="B888" s="13" t="inlineStr">
        <is>
          <t>-</t>
        </is>
      </c>
      <c r="C888" s="14" t="inlineStr">
        <is>
          <t>-</t>
        </is>
      </c>
      <c r="D888" s="14" t="inlineStr">
        <is>
          <t>-</t>
        </is>
      </c>
      <c r="E888" s="14" t="inlineStr">
        <is>
          <t>-</t>
        </is>
      </c>
      <c r="F888" s="14" t="inlineStr">
        <is>
          <t>-</t>
        </is>
      </c>
      <c r="G888" s="14" t="inlineStr">
        <is>
          <t>-</t>
        </is>
      </c>
      <c r="H888" s="14" t="inlineStr">
        <is>
          <t>-</t>
        </is>
      </c>
      <c r="I888" s="14" t="inlineStr">
        <is>
          <t>-</t>
        </is>
      </c>
      <c r="J888" s="14" t="inlineStr">
        <is>
          <t>-</t>
        </is>
      </c>
      <c r="K888" s="14" t="inlineStr">
        <is>
          <t>-</t>
        </is>
      </c>
      <c r="L888" s="14" t="inlineStr">
        <is>
          <t>-</t>
        </is>
      </c>
      <c r="M888" s="14" t="inlineStr">
        <is>
          <t>-</t>
        </is>
      </c>
      <c r="N888" s="14" t="inlineStr">
        <is>
          <t>-</t>
        </is>
      </c>
      <c r="O888" s="14" t="inlineStr">
        <is>
          <t>-</t>
        </is>
      </c>
      <c r="P888" s="14" t="inlineStr">
        <is>
          <t>-</t>
        </is>
      </c>
      <c r="Q888" s="15" t="inlineStr">
        <is>
          <t>-</t>
        </is>
      </c>
    </row>
    <row r="889">
      <c r="A889" s="47" t="n"/>
      <c r="B889" s="16" t="inlineStr">
        <is>
          <t>-</t>
        </is>
      </c>
      <c r="C889" s="11" t="inlineStr">
        <is>
          <t>-</t>
        </is>
      </c>
      <c r="D889" s="11" t="inlineStr">
        <is>
          <t>-</t>
        </is>
      </c>
      <c r="E889" s="11" t="inlineStr">
        <is>
          <t>-</t>
        </is>
      </c>
      <c r="F889" s="11" t="inlineStr">
        <is>
          <t>-</t>
        </is>
      </c>
      <c r="G889" s="11" t="inlineStr">
        <is>
          <t>-</t>
        </is>
      </c>
      <c r="H889" s="11" t="inlineStr">
        <is>
          <t>-</t>
        </is>
      </c>
      <c r="I889" s="11" t="inlineStr">
        <is>
          <t>-</t>
        </is>
      </c>
      <c r="J889" s="11" t="inlineStr">
        <is>
          <t>-</t>
        </is>
      </c>
      <c r="K889" s="11" t="inlineStr">
        <is>
          <t>-</t>
        </is>
      </c>
      <c r="L889" s="11" t="inlineStr">
        <is>
          <t>-</t>
        </is>
      </c>
      <c r="M889" s="11" t="inlineStr">
        <is>
          <t>-</t>
        </is>
      </c>
      <c r="N889" s="11" t="inlineStr">
        <is>
          <t>-</t>
        </is>
      </c>
      <c r="O889" s="11" t="inlineStr">
        <is>
          <t>-</t>
        </is>
      </c>
      <c r="P889" s="11" t="inlineStr">
        <is>
          <t>-</t>
        </is>
      </c>
      <c r="Q889" s="12" t="inlineStr">
        <is>
          <t>-</t>
        </is>
      </c>
    </row>
    <row r="890">
      <c r="A890" s="47" t="n"/>
      <c r="B890" s="13" t="inlineStr">
        <is>
          <t>-</t>
        </is>
      </c>
      <c r="C890" s="14" t="inlineStr">
        <is>
          <t>-</t>
        </is>
      </c>
      <c r="D890" s="14" t="inlineStr">
        <is>
          <t>-</t>
        </is>
      </c>
      <c r="E890" s="14" t="inlineStr">
        <is>
          <t>-</t>
        </is>
      </c>
      <c r="F890" s="14" t="inlineStr">
        <is>
          <t>-</t>
        </is>
      </c>
      <c r="G890" s="14" t="inlineStr">
        <is>
          <t>-</t>
        </is>
      </c>
      <c r="H890" s="14" t="inlineStr">
        <is>
          <t>-</t>
        </is>
      </c>
      <c r="I890" s="14" t="inlineStr">
        <is>
          <t>-</t>
        </is>
      </c>
      <c r="J890" s="14" t="inlineStr">
        <is>
          <t>-</t>
        </is>
      </c>
      <c r="K890" s="14" t="inlineStr">
        <is>
          <t>-</t>
        </is>
      </c>
      <c r="L890" s="14" t="inlineStr">
        <is>
          <t>-</t>
        </is>
      </c>
      <c r="M890" s="14" t="inlineStr">
        <is>
          <t>-</t>
        </is>
      </c>
      <c r="N890" s="14" t="inlineStr">
        <is>
          <t>-</t>
        </is>
      </c>
      <c r="O890" s="14" t="inlineStr">
        <is>
          <t>-</t>
        </is>
      </c>
      <c r="P890" s="14" t="inlineStr">
        <is>
          <t>-</t>
        </is>
      </c>
      <c r="Q890" s="15" t="inlineStr">
        <is>
          <t>-</t>
        </is>
      </c>
    </row>
    <row r="891">
      <c r="A891" s="47" t="n"/>
      <c r="B891" s="16" t="inlineStr">
        <is>
          <t>-</t>
        </is>
      </c>
      <c r="C891" s="11" t="inlineStr">
        <is>
          <t>-</t>
        </is>
      </c>
      <c r="D891" s="11" t="inlineStr">
        <is>
          <t>-</t>
        </is>
      </c>
      <c r="E891" s="11" t="inlineStr">
        <is>
          <t>-</t>
        </is>
      </c>
      <c r="F891" s="11" t="inlineStr">
        <is>
          <t>-</t>
        </is>
      </c>
      <c r="G891" s="11" t="inlineStr">
        <is>
          <t>-</t>
        </is>
      </c>
      <c r="H891" s="11" t="inlineStr">
        <is>
          <t>-</t>
        </is>
      </c>
      <c r="I891" s="11" t="inlineStr">
        <is>
          <t>-</t>
        </is>
      </c>
      <c r="J891" s="11" t="inlineStr">
        <is>
          <t>-</t>
        </is>
      </c>
      <c r="K891" s="11" t="inlineStr">
        <is>
          <t>-</t>
        </is>
      </c>
      <c r="L891" s="11" t="inlineStr">
        <is>
          <t>-</t>
        </is>
      </c>
      <c r="M891" s="11" t="inlineStr">
        <is>
          <t>-</t>
        </is>
      </c>
      <c r="N891" s="11" t="inlineStr">
        <is>
          <t>-</t>
        </is>
      </c>
      <c r="O891" s="11" t="inlineStr">
        <is>
          <t>-</t>
        </is>
      </c>
      <c r="P891" s="11" t="inlineStr">
        <is>
          <t>-</t>
        </is>
      </c>
      <c r="Q891" s="12" t="inlineStr">
        <is>
          <t>-</t>
        </is>
      </c>
    </row>
    <row r="892">
      <c r="A892" s="47" t="n"/>
      <c r="B892" s="13" t="inlineStr">
        <is>
          <t>-</t>
        </is>
      </c>
      <c r="C892" s="14" t="inlineStr">
        <is>
          <t>-</t>
        </is>
      </c>
      <c r="D892" s="14" t="inlineStr">
        <is>
          <t>-</t>
        </is>
      </c>
      <c r="E892" s="14" t="inlineStr">
        <is>
          <t>-</t>
        </is>
      </c>
      <c r="F892" s="14" t="inlineStr">
        <is>
          <t>-</t>
        </is>
      </c>
      <c r="G892" s="14" t="inlineStr">
        <is>
          <t>-</t>
        </is>
      </c>
      <c r="H892" s="14" t="inlineStr">
        <is>
          <t>-</t>
        </is>
      </c>
      <c r="I892" s="14" t="inlineStr">
        <is>
          <t>-</t>
        </is>
      </c>
      <c r="J892" s="14" t="inlineStr">
        <is>
          <t>-</t>
        </is>
      </c>
      <c r="K892" s="14" t="inlineStr">
        <is>
          <t>-</t>
        </is>
      </c>
      <c r="L892" s="14" t="inlineStr">
        <is>
          <t>-</t>
        </is>
      </c>
      <c r="M892" s="14" t="inlineStr">
        <is>
          <t>-</t>
        </is>
      </c>
      <c r="N892" s="14" t="inlineStr">
        <is>
          <t>-</t>
        </is>
      </c>
      <c r="O892" s="14" t="inlineStr">
        <is>
          <t>-</t>
        </is>
      </c>
      <c r="P892" s="14" t="inlineStr">
        <is>
          <t>-</t>
        </is>
      </c>
      <c r="Q892" s="15" t="inlineStr">
        <is>
          <t>-</t>
        </is>
      </c>
    </row>
    <row r="893">
      <c r="A893" s="47" t="n"/>
      <c r="B893" s="16" t="inlineStr">
        <is>
          <t>-</t>
        </is>
      </c>
      <c r="C893" s="11" t="inlineStr">
        <is>
          <t>-</t>
        </is>
      </c>
      <c r="D893" s="11" t="inlineStr">
        <is>
          <t>-</t>
        </is>
      </c>
      <c r="E893" s="11" t="inlineStr">
        <is>
          <t>-</t>
        </is>
      </c>
      <c r="F893" s="11" t="inlineStr">
        <is>
          <t>-</t>
        </is>
      </c>
      <c r="G893" s="11" t="inlineStr">
        <is>
          <t>-</t>
        </is>
      </c>
      <c r="H893" s="11" t="inlineStr">
        <is>
          <t>-</t>
        </is>
      </c>
      <c r="I893" s="11" t="inlineStr">
        <is>
          <t>-</t>
        </is>
      </c>
      <c r="J893" s="11" t="inlineStr">
        <is>
          <t>-</t>
        </is>
      </c>
      <c r="K893" s="11" t="inlineStr">
        <is>
          <t>-</t>
        </is>
      </c>
      <c r="L893" s="11" t="inlineStr">
        <is>
          <t>-</t>
        </is>
      </c>
      <c r="M893" s="11" t="inlineStr">
        <is>
          <t>-</t>
        </is>
      </c>
      <c r="N893" s="11" t="inlineStr">
        <is>
          <t>-</t>
        </is>
      </c>
      <c r="O893" s="11" t="inlineStr">
        <is>
          <t>-</t>
        </is>
      </c>
      <c r="P893" s="11" t="inlineStr">
        <is>
          <t>-</t>
        </is>
      </c>
      <c r="Q893" s="12" t="inlineStr">
        <is>
          <t>-</t>
        </is>
      </c>
    </row>
    <row r="894">
      <c r="A894" s="47" t="n"/>
      <c r="B894" s="13" t="inlineStr">
        <is>
          <t>-</t>
        </is>
      </c>
      <c r="C894" s="14" t="inlineStr">
        <is>
          <t>-</t>
        </is>
      </c>
      <c r="D894" s="14" t="inlineStr">
        <is>
          <t>-</t>
        </is>
      </c>
      <c r="E894" s="14" t="inlineStr">
        <is>
          <t>-</t>
        </is>
      </c>
      <c r="F894" s="14" t="inlineStr">
        <is>
          <t>-</t>
        </is>
      </c>
      <c r="G894" s="14" t="inlineStr">
        <is>
          <t>-</t>
        </is>
      </c>
      <c r="H894" s="14" t="inlineStr">
        <is>
          <t>-</t>
        </is>
      </c>
      <c r="I894" s="14" t="inlineStr">
        <is>
          <t>-</t>
        </is>
      </c>
      <c r="J894" s="14" t="inlineStr">
        <is>
          <t>-</t>
        </is>
      </c>
      <c r="K894" s="14" t="inlineStr">
        <is>
          <t>-</t>
        </is>
      </c>
      <c r="L894" s="14" t="inlineStr">
        <is>
          <t>-</t>
        </is>
      </c>
      <c r="M894" s="14" t="inlineStr">
        <is>
          <t>-</t>
        </is>
      </c>
      <c r="N894" s="14" t="inlineStr">
        <is>
          <t>-</t>
        </is>
      </c>
      <c r="O894" s="14" t="inlineStr">
        <is>
          <t>-</t>
        </is>
      </c>
      <c r="P894" s="14" t="inlineStr">
        <is>
          <t>-</t>
        </is>
      </c>
      <c r="Q894" s="15" t="inlineStr">
        <is>
          <t>-</t>
        </is>
      </c>
    </row>
    <row r="895">
      <c r="A895" s="47" t="n"/>
      <c r="B895" s="16" t="inlineStr">
        <is>
          <t>-</t>
        </is>
      </c>
      <c r="C895" s="11" t="inlineStr">
        <is>
          <t>-</t>
        </is>
      </c>
      <c r="D895" s="11" t="inlineStr">
        <is>
          <t>-</t>
        </is>
      </c>
      <c r="E895" s="11" t="inlineStr">
        <is>
          <t>-</t>
        </is>
      </c>
      <c r="F895" s="11" t="inlineStr">
        <is>
          <t>-</t>
        </is>
      </c>
      <c r="G895" s="11" t="inlineStr">
        <is>
          <t>-</t>
        </is>
      </c>
      <c r="H895" s="11" t="inlineStr">
        <is>
          <t>-</t>
        </is>
      </c>
      <c r="I895" s="11" t="inlineStr">
        <is>
          <t>-</t>
        </is>
      </c>
      <c r="J895" s="11" t="inlineStr">
        <is>
          <t>-</t>
        </is>
      </c>
      <c r="K895" s="11" t="inlineStr">
        <is>
          <t>-</t>
        </is>
      </c>
      <c r="L895" s="11" t="inlineStr">
        <is>
          <t>-</t>
        </is>
      </c>
      <c r="M895" s="11" t="inlineStr">
        <is>
          <t>-</t>
        </is>
      </c>
      <c r="N895" s="11" t="inlineStr">
        <is>
          <t>-</t>
        </is>
      </c>
      <c r="O895" s="11" t="inlineStr">
        <is>
          <t>-</t>
        </is>
      </c>
      <c r="P895" s="11" t="inlineStr">
        <is>
          <t>-</t>
        </is>
      </c>
      <c r="Q895" s="12" t="inlineStr">
        <is>
          <t>-</t>
        </is>
      </c>
    </row>
    <row r="896">
      <c r="A896" s="47" t="n"/>
      <c r="B896" s="13" t="inlineStr">
        <is>
          <t>-</t>
        </is>
      </c>
      <c r="C896" s="14" t="inlineStr">
        <is>
          <t>-</t>
        </is>
      </c>
      <c r="D896" s="14" t="inlineStr">
        <is>
          <t>-</t>
        </is>
      </c>
      <c r="E896" s="14" t="inlineStr">
        <is>
          <t>-</t>
        </is>
      </c>
      <c r="F896" s="14" t="inlineStr">
        <is>
          <t>-</t>
        </is>
      </c>
      <c r="G896" s="14" t="inlineStr">
        <is>
          <t>-</t>
        </is>
      </c>
      <c r="H896" s="14" t="inlineStr">
        <is>
          <t>-</t>
        </is>
      </c>
      <c r="I896" s="14" t="inlineStr">
        <is>
          <t>-</t>
        </is>
      </c>
      <c r="J896" s="14" t="inlineStr">
        <is>
          <t>-</t>
        </is>
      </c>
      <c r="K896" s="14" t="inlineStr">
        <is>
          <t>-</t>
        </is>
      </c>
      <c r="L896" s="14" t="inlineStr">
        <is>
          <t>-</t>
        </is>
      </c>
      <c r="M896" s="14" t="inlineStr">
        <is>
          <t>-</t>
        </is>
      </c>
      <c r="N896" s="14" t="inlineStr">
        <is>
          <t>-</t>
        </is>
      </c>
      <c r="O896" s="14" t="inlineStr">
        <is>
          <t>-</t>
        </is>
      </c>
      <c r="P896" s="14" t="inlineStr">
        <is>
          <t>-</t>
        </is>
      </c>
      <c r="Q896" s="15" t="inlineStr">
        <is>
          <t>-</t>
        </is>
      </c>
    </row>
    <row r="897">
      <c r="A897" s="47" t="n"/>
      <c r="B897" s="16" t="inlineStr">
        <is>
          <t>-</t>
        </is>
      </c>
      <c r="C897" s="11" t="inlineStr">
        <is>
          <t>-</t>
        </is>
      </c>
      <c r="D897" s="11" t="inlineStr">
        <is>
          <t>-</t>
        </is>
      </c>
      <c r="E897" s="11" t="inlineStr">
        <is>
          <t>-</t>
        </is>
      </c>
      <c r="F897" s="11" t="inlineStr">
        <is>
          <t>-</t>
        </is>
      </c>
      <c r="G897" s="11" t="inlineStr">
        <is>
          <t>-</t>
        </is>
      </c>
      <c r="H897" s="11" t="inlineStr">
        <is>
          <t>-</t>
        </is>
      </c>
      <c r="I897" s="11" t="inlineStr">
        <is>
          <t>-</t>
        </is>
      </c>
      <c r="J897" s="11" t="inlineStr">
        <is>
          <t>-</t>
        </is>
      </c>
      <c r="K897" s="11" t="inlineStr">
        <is>
          <t>-</t>
        </is>
      </c>
      <c r="L897" s="11" t="inlineStr">
        <is>
          <t>-</t>
        </is>
      </c>
      <c r="M897" s="11" t="inlineStr">
        <is>
          <t>-</t>
        </is>
      </c>
      <c r="N897" s="11" t="inlineStr">
        <is>
          <t>-</t>
        </is>
      </c>
      <c r="O897" s="11" t="inlineStr">
        <is>
          <t>-</t>
        </is>
      </c>
      <c r="P897" s="11" t="inlineStr">
        <is>
          <t>-</t>
        </is>
      </c>
      <c r="Q897" s="12" t="inlineStr">
        <is>
          <t>-</t>
        </is>
      </c>
    </row>
    <row r="898" ht="36" customHeight="1" s="155">
      <c r="B898" s="46" t="inlineStr">
        <is>
          <t>krans cioccolato</t>
        </is>
      </c>
      <c r="C898" s="49">
        <f>_xlfn.XLOOKUP(A899,Magazzino!$D$1:$D$1500,Magazzino!$F$1:$F$1500,"",0,1)</f>
        <v/>
      </c>
      <c r="D898" s="50">
        <f>_xlfn.XLOOKUP(A900,Magazzino!$D$1:$D$1500,Magazzino!$F$1:$F$1500,"",0,1)</f>
        <v/>
      </c>
      <c r="E898" s="50">
        <f>_xlfn.XLOOKUP(A901,Magazzino!$D$1:$D$1500,Magazzino!$F$1:$F$1500,"",0,1)</f>
        <v/>
      </c>
      <c r="F898" s="50">
        <f>_xlfn.XLOOKUP(A902,Magazzino!$D$1:$D$1500,Magazzino!$F$1:$F$1500,"",0,1)</f>
        <v/>
      </c>
      <c r="G898" s="50">
        <f>_xlfn.XLOOKUP(A903,Magazzino!$D$1:$D$1500,Magazzino!$F$1:$F$1500,"",0,1)</f>
        <v/>
      </c>
      <c r="H898" s="50">
        <f>_xlfn.XLOOKUP(A904,Magazzino!$D$1:$D$1500,Magazzino!$F$1:$F$1500,"",0,1)</f>
        <v/>
      </c>
      <c r="I898" s="50">
        <f>_xlfn.XLOOKUP(A905,Magazzino!$D$1:$D$1500,Magazzino!$F$1:$F$1500,"",0,1)</f>
        <v/>
      </c>
      <c r="J898" s="50">
        <f>_xlfn.XLOOKUP(A906,Magazzino!$D$1:$D$1500,Magazzino!$F$1:$F$1500,"",0,1)</f>
        <v/>
      </c>
      <c r="K898" s="50">
        <f>_xlfn.XLOOKUP(A907,Magazzino!$D$1:$D$1500,Magazzino!$F$1:$F$1500,"",0,1)</f>
        <v/>
      </c>
      <c r="L898" s="50">
        <f>_xlfn.XLOOKUP(A908,Magazzino!$D$1:$D$1500,Magazzino!$F$1:$F$1500,"",0,1)</f>
        <v/>
      </c>
      <c r="M898" s="50">
        <f>_xlfn.XLOOKUP(A909,Magazzino!$D$1:$D$1500,Magazzino!$F$1:$F$1500,"",0,1)</f>
        <v/>
      </c>
      <c r="N898" s="50">
        <f>_xlfn.XLOOKUP(A910,Magazzino!$D$1:$D$1500,Magazzino!$F$1:$F$1500,"",0,1)</f>
        <v/>
      </c>
      <c r="O898" s="50">
        <f>_xlfn.XLOOKUP(A911,Magazzino!$D$1:$D$1500,Magazzino!$F$1:$F$1500,"",0,1)</f>
        <v/>
      </c>
      <c r="P898" s="50">
        <f>_xlfn.XLOOKUP(A912,Magazzino!$D$1:$D$1500,Magazzino!$F$1:$F$1500,"",0,1)</f>
        <v/>
      </c>
      <c r="Q898" s="51">
        <f>_xlfn.XLOOKUP(A913,Magazzino!$D$1:$D$1500,Magazzino!$F$1:$F$1500,"",0,1)</f>
        <v/>
      </c>
    </row>
    <row r="899">
      <c r="A899" s="47" t="inlineStr">
        <is>
          <t xml:space="preserve">FARINA 0/MAN. CAPUTO DA KG.25  </t>
        </is>
      </c>
      <c r="B899" s="16" t="inlineStr">
        <is>
          <t>-</t>
        </is>
      </c>
      <c r="C899" s="11" t="inlineStr">
        <is>
          <t>-</t>
        </is>
      </c>
      <c r="D899" s="11" t="inlineStr">
        <is>
          <t>-</t>
        </is>
      </c>
      <c r="E899" s="11" t="inlineStr">
        <is>
          <t>-</t>
        </is>
      </c>
      <c r="F899" s="11" t="inlineStr">
        <is>
          <t>-</t>
        </is>
      </c>
      <c r="G899" s="11" t="inlineStr">
        <is>
          <t>-</t>
        </is>
      </c>
      <c r="H899" s="11" t="inlineStr">
        <is>
          <t>-</t>
        </is>
      </c>
      <c r="I899" s="11" t="inlineStr">
        <is>
          <t>-</t>
        </is>
      </c>
      <c r="J899" s="11" t="inlineStr">
        <is>
          <t>-</t>
        </is>
      </c>
      <c r="K899" s="11" t="inlineStr">
        <is>
          <t>-</t>
        </is>
      </c>
      <c r="L899" s="11" t="inlineStr">
        <is>
          <t>-</t>
        </is>
      </c>
      <c r="M899" s="11" t="inlineStr">
        <is>
          <t>-</t>
        </is>
      </c>
      <c r="N899" s="11" t="inlineStr">
        <is>
          <t>-</t>
        </is>
      </c>
      <c r="O899" s="11" t="inlineStr">
        <is>
          <t>-</t>
        </is>
      </c>
      <c r="P899" s="11" t="inlineStr">
        <is>
          <t>-</t>
        </is>
      </c>
      <c r="Q899" s="12" t="inlineStr">
        <is>
          <t>-</t>
        </is>
      </c>
    </row>
    <row r="900">
      <c r="A900" s="47" t="inlineStr">
        <is>
          <t>margarina crema</t>
        </is>
      </c>
      <c r="B900" s="13" t="inlineStr">
        <is>
          <t>-</t>
        </is>
      </c>
      <c r="C900" s="14" t="inlineStr">
        <is>
          <t>-</t>
        </is>
      </c>
      <c r="D900" s="14" t="inlineStr">
        <is>
          <t>-</t>
        </is>
      </c>
      <c r="E900" s="14" t="inlineStr">
        <is>
          <t>-</t>
        </is>
      </c>
      <c r="F900" s="14" t="inlineStr">
        <is>
          <t>-</t>
        </is>
      </c>
      <c r="G900" s="14" t="inlineStr">
        <is>
          <t>-</t>
        </is>
      </c>
      <c r="H900" s="14" t="inlineStr">
        <is>
          <t>-</t>
        </is>
      </c>
      <c r="I900" s="14" t="inlineStr">
        <is>
          <t>-</t>
        </is>
      </c>
      <c r="J900" s="14" t="inlineStr">
        <is>
          <t>-</t>
        </is>
      </c>
      <c r="K900" s="14" t="inlineStr">
        <is>
          <t>-</t>
        </is>
      </c>
      <c r="L900" s="14" t="inlineStr">
        <is>
          <t>-</t>
        </is>
      </c>
      <c r="M900" s="14" t="inlineStr">
        <is>
          <t>-</t>
        </is>
      </c>
      <c r="N900" s="14" t="inlineStr">
        <is>
          <t>-</t>
        </is>
      </c>
      <c r="O900" s="14" t="inlineStr">
        <is>
          <t>-</t>
        </is>
      </c>
      <c r="P900" s="14" t="inlineStr">
        <is>
          <t>-</t>
        </is>
      </c>
      <c r="Q900" s="15" t="inlineStr">
        <is>
          <t>-</t>
        </is>
      </c>
    </row>
    <row r="901">
      <c r="A901" s="47" t="inlineStr">
        <is>
          <t>LIEVITO x 2.5kg</t>
        </is>
      </c>
      <c r="B901" s="16" t="inlineStr">
        <is>
          <t>-</t>
        </is>
      </c>
      <c r="C901" s="11" t="inlineStr">
        <is>
          <t>-</t>
        </is>
      </c>
      <c r="D901" s="11" t="inlineStr">
        <is>
          <t>-</t>
        </is>
      </c>
      <c r="E901" s="11" t="inlineStr">
        <is>
          <t>-</t>
        </is>
      </c>
      <c r="F901" s="11" t="inlineStr">
        <is>
          <t>-</t>
        </is>
      </c>
      <c r="G901" s="11" t="inlineStr">
        <is>
          <t>-</t>
        </is>
      </c>
      <c r="H901" s="11" t="inlineStr">
        <is>
          <t>-</t>
        </is>
      </c>
      <c r="I901" s="11" t="inlineStr">
        <is>
          <t>-</t>
        </is>
      </c>
      <c r="J901" s="11" t="inlineStr">
        <is>
          <t>-</t>
        </is>
      </c>
      <c r="K901" s="11" t="inlineStr">
        <is>
          <t>-</t>
        </is>
      </c>
      <c r="L901" s="11" t="inlineStr">
        <is>
          <t>-</t>
        </is>
      </c>
      <c r="M901" s="11" t="inlineStr">
        <is>
          <t>-</t>
        </is>
      </c>
      <c r="N901" s="11" t="inlineStr">
        <is>
          <t>-</t>
        </is>
      </c>
      <c r="O901" s="11" t="inlineStr">
        <is>
          <t>-</t>
        </is>
      </c>
      <c r="P901" s="11" t="inlineStr">
        <is>
          <t>-</t>
        </is>
      </c>
      <c r="Q901" s="12" t="inlineStr">
        <is>
          <t>-</t>
        </is>
      </c>
    </row>
    <row r="902">
      <c r="A902" s="47" t="inlineStr">
        <is>
          <t>uova</t>
        </is>
      </c>
      <c r="B902" s="13" t="inlineStr">
        <is>
          <t>-</t>
        </is>
      </c>
      <c r="C902" s="14" t="inlineStr">
        <is>
          <t>-</t>
        </is>
      </c>
      <c r="D902" s="14" t="inlineStr">
        <is>
          <t>-</t>
        </is>
      </c>
      <c r="E902" s="14" t="inlineStr">
        <is>
          <t>-</t>
        </is>
      </c>
      <c r="F902" s="14" t="inlineStr">
        <is>
          <t>-</t>
        </is>
      </c>
      <c r="G902" s="14" t="inlineStr">
        <is>
          <t>-</t>
        </is>
      </c>
      <c r="H902" s="14" t="inlineStr">
        <is>
          <t>-</t>
        </is>
      </c>
      <c r="I902" s="14" t="inlineStr">
        <is>
          <t>-</t>
        </is>
      </c>
      <c r="J902" s="14" t="inlineStr">
        <is>
          <t>-</t>
        </is>
      </c>
      <c r="K902" s="14" t="inlineStr">
        <is>
          <t>-</t>
        </is>
      </c>
      <c r="L902" s="14" t="inlineStr">
        <is>
          <t>-</t>
        </is>
      </c>
      <c r="M902" s="14" t="inlineStr">
        <is>
          <t>-</t>
        </is>
      </c>
      <c r="N902" s="14" t="inlineStr">
        <is>
          <t>-</t>
        </is>
      </c>
      <c r="O902" s="14" t="inlineStr">
        <is>
          <t>-</t>
        </is>
      </c>
      <c r="P902" s="14" t="inlineStr">
        <is>
          <t>-</t>
        </is>
      </c>
      <c r="Q902" s="15" t="inlineStr">
        <is>
          <t>-</t>
        </is>
      </c>
    </row>
    <row r="903">
      <c r="A903" s="47" t="inlineStr">
        <is>
          <t>AROMA CROISSANT</t>
        </is>
      </c>
      <c r="B903" s="16" t="inlineStr">
        <is>
          <t>-</t>
        </is>
      </c>
      <c r="C903" s="11" t="inlineStr">
        <is>
          <t>-</t>
        </is>
      </c>
      <c r="D903" s="11" t="inlineStr">
        <is>
          <t>-</t>
        </is>
      </c>
      <c r="E903" s="11" t="inlineStr">
        <is>
          <t>-</t>
        </is>
      </c>
      <c r="F903" s="11" t="inlineStr">
        <is>
          <t>-</t>
        </is>
      </c>
      <c r="G903" s="11" t="inlineStr">
        <is>
          <t>-</t>
        </is>
      </c>
      <c r="H903" s="11" t="inlineStr">
        <is>
          <t>-</t>
        </is>
      </c>
      <c r="I903" s="11" t="inlineStr">
        <is>
          <t>-</t>
        </is>
      </c>
      <c r="J903" s="11" t="inlineStr">
        <is>
          <t>-</t>
        </is>
      </c>
      <c r="K903" s="11" t="inlineStr">
        <is>
          <t>-</t>
        </is>
      </c>
      <c r="L903" s="11" t="inlineStr">
        <is>
          <t>-</t>
        </is>
      </c>
      <c r="M903" s="11" t="inlineStr">
        <is>
          <t>-</t>
        </is>
      </c>
      <c r="N903" s="11" t="inlineStr">
        <is>
          <t>-</t>
        </is>
      </c>
      <c r="O903" s="11" t="inlineStr">
        <is>
          <t>-</t>
        </is>
      </c>
      <c r="P903" s="11" t="inlineStr">
        <is>
          <t>-</t>
        </is>
      </c>
      <c r="Q903" s="12" t="inlineStr">
        <is>
          <t>-</t>
        </is>
      </c>
    </row>
    <row r="904">
      <c r="A904" s="47" t="inlineStr">
        <is>
          <t>latte   1500 int.uht  yma</t>
        </is>
      </c>
      <c r="B904" s="13" t="inlineStr">
        <is>
          <t>-</t>
        </is>
      </c>
      <c r="C904" s="14" t="inlineStr">
        <is>
          <t>-</t>
        </is>
      </c>
      <c r="D904" s="14" t="inlineStr">
        <is>
          <t>-</t>
        </is>
      </c>
      <c r="E904" s="14" t="inlineStr">
        <is>
          <t>-</t>
        </is>
      </c>
      <c r="F904" s="14" t="inlineStr">
        <is>
          <t>-</t>
        </is>
      </c>
      <c r="G904" s="14" t="inlineStr">
        <is>
          <t>-</t>
        </is>
      </c>
      <c r="H904" s="14" t="inlineStr">
        <is>
          <t>-</t>
        </is>
      </c>
      <c r="I904" s="14" t="inlineStr">
        <is>
          <t>-</t>
        </is>
      </c>
      <c r="J904" s="14" t="inlineStr">
        <is>
          <t>-</t>
        </is>
      </c>
      <c r="K904" s="14" t="inlineStr">
        <is>
          <t>-</t>
        </is>
      </c>
      <c r="L904" s="14" t="inlineStr">
        <is>
          <t>-</t>
        </is>
      </c>
      <c r="M904" s="14" t="inlineStr">
        <is>
          <t>-</t>
        </is>
      </c>
      <c r="N904" s="14" t="inlineStr">
        <is>
          <t>-</t>
        </is>
      </c>
      <c r="O904" s="14" t="inlineStr">
        <is>
          <t>-</t>
        </is>
      </c>
      <c r="P904" s="14" t="inlineStr">
        <is>
          <t>-</t>
        </is>
      </c>
      <c r="Q904" s="15" t="inlineStr">
        <is>
          <t>-</t>
        </is>
      </c>
    </row>
    <row r="905">
      <c r="A905" s="48" t="inlineStr">
        <is>
          <t xml:space="preserve">SALE SACCHI SALTECHNO KG.25  </t>
        </is>
      </c>
      <c r="B905" s="16" t="inlineStr">
        <is>
          <t>-</t>
        </is>
      </c>
      <c r="C905" s="11" t="inlineStr">
        <is>
          <t>-</t>
        </is>
      </c>
      <c r="D905" s="11" t="inlineStr">
        <is>
          <t>-</t>
        </is>
      </c>
      <c r="E905" s="11" t="inlineStr">
        <is>
          <t>-</t>
        </is>
      </c>
      <c r="F905" s="11" t="inlineStr">
        <is>
          <t>-</t>
        </is>
      </c>
      <c r="G905" s="11" t="inlineStr">
        <is>
          <t>-</t>
        </is>
      </c>
      <c r="H905" s="11" t="inlineStr">
        <is>
          <t>-</t>
        </is>
      </c>
      <c r="I905" s="11" t="inlineStr">
        <is>
          <t>-</t>
        </is>
      </c>
      <c r="J905" s="11" t="inlineStr">
        <is>
          <t>-</t>
        </is>
      </c>
      <c r="K905" s="11" t="inlineStr">
        <is>
          <t>-</t>
        </is>
      </c>
      <c r="L905" s="11" t="inlineStr">
        <is>
          <t>-</t>
        </is>
      </c>
      <c r="M905" s="11" t="inlineStr">
        <is>
          <t>-</t>
        </is>
      </c>
      <c r="N905" s="11" t="inlineStr">
        <is>
          <t>-</t>
        </is>
      </c>
      <c r="O905" s="11" t="inlineStr">
        <is>
          <t>-</t>
        </is>
      </c>
      <c r="P905" s="11" t="inlineStr">
        <is>
          <t>-</t>
        </is>
      </c>
      <c r="Q905" s="12" t="inlineStr">
        <is>
          <t>-</t>
        </is>
      </c>
    </row>
    <row r="906" ht="24" customHeight="1" s="155">
      <c r="A906" s="47" t="inlineStr">
        <is>
          <t xml:space="preserve">gocce cori di cioccolato fondente (900/hg) da kg 5  </t>
        </is>
      </c>
      <c r="B906" s="13" t="inlineStr">
        <is>
          <t>-</t>
        </is>
      </c>
      <c r="C906" s="14" t="inlineStr">
        <is>
          <t>-</t>
        </is>
      </c>
      <c r="D906" s="14" t="inlineStr">
        <is>
          <t>-</t>
        </is>
      </c>
      <c r="E906" s="14" t="inlineStr">
        <is>
          <t>-</t>
        </is>
      </c>
      <c r="F906" s="14" t="inlineStr">
        <is>
          <t>-</t>
        </is>
      </c>
      <c r="G906" s="14" t="inlineStr">
        <is>
          <t>-</t>
        </is>
      </c>
      <c r="H906" s="14" t="inlineStr">
        <is>
          <t>-</t>
        </is>
      </c>
      <c r="I906" s="14" t="inlineStr">
        <is>
          <t>-</t>
        </is>
      </c>
      <c r="J906" s="14" t="inlineStr">
        <is>
          <t>-</t>
        </is>
      </c>
      <c r="K906" s="14" t="inlineStr">
        <is>
          <t>-</t>
        </is>
      </c>
      <c r="L906" s="14" t="inlineStr">
        <is>
          <t>-</t>
        </is>
      </c>
      <c r="M906" s="14" t="inlineStr">
        <is>
          <t>-</t>
        </is>
      </c>
      <c r="N906" s="14" t="inlineStr">
        <is>
          <t>-</t>
        </is>
      </c>
      <c r="O906" s="14" t="inlineStr">
        <is>
          <t>-</t>
        </is>
      </c>
      <c r="P906" s="14" t="inlineStr">
        <is>
          <t>-</t>
        </is>
      </c>
      <c r="Q906" s="15" t="inlineStr">
        <is>
          <t>-</t>
        </is>
      </c>
    </row>
    <row r="907">
      <c r="A907" s="47" t="n"/>
      <c r="B907" s="16" t="inlineStr">
        <is>
          <t>-</t>
        </is>
      </c>
      <c r="C907" s="11" t="inlineStr">
        <is>
          <t>-</t>
        </is>
      </c>
      <c r="D907" s="11" t="inlineStr">
        <is>
          <t>-</t>
        </is>
      </c>
      <c r="E907" s="11" t="inlineStr">
        <is>
          <t>-</t>
        </is>
      </c>
      <c r="F907" s="11" t="inlineStr">
        <is>
          <t>-</t>
        </is>
      </c>
      <c r="G907" s="11" t="inlineStr">
        <is>
          <t>-</t>
        </is>
      </c>
      <c r="H907" s="11" t="inlineStr">
        <is>
          <t>-</t>
        </is>
      </c>
      <c r="I907" s="11" t="inlineStr">
        <is>
          <t>-</t>
        </is>
      </c>
      <c r="J907" s="11" t="inlineStr">
        <is>
          <t>-</t>
        </is>
      </c>
      <c r="K907" s="11" t="inlineStr">
        <is>
          <t>-</t>
        </is>
      </c>
      <c r="L907" s="11" t="inlineStr">
        <is>
          <t>-</t>
        </is>
      </c>
      <c r="M907" s="11" t="inlineStr">
        <is>
          <t>-</t>
        </is>
      </c>
      <c r="N907" s="11" t="inlineStr">
        <is>
          <t>-</t>
        </is>
      </c>
      <c r="O907" s="11" t="inlineStr">
        <is>
          <t>-</t>
        </is>
      </c>
      <c r="P907" s="11" t="inlineStr">
        <is>
          <t>-</t>
        </is>
      </c>
      <c r="Q907" s="12" t="inlineStr">
        <is>
          <t>-</t>
        </is>
      </c>
    </row>
    <row r="908">
      <c r="A908" s="47" t="n"/>
      <c r="B908" s="13" t="inlineStr">
        <is>
          <t>-</t>
        </is>
      </c>
      <c r="C908" s="14" t="inlineStr">
        <is>
          <t>-</t>
        </is>
      </c>
      <c r="D908" s="14" t="inlineStr">
        <is>
          <t>-</t>
        </is>
      </c>
      <c r="E908" s="14" t="inlineStr">
        <is>
          <t>-</t>
        </is>
      </c>
      <c r="F908" s="14" t="inlineStr">
        <is>
          <t>-</t>
        </is>
      </c>
      <c r="G908" s="14" t="inlineStr">
        <is>
          <t>-</t>
        </is>
      </c>
      <c r="H908" s="14" t="inlineStr">
        <is>
          <t>-</t>
        </is>
      </c>
      <c r="I908" s="14" t="inlineStr">
        <is>
          <t>-</t>
        </is>
      </c>
      <c r="J908" s="14" t="inlineStr">
        <is>
          <t>-</t>
        </is>
      </c>
      <c r="K908" s="14" t="inlineStr">
        <is>
          <t>-</t>
        </is>
      </c>
      <c r="L908" s="14" t="inlineStr">
        <is>
          <t>-</t>
        </is>
      </c>
      <c r="M908" s="14" t="inlineStr">
        <is>
          <t>-</t>
        </is>
      </c>
      <c r="N908" s="14" t="inlineStr">
        <is>
          <t>-</t>
        </is>
      </c>
      <c r="O908" s="14" t="inlineStr">
        <is>
          <t>-</t>
        </is>
      </c>
      <c r="P908" s="14" t="inlineStr">
        <is>
          <t>-</t>
        </is>
      </c>
      <c r="Q908" s="15" t="inlineStr">
        <is>
          <t>-</t>
        </is>
      </c>
    </row>
    <row r="909">
      <c r="A909" s="47" t="n"/>
      <c r="B909" s="16" t="inlineStr">
        <is>
          <t>-</t>
        </is>
      </c>
      <c r="C909" s="11" t="inlineStr">
        <is>
          <t>-</t>
        </is>
      </c>
      <c r="D909" s="11" t="inlineStr">
        <is>
          <t>-</t>
        </is>
      </c>
      <c r="E909" s="11" t="inlineStr">
        <is>
          <t>-</t>
        </is>
      </c>
      <c r="F909" s="11" t="inlineStr">
        <is>
          <t>-</t>
        </is>
      </c>
      <c r="G909" s="11" t="inlineStr">
        <is>
          <t>-</t>
        </is>
      </c>
      <c r="H909" s="11" t="inlineStr">
        <is>
          <t>-</t>
        </is>
      </c>
      <c r="I909" s="11" t="inlineStr">
        <is>
          <t>-</t>
        </is>
      </c>
      <c r="J909" s="11" t="inlineStr">
        <is>
          <t>-</t>
        </is>
      </c>
      <c r="K909" s="11" t="inlineStr">
        <is>
          <t>-</t>
        </is>
      </c>
      <c r="L909" s="11" t="inlineStr">
        <is>
          <t>-</t>
        </is>
      </c>
      <c r="M909" s="11" t="inlineStr">
        <is>
          <t>-</t>
        </is>
      </c>
      <c r="N909" s="11" t="inlineStr">
        <is>
          <t>-</t>
        </is>
      </c>
      <c r="O909" s="11" t="inlineStr">
        <is>
          <t>-</t>
        </is>
      </c>
      <c r="P909" s="11" t="inlineStr">
        <is>
          <t>-</t>
        </is>
      </c>
      <c r="Q909" s="12" t="inlineStr">
        <is>
          <t>-</t>
        </is>
      </c>
    </row>
    <row r="910">
      <c r="A910" s="47" t="n"/>
      <c r="B910" s="13" t="inlineStr">
        <is>
          <t>-</t>
        </is>
      </c>
      <c r="C910" s="14" t="inlineStr">
        <is>
          <t>-</t>
        </is>
      </c>
      <c r="D910" s="14" t="inlineStr">
        <is>
          <t>-</t>
        </is>
      </c>
      <c r="E910" s="14" t="inlineStr">
        <is>
          <t>-</t>
        </is>
      </c>
      <c r="F910" s="14" t="inlineStr">
        <is>
          <t>-</t>
        </is>
      </c>
      <c r="G910" s="14" t="inlineStr">
        <is>
          <t>-</t>
        </is>
      </c>
      <c r="H910" s="14" t="inlineStr">
        <is>
          <t>-</t>
        </is>
      </c>
      <c r="I910" s="14" t="inlineStr">
        <is>
          <t>-</t>
        </is>
      </c>
      <c r="J910" s="14" t="inlineStr">
        <is>
          <t>-</t>
        </is>
      </c>
      <c r="K910" s="14" t="inlineStr">
        <is>
          <t>-</t>
        </is>
      </c>
      <c r="L910" s="14" t="inlineStr">
        <is>
          <t>-</t>
        </is>
      </c>
      <c r="M910" s="14" t="inlineStr">
        <is>
          <t>-</t>
        </is>
      </c>
      <c r="N910" s="14" t="inlineStr">
        <is>
          <t>-</t>
        </is>
      </c>
      <c r="O910" s="14" t="inlineStr">
        <is>
          <t>-</t>
        </is>
      </c>
      <c r="P910" s="14" t="inlineStr">
        <is>
          <t>-</t>
        </is>
      </c>
      <c r="Q910" s="15" t="inlineStr">
        <is>
          <t>-</t>
        </is>
      </c>
    </row>
    <row r="911">
      <c r="A911" s="47" t="n"/>
      <c r="B911" s="16" t="inlineStr">
        <is>
          <t>-</t>
        </is>
      </c>
      <c r="C911" s="11" t="inlineStr">
        <is>
          <t>-</t>
        </is>
      </c>
      <c r="D911" s="11" t="inlineStr">
        <is>
          <t>-</t>
        </is>
      </c>
      <c r="E911" s="11" t="inlineStr">
        <is>
          <t>-</t>
        </is>
      </c>
      <c r="F911" s="11" t="inlineStr">
        <is>
          <t>-</t>
        </is>
      </c>
      <c r="G911" s="11" t="inlineStr">
        <is>
          <t>-</t>
        </is>
      </c>
      <c r="H911" s="11" t="inlineStr">
        <is>
          <t>-</t>
        </is>
      </c>
      <c r="I911" s="11" t="inlineStr">
        <is>
          <t>-</t>
        </is>
      </c>
      <c r="J911" s="11" t="inlineStr">
        <is>
          <t>-</t>
        </is>
      </c>
      <c r="K911" s="11" t="inlineStr">
        <is>
          <t>-</t>
        </is>
      </c>
      <c r="L911" s="11" t="inlineStr">
        <is>
          <t>-</t>
        </is>
      </c>
      <c r="M911" s="11" t="inlineStr">
        <is>
          <t>-</t>
        </is>
      </c>
      <c r="N911" s="11" t="inlineStr">
        <is>
          <t>-</t>
        </is>
      </c>
      <c r="O911" s="11" t="inlineStr">
        <is>
          <t>-</t>
        </is>
      </c>
      <c r="P911" s="11" t="inlineStr">
        <is>
          <t>-</t>
        </is>
      </c>
      <c r="Q911" s="12" t="inlineStr">
        <is>
          <t>-</t>
        </is>
      </c>
    </row>
    <row r="912">
      <c r="A912" s="47" t="n"/>
      <c r="B912" s="13" t="inlineStr">
        <is>
          <t>-</t>
        </is>
      </c>
      <c r="C912" s="14" t="inlineStr">
        <is>
          <t>-</t>
        </is>
      </c>
      <c r="D912" s="14" t="inlineStr">
        <is>
          <t>-</t>
        </is>
      </c>
      <c r="E912" s="14" t="inlineStr">
        <is>
          <t>-</t>
        </is>
      </c>
      <c r="F912" s="14" t="inlineStr">
        <is>
          <t>-</t>
        </is>
      </c>
      <c r="G912" s="14" t="inlineStr">
        <is>
          <t>-</t>
        </is>
      </c>
      <c r="H912" s="14" t="inlineStr">
        <is>
          <t>-</t>
        </is>
      </c>
      <c r="I912" s="14" t="inlineStr">
        <is>
          <t>-</t>
        </is>
      </c>
      <c r="J912" s="14" t="inlineStr">
        <is>
          <t>-</t>
        </is>
      </c>
      <c r="K912" s="14" t="inlineStr">
        <is>
          <t>-</t>
        </is>
      </c>
      <c r="L912" s="14" t="inlineStr">
        <is>
          <t>-</t>
        </is>
      </c>
      <c r="M912" s="14" t="inlineStr">
        <is>
          <t>-</t>
        </is>
      </c>
      <c r="N912" s="14" t="inlineStr">
        <is>
          <t>-</t>
        </is>
      </c>
      <c r="O912" s="14" t="inlineStr">
        <is>
          <t>-</t>
        </is>
      </c>
      <c r="P912" s="14" t="inlineStr">
        <is>
          <t>-</t>
        </is>
      </c>
      <c r="Q912" s="15" t="inlineStr">
        <is>
          <t>-</t>
        </is>
      </c>
    </row>
    <row r="913">
      <c r="A913" s="47" t="n"/>
      <c r="B913" s="16" t="inlineStr">
        <is>
          <t>-</t>
        </is>
      </c>
      <c r="C913" s="11" t="inlineStr">
        <is>
          <t>-</t>
        </is>
      </c>
      <c r="D913" s="11" t="inlineStr">
        <is>
          <t>-</t>
        </is>
      </c>
      <c r="E913" s="11" t="inlineStr">
        <is>
          <t>-</t>
        </is>
      </c>
      <c r="F913" s="11" t="inlineStr">
        <is>
          <t>-</t>
        </is>
      </c>
      <c r="G913" s="11" t="inlineStr">
        <is>
          <t>-</t>
        </is>
      </c>
      <c r="H913" s="11" t="inlineStr">
        <is>
          <t>-</t>
        </is>
      </c>
      <c r="I913" s="11" t="inlineStr">
        <is>
          <t>-</t>
        </is>
      </c>
      <c r="J913" s="11" t="inlineStr">
        <is>
          <t>-</t>
        </is>
      </c>
      <c r="K913" s="11" t="inlineStr">
        <is>
          <t>-</t>
        </is>
      </c>
      <c r="L913" s="11" t="inlineStr">
        <is>
          <t>-</t>
        </is>
      </c>
      <c r="M913" s="11" t="inlineStr">
        <is>
          <t>-</t>
        </is>
      </c>
      <c r="N913" s="11" t="inlineStr">
        <is>
          <t>-</t>
        </is>
      </c>
      <c r="O913" s="11" t="inlineStr">
        <is>
          <t>-</t>
        </is>
      </c>
      <c r="P913" s="11" t="inlineStr">
        <is>
          <t>-</t>
        </is>
      </c>
      <c r="Q913" s="12" t="inlineStr">
        <is>
          <t>-</t>
        </is>
      </c>
    </row>
    <row r="914" ht="36" customHeight="1" s="155">
      <c r="B914" s="46" t="inlineStr">
        <is>
          <t>krans uvetta</t>
        </is>
      </c>
      <c r="C914" s="49">
        <f>_xlfn.XLOOKUP(A915,Magazzino!$D$1:$D$1500,Magazzino!$F$1:$F$1500,"",0,1)</f>
        <v/>
      </c>
      <c r="D914" s="50">
        <f>_xlfn.XLOOKUP(A916,Magazzino!$D$1:$D$1500,Magazzino!$F$1:$F$1500,"",0,1)</f>
        <v/>
      </c>
      <c r="E914" s="50">
        <f>_xlfn.XLOOKUP(A917,Magazzino!$D$1:$D$1500,Magazzino!$F$1:$F$1500,"",0,1)</f>
        <v/>
      </c>
      <c r="F914" s="50">
        <f>_xlfn.XLOOKUP(A918,Magazzino!$D$1:$D$1500,Magazzino!$F$1:$F$1500,"",0,1)</f>
        <v/>
      </c>
      <c r="G914" s="50">
        <f>_xlfn.XLOOKUP(A919,Magazzino!$D$1:$D$1500,Magazzino!$F$1:$F$1500,"",0,1)</f>
        <v/>
      </c>
      <c r="H914" s="50">
        <f>_xlfn.XLOOKUP(A920,Magazzino!$D$1:$D$1500,Magazzino!$F$1:$F$1500,"",0,1)</f>
        <v/>
      </c>
      <c r="I914" s="50">
        <f>_xlfn.XLOOKUP(A921,Magazzino!$D$1:$D$1500,Magazzino!$F$1:$F$1500,"",0,1)</f>
        <v/>
      </c>
      <c r="J914" s="50">
        <f>_xlfn.XLOOKUP(A922,Magazzino!$D$1:$D$1500,Magazzino!$F$1:$F$1500,"",0,1)</f>
        <v/>
      </c>
      <c r="K914" s="50">
        <f>_xlfn.XLOOKUP(A923,Magazzino!$D$1:$D$1500,Magazzino!$F$1:$F$1500,"",0,1)</f>
        <v/>
      </c>
      <c r="L914" s="50">
        <f>_xlfn.XLOOKUP(A924,Magazzino!$D$1:$D$1500,Magazzino!$F$1:$F$1500,"",0,1)</f>
        <v/>
      </c>
      <c r="M914" s="50">
        <f>_xlfn.XLOOKUP(A925,Magazzino!$D$1:$D$1500,Magazzino!$F$1:$F$1500,"",0,1)</f>
        <v/>
      </c>
      <c r="N914" s="50">
        <f>_xlfn.XLOOKUP(A926,Magazzino!$D$1:$D$1500,Magazzino!$F$1:$F$1500,"",0,1)</f>
        <v/>
      </c>
      <c r="O914" s="50">
        <f>_xlfn.XLOOKUP(A927,Magazzino!$D$1:$D$1500,Magazzino!$F$1:$F$1500,"",0,1)</f>
        <v/>
      </c>
      <c r="P914" s="50">
        <f>_xlfn.XLOOKUP(A928,Magazzino!$D$1:$D$1500,Magazzino!$F$1:$F$1500,"",0,1)</f>
        <v/>
      </c>
      <c r="Q914" s="51">
        <f>_xlfn.XLOOKUP(A929,Magazzino!$D$1:$D$1500,Magazzino!$F$1:$F$1500,"",0,1)</f>
        <v/>
      </c>
    </row>
    <row r="915">
      <c r="A915" s="47" t="inlineStr">
        <is>
          <t xml:space="preserve">FARINA 0/MAN. CAPUTO DA KG.25  </t>
        </is>
      </c>
      <c r="B915" s="16" t="inlineStr">
        <is>
          <t>-</t>
        </is>
      </c>
      <c r="C915" s="11" t="inlineStr">
        <is>
          <t>-</t>
        </is>
      </c>
      <c r="D915" s="11" t="inlineStr">
        <is>
          <t>-</t>
        </is>
      </c>
      <c r="E915" s="11" t="inlineStr">
        <is>
          <t>-</t>
        </is>
      </c>
      <c r="F915" s="11" t="inlineStr">
        <is>
          <t>-</t>
        </is>
      </c>
      <c r="G915" s="11" t="inlineStr">
        <is>
          <t>-</t>
        </is>
      </c>
      <c r="H915" s="11" t="inlineStr">
        <is>
          <t>-</t>
        </is>
      </c>
      <c r="I915" s="11" t="inlineStr">
        <is>
          <t>-</t>
        </is>
      </c>
      <c r="J915" s="11" t="inlineStr">
        <is>
          <t>-</t>
        </is>
      </c>
      <c r="K915" s="11" t="inlineStr">
        <is>
          <t>-</t>
        </is>
      </c>
      <c r="L915" s="11" t="inlineStr">
        <is>
          <t>-</t>
        </is>
      </c>
      <c r="M915" s="11" t="inlineStr">
        <is>
          <t>-</t>
        </is>
      </c>
      <c r="N915" s="11" t="inlineStr">
        <is>
          <t>-</t>
        </is>
      </c>
      <c r="O915" s="11" t="inlineStr">
        <is>
          <t>-</t>
        </is>
      </c>
      <c r="P915" s="11" t="inlineStr">
        <is>
          <t>-</t>
        </is>
      </c>
      <c r="Q915" s="12" t="inlineStr">
        <is>
          <t>-</t>
        </is>
      </c>
    </row>
    <row r="916">
      <c r="A916" s="47" t="inlineStr">
        <is>
          <t>margarina crema</t>
        </is>
      </c>
      <c r="B916" s="13" t="inlineStr">
        <is>
          <t>-</t>
        </is>
      </c>
      <c r="C916" s="14" t="inlineStr">
        <is>
          <t>-</t>
        </is>
      </c>
      <c r="D916" s="14" t="inlineStr">
        <is>
          <t>-</t>
        </is>
      </c>
      <c r="E916" s="14" t="inlineStr">
        <is>
          <t>-</t>
        </is>
      </c>
      <c r="F916" s="14" t="inlineStr">
        <is>
          <t>-</t>
        </is>
      </c>
      <c r="G916" s="14" t="inlineStr">
        <is>
          <t>-</t>
        </is>
      </c>
      <c r="H916" s="14" t="inlineStr">
        <is>
          <t>-</t>
        </is>
      </c>
      <c r="I916" s="14" t="inlineStr">
        <is>
          <t>-</t>
        </is>
      </c>
      <c r="J916" s="14" t="inlineStr">
        <is>
          <t>-</t>
        </is>
      </c>
      <c r="K916" s="14" t="inlineStr">
        <is>
          <t>-</t>
        </is>
      </c>
      <c r="L916" s="14" t="inlineStr">
        <is>
          <t>-</t>
        </is>
      </c>
      <c r="M916" s="14" t="inlineStr">
        <is>
          <t>-</t>
        </is>
      </c>
      <c r="N916" s="14" t="inlineStr">
        <is>
          <t>-</t>
        </is>
      </c>
      <c r="O916" s="14" t="inlineStr">
        <is>
          <t>-</t>
        </is>
      </c>
      <c r="P916" s="14" t="inlineStr">
        <is>
          <t>-</t>
        </is>
      </c>
      <c r="Q916" s="15" t="inlineStr">
        <is>
          <t>-</t>
        </is>
      </c>
    </row>
    <row r="917">
      <c r="A917" s="47" t="inlineStr">
        <is>
          <t>LIEVITO x 2.5kg</t>
        </is>
      </c>
      <c r="B917" s="16" t="inlineStr">
        <is>
          <t>-</t>
        </is>
      </c>
      <c r="C917" s="11" t="inlineStr">
        <is>
          <t>-</t>
        </is>
      </c>
      <c r="D917" s="11" t="inlineStr">
        <is>
          <t>-</t>
        </is>
      </c>
      <c r="E917" s="11" t="inlineStr">
        <is>
          <t>-</t>
        </is>
      </c>
      <c r="F917" s="11" t="inlineStr">
        <is>
          <t>-</t>
        </is>
      </c>
      <c r="G917" s="11" t="inlineStr">
        <is>
          <t>-</t>
        </is>
      </c>
      <c r="H917" s="11" t="inlineStr">
        <is>
          <t>-</t>
        </is>
      </c>
      <c r="I917" s="11" t="inlineStr">
        <is>
          <t>-</t>
        </is>
      </c>
      <c r="J917" s="11" t="inlineStr">
        <is>
          <t>-</t>
        </is>
      </c>
      <c r="K917" s="11" t="inlineStr">
        <is>
          <t>-</t>
        </is>
      </c>
      <c r="L917" s="11" t="inlineStr">
        <is>
          <t>-</t>
        </is>
      </c>
      <c r="M917" s="11" t="inlineStr">
        <is>
          <t>-</t>
        </is>
      </c>
      <c r="N917" s="11" t="inlineStr">
        <is>
          <t>-</t>
        </is>
      </c>
      <c r="O917" s="11" t="inlineStr">
        <is>
          <t>-</t>
        </is>
      </c>
      <c r="P917" s="11" t="inlineStr">
        <is>
          <t>-</t>
        </is>
      </c>
      <c r="Q917" s="12" t="inlineStr">
        <is>
          <t>-</t>
        </is>
      </c>
    </row>
    <row r="918">
      <c r="A918" s="47" t="inlineStr">
        <is>
          <t>uova</t>
        </is>
      </c>
      <c r="B918" s="13" t="inlineStr">
        <is>
          <t>-</t>
        </is>
      </c>
      <c r="C918" s="14" t="inlineStr">
        <is>
          <t>-</t>
        </is>
      </c>
      <c r="D918" s="14" t="inlineStr">
        <is>
          <t>-</t>
        </is>
      </c>
      <c r="E918" s="14" t="inlineStr">
        <is>
          <t>-</t>
        </is>
      </c>
      <c r="F918" s="14" t="inlineStr">
        <is>
          <t>-</t>
        </is>
      </c>
      <c r="G918" s="14" t="inlineStr">
        <is>
          <t>-</t>
        </is>
      </c>
      <c r="H918" s="14" t="inlineStr">
        <is>
          <t>-</t>
        </is>
      </c>
      <c r="I918" s="14" t="inlineStr">
        <is>
          <t>-</t>
        </is>
      </c>
      <c r="J918" s="14" t="inlineStr">
        <is>
          <t>-</t>
        </is>
      </c>
      <c r="K918" s="14" t="inlineStr">
        <is>
          <t>-</t>
        </is>
      </c>
      <c r="L918" s="14" t="inlineStr">
        <is>
          <t>-</t>
        </is>
      </c>
      <c r="M918" s="14" t="inlineStr">
        <is>
          <t>-</t>
        </is>
      </c>
      <c r="N918" s="14" t="inlineStr">
        <is>
          <t>-</t>
        </is>
      </c>
      <c r="O918" s="14" t="inlineStr">
        <is>
          <t>-</t>
        </is>
      </c>
      <c r="P918" s="14" t="inlineStr">
        <is>
          <t>-</t>
        </is>
      </c>
      <c r="Q918" s="15" t="inlineStr">
        <is>
          <t>-</t>
        </is>
      </c>
    </row>
    <row r="919">
      <c r="A919" s="47" t="inlineStr">
        <is>
          <t>AROMA CROISSANT</t>
        </is>
      </c>
      <c r="B919" s="16" t="inlineStr">
        <is>
          <t>-</t>
        </is>
      </c>
      <c r="C919" s="11" t="inlineStr">
        <is>
          <t>-</t>
        </is>
      </c>
      <c r="D919" s="11" t="inlineStr">
        <is>
          <t>-</t>
        </is>
      </c>
      <c r="E919" s="11" t="inlineStr">
        <is>
          <t>-</t>
        </is>
      </c>
      <c r="F919" s="11" t="inlineStr">
        <is>
          <t>-</t>
        </is>
      </c>
      <c r="G919" s="11" t="inlineStr">
        <is>
          <t>-</t>
        </is>
      </c>
      <c r="H919" s="11" t="inlineStr">
        <is>
          <t>-</t>
        </is>
      </c>
      <c r="I919" s="11" t="inlineStr">
        <is>
          <t>-</t>
        </is>
      </c>
      <c r="J919" s="11" t="inlineStr">
        <is>
          <t>-</t>
        </is>
      </c>
      <c r="K919" s="11" t="inlineStr">
        <is>
          <t>-</t>
        </is>
      </c>
      <c r="L919" s="11" t="inlineStr">
        <is>
          <t>-</t>
        </is>
      </c>
      <c r="M919" s="11" t="inlineStr">
        <is>
          <t>-</t>
        </is>
      </c>
      <c r="N919" s="11" t="inlineStr">
        <is>
          <t>-</t>
        </is>
      </c>
      <c r="O919" s="11" t="inlineStr">
        <is>
          <t>-</t>
        </is>
      </c>
      <c r="P919" s="11" t="inlineStr">
        <is>
          <t>-</t>
        </is>
      </c>
      <c r="Q919" s="12" t="inlineStr">
        <is>
          <t>-</t>
        </is>
      </c>
    </row>
    <row r="920">
      <c r="A920" s="47" t="inlineStr">
        <is>
          <t>latte   1500 int.uht  yma</t>
        </is>
      </c>
      <c r="B920" s="13" t="inlineStr">
        <is>
          <t>-</t>
        </is>
      </c>
      <c r="C920" s="14" t="inlineStr">
        <is>
          <t>-</t>
        </is>
      </c>
      <c r="D920" s="14" t="inlineStr">
        <is>
          <t>-</t>
        </is>
      </c>
      <c r="E920" s="14" t="inlineStr">
        <is>
          <t>-</t>
        </is>
      </c>
      <c r="F920" s="14" t="inlineStr">
        <is>
          <t>-</t>
        </is>
      </c>
      <c r="G920" s="14" t="inlineStr">
        <is>
          <t>-</t>
        </is>
      </c>
      <c r="H920" s="14" t="inlineStr">
        <is>
          <t>-</t>
        </is>
      </c>
      <c r="I920" s="14" t="inlineStr">
        <is>
          <t>-</t>
        </is>
      </c>
      <c r="J920" s="14" t="inlineStr">
        <is>
          <t>-</t>
        </is>
      </c>
      <c r="K920" s="14" t="inlineStr">
        <is>
          <t>-</t>
        </is>
      </c>
      <c r="L920" s="14" t="inlineStr">
        <is>
          <t>-</t>
        </is>
      </c>
      <c r="M920" s="14" t="inlineStr">
        <is>
          <t>-</t>
        </is>
      </c>
      <c r="N920" s="14" t="inlineStr">
        <is>
          <t>-</t>
        </is>
      </c>
      <c r="O920" s="14" t="inlineStr">
        <is>
          <t>-</t>
        </is>
      </c>
      <c r="P920" s="14" t="inlineStr">
        <is>
          <t>-</t>
        </is>
      </c>
      <c r="Q920" s="15" t="inlineStr">
        <is>
          <t>-</t>
        </is>
      </c>
    </row>
    <row r="921">
      <c r="A921" s="48" t="inlineStr">
        <is>
          <t xml:space="preserve">SALE SACCHI SALTECHNO KG.25  </t>
        </is>
      </c>
      <c r="B921" s="16" t="inlineStr">
        <is>
          <t>-</t>
        </is>
      </c>
      <c r="C921" s="11" t="inlineStr">
        <is>
          <t>-</t>
        </is>
      </c>
      <c r="D921" s="11" t="inlineStr">
        <is>
          <t>-</t>
        </is>
      </c>
      <c r="E921" s="11" t="inlineStr">
        <is>
          <t>-</t>
        </is>
      </c>
      <c r="F921" s="11" t="inlineStr">
        <is>
          <t>-</t>
        </is>
      </c>
      <c r="G921" s="11" t="inlineStr">
        <is>
          <t>-</t>
        </is>
      </c>
      <c r="H921" s="11" t="inlineStr">
        <is>
          <t>-</t>
        </is>
      </c>
      <c r="I921" s="11" t="inlineStr">
        <is>
          <t>-</t>
        </is>
      </c>
      <c r="J921" s="11" t="inlineStr">
        <is>
          <t>-</t>
        </is>
      </c>
      <c r="K921" s="11" t="inlineStr">
        <is>
          <t>-</t>
        </is>
      </c>
      <c r="L921" s="11" t="inlineStr">
        <is>
          <t>-</t>
        </is>
      </c>
      <c r="M921" s="11" t="inlineStr">
        <is>
          <t>-</t>
        </is>
      </c>
      <c r="N921" s="11" t="inlineStr">
        <is>
          <t>-</t>
        </is>
      </c>
      <c r="O921" s="11" t="inlineStr">
        <is>
          <t>-</t>
        </is>
      </c>
      <c r="P921" s="11" t="inlineStr">
        <is>
          <t>-</t>
        </is>
      </c>
      <c r="Q921" s="12" t="inlineStr">
        <is>
          <t>-</t>
        </is>
      </c>
    </row>
    <row r="922">
      <c r="A922" s="47" t="inlineStr">
        <is>
          <t xml:space="preserve">uva da kg 1 sultanina australiana vintage  </t>
        </is>
      </c>
      <c r="B922" s="13" t="inlineStr">
        <is>
          <t>-</t>
        </is>
      </c>
      <c r="C922" s="14" t="inlineStr">
        <is>
          <t>-</t>
        </is>
      </c>
      <c r="D922" s="14" t="inlineStr">
        <is>
          <t>-</t>
        </is>
      </c>
      <c r="E922" s="14" t="inlineStr">
        <is>
          <t>-</t>
        </is>
      </c>
      <c r="F922" s="14" t="inlineStr">
        <is>
          <t>-</t>
        </is>
      </c>
      <c r="G922" s="14" t="inlineStr">
        <is>
          <t>-</t>
        </is>
      </c>
      <c r="H922" s="14" t="inlineStr">
        <is>
          <t>-</t>
        </is>
      </c>
      <c r="I922" s="14" t="inlineStr">
        <is>
          <t>-</t>
        </is>
      </c>
      <c r="J922" s="14" t="inlineStr">
        <is>
          <t>-</t>
        </is>
      </c>
      <c r="K922" s="14" t="inlineStr">
        <is>
          <t>-</t>
        </is>
      </c>
      <c r="L922" s="14" t="inlineStr">
        <is>
          <t>-</t>
        </is>
      </c>
      <c r="M922" s="14" t="inlineStr">
        <is>
          <t>-</t>
        </is>
      </c>
      <c r="N922" s="14" t="inlineStr">
        <is>
          <t>-</t>
        </is>
      </c>
      <c r="O922" s="14" t="inlineStr">
        <is>
          <t>-</t>
        </is>
      </c>
      <c r="P922" s="14" t="inlineStr">
        <is>
          <t>-</t>
        </is>
      </c>
      <c r="Q922" s="15" t="inlineStr">
        <is>
          <t>-</t>
        </is>
      </c>
    </row>
    <row r="923">
      <c r="A923" s="47" t="n"/>
      <c r="B923" s="16" t="inlineStr">
        <is>
          <t>-</t>
        </is>
      </c>
      <c r="C923" s="11" t="inlineStr">
        <is>
          <t>-</t>
        </is>
      </c>
      <c r="D923" s="11" t="inlineStr">
        <is>
          <t>-</t>
        </is>
      </c>
      <c r="E923" s="11" t="inlineStr">
        <is>
          <t>-</t>
        </is>
      </c>
      <c r="F923" s="11" t="inlineStr">
        <is>
          <t>-</t>
        </is>
      </c>
      <c r="G923" s="11" t="inlineStr">
        <is>
          <t>-</t>
        </is>
      </c>
      <c r="H923" s="11" t="inlineStr">
        <is>
          <t>-</t>
        </is>
      </c>
      <c r="I923" s="11" t="inlineStr">
        <is>
          <t>-</t>
        </is>
      </c>
      <c r="J923" s="11" t="inlineStr">
        <is>
          <t>-</t>
        </is>
      </c>
      <c r="K923" s="11" t="inlineStr">
        <is>
          <t>-</t>
        </is>
      </c>
      <c r="L923" s="11" t="inlineStr">
        <is>
          <t>-</t>
        </is>
      </c>
      <c r="M923" s="11" t="inlineStr">
        <is>
          <t>-</t>
        </is>
      </c>
      <c r="N923" s="11" t="inlineStr">
        <is>
          <t>-</t>
        </is>
      </c>
      <c r="O923" s="11" t="inlineStr">
        <is>
          <t>-</t>
        </is>
      </c>
      <c r="P923" s="11" t="inlineStr">
        <is>
          <t>-</t>
        </is>
      </c>
      <c r="Q923" s="12" t="inlineStr">
        <is>
          <t>-</t>
        </is>
      </c>
    </row>
    <row r="924">
      <c r="A924" s="47" t="n"/>
      <c r="B924" s="13" t="inlineStr">
        <is>
          <t>-</t>
        </is>
      </c>
      <c r="C924" s="14" t="inlineStr">
        <is>
          <t>-</t>
        </is>
      </c>
      <c r="D924" s="14" t="inlineStr">
        <is>
          <t>-</t>
        </is>
      </c>
      <c r="E924" s="14" t="inlineStr">
        <is>
          <t>-</t>
        </is>
      </c>
      <c r="F924" s="14" t="inlineStr">
        <is>
          <t>-</t>
        </is>
      </c>
      <c r="G924" s="14" t="inlineStr">
        <is>
          <t>-</t>
        </is>
      </c>
      <c r="H924" s="14" t="inlineStr">
        <is>
          <t>-</t>
        </is>
      </c>
      <c r="I924" s="14" t="inlineStr">
        <is>
          <t>-</t>
        </is>
      </c>
      <c r="J924" s="14" t="inlineStr">
        <is>
          <t>-</t>
        </is>
      </c>
      <c r="K924" s="14" t="inlineStr">
        <is>
          <t>-</t>
        </is>
      </c>
      <c r="L924" s="14" t="inlineStr">
        <is>
          <t>-</t>
        </is>
      </c>
      <c r="M924" s="14" t="inlineStr">
        <is>
          <t>-</t>
        </is>
      </c>
      <c r="N924" s="14" t="inlineStr">
        <is>
          <t>-</t>
        </is>
      </c>
      <c r="O924" s="14" t="inlineStr">
        <is>
          <t>-</t>
        </is>
      </c>
      <c r="P924" s="14" t="inlineStr">
        <is>
          <t>-</t>
        </is>
      </c>
      <c r="Q924" s="15" t="inlineStr">
        <is>
          <t>-</t>
        </is>
      </c>
    </row>
    <row r="925">
      <c r="A925" s="47" t="n"/>
      <c r="B925" s="16" t="inlineStr">
        <is>
          <t>-</t>
        </is>
      </c>
      <c r="C925" s="11" t="inlineStr">
        <is>
          <t>-</t>
        </is>
      </c>
      <c r="D925" s="11" t="inlineStr">
        <is>
          <t>-</t>
        </is>
      </c>
      <c r="E925" s="11" t="inlineStr">
        <is>
          <t>-</t>
        </is>
      </c>
      <c r="F925" s="11" t="inlineStr">
        <is>
          <t>-</t>
        </is>
      </c>
      <c r="G925" s="11" t="inlineStr">
        <is>
          <t>-</t>
        </is>
      </c>
      <c r="H925" s="11" t="inlineStr">
        <is>
          <t>-</t>
        </is>
      </c>
      <c r="I925" s="11" t="inlineStr">
        <is>
          <t>-</t>
        </is>
      </c>
      <c r="J925" s="11" t="inlineStr">
        <is>
          <t>-</t>
        </is>
      </c>
      <c r="K925" s="11" t="inlineStr">
        <is>
          <t>-</t>
        </is>
      </c>
      <c r="L925" s="11" t="inlineStr">
        <is>
          <t>-</t>
        </is>
      </c>
      <c r="M925" s="11" t="inlineStr">
        <is>
          <t>-</t>
        </is>
      </c>
      <c r="N925" s="11" t="inlineStr">
        <is>
          <t>-</t>
        </is>
      </c>
      <c r="O925" s="11" t="inlineStr">
        <is>
          <t>-</t>
        </is>
      </c>
      <c r="P925" s="11" t="inlineStr">
        <is>
          <t>-</t>
        </is>
      </c>
      <c r="Q925" s="12" t="inlineStr">
        <is>
          <t>-</t>
        </is>
      </c>
    </row>
    <row r="926">
      <c r="A926" s="47" t="n"/>
      <c r="B926" s="13" t="inlineStr">
        <is>
          <t>-</t>
        </is>
      </c>
      <c r="C926" s="14" t="inlineStr">
        <is>
          <t>-</t>
        </is>
      </c>
      <c r="D926" s="14" t="inlineStr">
        <is>
          <t>-</t>
        </is>
      </c>
      <c r="E926" s="14" t="inlineStr">
        <is>
          <t>-</t>
        </is>
      </c>
      <c r="F926" s="14" t="inlineStr">
        <is>
          <t>-</t>
        </is>
      </c>
      <c r="G926" s="14" t="inlineStr">
        <is>
          <t>-</t>
        </is>
      </c>
      <c r="H926" s="14" t="inlineStr">
        <is>
          <t>-</t>
        </is>
      </c>
      <c r="I926" s="14" t="inlineStr">
        <is>
          <t>-</t>
        </is>
      </c>
      <c r="J926" s="14" t="inlineStr">
        <is>
          <t>-</t>
        </is>
      </c>
      <c r="K926" s="14" t="inlineStr">
        <is>
          <t>-</t>
        </is>
      </c>
      <c r="L926" s="14" t="inlineStr">
        <is>
          <t>-</t>
        </is>
      </c>
      <c r="M926" s="14" t="inlineStr">
        <is>
          <t>-</t>
        </is>
      </c>
      <c r="N926" s="14" t="inlineStr">
        <is>
          <t>-</t>
        </is>
      </c>
      <c r="O926" s="14" t="inlineStr">
        <is>
          <t>-</t>
        </is>
      </c>
      <c r="P926" s="14" t="inlineStr">
        <is>
          <t>-</t>
        </is>
      </c>
      <c r="Q926" s="15" t="inlineStr">
        <is>
          <t>-</t>
        </is>
      </c>
    </row>
    <row r="927">
      <c r="A927" s="47" t="n"/>
      <c r="B927" s="16" t="inlineStr">
        <is>
          <t>-</t>
        </is>
      </c>
      <c r="C927" s="11" t="inlineStr">
        <is>
          <t>-</t>
        </is>
      </c>
      <c r="D927" s="11" t="inlineStr">
        <is>
          <t>-</t>
        </is>
      </c>
      <c r="E927" s="11" t="inlineStr">
        <is>
          <t>-</t>
        </is>
      </c>
      <c r="F927" s="11" t="inlineStr">
        <is>
          <t>-</t>
        </is>
      </c>
      <c r="G927" s="11" t="inlineStr">
        <is>
          <t>-</t>
        </is>
      </c>
      <c r="H927" s="11" t="inlineStr">
        <is>
          <t>-</t>
        </is>
      </c>
      <c r="I927" s="11" t="inlineStr">
        <is>
          <t>-</t>
        </is>
      </c>
      <c r="J927" s="11" t="inlineStr">
        <is>
          <t>-</t>
        </is>
      </c>
      <c r="K927" s="11" t="inlineStr">
        <is>
          <t>-</t>
        </is>
      </c>
      <c r="L927" s="11" t="inlineStr">
        <is>
          <t>-</t>
        </is>
      </c>
      <c r="M927" s="11" t="inlineStr">
        <is>
          <t>-</t>
        </is>
      </c>
      <c r="N927" s="11" t="inlineStr">
        <is>
          <t>-</t>
        </is>
      </c>
      <c r="O927" s="11" t="inlineStr">
        <is>
          <t>-</t>
        </is>
      </c>
      <c r="P927" s="11" t="inlineStr">
        <is>
          <t>-</t>
        </is>
      </c>
      <c r="Q927" s="12" t="inlineStr">
        <is>
          <t>-</t>
        </is>
      </c>
    </row>
    <row r="928">
      <c r="A928" s="47" t="n"/>
      <c r="B928" s="13" t="inlineStr">
        <is>
          <t>-</t>
        </is>
      </c>
      <c r="C928" s="14" t="inlineStr">
        <is>
          <t>-</t>
        </is>
      </c>
      <c r="D928" s="14" t="inlineStr">
        <is>
          <t>-</t>
        </is>
      </c>
      <c r="E928" s="14" t="inlineStr">
        <is>
          <t>-</t>
        </is>
      </c>
      <c r="F928" s="14" t="inlineStr">
        <is>
          <t>-</t>
        </is>
      </c>
      <c r="G928" s="14" t="inlineStr">
        <is>
          <t>-</t>
        </is>
      </c>
      <c r="H928" s="14" t="inlineStr">
        <is>
          <t>-</t>
        </is>
      </c>
      <c r="I928" s="14" t="inlineStr">
        <is>
          <t>-</t>
        </is>
      </c>
      <c r="J928" s="14" t="inlineStr">
        <is>
          <t>-</t>
        </is>
      </c>
      <c r="K928" s="14" t="inlineStr">
        <is>
          <t>-</t>
        </is>
      </c>
      <c r="L928" s="14" t="inlineStr">
        <is>
          <t>-</t>
        </is>
      </c>
      <c r="M928" s="14" t="inlineStr">
        <is>
          <t>-</t>
        </is>
      </c>
      <c r="N928" s="14" t="inlineStr">
        <is>
          <t>-</t>
        </is>
      </c>
      <c r="O928" s="14" t="inlineStr">
        <is>
          <t>-</t>
        </is>
      </c>
      <c r="P928" s="14" t="inlineStr">
        <is>
          <t>-</t>
        </is>
      </c>
      <c r="Q928" s="15" t="inlineStr">
        <is>
          <t>-</t>
        </is>
      </c>
    </row>
    <row r="929">
      <c r="A929" s="47" t="n"/>
      <c r="B929" s="16" t="inlineStr">
        <is>
          <t>-</t>
        </is>
      </c>
      <c r="C929" s="11" t="inlineStr">
        <is>
          <t>-</t>
        </is>
      </c>
      <c r="D929" s="11" t="inlineStr">
        <is>
          <t>-</t>
        </is>
      </c>
      <c r="E929" s="11" t="inlineStr">
        <is>
          <t>-</t>
        </is>
      </c>
      <c r="F929" s="11" t="inlineStr">
        <is>
          <t>-</t>
        </is>
      </c>
      <c r="G929" s="11" t="inlineStr">
        <is>
          <t>-</t>
        </is>
      </c>
      <c r="H929" s="11" t="inlineStr">
        <is>
          <t>-</t>
        </is>
      </c>
      <c r="I929" s="11" t="inlineStr">
        <is>
          <t>-</t>
        </is>
      </c>
      <c r="J929" s="11" t="inlineStr">
        <is>
          <t>-</t>
        </is>
      </c>
      <c r="K929" s="11" t="inlineStr">
        <is>
          <t>-</t>
        </is>
      </c>
      <c r="L929" s="11" t="inlineStr">
        <is>
          <t>-</t>
        </is>
      </c>
      <c r="M929" s="11" t="inlineStr">
        <is>
          <t>-</t>
        </is>
      </c>
      <c r="N929" s="11" t="inlineStr">
        <is>
          <t>-</t>
        </is>
      </c>
      <c r="O929" s="11" t="inlineStr">
        <is>
          <t>-</t>
        </is>
      </c>
      <c r="P929" s="11" t="inlineStr">
        <is>
          <t>-</t>
        </is>
      </c>
      <c r="Q929" s="12" t="inlineStr">
        <is>
          <t>-</t>
        </is>
      </c>
    </row>
    <row r="930" ht="36" customHeight="1" s="155">
      <c r="B930" s="46" t="inlineStr">
        <is>
          <t>pan di spagna</t>
        </is>
      </c>
      <c r="C930" s="49">
        <f>_xlfn.XLOOKUP(A931,Magazzino!$D$1:$D$1500,Magazzino!$F$1:$F$1500,"",0,1)</f>
        <v/>
      </c>
      <c r="D930" s="50">
        <f>_xlfn.XLOOKUP(A932,Magazzino!$D$1:$D$1500,Magazzino!$F$1:$F$1500,"",0,1)</f>
        <v/>
      </c>
      <c r="E930" s="50">
        <f>_xlfn.XLOOKUP(A933,Magazzino!$D$1:$D$1500,Magazzino!$F$1:$F$1500,"",0,1)</f>
        <v/>
      </c>
      <c r="F930" s="50">
        <f>_xlfn.XLOOKUP(A934,Magazzino!$D$1:$D$1500,Magazzino!$F$1:$F$1500,"",0,1)</f>
        <v/>
      </c>
      <c r="G930" s="50">
        <f>_xlfn.XLOOKUP(A935,Magazzino!$D$1:$D$1500,Magazzino!$F$1:$F$1500,"",0,1)</f>
        <v/>
      </c>
      <c r="H930" s="50">
        <f>_xlfn.XLOOKUP(A936,Magazzino!$D$1:$D$1500,Magazzino!$F$1:$F$1500,"",0,1)</f>
        <v/>
      </c>
      <c r="I930" s="50">
        <f>_xlfn.XLOOKUP(A937,Magazzino!$D$1:$D$1500,Magazzino!$F$1:$F$1500,"",0,1)</f>
        <v/>
      </c>
      <c r="J930" s="50">
        <f>_xlfn.XLOOKUP(A938,Magazzino!$D$1:$D$1500,Magazzino!$F$1:$F$1500,"",0,1)</f>
        <v/>
      </c>
      <c r="K930" s="50">
        <f>_xlfn.XLOOKUP(A939,Magazzino!$D$1:$D$1500,Magazzino!$F$1:$F$1500,"",0,1)</f>
        <v/>
      </c>
      <c r="L930" s="50">
        <f>_xlfn.XLOOKUP(A940,Magazzino!$D$1:$D$1500,Magazzino!$F$1:$F$1500,"",0,1)</f>
        <v/>
      </c>
      <c r="M930" s="50">
        <f>_xlfn.XLOOKUP(A941,Magazzino!$D$1:$D$1500,Magazzino!$F$1:$F$1500,"",0,1)</f>
        <v/>
      </c>
      <c r="N930" s="50">
        <f>_xlfn.XLOOKUP(A942,Magazzino!$D$1:$D$1500,Magazzino!$F$1:$F$1500,"",0,1)</f>
        <v/>
      </c>
      <c r="O930" s="50">
        <f>_xlfn.XLOOKUP(A943,Magazzino!$D$1:$D$1500,Magazzino!$F$1:$F$1500,"",0,1)</f>
        <v/>
      </c>
      <c r="P930" s="50">
        <f>_xlfn.XLOOKUP(A944,Magazzino!$D$1:$D$1500,Magazzino!$F$1:$F$1500,"",0,1)</f>
        <v/>
      </c>
      <c r="Q930" s="51">
        <f>_xlfn.XLOOKUP(A945,Magazzino!$D$1:$D$1500,Magazzino!$F$1:$F$1500,"",0,1)</f>
        <v/>
      </c>
    </row>
    <row r="931">
      <c r="A931" s="47" t="inlineStr">
        <is>
          <t xml:space="preserve">FARINA 0/MAN. CAPUTO DA KG.25  </t>
        </is>
      </c>
      <c r="B931" s="16" t="inlineStr">
        <is>
          <t>-</t>
        </is>
      </c>
      <c r="C931" s="11" t="inlineStr">
        <is>
          <t>-</t>
        </is>
      </c>
      <c r="D931" s="11" t="inlineStr">
        <is>
          <t>-</t>
        </is>
      </c>
      <c r="E931" s="11" t="inlineStr">
        <is>
          <t>-</t>
        </is>
      </c>
      <c r="F931" s="11" t="inlineStr">
        <is>
          <t>-</t>
        </is>
      </c>
      <c r="G931" s="11" t="inlineStr">
        <is>
          <t>-</t>
        </is>
      </c>
      <c r="H931" s="11" t="inlineStr">
        <is>
          <t>-</t>
        </is>
      </c>
      <c r="I931" s="11" t="inlineStr">
        <is>
          <t>-</t>
        </is>
      </c>
      <c r="J931" s="11" t="inlineStr">
        <is>
          <t>-</t>
        </is>
      </c>
      <c r="K931" s="11" t="inlineStr">
        <is>
          <t>-</t>
        </is>
      </c>
      <c r="L931" s="11" t="inlineStr">
        <is>
          <t>-</t>
        </is>
      </c>
      <c r="M931" s="11" t="inlineStr">
        <is>
          <t>-</t>
        </is>
      </c>
      <c r="N931" s="11" t="inlineStr">
        <is>
          <t>-</t>
        </is>
      </c>
      <c r="O931" s="11" t="inlineStr">
        <is>
          <t>-</t>
        </is>
      </c>
      <c r="P931" s="11" t="inlineStr">
        <is>
          <t>-</t>
        </is>
      </c>
      <c r="Q931" s="12" t="inlineStr">
        <is>
          <t>-</t>
        </is>
      </c>
    </row>
    <row r="932">
      <c r="A932" s="48" t="inlineStr">
        <is>
          <t xml:space="preserve">SALE SACCHI SALTECHNO KG.25  </t>
        </is>
      </c>
      <c r="B932" s="13" t="inlineStr">
        <is>
          <t>-</t>
        </is>
      </c>
      <c r="C932" s="14" t="inlineStr">
        <is>
          <t>-</t>
        </is>
      </c>
      <c r="D932" s="14" t="inlineStr">
        <is>
          <t>-</t>
        </is>
      </c>
      <c r="E932" s="14" t="inlineStr">
        <is>
          <t>-</t>
        </is>
      </c>
      <c r="F932" s="14" t="inlineStr">
        <is>
          <t>-</t>
        </is>
      </c>
      <c r="G932" s="14" t="inlineStr">
        <is>
          <t>-</t>
        </is>
      </c>
      <c r="H932" s="14" t="inlineStr">
        <is>
          <t>-</t>
        </is>
      </c>
      <c r="I932" s="14" t="inlineStr">
        <is>
          <t>-</t>
        </is>
      </c>
      <c r="J932" s="14" t="inlineStr">
        <is>
          <t>-</t>
        </is>
      </c>
      <c r="K932" s="14" t="inlineStr">
        <is>
          <t>-</t>
        </is>
      </c>
      <c r="L932" s="14" t="inlineStr">
        <is>
          <t>-</t>
        </is>
      </c>
      <c r="M932" s="14" t="inlineStr">
        <is>
          <t>-</t>
        </is>
      </c>
      <c r="N932" s="14" t="inlineStr">
        <is>
          <t>-</t>
        </is>
      </c>
      <c r="O932" s="14" t="inlineStr">
        <is>
          <t>-</t>
        </is>
      </c>
      <c r="P932" s="14" t="inlineStr">
        <is>
          <t>-</t>
        </is>
      </c>
      <c r="Q932" s="15" t="inlineStr">
        <is>
          <t>-</t>
        </is>
      </c>
    </row>
    <row r="933">
      <c r="A933" s="47" t="inlineStr">
        <is>
          <t>zucchero semolato</t>
        </is>
      </c>
      <c r="B933" s="16" t="inlineStr">
        <is>
          <t>-</t>
        </is>
      </c>
      <c r="C933" s="11" t="inlineStr">
        <is>
          <t>-</t>
        </is>
      </c>
      <c r="D933" s="11" t="inlineStr">
        <is>
          <t>-</t>
        </is>
      </c>
      <c r="E933" s="11" t="inlineStr">
        <is>
          <t>-</t>
        </is>
      </c>
      <c r="F933" s="11" t="inlineStr">
        <is>
          <t>-</t>
        </is>
      </c>
      <c r="G933" s="11" t="inlineStr">
        <is>
          <t>-</t>
        </is>
      </c>
      <c r="H933" s="11" t="inlineStr">
        <is>
          <t>-</t>
        </is>
      </c>
      <c r="I933" s="11" t="inlineStr">
        <is>
          <t>-</t>
        </is>
      </c>
      <c r="J933" s="11" t="inlineStr">
        <is>
          <t>-</t>
        </is>
      </c>
      <c r="K933" s="11" t="inlineStr">
        <is>
          <t>-</t>
        </is>
      </c>
      <c r="L933" s="11" t="inlineStr">
        <is>
          <t>-</t>
        </is>
      </c>
      <c r="M933" s="11" t="inlineStr">
        <is>
          <t>-</t>
        </is>
      </c>
      <c r="N933" s="11" t="inlineStr">
        <is>
          <t>-</t>
        </is>
      </c>
      <c r="O933" s="11" t="inlineStr">
        <is>
          <t>-</t>
        </is>
      </c>
      <c r="P933" s="11" t="inlineStr">
        <is>
          <t>-</t>
        </is>
      </c>
      <c r="Q933" s="12" t="inlineStr">
        <is>
          <t>-</t>
        </is>
      </c>
    </row>
    <row r="934">
      <c r="A934" s="47" t="inlineStr">
        <is>
          <t>tuorlo d'uovo pastorizzato</t>
        </is>
      </c>
      <c r="B934" s="13" t="inlineStr">
        <is>
          <t>-</t>
        </is>
      </c>
      <c r="C934" s="14" t="inlineStr">
        <is>
          <t>-</t>
        </is>
      </c>
      <c r="D934" s="14" t="inlineStr">
        <is>
          <t>-</t>
        </is>
      </c>
      <c r="E934" s="14" t="inlineStr">
        <is>
          <t>-</t>
        </is>
      </c>
      <c r="F934" s="14" t="inlineStr">
        <is>
          <t>-</t>
        </is>
      </c>
      <c r="G934" s="14" t="inlineStr">
        <is>
          <t>-</t>
        </is>
      </c>
      <c r="H934" s="14" t="inlineStr">
        <is>
          <t>-</t>
        </is>
      </c>
      <c r="I934" s="14" t="inlineStr">
        <is>
          <t>-</t>
        </is>
      </c>
      <c r="J934" s="14" t="inlineStr">
        <is>
          <t>-</t>
        </is>
      </c>
      <c r="K934" s="14" t="inlineStr">
        <is>
          <t>-</t>
        </is>
      </c>
      <c r="L934" s="14" t="inlineStr">
        <is>
          <t>-</t>
        </is>
      </c>
      <c r="M934" s="14" t="inlineStr">
        <is>
          <t>-</t>
        </is>
      </c>
      <c r="N934" s="14" t="inlineStr">
        <is>
          <t>-</t>
        </is>
      </c>
      <c r="O934" s="14" t="inlineStr">
        <is>
          <t>-</t>
        </is>
      </c>
      <c r="P934" s="14" t="inlineStr">
        <is>
          <t>-</t>
        </is>
      </c>
      <c r="Q934" s="15" t="inlineStr">
        <is>
          <t>-</t>
        </is>
      </c>
    </row>
    <row r="935">
      <c r="A935" s="47" t="inlineStr">
        <is>
          <t>margarina crema</t>
        </is>
      </c>
      <c r="B935" s="16" t="inlineStr">
        <is>
          <t>-</t>
        </is>
      </c>
      <c r="C935" s="11" t="inlineStr">
        <is>
          <t>-</t>
        </is>
      </c>
      <c r="D935" s="11" t="inlineStr">
        <is>
          <t>-</t>
        </is>
      </c>
      <c r="E935" s="11" t="inlineStr">
        <is>
          <t>-</t>
        </is>
      </c>
      <c r="F935" s="11" t="inlineStr">
        <is>
          <t>-</t>
        </is>
      </c>
      <c r="G935" s="11" t="inlineStr">
        <is>
          <t>-</t>
        </is>
      </c>
      <c r="H935" s="11" t="inlineStr">
        <is>
          <t>-</t>
        </is>
      </c>
      <c r="I935" s="11" t="inlineStr">
        <is>
          <t>-</t>
        </is>
      </c>
      <c r="J935" s="11" t="inlineStr">
        <is>
          <t>-</t>
        </is>
      </c>
      <c r="K935" s="11" t="inlineStr">
        <is>
          <t>-</t>
        </is>
      </c>
      <c r="L935" s="11" t="inlineStr">
        <is>
          <t>-</t>
        </is>
      </c>
      <c r="M935" s="11" t="inlineStr">
        <is>
          <t>-</t>
        </is>
      </c>
      <c r="N935" s="11" t="inlineStr">
        <is>
          <t>-</t>
        </is>
      </c>
      <c r="O935" s="11" t="inlineStr">
        <is>
          <t>-</t>
        </is>
      </c>
      <c r="P935" s="11" t="inlineStr">
        <is>
          <t>-</t>
        </is>
      </c>
      <c r="Q935" s="12" t="inlineStr">
        <is>
          <t>-</t>
        </is>
      </c>
    </row>
    <row r="936">
      <c r="A936" s="47" t="n"/>
      <c r="B936" s="13" t="inlineStr">
        <is>
          <t>-</t>
        </is>
      </c>
      <c r="C936" s="14" t="inlineStr">
        <is>
          <t>-</t>
        </is>
      </c>
      <c r="D936" s="14" t="inlineStr">
        <is>
          <t>-</t>
        </is>
      </c>
      <c r="E936" s="14" t="inlineStr">
        <is>
          <t>-</t>
        </is>
      </c>
      <c r="F936" s="14" t="inlineStr">
        <is>
          <t>-</t>
        </is>
      </c>
      <c r="G936" s="14" t="inlineStr">
        <is>
          <t>-</t>
        </is>
      </c>
      <c r="H936" s="14" t="inlineStr">
        <is>
          <t>-</t>
        </is>
      </c>
      <c r="I936" s="14" t="inlineStr">
        <is>
          <t>-</t>
        </is>
      </c>
      <c r="J936" s="14" t="inlineStr">
        <is>
          <t>-</t>
        </is>
      </c>
      <c r="K936" s="14" t="inlineStr">
        <is>
          <t>-</t>
        </is>
      </c>
      <c r="L936" s="14" t="inlineStr">
        <is>
          <t>-</t>
        </is>
      </c>
      <c r="M936" s="14" t="inlineStr">
        <is>
          <t>-</t>
        </is>
      </c>
      <c r="N936" s="14" t="inlineStr">
        <is>
          <t>-</t>
        </is>
      </c>
      <c r="O936" s="14" t="inlineStr">
        <is>
          <t>-</t>
        </is>
      </c>
      <c r="P936" s="14" t="inlineStr">
        <is>
          <t>-</t>
        </is>
      </c>
      <c r="Q936" s="15" t="inlineStr">
        <is>
          <t>-</t>
        </is>
      </c>
    </row>
    <row r="937">
      <c r="A937" s="47" t="n"/>
      <c r="B937" s="16" t="inlineStr">
        <is>
          <t>-</t>
        </is>
      </c>
      <c r="C937" s="11" t="inlineStr">
        <is>
          <t>-</t>
        </is>
      </c>
      <c r="D937" s="11" t="inlineStr">
        <is>
          <t>-</t>
        </is>
      </c>
      <c r="E937" s="11" t="inlineStr">
        <is>
          <t>-</t>
        </is>
      </c>
      <c r="F937" s="11" t="inlineStr">
        <is>
          <t>-</t>
        </is>
      </c>
      <c r="G937" s="11" t="inlineStr">
        <is>
          <t>-</t>
        </is>
      </c>
      <c r="H937" s="11" t="inlineStr">
        <is>
          <t>-</t>
        </is>
      </c>
      <c r="I937" s="11" t="inlineStr">
        <is>
          <t>-</t>
        </is>
      </c>
      <c r="J937" s="11" t="inlineStr">
        <is>
          <t>-</t>
        </is>
      </c>
      <c r="K937" s="11" t="inlineStr">
        <is>
          <t>-</t>
        </is>
      </c>
      <c r="L937" s="11" t="inlineStr">
        <is>
          <t>-</t>
        </is>
      </c>
      <c r="M937" s="11" t="inlineStr">
        <is>
          <t>-</t>
        </is>
      </c>
      <c r="N937" s="11" t="inlineStr">
        <is>
          <t>-</t>
        </is>
      </c>
      <c r="O937" s="11" t="inlineStr">
        <is>
          <t>-</t>
        </is>
      </c>
      <c r="P937" s="11" t="inlineStr">
        <is>
          <t>-</t>
        </is>
      </c>
      <c r="Q937" s="12" t="inlineStr">
        <is>
          <t>-</t>
        </is>
      </c>
    </row>
    <row r="938">
      <c r="A938" s="47" t="n"/>
      <c r="B938" s="13" t="inlineStr">
        <is>
          <t>-</t>
        </is>
      </c>
      <c r="C938" s="14" t="inlineStr">
        <is>
          <t>-</t>
        </is>
      </c>
      <c r="D938" s="14" t="inlineStr">
        <is>
          <t>-</t>
        </is>
      </c>
      <c r="E938" s="14" t="inlineStr">
        <is>
          <t>-</t>
        </is>
      </c>
      <c r="F938" s="14" t="inlineStr">
        <is>
          <t>-</t>
        </is>
      </c>
      <c r="G938" s="14" t="inlineStr">
        <is>
          <t>-</t>
        </is>
      </c>
      <c r="H938" s="14" t="inlineStr">
        <is>
          <t>-</t>
        </is>
      </c>
      <c r="I938" s="14" t="inlineStr">
        <is>
          <t>-</t>
        </is>
      </c>
      <c r="J938" s="14" t="inlineStr">
        <is>
          <t>-</t>
        </is>
      </c>
      <c r="K938" s="14" t="inlineStr">
        <is>
          <t>-</t>
        </is>
      </c>
      <c r="L938" s="14" t="inlineStr">
        <is>
          <t>-</t>
        </is>
      </c>
      <c r="M938" s="14" t="inlineStr">
        <is>
          <t>-</t>
        </is>
      </c>
      <c r="N938" s="14" t="inlineStr">
        <is>
          <t>-</t>
        </is>
      </c>
      <c r="O938" s="14" t="inlineStr">
        <is>
          <t>-</t>
        </is>
      </c>
      <c r="P938" s="14" t="inlineStr">
        <is>
          <t>-</t>
        </is>
      </c>
      <c r="Q938" s="15" t="inlineStr">
        <is>
          <t>-</t>
        </is>
      </c>
    </row>
    <row r="939">
      <c r="A939" s="47" t="n"/>
      <c r="B939" s="16" t="inlineStr">
        <is>
          <t>-</t>
        </is>
      </c>
      <c r="C939" s="11" t="inlineStr">
        <is>
          <t>-</t>
        </is>
      </c>
      <c r="D939" s="11" t="inlineStr">
        <is>
          <t>-</t>
        </is>
      </c>
      <c r="E939" s="11" t="inlineStr">
        <is>
          <t>-</t>
        </is>
      </c>
      <c r="F939" s="11" t="inlineStr">
        <is>
          <t>-</t>
        </is>
      </c>
      <c r="G939" s="11" t="inlineStr">
        <is>
          <t>-</t>
        </is>
      </c>
      <c r="H939" s="11" t="inlineStr">
        <is>
          <t>-</t>
        </is>
      </c>
      <c r="I939" s="11" t="inlineStr">
        <is>
          <t>-</t>
        </is>
      </c>
      <c r="J939" s="11" t="inlineStr">
        <is>
          <t>-</t>
        </is>
      </c>
      <c r="K939" s="11" t="inlineStr">
        <is>
          <t>-</t>
        </is>
      </c>
      <c r="L939" s="11" t="inlineStr">
        <is>
          <t>-</t>
        </is>
      </c>
      <c r="M939" s="11" t="inlineStr">
        <is>
          <t>-</t>
        </is>
      </c>
      <c r="N939" s="11" t="inlineStr">
        <is>
          <t>-</t>
        </is>
      </c>
      <c r="O939" s="11" t="inlineStr">
        <is>
          <t>-</t>
        </is>
      </c>
      <c r="P939" s="11" t="inlineStr">
        <is>
          <t>-</t>
        </is>
      </c>
      <c r="Q939" s="12" t="inlineStr">
        <is>
          <t>-</t>
        </is>
      </c>
    </row>
    <row r="940">
      <c r="A940" s="47" t="n"/>
      <c r="B940" s="13" t="inlineStr">
        <is>
          <t>-</t>
        </is>
      </c>
      <c r="C940" s="14" t="inlineStr">
        <is>
          <t>-</t>
        </is>
      </c>
      <c r="D940" s="14" t="inlineStr">
        <is>
          <t>-</t>
        </is>
      </c>
      <c r="E940" s="14" t="inlineStr">
        <is>
          <t>-</t>
        </is>
      </c>
      <c r="F940" s="14" t="inlineStr">
        <is>
          <t>-</t>
        </is>
      </c>
      <c r="G940" s="14" t="inlineStr">
        <is>
          <t>-</t>
        </is>
      </c>
      <c r="H940" s="14" t="inlineStr">
        <is>
          <t>-</t>
        </is>
      </c>
      <c r="I940" s="14" t="inlineStr">
        <is>
          <t>-</t>
        </is>
      </c>
      <c r="J940" s="14" t="inlineStr">
        <is>
          <t>-</t>
        </is>
      </c>
      <c r="K940" s="14" t="inlineStr">
        <is>
          <t>-</t>
        </is>
      </c>
      <c r="L940" s="14" t="inlineStr">
        <is>
          <t>-</t>
        </is>
      </c>
      <c r="M940" s="14" t="inlineStr">
        <is>
          <t>-</t>
        </is>
      </c>
      <c r="N940" s="14" t="inlineStr">
        <is>
          <t>-</t>
        </is>
      </c>
      <c r="O940" s="14" t="inlineStr">
        <is>
          <t>-</t>
        </is>
      </c>
      <c r="P940" s="14" t="inlineStr">
        <is>
          <t>-</t>
        </is>
      </c>
      <c r="Q940" s="15" t="inlineStr">
        <is>
          <t>-</t>
        </is>
      </c>
    </row>
    <row r="941">
      <c r="A941" s="47" t="n"/>
      <c r="B941" s="16" t="inlineStr">
        <is>
          <t>-</t>
        </is>
      </c>
      <c r="C941" s="11" t="inlineStr">
        <is>
          <t>-</t>
        </is>
      </c>
      <c r="D941" s="11" t="inlineStr">
        <is>
          <t>-</t>
        </is>
      </c>
      <c r="E941" s="11" t="inlineStr">
        <is>
          <t>-</t>
        </is>
      </c>
      <c r="F941" s="11" t="inlineStr">
        <is>
          <t>-</t>
        </is>
      </c>
      <c r="G941" s="11" t="inlineStr">
        <is>
          <t>-</t>
        </is>
      </c>
      <c r="H941" s="11" t="inlineStr">
        <is>
          <t>-</t>
        </is>
      </c>
      <c r="I941" s="11" t="inlineStr">
        <is>
          <t>-</t>
        </is>
      </c>
      <c r="J941" s="11" t="inlineStr">
        <is>
          <t>-</t>
        </is>
      </c>
      <c r="K941" s="11" t="inlineStr">
        <is>
          <t>-</t>
        </is>
      </c>
      <c r="L941" s="11" t="inlineStr">
        <is>
          <t>-</t>
        </is>
      </c>
      <c r="M941" s="11" t="inlineStr">
        <is>
          <t>-</t>
        </is>
      </c>
      <c r="N941" s="11" t="inlineStr">
        <is>
          <t>-</t>
        </is>
      </c>
      <c r="O941" s="11" t="inlineStr">
        <is>
          <t>-</t>
        </is>
      </c>
      <c r="P941" s="11" t="inlineStr">
        <is>
          <t>-</t>
        </is>
      </c>
      <c r="Q941" s="12" t="inlineStr">
        <is>
          <t>-</t>
        </is>
      </c>
    </row>
    <row r="942">
      <c r="A942" s="47" t="n"/>
      <c r="B942" s="13" t="inlineStr">
        <is>
          <t>-</t>
        </is>
      </c>
      <c r="C942" s="14" t="inlineStr">
        <is>
          <t>-</t>
        </is>
      </c>
      <c r="D942" s="14" t="inlineStr">
        <is>
          <t>-</t>
        </is>
      </c>
      <c r="E942" s="14" t="inlineStr">
        <is>
          <t>-</t>
        </is>
      </c>
      <c r="F942" s="14" t="inlineStr">
        <is>
          <t>-</t>
        </is>
      </c>
      <c r="G942" s="14" t="inlineStr">
        <is>
          <t>-</t>
        </is>
      </c>
      <c r="H942" s="14" t="inlineStr">
        <is>
          <t>-</t>
        </is>
      </c>
      <c r="I942" s="14" t="inlineStr">
        <is>
          <t>-</t>
        </is>
      </c>
      <c r="J942" s="14" t="inlineStr">
        <is>
          <t>-</t>
        </is>
      </c>
      <c r="K942" s="14" t="inlineStr">
        <is>
          <t>-</t>
        </is>
      </c>
      <c r="L942" s="14" t="inlineStr">
        <is>
          <t>-</t>
        </is>
      </c>
      <c r="M942" s="14" t="inlineStr">
        <is>
          <t>-</t>
        </is>
      </c>
      <c r="N942" s="14" t="inlineStr">
        <is>
          <t>-</t>
        </is>
      </c>
      <c r="O942" s="14" t="inlineStr">
        <is>
          <t>-</t>
        </is>
      </c>
      <c r="P942" s="14" t="inlineStr">
        <is>
          <t>-</t>
        </is>
      </c>
      <c r="Q942" s="15" t="inlineStr">
        <is>
          <t>-</t>
        </is>
      </c>
    </row>
    <row r="943">
      <c r="A943" s="47" t="n"/>
      <c r="B943" s="16" t="inlineStr">
        <is>
          <t>-</t>
        </is>
      </c>
      <c r="C943" s="11" t="inlineStr">
        <is>
          <t>-</t>
        </is>
      </c>
      <c r="D943" s="11" t="inlineStr">
        <is>
          <t>-</t>
        </is>
      </c>
      <c r="E943" s="11" t="inlineStr">
        <is>
          <t>-</t>
        </is>
      </c>
      <c r="F943" s="11" t="inlineStr">
        <is>
          <t>-</t>
        </is>
      </c>
      <c r="G943" s="11" t="inlineStr">
        <is>
          <t>-</t>
        </is>
      </c>
      <c r="H943" s="11" t="inlineStr">
        <is>
          <t>-</t>
        </is>
      </c>
      <c r="I943" s="11" t="inlineStr">
        <is>
          <t>-</t>
        </is>
      </c>
      <c r="J943" s="11" t="inlineStr">
        <is>
          <t>-</t>
        </is>
      </c>
      <c r="K943" s="11" t="inlineStr">
        <is>
          <t>-</t>
        </is>
      </c>
      <c r="L943" s="11" t="inlineStr">
        <is>
          <t>-</t>
        </is>
      </c>
      <c r="M943" s="11" t="inlineStr">
        <is>
          <t>-</t>
        </is>
      </c>
      <c r="N943" s="11" t="inlineStr">
        <is>
          <t>-</t>
        </is>
      </c>
      <c r="O943" s="11" t="inlineStr">
        <is>
          <t>-</t>
        </is>
      </c>
      <c r="P943" s="11" t="inlineStr">
        <is>
          <t>-</t>
        </is>
      </c>
      <c r="Q943" s="12" t="inlineStr">
        <is>
          <t>-</t>
        </is>
      </c>
    </row>
    <row r="944">
      <c r="A944" s="47" t="n"/>
      <c r="B944" s="13" t="inlineStr">
        <is>
          <t>-</t>
        </is>
      </c>
      <c r="C944" s="14" t="inlineStr">
        <is>
          <t>-</t>
        </is>
      </c>
      <c r="D944" s="14" t="inlineStr">
        <is>
          <t>-</t>
        </is>
      </c>
      <c r="E944" s="14" t="inlineStr">
        <is>
          <t>-</t>
        </is>
      </c>
      <c r="F944" s="14" t="inlineStr">
        <is>
          <t>-</t>
        </is>
      </c>
      <c r="G944" s="14" t="inlineStr">
        <is>
          <t>-</t>
        </is>
      </c>
      <c r="H944" s="14" t="inlineStr">
        <is>
          <t>-</t>
        </is>
      </c>
      <c r="I944" s="14" t="inlineStr">
        <is>
          <t>-</t>
        </is>
      </c>
      <c r="J944" s="14" t="inlineStr">
        <is>
          <t>-</t>
        </is>
      </c>
      <c r="K944" s="14" t="inlineStr">
        <is>
          <t>-</t>
        </is>
      </c>
      <c r="L944" s="14" t="inlineStr">
        <is>
          <t>-</t>
        </is>
      </c>
      <c r="M944" s="14" t="inlineStr">
        <is>
          <t>-</t>
        </is>
      </c>
      <c r="N944" s="14" t="inlineStr">
        <is>
          <t>-</t>
        </is>
      </c>
      <c r="O944" s="14" t="inlineStr">
        <is>
          <t>-</t>
        </is>
      </c>
      <c r="P944" s="14" t="inlineStr">
        <is>
          <t>-</t>
        </is>
      </c>
      <c r="Q944" s="15" t="inlineStr">
        <is>
          <t>-</t>
        </is>
      </c>
    </row>
    <row r="945">
      <c r="A945" s="47" t="n"/>
      <c r="B945" s="16" t="inlineStr">
        <is>
          <t>-</t>
        </is>
      </c>
      <c r="C945" s="11" t="inlineStr">
        <is>
          <t>-</t>
        </is>
      </c>
      <c r="D945" s="11" t="inlineStr">
        <is>
          <t>-</t>
        </is>
      </c>
      <c r="E945" s="11" t="inlineStr">
        <is>
          <t>-</t>
        </is>
      </c>
      <c r="F945" s="11" t="inlineStr">
        <is>
          <t>-</t>
        </is>
      </c>
      <c r="G945" s="11" t="inlineStr">
        <is>
          <t>-</t>
        </is>
      </c>
      <c r="H945" s="11" t="inlineStr">
        <is>
          <t>-</t>
        </is>
      </c>
      <c r="I945" s="11" t="inlineStr">
        <is>
          <t>-</t>
        </is>
      </c>
      <c r="J945" s="11" t="inlineStr">
        <is>
          <t>-</t>
        </is>
      </c>
      <c r="K945" s="11" t="inlineStr">
        <is>
          <t>-</t>
        </is>
      </c>
      <c r="L945" s="11" t="inlineStr">
        <is>
          <t>-</t>
        </is>
      </c>
      <c r="M945" s="11" t="inlineStr">
        <is>
          <t>-</t>
        </is>
      </c>
      <c r="N945" s="11" t="inlineStr">
        <is>
          <t>-</t>
        </is>
      </c>
      <c r="O945" s="11" t="inlineStr">
        <is>
          <t>-</t>
        </is>
      </c>
      <c r="P945" s="11" t="inlineStr">
        <is>
          <t>-</t>
        </is>
      </c>
      <c r="Q945" s="12" t="inlineStr">
        <is>
          <t>-</t>
        </is>
      </c>
    </row>
    <row r="946" ht="36" customHeight="1" s="155">
      <c r="B946" s="46" t="inlineStr">
        <is>
          <t>panna</t>
        </is>
      </c>
      <c r="C946" s="49">
        <f>_xlfn.XLOOKUP(A947,Magazzino!$D$1:$D$1500,Magazzino!$F$1:$F$1500,"",0,1)</f>
        <v/>
      </c>
      <c r="D946" s="50">
        <f>_xlfn.XLOOKUP(A948,Magazzino!$D$1:$D$1500,Magazzino!$F$1:$F$1500,"",0,1)</f>
        <v/>
      </c>
      <c r="E946" s="50">
        <f>_xlfn.XLOOKUP(A949,Magazzino!$D$1:$D$1500,Magazzino!$F$1:$F$1500,"",0,1)</f>
        <v/>
      </c>
      <c r="F946" s="50">
        <f>_xlfn.XLOOKUP(A950,Magazzino!$D$1:$D$1500,Magazzino!$F$1:$F$1500,"",0,1)</f>
        <v/>
      </c>
      <c r="G946" s="50">
        <f>_xlfn.XLOOKUP(A951,Magazzino!$D$1:$D$1500,Magazzino!$F$1:$F$1500,"",0,1)</f>
        <v/>
      </c>
      <c r="H946" s="50">
        <f>_xlfn.XLOOKUP(A952,Magazzino!$D$1:$D$1500,Magazzino!$F$1:$F$1500,"",0,1)</f>
        <v/>
      </c>
      <c r="I946" s="50">
        <f>_xlfn.XLOOKUP(A953,Magazzino!$D$1:$D$1500,Magazzino!$F$1:$F$1500,"",0,1)</f>
        <v/>
      </c>
      <c r="J946" s="50">
        <f>_xlfn.XLOOKUP(A954,Magazzino!$D$1:$D$1500,Magazzino!$F$1:$F$1500,"",0,1)</f>
        <v/>
      </c>
      <c r="K946" s="50">
        <f>_xlfn.XLOOKUP(A955,Magazzino!$D$1:$D$1500,Magazzino!$F$1:$F$1500,"",0,1)</f>
        <v/>
      </c>
      <c r="L946" s="50">
        <f>_xlfn.XLOOKUP(A956,Magazzino!$D$1:$D$1500,Magazzino!$F$1:$F$1500,"",0,1)</f>
        <v/>
      </c>
      <c r="M946" s="50">
        <f>_xlfn.XLOOKUP(A957,Magazzino!$D$1:$D$1500,Magazzino!$F$1:$F$1500,"",0,1)</f>
        <v/>
      </c>
      <c r="N946" s="50">
        <f>_xlfn.XLOOKUP(A958,Magazzino!$D$1:$D$1500,Magazzino!$F$1:$F$1500,"",0,1)</f>
        <v/>
      </c>
      <c r="O946" s="50">
        <f>_xlfn.XLOOKUP(A959,Magazzino!$D$1:$D$1500,Magazzino!$F$1:$F$1500,"",0,1)</f>
        <v/>
      </c>
      <c r="P946" s="50">
        <f>_xlfn.XLOOKUP(A960,Magazzino!$D$1:$D$1500,Magazzino!$F$1:$F$1500,"",0,1)</f>
        <v/>
      </c>
      <c r="Q946" s="51">
        <f>_xlfn.XLOOKUP(A961,Magazzino!$D$1:$D$1500,Magazzino!$F$1:$F$1500,"",0,1)</f>
        <v/>
      </c>
    </row>
    <row r="947">
      <c r="A947" s="47" t="inlineStr">
        <is>
          <t>panna</t>
        </is>
      </c>
      <c r="B947" s="16" t="inlineStr">
        <is>
          <t>-</t>
        </is>
      </c>
      <c r="C947" s="11" t="inlineStr">
        <is>
          <t>-</t>
        </is>
      </c>
      <c r="D947" s="11" t="inlineStr">
        <is>
          <t>-</t>
        </is>
      </c>
      <c r="E947" s="11" t="inlineStr">
        <is>
          <t>-</t>
        </is>
      </c>
      <c r="F947" s="11" t="inlineStr">
        <is>
          <t>-</t>
        </is>
      </c>
      <c r="G947" s="11" t="inlineStr">
        <is>
          <t>-</t>
        </is>
      </c>
      <c r="H947" s="11" t="inlineStr">
        <is>
          <t>-</t>
        </is>
      </c>
      <c r="I947" s="11" t="inlineStr">
        <is>
          <t>-</t>
        </is>
      </c>
      <c r="J947" s="11" t="inlineStr">
        <is>
          <t>-</t>
        </is>
      </c>
      <c r="K947" s="11" t="inlineStr">
        <is>
          <t>-</t>
        </is>
      </c>
      <c r="L947" s="11" t="inlineStr">
        <is>
          <t>-</t>
        </is>
      </c>
      <c r="M947" s="11" t="inlineStr">
        <is>
          <t>-</t>
        </is>
      </c>
      <c r="N947" s="11" t="inlineStr">
        <is>
          <t>-</t>
        </is>
      </c>
      <c r="O947" s="11" t="inlineStr">
        <is>
          <t>-</t>
        </is>
      </c>
      <c r="P947" s="11" t="inlineStr">
        <is>
          <t>-</t>
        </is>
      </c>
      <c r="Q947" s="12" t="inlineStr">
        <is>
          <t>-</t>
        </is>
      </c>
    </row>
    <row r="948">
      <c r="A948" s="48" t="inlineStr">
        <is>
          <t xml:space="preserve">SALE SACCHI SALTECHNO KG.25  </t>
        </is>
      </c>
      <c r="B948" s="13" t="inlineStr">
        <is>
          <t>-</t>
        </is>
      </c>
      <c r="C948" s="14" t="inlineStr">
        <is>
          <t>-</t>
        </is>
      </c>
      <c r="D948" s="14" t="inlineStr">
        <is>
          <t>-</t>
        </is>
      </c>
      <c r="E948" s="14" t="inlineStr">
        <is>
          <t>-</t>
        </is>
      </c>
      <c r="F948" s="14" t="inlineStr">
        <is>
          <t>-</t>
        </is>
      </c>
      <c r="G948" s="14" t="inlineStr">
        <is>
          <t>-</t>
        </is>
      </c>
      <c r="H948" s="14" t="inlineStr">
        <is>
          <t>-</t>
        </is>
      </c>
      <c r="I948" s="14" t="inlineStr">
        <is>
          <t>-</t>
        </is>
      </c>
      <c r="J948" s="14" t="inlineStr">
        <is>
          <t>-</t>
        </is>
      </c>
      <c r="K948" s="14" t="inlineStr">
        <is>
          <t>-</t>
        </is>
      </c>
      <c r="L948" s="14" t="inlineStr">
        <is>
          <t>-</t>
        </is>
      </c>
      <c r="M948" s="14" t="inlineStr">
        <is>
          <t>-</t>
        </is>
      </c>
      <c r="N948" s="14" t="inlineStr">
        <is>
          <t>-</t>
        </is>
      </c>
      <c r="O948" s="14" t="inlineStr">
        <is>
          <t>-</t>
        </is>
      </c>
      <c r="P948" s="14" t="inlineStr">
        <is>
          <t>-</t>
        </is>
      </c>
      <c r="Q948" s="15" t="inlineStr">
        <is>
          <t>-</t>
        </is>
      </c>
    </row>
    <row r="949">
      <c r="A949" s="47" t="n"/>
      <c r="B949" s="16" t="inlineStr">
        <is>
          <t>-</t>
        </is>
      </c>
      <c r="C949" s="11" t="inlineStr">
        <is>
          <t>-</t>
        </is>
      </c>
      <c r="D949" s="11" t="inlineStr">
        <is>
          <t>-</t>
        </is>
      </c>
      <c r="E949" s="11" t="inlineStr">
        <is>
          <t>-</t>
        </is>
      </c>
      <c r="F949" s="11" t="inlineStr">
        <is>
          <t>-</t>
        </is>
      </c>
      <c r="G949" s="11" t="inlineStr">
        <is>
          <t>-</t>
        </is>
      </c>
      <c r="H949" s="11" t="inlineStr">
        <is>
          <t>-</t>
        </is>
      </c>
      <c r="I949" s="11" t="inlineStr">
        <is>
          <t>-</t>
        </is>
      </c>
      <c r="J949" s="11" t="inlineStr">
        <is>
          <t>-</t>
        </is>
      </c>
      <c r="K949" s="11" t="inlineStr">
        <is>
          <t>-</t>
        </is>
      </c>
      <c r="L949" s="11" t="inlineStr">
        <is>
          <t>-</t>
        </is>
      </c>
      <c r="M949" s="11" t="inlineStr">
        <is>
          <t>-</t>
        </is>
      </c>
      <c r="N949" s="11" t="inlineStr">
        <is>
          <t>-</t>
        </is>
      </c>
      <c r="O949" s="11" t="inlineStr">
        <is>
          <t>-</t>
        </is>
      </c>
      <c r="P949" s="11" t="inlineStr">
        <is>
          <t>-</t>
        </is>
      </c>
      <c r="Q949" s="12" t="inlineStr">
        <is>
          <t>-</t>
        </is>
      </c>
    </row>
    <row r="950">
      <c r="A950" s="47" t="n"/>
      <c r="B950" s="13" t="inlineStr">
        <is>
          <t>-</t>
        </is>
      </c>
      <c r="C950" s="14" t="inlineStr">
        <is>
          <t>-</t>
        </is>
      </c>
      <c r="D950" s="14" t="inlineStr">
        <is>
          <t>-</t>
        </is>
      </c>
      <c r="E950" s="14" t="inlineStr">
        <is>
          <t>-</t>
        </is>
      </c>
      <c r="F950" s="14" t="inlineStr">
        <is>
          <t>-</t>
        </is>
      </c>
      <c r="G950" s="14" t="inlineStr">
        <is>
          <t>-</t>
        </is>
      </c>
      <c r="H950" s="14" t="inlineStr">
        <is>
          <t>-</t>
        </is>
      </c>
      <c r="I950" s="14" t="inlineStr">
        <is>
          <t>-</t>
        </is>
      </c>
      <c r="J950" s="14" t="inlineStr">
        <is>
          <t>-</t>
        </is>
      </c>
      <c r="K950" s="14" t="inlineStr">
        <is>
          <t>-</t>
        </is>
      </c>
      <c r="L950" s="14" t="inlineStr">
        <is>
          <t>-</t>
        </is>
      </c>
      <c r="M950" s="14" t="inlineStr">
        <is>
          <t>-</t>
        </is>
      </c>
      <c r="N950" s="14" t="inlineStr">
        <is>
          <t>-</t>
        </is>
      </c>
      <c r="O950" s="14" t="inlineStr">
        <is>
          <t>-</t>
        </is>
      </c>
      <c r="P950" s="14" t="inlineStr">
        <is>
          <t>-</t>
        </is>
      </c>
      <c r="Q950" s="15" t="inlineStr">
        <is>
          <t>-</t>
        </is>
      </c>
    </row>
    <row r="951">
      <c r="A951" s="47" t="n"/>
      <c r="B951" s="16" t="inlineStr">
        <is>
          <t>-</t>
        </is>
      </c>
      <c r="C951" s="11" t="inlineStr">
        <is>
          <t>-</t>
        </is>
      </c>
      <c r="D951" s="11" t="inlineStr">
        <is>
          <t>-</t>
        </is>
      </c>
      <c r="E951" s="11" t="inlineStr">
        <is>
          <t>-</t>
        </is>
      </c>
      <c r="F951" s="11" t="inlineStr">
        <is>
          <t>-</t>
        </is>
      </c>
      <c r="G951" s="11" t="inlineStr">
        <is>
          <t>-</t>
        </is>
      </c>
      <c r="H951" s="11" t="inlineStr">
        <is>
          <t>-</t>
        </is>
      </c>
      <c r="I951" s="11" t="inlineStr">
        <is>
          <t>-</t>
        </is>
      </c>
      <c r="J951" s="11" t="inlineStr">
        <is>
          <t>-</t>
        </is>
      </c>
      <c r="K951" s="11" t="inlineStr">
        <is>
          <t>-</t>
        </is>
      </c>
      <c r="L951" s="11" t="inlineStr">
        <is>
          <t>-</t>
        </is>
      </c>
      <c r="M951" s="11" t="inlineStr">
        <is>
          <t>-</t>
        </is>
      </c>
      <c r="N951" s="11" t="inlineStr">
        <is>
          <t>-</t>
        </is>
      </c>
      <c r="O951" s="11" t="inlineStr">
        <is>
          <t>-</t>
        </is>
      </c>
      <c r="P951" s="11" t="inlineStr">
        <is>
          <t>-</t>
        </is>
      </c>
      <c r="Q951" s="12" t="inlineStr">
        <is>
          <t>-</t>
        </is>
      </c>
    </row>
    <row r="952">
      <c r="A952" s="47" t="n"/>
      <c r="B952" s="13" t="inlineStr">
        <is>
          <t>-</t>
        </is>
      </c>
      <c r="C952" s="14" t="inlineStr">
        <is>
          <t>-</t>
        </is>
      </c>
      <c r="D952" s="14" t="inlineStr">
        <is>
          <t>-</t>
        </is>
      </c>
      <c r="E952" s="14" t="inlineStr">
        <is>
          <t>-</t>
        </is>
      </c>
      <c r="F952" s="14" t="inlineStr">
        <is>
          <t>-</t>
        </is>
      </c>
      <c r="G952" s="14" t="inlineStr">
        <is>
          <t>-</t>
        </is>
      </c>
      <c r="H952" s="14" t="inlineStr">
        <is>
          <t>-</t>
        </is>
      </c>
      <c r="I952" s="14" t="inlineStr">
        <is>
          <t>-</t>
        </is>
      </c>
      <c r="J952" s="14" t="inlineStr">
        <is>
          <t>-</t>
        </is>
      </c>
      <c r="K952" s="14" t="inlineStr">
        <is>
          <t>-</t>
        </is>
      </c>
      <c r="L952" s="14" t="inlineStr">
        <is>
          <t>-</t>
        </is>
      </c>
      <c r="M952" s="14" t="inlineStr">
        <is>
          <t>-</t>
        </is>
      </c>
      <c r="N952" s="14" t="inlineStr">
        <is>
          <t>-</t>
        </is>
      </c>
      <c r="O952" s="14" t="inlineStr">
        <is>
          <t>-</t>
        </is>
      </c>
      <c r="P952" s="14" t="inlineStr">
        <is>
          <t>-</t>
        </is>
      </c>
      <c r="Q952" s="15" t="inlineStr">
        <is>
          <t>-</t>
        </is>
      </c>
    </row>
    <row r="953">
      <c r="A953" s="47" t="n"/>
      <c r="B953" s="16" t="inlineStr">
        <is>
          <t>-</t>
        </is>
      </c>
      <c r="C953" s="11" t="inlineStr">
        <is>
          <t>-</t>
        </is>
      </c>
      <c r="D953" s="11" t="inlineStr">
        <is>
          <t>-</t>
        </is>
      </c>
      <c r="E953" s="11" t="inlineStr">
        <is>
          <t>-</t>
        </is>
      </c>
      <c r="F953" s="11" t="inlineStr">
        <is>
          <t>-</t>
        </is>
      </c>
      <c r="G953" s="11" t="inlineStr">
        <is>
          <t>-</t>
        </is>
      </c>
      <c r="H953" s="11" t="inlineStr">
        <is>
          <t>-</t>
        </is>
      </c>
      <c r="I953" s="11" t="inlineStr">
        <is>
          <t>-</t>
        </is>
      </c>
      <c r="J953" s="11" t="inlineStr">
        <is>
          <t>-</t>
        </is>
      </c>
      <c r="K953" s="11" t="inlineStr">
        <is>
          <t>-</t>
        </is>
      </c>
      <c r="L953" s="11" t="inlineStr">
        <is>
          <t>-</t>
        </is>
      </c>
      <c r="M953" s="11" t="inlineStr">
        <is>
          <t>-</t>
        </is>
      </c>
      <c r="N953" s="11" t="inlineStr">
        <is>
          <t>-</t>
        </is>
      </c>
      <c r="O953" s="11" t="inlineStr">
        <is>
          <t>-</t>
        </is>
      </c>
      <c r="P953" s="11" t="inlineStr">
        <is>
          <t>-</t>
        </is>
      </c>
      <c r="Q953" s="12" t="inlineStr">
        <is>
          <t>-</t>
        </is>
      </c>
    </row>
    <row r="954">
      <c r="A954" s="47" t="n"/>
      <c r="B954" s="13" t="inlineStr">
        <is>
          <t>-</t>
        </is>
      </c>
      <c r="C954" s="14" t="inlineStr">
        <is>
          <t>-</t>
        </is>
      </c>
      <c r="D954" s="14" t="inlineStr">
        <is>
          <t>-</t>
        </is>
      </c>
      <c r="E954" s="14" t="inlineStr">
        <is>
          <t>-</t>
        </is>
      </c>
      <c r="F954" s="14" t="inlineStr">
        <is>
          <t>-</t>
        </is>
      </c>
      <c r="G954" s="14" t="inlineStr">
        <is>
          <t>-</t>
        </is>
      </c>
      <c r="H954" s="14" t="inlineStr">
        <is>
          <t>-</t>
        </is>
      </c>
      <c r="I954" s="14" t="inlineStr">
        <is>
          <t>-</t>
        </is>
      </c>
      <c r="J954" s="14" t="inlineStr">
        <is>
          <t>-</t>
        </is>
      </c>
      <c r="K954" s="14" t="inlineStr">
        <is>
          <t>-</t>
        </is>
      </c>
      <c r="L954" s="14" t="inlineStr">
        <is>
          <t>-</t>
        </is>
      </c>
      <c r="M954" s="14" t="inlineStr">
        <is>
          <t>-</t>
        </is>
      </c>
      <c r="N954" s="14" t="inlineStr">
        <is>
          <t>-</t>
        </is>
      </c>
      <c r="O954" s="14" t="inlineStr">
        <is>
          <t>-</t>
        </is>
      </c>
      <c r="P954" s="14" t="inlineStr">
        <is>
          <t>-</t>
        </is>
      </c>
      <c r="Q954" s="15" t="inlineStr">
        <is>
          <t>-</t>
        </is>
      </c>
    </row>
    <row r="955">
      <c r="A955" s="47" t="n"/>
      <c r="B955" s="16" t="inlineStr">
        <is>
          <t>-</t>
        </is>
      </c>
      <c r="C955" s="11" t="inlineStr">
        <is>
          <t>-</t>
        </is>
      </c>
      <c r="D955" s="11" t="inlineStr">
        <is>
          <t>-</t>
        </is>
      </c>
      <c r="E955" s="11" t="inlineStr">
        <is>
          <t>-</t>
        </is>
      </c>
      <c r="F955" s="11" t="inlineStr">
        <is>
          <t>-</t>
        </is>
      </c>
      <c r="G955" s="11" t="inlineStr">
        <is>
          <t>-</t>
        </is>
      </c>
      <c r="H955" s="11" t="inlineStr">
        <is>
          <t>-</t>
        </is>
      </c>
      <c r="I955" s="11" t="inlineStr">
        <is>
          <t>-</t>
        </is>
      </c>
      <c r="J955" s="11" t="inlineStr">
        <is>
          <t>-</t>
        </is>
      </c>
      <c r="K955" s="11" t="inlineStr">
        <is>
          <t>-</t>
        </is>
      </c>
      <c r="L955" s="11" t="inlineStr">
        <is>
          <t>-</t>
        </is>
      </c>
      <c r="M955" s="11" t="inlineStr">
        <is>
          <t>-</t>
        </is>
      </c>
      <c r="N955" s="11" t="inlineStr">
        <is>
          <t>-</t>
        </is>
      </c>
      <c r="O955" s="11" t="inlineStr">
        <is>
          <t>-</t>
        </is>
      </c>
      <c r="P955" s="11" t="inlineStr">
        <is>
          <t>-</t>
        </is>
      </c>
      <c r="Q955" s="12" t="inlineStr">
        <is>
          <t>-</t>
        </is>
      </c>
    </row>
    <row r="956">
      <c r="A956" s="47" t="n"/>
      <c r="B956" s="13" t="inlineStr">
        <is>
          <t>-</t>
        </is>
      </c>
      <c r="C956" s="14" t="inlineStr">
        <is>
          <t>-</t>
        </is>
      </c>
      <c r="D956" s="14" t="inlineStr">
        <is>
          <t>-</t>
        </is>
      </c>
      <c r="E956" s="14" t="inlineStr">
        <is>
          <t>-</t>
        </is>
      </c>
      <c r="F956" s="14" t="inlineStr">
        <is>
          <t>-</t>
        </is>
      </c>
      <c r="G956" s="14" t="inlineStr">
        <is>
          <t>-</t>
        </is>
      </c>
      <c r="H956" s="14" t="inlineStr">
        <is>
          <t>-</t>
        </is>
      </c>
      <c r="I956" s="14" t="inlineStr">
        <is>
          <t>-</t>
        </is>
      </c>
      <c r="J956" s="14" t="inlineStr">
        <is>
          <t>-</t>
        </is>
      </c>
      <c r="K956" s="14" t="inlineStr">
        <is>
          <t>-</t>
        </is>
      </c>
      <c r="L956" s="14" t="inlineStr">
        <is>
          <t>-</t>
        </is>
      </c>
      <c r="M956" s="14" t="inlineStr">
        <is>
          <t>-</t>
        </is>
      </c>
      <c r="N956" s="14" t="inlineStr">
        <is>
          <t>-</t>
        </is>
      </c>
      <c r="O956" s="14" t="inlineStr">
        <is>
          <t>-</t>
        </is>
      </c>
      <c r="P956" s="14" t="inlineStr">
        <is>
          <t>-</t>
        </is>
      </c>
      <c r="Q956" s="15" t="inlineStr">
        <is>
          <t>-</t>
        </is>
      </c>
    </row>
    <row r="957">
      <c r="A957" s="47" t="n"/>
      <c r="B957" s="16" t="inlineStr">
        <is>
          <t>-</t>
        </is>
      </c>
      <c r="C957" s="11" t="inlineStr">
        <is>
          <t>-</t>
        </is>
      </c>
      <c r="D957" s="11" t="inlineStr">
        <is>
          <t>-</t>
        </is>
      </c>
      <c r="E957" s="11" t="inlineStr">
        <is>
          <t>-</t>
        </is>
      </c>
      <c r="F957" s="11" t="inlineStr">
        <is>
          <t>-</t>
        </is>
      </c>
      <c r="G957" s="11" t="inlineStr">
        <is>
          <t>-</t>
        </is>
      </c>
      <c r="H957" s="11" t="inlineStr">
        <is>
          <t>-</t>
        </is>
      </c>
      <c r="I957" s="11" t="inlineStr">
        <is>
          <t>-</t>
        </is>
      </c>
      <c r="J957" s="11" t="inlineStr">
        <is>
          <t>-</t>
        </is>
      </c>
      <c r="K957" s="11" t="inlineStr">
        <is>
          <t>-</t>
        </is>
      </c>
      <c r="L957" s="11" t="inlineStr">
        <is>
          <t>-</t>
        </is>
      </c>
      <c r="M957" s="11" t="inlineStr">
        <is>
          <t>-</t>
        </is>
      </c>
      <c r="N957" s="11" t="inlineStr">
        <is>
          <t>-</t>
        </is>
      </c>
      <c r="O957" s="11" t="inlineStr">
        <is>
          <t>-</t>
        </is>
      </c>
      <c r="P957" s="11" t="inlineStr">
        <is>
          <t>-</t>
        </is>
      </c>
      <c r="Q957" s="12" t="inlineStr">
        <is>
          <t>-</t>
        </is>
      </c>
    </row>
    <row r="958">
      <c r="A958" s="47" t="n"/>
      <c r="B958" s="13" t="inlineStr">
        <is>
          <t>-</t>
        </is>
      </c>
      <c r="C958" s="14" t="inlineStr">
        <is>
          <t>-</t>
        </is>
      </c>
      <c r="D958" s="14" t="inlineStr">
        <is>
          <t>-</t>
        </is>
      </c>
      <c r="E958" s="14" t="inlineStr">
        <is>
          <t>-</t>
        </is>
      </c>
      <c r="F958" s="14" t="inlineStr">
        <is>
          <t>-</t>
        </is>
      </c>
      <c r="G958" s="14" t="inlineStr">
        <is>
          <t>-</t>
        </is>
      </c>
      <c r="H958" s="14" t="inlineStr">
        <is>
          <t>-</t>
        </is>
      </c>
      <c r="I958" s="14" t="inlineStr">
        <is>
          <t>-</t>
        </is>
      </c>
      <c r="J958" s="14" t="inlineStr">
        <is>
          <t>-</t>
        </is>
      </c>
      <c r="K958" s="14" t="inlineStr">
        <is>
          <t>-</t>
        </is>
      </c>
      <c r="L958" s="14" t="inlineStr">
        <is>
          <t>-</t>
        </is>
      </c>
      <c r="M958" s="14" t="inlineStr">
        <is>
          <t>-</t>
        </is>
      </c>
      <c r="N958" s="14" t="inlineStr">
        <is>
          <t>-</t>
        </is>
      </c>
      <c r="O958" s="14" t="inlineStr">
        <is>
          <t>-</t>
        </is>
      </c>
      <c r="P958" s="14" t="inlineStr">
        <is>
          <t>-</t>
        </is>
      </c>
      <c r="Q958" s="15" t="inlineStr">
        <is>
          <t>-</t>
        </is>
      </c>
    </row>
    <row r="959">
      <c r="A959" s="47" t="n"/>
      <c r="B959" s="16" t="inlineStr">
        <is>
          <t>-</t>
        </is>
      </c>
      <c r="C959" s="11" t="inlineStr">
        <is>
          <t>-</t>
        </is>
      </c>
      <c r="D959" s="11" t="inlineStr">
        <is>
          <t>-</t>
        </is>
      </c>
      <c r="E959" s="11" t="inlineStr">
        <is>
          <t>-</t>
        </is>
      </c>
      <c r="F959" s="11" t="inlineStr">
        <is>
          <t>-</t>
        </is>
      </c>
      <c r="G959" s="11" t="inlineStr">
        <is>
          <t>-</t>
        </is>
      </c>
      <c r="H959" s="11" t="inlineStr">
        <is>
          <t>-</t>
        </is>
      </c>
      <c r="I959" s="11" t="inlineStr">
        <is>
          <t>-</t>
        </is>
      </c>
      <c r="J959" s="11" t="inlineStr">
        <is>
          <t>-</t>
        </is>
      </c>
      <c r="K959" s="11" t="inlineStr">
        <is>
          <t>-</t>
        </is>
      </c>
      <c r="L959" s="11" t="inlineStr">
        <is>
          <t>-</t>
        </is>
      </c>
      <c r="M959" s="11" t="inlineStr">
        <is>
          <t>-</t>
        </is>
      </c>
      <c r="N959" s="11" t="inlineStr">
        <is>
          <t>-</t>
        </is>
      </c>
      <c r="O959" s="11" t="inlineStr">
        <is>
          <t>-</t>
        </is>
      </c>
      <c r="P959" s="11" t="inlineStr">
        <is>
          <t>-</t>
        </is>
      </c>
      <c r="Q959" s="12" t="inlineStr">
        <is>
          <t>-</t>
        </is>
      </c>
    </row>
    <row r="960">
      <c r="A960" s="47" t="n"/>
      <c r="B960" s="13" t="inlineStr">
        <is>
          <t>-</t>
        </is>
      </c>
      <c r="C960" s="14" t="inlineStr">
        <is>
          <t>-</t>
        </is>
      </c>
      <c r="D960" s="14" t="inlineStr">
        <is>
          <t>-</t>
        </is>
      </c>
      <c r="E960" s="14" t="inlineStr">
        <is>
          <t>-</t>
        </is>
      </c>
      <c r="F960" s="14" t="inlineStr">
        <is>
          <t>-</t>
        </is>
      </c>
      <c r="G960" s="14" t="inlineStr">
        <is>
          <t>-</t>
        </is>
      </c>
      <c r="H960" s="14" t="inlineStr">
        <is>
          <t>-</t>
        </is>
      </c>
      <c r="I960" s="14" t="inlineStr">
        <is>
          <t>-</t>
        </is>
      </c>
      <c r="J960" s="14" t="inlineStr">
        <is>
          <t>-</t>
        </is>
      </c>
      <c r="K960" s="14" t="inlineStr">
        <is>
          <t>-</t>
        </is>
      </c>
      <c r="L960" s="14" t="inlineStr">
        <is>
          <t>-</t>
        </is>
      </c>
      <c r="M960" s="14" t="inlineStr">
        <is>
          <t>-</t>
        </is>
      </c>
      <c r="N960" s="14" t="inlineStr">
        <is>
          <t>-</t>
        </is>
      </c>
      <c r="O960" s="14" t="inlineStr">
        <is>
          <t>-</t>
        </is>
      </c>
      <c r="P960" s="14" t="inlineStr">
        <is>
          <t>-</t>
        </is>
      </c>
      <c r="Q960" s="15" t="inlineStr">
        <is>
          <t>-</t>
        </is>
      </c>
    </row>
    <row r="961">
      <c r="A961" s="47" t="n"/>
      <c r="B961" s="16" t="inlineStr">
        <is>
          <t>-</t>
        </is>
      </c>
      <c r="C961" s="11" t="inlineStr">
        <is>
          <t>-</t>
        </is>
      </c>
      <c r="D961" s="11" t="inlineStr">
        <is>
          <t>-</t>
        </is>
      </c>
      <c r="E961" s="11" t="inlineStr">
        <is>
          <t>-</t>
        </is>
      </c>
      <c r="F961" s="11" t="inlineStr">
        <is>
          <t>-</t>
        </is>
      </c>
      <c r="G961" s="11" t="inlineStr">
        <is>
          <t>-</t>
        </is>
      </c>
      <c r="H961" s="11" t="inlineStr">
        <is>
          <t>-</t>
        </is>
      </c>
      <c r="I961" s="11" t="inlineStr">
        <is>
          <t>-</t>
        </is>
      </c>
      <c r="J961" s="11" t="inlineStr">
        <is>
          <t>-</t>
        </is>
      </c>
      <c r="K961" s="11" t="inlineStr">
        <is>
          <t>-</t>
        </is>
      </c>
      <c r="L961" s="11" t="inlineStr">
        <is>
          <t>-</t>
        </is>
      </c>
      <c r="M961" s="11" t="inlineStr">
        <is>
          <t>-</t>
        </is>
      </c>
      <c r="N961" s="11" t="inlineStr">
        <is>
          <t>-</t>
        </is>
      </c>
      <c r="O961" s="11" t="inlineStr">
        <is>
          <t>-</t>
        </is>
      </c>
      <c r="P961" s="11" t="inlineStr">
        <is>
          <t>-</t>
        </is>
      </c>
      <c r="Q961" s="12" t="inlineStr">
        <is>
          <t>-</t>
        </is>
      </c>
    </row>
    <row r="962" ht="36" customHeight="1" s="155">
      <c r="B962" s="46" t="inlineStr">
        <is>
          <t>pasta choux</t>
        </is>
      </c>
      <c r="C962" s="49">
        <f>_xlfn.XLOOKUP(A963,Magazzino!$D$1:$D$1500,Magazzino!$F$1:$F$1500,"",0,1)</f>
        <v/>
      </c>
      <c r="D962" s="50">
        <f>_xlfn.XLOOKUP(A964,Magazzino!$D$1:$D$1500,Magazzino!$F$1:$F$1500,"",0,1)</f>
        <v/>
      </c>
      <c r="E962" s="50">
        <f>_xlfn.XLOOKUP(A965,Magazzino!$D$1:$D$1500,Magazzino!$F$1:$F$1500,"",0,1)</f>
        <v/>
      </c>
      <c r="F962" s="50">
        <f>_xlfn.XLOOKUP(A966,Magazzino!$D$1:$D$1500,Magazzino!$F$1:$F$1500,"",0,1)</f>
        <v/>
      </c>
      <c r="G962" s="50">
        <f>_xlfn.XLOOKUP(A967,Magazzino!$D$1:$D$1500,Magazzino!$F$1:$F$1500,"",0,1)</f>
        <v/>
      </c>
      <c r="H962" s="50">
        <f>_xlfn.XLOOKUP(A968,Magazzino!$D$1:$D$1500,Magazzino!$F$1:$F$1500,"",0,1)</f>
        <v/>
      </c>
      <c r="I962" s="50">
        <f>_xlfn.XLOOKUP(A969,Magazzino!$D$1:$D$1500,Magazzino!$F$1:$F$1500,"",0,1)</f>
        <v/>
      </c>
      <c r="J962" s="50">
        <f>_xlfn.XLOOKUP(A970,Magazzino!$D$1:$D$1500,Magazzino!$F$1:$F$1500,"",0,1)</f>
        <v/>
      </c>
      <c r="K962" s="50">
        <f>_xlfn.XLOOKUP(A971,Magazzino!$D$1:$D$1500,Magazzino!$F$1:$F$1500,"",0,1)</f>
        <v/>
      </c>
      <c r="L962" s="50">
        <f>_xlfn.XLOOKUP(A972,Magazzino!$D$1:$D$1500,Magazzino!$F$1:$F$1500,"",0,1)</f>
        <v/>
      </c>
      <c r="M962" s="50">
        <f>_xlfn.XLOOKUP(A973,Magazzino!$D$1:$D$1500,Magazzino!$F$1:$F$1500,"",0,1)</f>
        <v/>
      </c>
      <c r="N962" s="50">
        <f>_xlfn.XLOOKUP(A974,Magazzino!$D$1:$D$1500,Magazzino!$F$1:$F$1500,"",0,1)</f>
        <v/>
      </c>
      <c r="O962" s="50">
        <f>_xlfn.XLOOKUP(A975,Magazzino!$D$1:$D$1500,Magazzino!$F$1:$F$1500,"",0,1)</f>
        <v/>
      </c>
      <c r="P962" s="50">
        <f>_xlfn.XLOOKUP(A976,Magazzino!$D$1:$D$1500,Magazzino!$F$1:$F$1500,"",0,1)</f>
        <v/>
      </c>
      <c r="Q962" s="51">
        <f>_xlfn.XLOOKUP(A977,Magazzino!$D$1:$D$1500,Magazzino!$F$1:$F$1500,"",0,1)</f>
        <v/>
      </c>
    </row>
    <row r="963">
      <c r="A963" s="47" t="inlineStr">
        <is>
          <t xml:space="preserve">FARINA 0/MAN. CAPUTO DA KG.25  </t>
        </is>
      </c>
      <c r="B963" s="16" t="inlineStr">
        <is>
          <t>-</t>
        </is>
      </c>
      <c r="C963" s="11" t="inlineStr">
        <is>
          <t>-</t>
        </is>
      </c>
      <c r="D963" s="11" t="inlineStr">
        <is>
          <t>-</t>
        </is>
      </c>
      <c r="E963" s="11" t="inlineStr">
        <is>
          <t>-</t>
        </is>
      </c>
      <c r="F963" s="11" t="inlineStr">
        <is>
          <t>-</t>
        </is>
      </c>
      <c r="G963" s="11" t="inlineStr">
        <is>
          <t>-</t>
        </is>
      </c>
      <c r="H963" s="11" t="inlineStr">
        <is>
          <t>-</t>
        </is>
      </c>
      <c r="I963" s="11" t="inlineStr">
        <is>
          <t>-</t>
        </is>
      </c>
      <c r="J963" s="11" t="inlineStr">
        <is>
          <t>-</t>
        </is>
      </c>
      <c r="K963" s="11" t="inlineStr">
        <is>
          <t>-</t>
        </is>
      </c>
      <c r="L963" s="11" t="inlineStr">
        <is>
          <t>-</t>
        </is>
      </c>
      <c r="M963" s="11" t="inlineStr">
        <is>
          <t>-</t>
        </is>
      </c>
      <c r="N963" s="11" t="inlineStr">
        <is>
          <t>-</t>
        </is>
      </c>
      <c r="O963" s="11" t="inlineStr">
        <is>
          <t>-</t>
        </is>
      </c>
      <c r="P963" s="11" t="inlineStr">
        <is>
          <t>-</t>
        </is>
      </c>
      <c r="Q963" s="12" t="inlineStr">
        <is>
          <t>-</t>
        </is>
      </c>
    </row>
    <row r="964">
      <c r="A964" s="47" t="inlineStr">
        <is>
          <t>uova</t>
        </is>
      </c>
      <c r="B964" s="13" t="inlineStr">
        <is>
          <t>-</t>
        </is>
      </c>
      <c r="C964" s="14" t="inlineStr">
        <is>
          <t>-</t>
        </is>
      </c>
      <c r="D964" s="14" t="inlineStr">
        <is>
          <t>-</t>
        </is>
      </c>
      <c r="E964" s="14" t="inlineStr">
        <is>
          <t>-</t>
        </is>
      </c>
      <c r="F964" s="14" t="inlineStr">
        <is>
          <t>-</t>
        </is>
      </c>
      <c r="G964" s="14" t="inlineStr">
        <is>
          <t>-</t>
        </is>
      </c>
      <c r="H964" s="14" t="inlineStr">
        <is>
          <t>-</t>
        </is>
      </c>
      <c r="I964" s="14" t="inlineStr">
        <is>
          <t>-</t>
        </is>
      </c>
      <c r="J964" s="14" t="inlineStr">
        <is>
          <t>-</t>
        </is>
      </c>
      <c r="K964" s="14" t="inlineStr">
        <is>
          <t>-</t>
        </is>
      </c>
      <c r="L964" s="14" t="inlineStr">
        <is>
          <t>-</t>
        </is>
      </c>
      <c r="M964" s="14" t="inlineStr">
        <is>
          <t>-</t>
        </is>
      </c>
      <c r="N964" s="14" t="inlineStr">
        <is>
          <t>-</t>
        </is>
      </c>
      <c r="O964" s="14" t="inlineStr">
        <is>
          <t>-</t>
        </is>
      </c>
      <c r="P964" s="14" t="inlineStr">
        <is>
          <t>-</t>
        </is>
      </c>
      <c r="Q964" s="15" t="inlineStr">
        <is>
          <t>-</t>
        </is>
      </c>
    </row>
    <row r="965">
      <c r="A965" s="48" t="inlineStr">
        <is>
          <t xml:space="preserve">SALE SACCHI SALTECHNO KG.25  </t>
        </is>
      </c>
      <c r="B965" s="16" t="inlineStr">
        <is>
          <t>-</t>
        </is>
      </c>
      <c r="C965" s="11" t="inlineStr">
        <is>
          <t>-</t>
        </is>
      </c>
      <c r="D965" s="11" t="inlineStr">
        <is>
          <t>-</t>
        </is>
      </c>
      <c r="E965" s="11" t="inlineStr">
        <is>
          <t>-</t>
        </is>
      </c>
      <c r="F965" s="11" t="inlineStr">
        <is>
          <t>-</t>
        </is>
      </c>
      <c r="G965" s="11" t="inlineStr">
        <is>
          <t>-</t>
        </is>
      </c>
      <c r="H965" s="11" t="inlineStr">
        <is>
          <t>-</t>
        </is>
      </c>
      <c r="I965" s="11" t="inlineStr">
        <is>
          <t>-</t>
        </is>
      </c>
      <c r="J965" s="11" t="inlineStr">
        <is>
          <t>-</t>
        </is>
      </c>
      <c r="K965" s="11" t="inlineStr">
        <is>
          <t>-</t>
        </is>
      </c>
      <c r="L965" s="11" t="inlineStr">
        <is>
          <t>-</t>
        </is>
      </c>
      <c r="M965" s="11" t="inlineStr">
        <is>
          <t>-</t>
        </is>
      </c>
      <c r="N965" s="11" t="inlineStr">
        <is>
          <t>-</t>
        </is>
      </c>
      <c r="O965" s="11" t="inlineStr">
        <is>
          <t>-</t>
        </is>
      </c>
      <c r="P965" s="11" t="inlineStr">
        <is>
          <t>-</t>
        </is>
      </c>
      <c r="Q965" s="12" t="inlineStr">
        <is>
          <t>-</t>
        </is>
      </c>
    </row>
    <row r="966">
      <c r="A966" s="47" t="inlineStr">
        <is>
          <t>margarina crema</t>
        </is>
      </c>
      <c r="B966" s="13" t="inlineStr">
        <is>
          <t>-</t>
        </is>
      </c>
      <c r="C966" s="14" t="inlineStr">
        <is>
          <t>-</t>
        </is>
      </c>
      <c r="D966" s="14" t="inlineStr">
        <is>
          <t>-</t>
        </is>
      </c>
      <c r="E966" s="14" t="inlineStr">
        <is>
          <t>-</t>
        </is>
      </c>
      <c r="F966" s="14" t="inlineStr">
        <is>
          <t>-</t>
        </is>
      </c>
      <c r="G966" s="14" t="inlineStr">
        <is>
          <t>-</t>
        </is>
      </c>
      <c r="H966" s="14" t="inlineStr">
        <is>
          <t>-</t>
        </is>
      </c>
      <c r="I966" s="14" t="inlineStr">
        <is>
          <t>-</t>
        </is>
      </c>
      <c r="J966" s="14" t="inlineStr">
        <is>
          <t>-</t>
        </is>
      </c>
      <c r="K966" s="14" t="inlineStr">
        <is>
          <t>-</t>
        </is>
      </c>
      <c r="L966" s="14" t="inlineStr">
        <is>
          <t>-</t>
        </is>
      </c>
      <c r="M966" s="14" t="inlineStr">
        <is>
          <t>-</t>
        </is>
      </c>
      <c r="N966" s="14" t="inlineStr">
        <is>
          <t>-</t>
        </is>
      </c>
      <c r="O966" s="14" t="inlineStr">
        <is>
          <t>-</t>
        </is>
      </c>
      <c r="P966" s="14" t="inlineStr">
        <is>
          <t>-</t>
        </is>
      </c>
      <c r="Q966" s="15" t="inlineStr">
        <is>
          <t>-</t>
        </is>
      </c>
    </row>
    <row r="967">
      <c r="A967" s="47" t="n"/>
      <c r="B967" s="16" t="inlineStr">
        <is>
          <t>-</t>
        </is>
      </c>
      <c r="C967" s="11" t="inlineStr">
        <is>
          <t>-</t>
        </is>
      </c>
      <c r="D967" s="11" t="inlineStr">
        <is>
          <t>-</t>
        </is>
      </c>
      <c r="E967" s="11" t="inlineStr">
        <is>
          <t>-</t>
        </is>
      </c>
      <c r="F967" s="11" t="inlineStr">
        <is>
          <t>-</t>
        </is>
      </c>
      <c r="G967" s="11" t="inlineStr">
        <is>
          <t>-</t>
        </is>
      </c>
      <c r="H967" s="11" t="inlineStr">
        <is>
          <t>-</t>
        </is>
      </c>
      <c r="I967" s="11" t="inlineStr">
        <is>
          <t>-</t>
        </is>
      </c>
      <c r="J967" s="11" t="inlineStr">
        <is>
          <t>-</t>
        </is>
      </c>
      <c r="K967" s="11" t="inlineStr">
        <is>
          <t>-</t>
        </is>
      </c>
      <c r="L967" s="11" t="inlineStr">
        <is>
          <t>-</t>
        </is>
      </c>
      <c r="M967" s="11" t="inlineStr">
        <is>
          <t>-</t>
        </is>
      </c>
      <c r="N967" s="11" t="inlineStr">
        <is>
          <t>-</t>
        </is>
      </c>
      <c r="O967" s="11" t="inlineStr">
        <is>
          <t>-</t>
        </is>
      </c>
      <c r="P967" s="11" t="inlineStr">
        <is>
          <t>-</t>
        </is>
      </c>
      <c r="Q967" s="12" t="inlineStr">
        <is>
          <t>-</t>
        </is>
      </c>
    </row>
    <row r="968">
      <c r="A968" s="47" t="n"/>
      <c r="B968" s="13" t="inlineStr">
        <is>
          <t>-</t>
        </is>
      </c>
      <c r="C968" s="14" t="inlineStr">
        <is>
          <t>-</t>
        </is>
      </c>
      <c r="D968" s="14" t="inlineStr">
        <is>
          <t>-</t>
        </is>
      </c>
      <c r="E968" s="14" t="inlineStr">
        <is>
          <t>-</t>
        </is>
      </c>
      <c r="F968" s="14" t="inlineStr">
        <is>
          <t>-</t>
        </is>
      </c>
      <c r="G968" s="14" t="inlineStr">
        <is>
          <t>-</t>
        </is>
      </c>
      <c r="H968" s="14" t="inlineStr">
        <is>
          <t>-</t>
        </is>
      </c>
      <c r="I968" s="14" t="inlineStr">
        <is>
          <t>-</t>
        </is>
      </c>
      <c r="J968" s="14" t="inlineStr">
        <is>
          <t>-</t>
        </is>
      </c>
      <c r="K968" s="14" t="inlineStr">
        <is>
          <t>-</t>
        </is>
      </c>
      <c r="L968" s="14" t="inlineStr">
        <is>
          <t>-</t>
        </is>
      </c>
      <c r="M968" s="14" t="inlineStr">
        <is>
          <t>-</t>
        </is>
      </c>
      <c r="N968" s="14" t="inlineStr">
        <is>
          <t>-</t>
        </is>
      </c>
      <c r="O968" s="14" t="inlineStr">
        <is>
          <t>-</t>
        </is>
      </c>
      <c r="P968" s="14" t="inlineStr">
        <is>
          <t>-</t>
        </is>
      </c>
      <c r="Q968" s="15" t="inlineStr">
        <is>
          <t>-</t>
        </is>
      </c>
    </row>
    <row r="969">
      <c r="A969" s="47" t="n"/>
      <c r="B969" s="16" t="inlineStr">
        <is>
          <t>-</t>
        </is>
      </c>
      <c r="C969" s="11" t="inlineStr">
        <is>
          <t>-</t>
        </is>
      </c>
      <c r="D969" s="11" t="inlineStr">
        <is>
          <t>-</t>
        </is>
      </c>
      <c r="E969" s="11" t="inlineStr">
        <is>
          <t>-</t>
        </is>
      </c>
      <c r="F969" s="11" t="inlineStr">
        <is>
          <t>-</t>
        </is>
      </c>
      <c r="G969" s="11" t="inlineStr">
        <is>
          <t>-</t>
        </is>
      </c>
      <c r="H969" s="11" t="inlineStr">
        <is>
          <t>-</t>
        </is>
      </c>
      <c r="I969" s="11" t="inlineStr">
        <is>
          <t>-</t>
        </is>
      </c>
      <c r="J969" s="11" t="inlineStr">
        <is>
          <t>-</t>
        </is>
      </c>
      <c r="K969" s="11" t="inlineStr">
        <is>
          <t>-</t>
        </is>
      </c>
      <c r="L969" s="11" t="inlineStr">
        <is>
          <t>-</t>
        </is>
      </c>
      <c r="M969" s="11" t="inlineStr">
        <is>
          <t>-</t>
        </is>
      </c>
      <c r="N969" s="11" t="inlineStr">
        <is>
          <t>-</t>
        </is>
      </c>
      <c r="O969" s="11" t="inlineStr">
        <is>
          <t>-</t>
        </is>
      </c>
      <c r="P969" s="11" t="inlineStr">
        <is>
          <t>-</t>
        </is>
      </c>
      <c r="Q969" s="12" t="inlineStr">
        <is>
          <t>-</t>
        </is>
      </c>
    </row>
    <row r="970">
      <c r="A970" s="47" t="n"/>
      <c r="B970" s="13" t="inlineStr">
        <is>
          <t>-</t>
        </is>
      </c>
      <c r="C970" s="14" t="inlineStr">
        <is>
          <t>-</t>
        </is>
      </c>
      <c r="D970" s="14" t="inlineStr">
        <is>
          <t>-</t>
        </is>
      </c>
      <c r="E970" s="14" t="inlineStr">
        <is>
          <t>-</t>
        </is>
      </c>
      <c r="F970" s="14" t="inlineStr">
        <is>
          <t>-</t>
        </is>
      </c>
      <c r="G970" s="14" t="inlineStr">
        <is>
          <t>-</t>
        </is>
      </c>
      <c r="H970" s="14" t="inlineStr">
        <is>
          <t>-</t>
        </is>
      </c>
      <c r="I970" s="14" t="inlineStr">
        <is>
          <t>-</t>
        </is>
      </c>
      <c r="J970" s="14" t="inlineStr">
        <is>
          <t>-</t>
        </is>
      </c>
      <c r="K970" s="14" t="inlineStr">
        <is>
          <t>-</t>
        </is>
      </c>
      <c r="L970" s="14" t="inlineStr">
        <is>
          <t>-</t>
        </is>
      </c>
      <c r="M970" s="14" t="inlineStr">
        <is>
          <t>-</t>
        </is>
      </c>
      <c r="N970" s="14" t="inlineStr">
        <is>
          <t>-</t>
        </is>
      </c>
      <c r="O970" s="14" t="inlineStr">
        <is>
          <t>-</t>
        </is>
      </c>
      <c r="P970" s="14" t="inlineStr">
        <is>
          <t>-</t>
        </is>
      </c>
      <c r="Q970" s="15" t="inlineStr">
        <is>
          <t>-</t>
        </is>
      </c>
    </row>
    <row r="971">
      <c r="A971" s="47" t="n"/>
      <c r="B971" s="16" t="inlineStr">
        <is>
          <t>-</t>
        </is>
      </c>
      <c r="C971" s="11" t="inlineStr">
        <is>
          <t>-</t>
        </is>
      </c>
      <c r="D971" s="11" t="inlineStr">
        <is>
          <t>-</t>
        </is>
      </c>
      <c r="E971" s="11" t="inlineStr">
        <is>
          <t>-</t>
        </is>
      </c>
      <c r="F971" s="11" t="inlineStr">
        <is>
          <t>-</t>
        </is>
      </c>
      <c r="G971" s="11" t="inlineStr">
        <is>
          <t>-</t>
        </is>
      </c>
      <c r="H971" s="11" t="inlineStr">
        <is>
          <t>-</t>
        </is>
      </c>
      <c r="I971" s="11" t="inlineStr">
        <is>
          <t>-</t>
        </is>
      </c>
      <c r="J971" s="11" t="inlineStr">
        <is>
          <t>-</t>
        </is>
      </c>
      <c r="K971" s="11" t="inlineStr">
        <is>
          <t>-</t>
        </is>
      </c>
      <c r="L971" s="11" t="inlineStr">
        <is>
          <t>-</t>
        </is>
      </c>
      <c r="M971" s="11" t="inlineStr">
        <is>
          <t>-</t>
        </is>
      </c>
      <c r="N971" s="11" t="inlineStr">
        <is>
          <t>-</t>
        </is>
      </c>
      <c r="O971" s="11" t="inlineStr">
        <is>
          <t>-</t>
        </is>
      </c>
      <c r="P971" s="11" t="inlineStr">
        <is>
          <t>-</t>
        </is>
      </c>
      <c r="Q971" s="12" t="inlineStr">
        <is>
          <t>-</t>
        </is>
      </c>
    </row>
    <row r="972">
      <c r="A972" s="47" t="n"/>
      <c r="B972" s="13" t="inlineStr">
        <is>
          <t>-</t>
        </is>
      </c>
      <c r="C972" s="14" t="inlineStr">
        <is>
          <t>-</t>
        </is>
      </c>
      <c r="D972" s="14" t="inlineStr">
        <is>
          <t>-</t>
        </is>
      </c>
      <c r="E972" s="14" t="inlineStr">
        <is>
          <t>-</t>
        </is>
      </c>
      <c r="F972" s="14" t="inlineStr">
        <is>
          <t>-</t>
        </is>
      </c>
      <c r="G972" s="14" t="inlineStr">
        <is>
          <t>-</t>
        </is>
      </c>
      <c r="H972" s="14" t="inlineStr">
        <is>
          <t>-</t>
        </is>
      </c>
      <c r="I972" s="14" t="inlineStr">
        <is>
          <t>-</t>
        </is>
      </c>
      <c r="J972" s="14" t="inlineStr">
        <is>
          <t>-</t>
        </is>
      </c>
      <c r="K972" s="14" t="inlineStr">
        <is>
          <t>-</t>
        </is>
      </c>
      <c r="L972" s="14" t="inlineStr">
        <is>
          <t>-</t>
        </is>
      </c>
      <c r="M972" s="14" t="inlineStr">
        <is>
          <t>-</t>
        </is>
      </c>
      <c r="N972" s="14" t="inlineStr">
        <is>
          <t>-</t>
        </is>
      </c>
      <c r="O972" s="14" t="inlineStr">
        <is>
          <t>-</t>
        </is>
      </c>
      <c r="P972" s="14" t="inlineStr">
        <is>
          <t>-</t>
        </is>
      </c>
      <c r="Q972" s="15" t="inlineStr">
        <is>
          <t>-</t>
        </is>
      </c>
    </row>
    <row r="973">
      <c r="A973" s="47" t="n"/>
      <c r="B973" s="16" t="inlineStr">
        <is>
          <t>-</t>
        </is>
      </c>
      <c r="C973" s="11" t="inlineStr">
        <is>
          <t>-</t>
        </is>
      </c>
      <c r="D973" s="11" t="inlineStr">
        <is>
          <t>-</t>
        </is>
      </c>
      <c r="E973" s="11" t="inlineStr">
        <is>
          <t>-</t>
        </is>
      </c>
      <c r="F973" s="11" t="inlineStr">
        <is>
          <t>-</t>
        </is>
      </c>
      <c r="G973" s="11" t="inlineStr">
        <is>
          <t>-</t>
        </is>
      </c>
      <c r="H973" s="11" t="inlineStr">
        <is>
          <t>-</t>
        </is>
      </c>
      <c r="I973" s="11" t="inlineStr">
        <is>
          <t>-</t>
        </is>
      </c>
      <c r="J973" s="11" t="inlineStr">
        <is>
          <t>-</t>
        </is>
      </c>
      <c r="K973" s="11" t="inlineStr">
        <is>
          <t>-</t>
        </is>
      </c>
      <c r="L973" s="11" t="inlineStr">
        <is>
          <t>-</t>
        </is>
      </c>
      <c r="M973" s="11" t="inlineStr">
        <is>
          <t>-</t>
        </is>
      </c>
      <c r="N973" s="11" t="inlineStr">
        <is>
          <t>-</t>
        </is>
      </c>
      <c r="O973" s="11" t="inlineStr">
        <is>
          <t>-</t>
        </is>
      </c>
      <c r="P973" s="11" t="inlineStr">
        <is>
          <t>-</t>
        </is>
      </c>
      <c r="Q973" s="12" t="inlineStr">
        <is>
          <t>-</t>
        </is>
      </c>
    </row>
    <row r="974">
      <c r="A974" s="47" t="n"/>
      <c r="B974" s="13" t="inlineStr">
        <is>
          <t>-</t>
        </is>
      </c>
      <c r="C974" s="14" t="inlineStr">
        <is>
          <t>-</t>
        </is>
      </c>
      <c r="D974" s="14" t="inlineStr">
        <is>
          <t>-</t>
        </is>
      </c>
      <c r="E974" s="14" t="inlineStr">
        <is>
          <t>-</t>
        </is>
      </c>
      <c r="F974" s="14" t="inlineStr">
        <is>
          <t>-</t>
        </is>
      </c>
      <c r="G974" s="14" t="inlineStr">
        <is>
          <t>-</t>
        </is>
      </c>
      <c r="H974" s="14" t="inlineStr">
        <is>
          <t>-</t>
        </is>
      </c>
      <c r="I974" s="14" t="inlineStr">
        <is>
          <t>-</t>
        </is>
      </c>
      <c r="J974" s="14" t="inlineStr">
        <is>
          <t>-</t>
        </is>
      </c>
      <c r="K974" s="14" t="inlineStr">
        <is>
          <t>-</t>
        </is>
      </c>
      <c r="L974" s="14" t="inlineStr">
        <is>
          <t>-</t>
        </is>
      </c>
      <c r="M974" s="14" t="inlineStr">
        <is>
          <t>-</t>
        </is>
      </c>
      <c r="N974" s="14" t="inlineStr">
        <is>
          <t>-</t>
        </is>
      </c>
      <c r="O974" s="14" t="inlineStr">
        <is>
          <t>-</t>
        </is>
      </c>
      <c r="P974" s="14" t="inlineStr">
        <is>
          <t>-</t>
        </is>
      </c>
      <c r="Q974" s="15" t="inlineStr">
        <is>
          <t>-</t>
        </is>
      </c>
    </row>
    <row r="975">
      <c r="A975" s="47" t="n"/>
      <c r="B975" s="16" t="inlineStr">
        <is>
          <t>-</t>
        </is>
      </c>
      <c r="C975" s="11" t="inlineStr">
        <is>
          <t>-</t>
        </is>
      </c>
      <c r="D975" s="11" t="inlineStr">
        <is>
          <t>-</t>
        </is>
      </c>
      <c r="E975" s="11" t="inlineStr">
        <is>
          <t>-</t>
        </is>
      </c>
      <c r="F975" s="11" t="inlineStr">
        <is>
          <t>-</t>
        </is>
      </c>
      <c r="G975" s="11" t="inlineStr">
        <is>
          <t>-</t>
        </is>
      </c>
      <c r="H975" s="11" t="inlineStr">
        <is>
          <t>-</t>
        </is>
      </c>
      <c r="I975" s="11" t="inlineStr">
        <is>
          <t>-</t>
        </is>
      </c>
      <c r="J975" s="11" t="inlineStr">
        <is>
          <t>-</t>
        </is>
      </c>
      <c r="K975" s="11" t="inlineStr">
        <is>
          <t>-</t>
        </is>
      </c>
      <c r="L975" s="11" t="inlineStr">
        <is>
          <t>-</t>
        </is>
      </c>
      <c r="M975" s="11" t="inlineStr">
        <is>
          <t>-</t>
        </is>
      </c>
      <c r="N975" s="11" t="inlineStr">
        <is>
          <t>-</t>
        </is>
      </c>
      <c r="O975" s="11" t="inlineStr">
        <is>
          <t>-</t>
        </is>
      </c>
      <c r="P975" s="11" t="inlineStr">
        <is>
          <t>-</t>
        </is>
      </c>
      <c r="Q975" s="12" t="inlineStr">
        <is>
          <t>-</t>
        </is>
      </c>
    </row>
    <row r="976">
      <c r="A976" s="47" t="n"/>
      <c r="B976" s="13" t="inlineStr">
        <is>
          <t>-</t>
        </is>
      </c>
      <c r="C976" s="14" t="inlineStr">
        <is>
          <t>-</t>
        </is>
      </c>
      <c r="D976" s="14" t="inlineStr">
        <is>
          <t>-</t>
        </is>
      </c>
      <c r="E976" s="14" t="inlineStr">
        <is>
          <t>-</t>
        </is>
      </c>
      <c r="F976" s="14" t="inlineStr">
        <is>
          <t>-</t>
        </is>
      </c>
      <c r="G976" s="14" t="inlineStr">
        <is>
          <t>-</t>
        </is>
      </c>
      <c r="H976" s="14" t="inlineStr">
        <is>
          <t>-</t>
        </is>
      </c>
      <c r="I976" s="14" t="inlineStr">
        <is>
          <t>-</t>
        </is>
      </c>
      <c r="J976" s="14" t="inlineStr">
        <is>
          <t>-</t>
        </is>
      </c>
      <c r="K976" s="14" t="inlineStr">
        <is>
          <t>-</t>
        </is>
      </c>
      <c r="L976" s="14" t="inlineStr">
        <is>
          <t>-</t>
        </is>
      </c>
      <c r="M976" s="14" t="inlineStr">
        <is>
          <t>-</t>
        </is>
      </c>
      <c r="N976" s="14" t="inlineStr">
        <is>
          <t>-</t>
        </is>
      </c>
      <c r="O976" s="14" t="inlineStr">
        <is>
          <t>-</t>
        </is>
      </c>
      <c r="P976" s="14" t="inlineStr">
        <is>
          <t>-</t>
        </is>
      </c>
      <c r="Q976" s="15" t="inlineStr">
        <is>
          <t>-</t>
        </is>
      </c>
    </row>
    <row r="977">
      <c r="A977" s="47" t="n"/>
      <c r="B977" s="16" t="inlineStr">
        <is>
          <t>-</t>
        </is>
      </c>
      <c r="C977" s="11" t="inlineStr">
        <is>
          <t>-</t>
        </is>
      </c>
      <c r="D977" s="11" t="inlineStr">
        <is>
          <t>-</t>
        </is>
      </c>
      <c r="E977" s="11" t="inlineStr">
        <is>
          <t>-</t>
        </is>
      </c>
      <c r="F977" s="11" t="inlineStr">
        <is>
          <t>-</t>
        </is>
      </c>
      <c r="G977" s="11" t="inlineStr">
        <is>
          <t>-</t>
        </is>
      </c>
      <c r="H977" s="11" t="inlineStr">
        <is>
          <t>-</t>
        </is>
      </c>
      <c r="I977" s="11" t="inlineStr">
        <is>
          <t>-</t>
        </is>
      </c>
      <c r="J977" s="11" t="inlineStr">
        <is>
          <t>-</t>
        </is>
      </c>
      <c r="K977" s="11" t="inlineStr">
        <is>
          <t>-</t>
        </is>
      </c>
      <c r="L977" s="11" t="inlineStr">
        <is>
          <t>-</t>
        </is>
      </c>
      <c r="M977" s="11" t="inlineStr">
        <is>
          <t>-</t>
        </is>
      </c>
      <c r="N977" s="11" t="inlineStr">
        <is>
          <t>-</t>
        </is>
      </c>
      <c r="O977" s="11" t="inlineStr">
        <is>
          <t>-</t>
        </is>
      </c>
      <c r="P977" s="11" t="inlineStr">
        <is>
          <t>-</t>
        </is>
      </c>
      <c r="Q977" s="12" t="inlineStr">
        <is>
          <t>-</t>
        </is>
      </c>
    </row>
    <row r="978" ht="24" customHeight="1" s="155">
      <c r="B978" s="46" t="inlineStr">
        <is>
          <t>pasta di mandorle</t>
        </is>
      </c>
      <c r="C978" s="49">
        <f>_xlfn.XLOOKUP(A979,Magazzino!$D$1:$D$1500,Magazzino!$F$1:$F$1500,"",0,1)</f>
        <v/>
      </c>
      <c r="D978" s="50">
        <f>_xlfn.XLOOKUP(A980,Magazzino!$D$1:$D$1500,Magazzino!$F$1:$F$1500,"",0,1)</f>
        <v/>
      </c>
      <c r="E978" s="50">
        <f>_xlfn.XLOOKUP(A981,Magazzino!$D$1:$D$1500,Magazzino!$F$1:$F$1500,"",0,1)</f>
        <v/>
      </c>
      <c r="F978" s="50">
        <f>_xlfn.XLOOKUP(A982,Magazzino!$D$1:$D$1500,Magazzino!$F$1:$F$1500,"",0,1)</f>
        <v/>
      </c>
      <c r="G978" s="50">
        <f>_xlfn.XLOOKUP(A983,Magazzino!$D$1:$D$1500,Magazzino!$F$1:$F$1500,"",0,1)</f>
        <v/>
      </c>
      <c r="H978" s="50">
        <f>_xlfn.XLOOKUP(A984,Magazzino!$D$1:$D$1500,Magazzino!$F$1:$F$1500,"",0,1)</f>
        <v/>
      </c>
      <c r="I978" s="50">
        <f>_xlfn.XLOOKUP(A985,Magazzino!$D$1:$D$1500,Magazzino!$F$1:$F$1500,"",0,1)</f>
        <v/>
      </c>
      <c r="J978" s="50">
        <f>_xlfn.XLOOKUP(A986,Magazzino!$D$1:$D$1500,Magazzino!$F$1:$F$1500,"",0,1)</f>
        <v/>
      </c>
      <c r="K978" s="50">
        <f>_xlfn.XLOOKUP(A987,Magazzino!$D$1:$D$1500,Magazzino!$F$1:$F$1500,"",0,1)</f>
        <v/>
      </c>
      <c r="L978" s="50">
        <f>_xlfn.XLOOKUP(A988,Magazzino!$D$1:$D$1500,Magazzino!$F$1:$F$1500,"",0,1)</f>
        <v/>
      </c>
      <c r="M978" s="50">
        <f>_xlfn.XLOOKUP(A989,Magazzino!$D$1:$D$1500,Magazzino!$F$1:$F$1500,"",0,1)</f>
        <v/>
      </c>
      <c r="N978" s="50">
        <f>_xlfn.XLOOKUP(A990,Magazzino!$D$1:$D$1500,Magazzino!$F$1:$F$1500,"",0,1)</f>
        <v/>
      </c>
      <c r="O978" s="50">
        <f>_xlfn.XLOOKUP(A991,Magazzino!$D$1:$D$1500,Magazzino!$F$1:$F$1500,"",0,1)</f>
        <v/>
      </c>
      <c r="P978" s="50">
        <f>_xlfn.XLOOKUP(A992,Magazzino!$D$1:$D$1500,Magazzino!$F$1:$F$1500,"",0,1)</f>
        <v/>
      </c>
      <c r="Q978" s="51">
        <f>_xlfn.XLOOKUP(A993,Magazzino!$D$1:$D$1500,Magazzino!$F$1:$F$1500,"",0,1)</f>
        <v/>
      </c>
    </row>
    <row r="979">
      <c r="A979" s="47" t="inlineStr">
        <is>
          <t>pasta di mandorle</t>
        </is>
      </c>
      <c r="B979" s="16" t="inlineStr">
        <is>
          <t>-</t>
        </is>
      </c>
      <c r="C979" s="11" t="inlineStr">
        <is>
          <t>-</t>
        </is>
      </c>
      <c r="D979" s="11" t="inlineStr">
        <is>
          <t>-</t>
        </is>
      </c>
      <c r="E979" s="11" t="inlineStr">
        <is>
          <t>-</t>
        </is>
      </c>
      <c r="F979" s="11" t="inlineStr">
        <is>
          <t>-</t>
        </is>
      </c>
      <c r="G979" s="11" t="inlineStr">
        <is>
          <t>-</t>
        </is>
      </c>
      <c r="H979" s="11" t="inlineStr">
        <is>
          <t>-</t>
        </is>
      </c>
      <c r="I979" s="11" t="inlineStr">
        <is>
          <t>-</t>
        </is>
      </c>
      <c r="J979" s="11" t="inlineStr">
        <is>
          <t>-</t>
        </is>
      </c>
      <c r="K979" s="11" t="inlineStr">
        <is>
          <t>-</t>
        </is>
      </c>
      <c r="L979" s="11" t="inlineStr">
        <is>
          <t>-</t>
        </is>
      </c>
      <c r="M979" s="11" t="inlineStr">
        <is>
          <t>-</t>
        </is>
      </c>
      <c r="N979" s="11" t="inlineStr">
        <is>
          <t>-</t>
        </is>
      </c>
      <c r="O979" s="11" t="inlineStr">
        <is>
          <t>-</t>
        </is>
      </c>
      <c r="P979" s="11" t="inlineStr">
        <is>
          <t>-</t>
        </is>
      </c>
      <c r="Q979" s="12" t="inlineStr">
        <is>
          <t>-</t>
        </is>
      </c>
    </row>
    <row r="980">
      <c r="A980" s="47" t="n"/>
      <c r="B980" s="13" t="inlineStr">
        <is>
          <t>-</t>
        </is>
      </c>
      <c r="C980" s="14" t="inlineStr">
        <is>
          <t>-</t>
        </is>
      </c>
      <c r="D980" s="14" t="inlineStr">
        <is>
          <t>-</t>
        </is>
      </c>
      <c r="E980" s="14" t="inlineStr">
        <is>
          <t>-</t>
        </is>
      </c>
      <c r="F980" s="14" t="inlineStr">
        <is>
          <t>-</t>
        </is>
      </c>
      <c r="G980" s="14" t="inlineStr">
        <is>
          <t>-</t>
        </is>
      </c>
      <c r="H980" s="14" t="inlineStr">
        <is>
          <t>-</t>
        </is>
      </c>
      <c r="I980" s="14" t="inlineStr">
        <is>
          <t>-</t>
        </is>
      </c>
      <c r="J980" s="14" t="inlineStr">
        <is>
          <t>-</t>
        </is>
      </c>
      <c r="K980" s="14" t="inlineStr">
        <is>
          <t>-</t>
        </is>
      </c>
      <c r="L980" s="14" t="inlineStr">
        <is>
          <t>-</t>
        </is>
      </c>
      <c r="M980" s="14" t="inlineStr">
        <is>
          <t>-</t>
        </is>
      </c>
      <c r="N980" s="14" t="inlineStr">
        <is>
          <t>-</t>
        </is>
      </c>
      <c r="O980" s="14" t="inlineStr">
        <is>
          <t>-</t>
        </is>
      </c>
      <c r="P980" s="14" t="inlineStr">
        <is>
          <t>-</t>
        </is>
      </c>
      <c r="Q980" s="15" t="inlineStr">
        <is>
          <t>-</t>
        </is>
      </c>
    </row>
    <row r="981">
      <c r="A981" s="47" t="n"/>
      <c r="B981" s="16" t="inlineStr">
        <is>
          <t>-</t>
        </is>
      </c>
      <c r="C981" s="11" t="inlineStr">
        <is>
          <t>-</t>
        </is>
      </c>
      <c r="D981" s="11" t="inlineStr">
        <is>
          <t>-</t>
        </is>
      </c>
      <c r="E981" s="11" t="inlineStr">
        <is>
          <t>-</t>
        </is>
      </c>
      <c r="F981" s="11" t="inlineStr">
        <is>
          <t>-</t>
        </is>
      </c>
      <c r="G981" s="11" t="inlineStr">
        <is>
          <t>-</t>
        </is>
      </c>
      <c r="H981" s="11" t="inlineStr">
        <is>
          <t>-</t>
        </is>
      </c>
      <c r="I981" s="11" t="inlineStr">
        <is>
          <t>-</t>
        </is>
      </c>
      <c r="J981" s="11" t="inlineStr">
        <is>
          <t>-</t>
        </is>
      </c>
      <c r="K981" s="11" t="inlineStr">
        <is>
          <t>-</t>
        </is>
      </c>
      <c r="L981" s="11" t="inlineStr">
        <is>
          <t>-</t>
        </is>
      </c>
      <c r="M981" s="11" t="inlineStr">
        <is>
          <t>-</t>
        </is>
      </c>
      <c r="N981" s="11" t="inlineStr">
        <is>
          <t>-</t>
        </is>
      </c>
      <c r="O981" s="11" t="inlineStr">
        <is>
          <t>-</t>
        </is>
      </c>
      <c r="P981" s="11" t="inlineStr">
        <is>
          <t>-</t>
        </is>
      </c>
      <c r="Q981" s="12" t="inlineStr">
        <is>
          <t>-</t>
        </is>
      </c>
    </row>
    <row r="982">
      <c r="A982" s="47" t="n"/>
      <c r="B982" s="13" t="inlineStr">
        <is>
          <t>-</t>
        </is>
      </c>
      <c r="C982" s="14" t="inlineStr">
        <is>
          <t>-</t>
        </is>
      </c>
      <c r="D982" s="14" t="inlineStr">
        <is>
          <t>-</t>
        </is>
      </c>
      <c r="E982" s="14" t="inlineStr">
        <is>
          <t>-</t>
        </is>
      </c>
      <c r="F982" s="14" t="inlineStr">
        <is>
          <t>-</t>
        </is>
      </c>
      <c r="G982" s="14" t="inlineStr">
        <is>
          <t>-</t>
        </is>
      </c>
      <c r="H982" s="14" t="inlineStr">
        <is>
          <t>-</t>
        </is>
      </c>
      <c r="I982" s="14" t="inlineStr">
        <is>
          <t>-</t>
        </is>
      </c>
      <c r="J982" s="14" t="inlineStr">
        <is>
          <t>-</t>
        </is>
      </c>
      <c r="K982" s="14" t="inlineStr">
        <is>
          <t>-</t>
        </is>
      </c>
      <c r="L982" s="14" t="inlineStr">
        <is>
          <t>-</t>
        </is>
      </c>
      <c r="M982" s="14" t="inlineStr">
        <is>
          <t>-</t>
        </is>
      </c>
      <c r="N982" s="14" t="inlineStr">
        <is>
          <t>-</t>
        </is>
      </c>
      <c r="O982" s="14" t="inlineStr">
        <is>
          <t>-</t>
        </is>
      </c>
      <c r="P982" s="14" t="inlineStr">
        <is>
          <t>-</t>
        </is>
      </c>
      <c r="Q982" s="15" t="inlineStr">
        <is>
          <t>-</t>
        </is>
      </c>
    </row>
    <row r="983">
      <c r="A983" s="47" t="n"/>
      <c r="B983" s="16" t="inlineStr">
        <is>
          <t>-</t>
        </is>
      </c>
      <c r="C983" s="11" t="inlineStr">
        <is>
          <t>-</t>
        </is>
      </c>
      <c r="D983" s="11" t="inlineStr">
        <is>
          <t>-</t>
        </is>
      </c>
      <c r="E983" s="11" t="inlineStr">
        <is>
          <t>-</t>
        </is>
      </c>
      <c r="F983" s="11" t="inlineStr">
        <is>
          <t>-</t>
        </is>
      </c>
      <c r="G983" s="11" t="inlineStr">
        <is>
          <t>-</t>
        </is>
      </c>
      <c r="H983" s="11" t="inlineStr">
        <is>
          <t>-</t>
        </is>
      </c>
      <c r="I983" s="11" t="inlineStr">
        <is>
          <t>-</t>
        </is>
      </c>
      <c r="J983" s="11" t="inlineStr">
        <is>
          <t>-</t>
        </is>
      </c>
      <c r="K983" s="11" t="inlineStr">
        <is>
          <t>-</t>
        </is>
      </c>
      <c r="L983" s="11" t="inlineStr">
        <is>
          <t>-</t>
        </is>
      </c>
      <c r="M983" s="11" t="inlineStr">
        <is>
          <t>-</t>
        </is>
      </c>
      <c r="N983" s="11" t="inlineStr">
        <is>
          <t>-</t>
        </is>
      </c>
      <c r="O983" s="11" t="inlineStr">
        <is>
          <t>-</t>
        </is>
      </c>
      <c r="P983" s="11" t="inlineStr">
        <is>
          <t>-</t>
        </is>
      </c>
      <c r="Q983" s="12" t="inlineStr">
        <is>
          <t>-</t>
        </is>
      </c>
    </row>
    <row r="984">
      <c r="A984" s="47" t="n"/>
      <c r="B984" s="13" t="inlineStr">
        <is>
          <t>-</t>
        </is>
      </c>
      <c r="C984" s="14" t="inlineStr">
        <is>
          <t>-</t>
        </is>
      </c>
      <c r="D984" s="14" t="inlineStr">
        <is>
          <t>-</t>
        </is>
      </c>
      <c r="E984" s="14" t="inlineStr">
        <is>
          <t>-</t>
        </is>
      </c>
      <c r="F984" s="14" t="inlineStr">
        <is>
          <t>-</t>
        </is>
      </c>
      <c r="G984" s="14" t="inlineStr">
        <is>
          <t>-</t>
        </is>
      </c>
      <c r="H984" s="14" t="inlineStr">
        <is>
          <t>-</t>
        </is>
      </c>
      <c r="I984" s="14" t="inlineStr">
        <is>
          <t>-</t>
        </is>
      </c>
      <c r="J984" s="14" t="inlineStr">
        <is>
          <t>-</t>
        </is>
      </c>
      <c r="K984" s="14" t="inlineStr">
        <is>
          <t>-</t>
        </is>
      </c>
      <c r="L984" s="14" t="inlineStr">
        <is>
          <t>-</t>
        </is>
      </c>
      <c r="M984" s="14" t="inlineStr">
        <is>
          <t>-</t>
        </is>
      </c>
      <c r="N984" s="14" t="inlineStr">
        <is>
          <t>-</t>
        </is>
      </c>
      <c r="O984" s="14" t="inlineStr">
        <is>
          <t>-</t>
        </is>
      </c>
      <c r="P984" s="14" t="inlineStr">
        <is>
          <t>-</t>
        </is>
      </c>
      <c r="Q984" s="15" t="inlineStr">
        <is>
          <t>-</t>
        </is>
      </c>
    </row>
    <row r="985">
      <c r="A985" s="47" t="n"/>
      <c r="B985" s="16" t="inlineStr">
        <is>
          <t>-</t>
        </is>
      </c>
      <c r="C985" s="11" t="inlineStr">
        <is>
          <t>-</t>
        </is>
      </c>
      <c r="D985" s="11" t="inlineStr">
        <is>
          <t>-</t>
        </is>
      </c>
      <c r="E985" s="11" t="inlineStr">
        <is>
          <t>-</t>
        </is>
      </c>
      <c r="F985" s="11" t="inlineStr">
        <is>
          <t>-</t>
        </is>
      </c>
      <c r="G985" s="11" t="inlineStr">
        <is>
          <t>-</t>
        </is>
      </c>
      <c r="H985" s="11" t="inlineStr">
        <is>
          <t>-</t>
        </is>
      </c>
      <c r="I985" s="11" t="inlineStr">
        <is>
          <t>-</t>
        </is>
      </c>
      <c r="J985" s="11" t="inlineStr">
        <is>
          <t>-</t>
        </is>
      </c>
      <c r="K985" s="11" t="inlineStr">
        <is>
          <t>-</t>
        </is>
      </c>
      <c r="L985" s="11" t="inlineStr">
        <is>
          <t>-</t>
        </is>
      </c>
      <c r="M985" s="11" t="inlineStr">
        <is>
          <t>-</t>
        </is>
      </c>
      <c r="N985" s="11" t="inlineStr">
        <is>
          <t>-</t>
        </is>
      </c>
      <c r="O985" s="11" t="inlineStr">
        <is>
          <t>-</t>
        </is>
      </c>
      <c r="P985" s="11" t="inlineStr">
        <is>
          <t>-</t>
        </is>
      </c>
      <c r="Q985" s="12" t="inlineStr">
        <is>
          <t>-</t>
        </is>
      </c>
    </row>
    <row r="986">
      <c r="A986" s="47" t="n"/>
      <c r="B986" s="13" t="inlineStr">
        <is>
          <t>-</t>
        </is>
      </c>
      <c r="C986" s="14" t="inlineStr">
        <is>
          <t>-</t>
        </is>
      </c>
      <c r="D986" s="14" t="inlineStr">
        <is>
          <t>-</t>
        </is>
      </c>
      <c r="E986" s="14" t="inlineStr">
        <is>
          <t>-</t>
        </is>
      </c>
      <c r="F986" s="14" t="inlineStr">
        <is>
          <t>-</t>
        </is>
      </c>
      <c r="G986" s="14" t="inlineStr">
        <is>
          <t>-</t>
        </is>
      </c>
      <c r="H986" s="14" t="inlineStr">
        <is>
          <t>-</t>
        </is>
      </c>
      <c r="I986" s="14" t="inlineStr">
        <is>
          <t>-</t>
        </is>
      </c>
      <c r="J986" s="14" t="inlineStr">
        <is>
          <t>-</t>
        </is>
      </c>
      <c r="K986" s="14" t="inlineStr">
        <is>
          <t>-</t>
        </is>
      </c>
      <c r="L986" s="14" t="inlineStr">
        <is>
          <t>-</t>
        </is>
      </c>
      <c r="M986" s="14" t="inlineStr">
        <is>
          <t>-</t>
        </is>
      </c>
      <c r="N986" s="14" t="inlineStr">
        <is>
          <t>-</t>
        </is>
      </c>
      <c r="O986" s="14" t="inlineStr">
        <is>
          <t>-</t>
        </is>
      </c>
      <c r="P986" s="14" t="inlineStr">
        <is>
          <t>-</t>
        </is>
      </c>
      <c r="Q986" s="15" t="inlineStr">
        <is>
          <t>-</t>
        </is>
      </c>
    </row>
    <row r="987">
      <c r="A987" s="47" t="n"/>
      <c r="B987" s="16" t="inlineStr">
        <is>
          <t>-</t>
        </is>
      </c>
      <c r="C987" s="11" t="inlineStr">
        <is>
          <t>-</t>
        </is>
      </c>
      <c r="D987" s="11" t="inlineStr">
        <is>
          <t>-</t>
        </is>
      </c>
      <c r="E987" s="11" t="inlineStr">
        <is>
          <t>-</t>
        </is>
      </c>
      <c r="F987" s="11" t="inlineStr">
        <is>
          <t>-</t>
        </is>
      </c>
      <c r="G987" s="11" t="inlineStr">
        <is>
          <t>-</t>
        </is>
      </c>
      <c r="H987" s="11" t="inlineStr">
        <is>
          <t>-</t>
        </is>
      </c>
      <c r="I987" s="11" t="inlineStr">
        <is>
          <t>-</t>
        </is>
      </c>
      <c r="J987" s="11" t="inlineStr">
        <is>
          <t>-</t>
        </is>
      </c>
      <c r="K987" s="11" t="inlineStr">
        <is>
          <t>-</t>
        </is>
      </c>
      <c r="L987" s="11" t="inlineStr">
        <is>
          <t>-</t>
        </is>
      </c>
      <c r="M987" s="11" t="inlineStr">
        <is>
          <t>-</t>
        </is>
      </c>
      <c r="N987" s="11" t="inlineStr">
        <is>
          <t>-</t>
        </is>
      </c>
      <c r="O987" s="11" t="inlineStr">
        <is>
          <t>-</t>
        </is>
      </c>
      <c r="P987" s="11" t="inlineStr">
        <is>
          <t>-</t>
        </is>
      </c>
      <c r="Q987" s="12" t="inlineStr">
        <is>
          <t>-</t>
        </is>
      </c>
    </row>
    <row r="988">
      <c r="A988" s="47" t="n"/>
      <c r="B988" s="13" t="inlineStr">
        <is>
          <t>-</t>
        </is>
      </c>
      <c r="C988" s="14" t="inlineStr">
        <is>
          <t>-</t>
        </is>
      </c>
      <c r="D988" s="14" t="inlineStr">
        <is>
          <t>-</t>
        </is>
      </c>
      <c r="E988" s="14" t="inlineStr">
        <is>
          <t>-</t>
        </is>
      </c>
      <c r="F988" s="14" t="inlineStr">
        <is>
          <t>-</t>
        </is>
      </c>
      <c r="G988" s="14" t="inlineStr">
        <is>
          <t>-</t>
        </is>
      </c>
      <c r="H988" s="14" t="inlineStr">
        <is>
          <t>-</t>
        </is>
      </c>
      <c r="I988" s="14" t="inlineStr">
        <is>
          <t>-</t>
        </is>
      </c>
      <c r="J988" s="14" t="inlineStr">
        <is>
          <t>-</t>
        </is>
      </c>
      <c r="K988" s="14" t="inlineStr">
        <is>
          <t>-</t>
        </is>
      </c>
      <c r="L988" s="14" t="inlineStr">
        <is>
          <t>-</t>
        </is>
      </c>
      <c r="M988" s="14" t="inlineStr">
        <is>
          <t>-</t>
        </is>
      </c>
      <c r="N988" s="14" t="inlineStr">
        <is>
          <t>-</t>
        </is>
      </c>
      <c r="O988" s="14" t="inlineStr">
        <is>
          <t>-</t>
        </is>
      </c>
      <c r="P988" s="14" t="inlineStr">
        <is>
          <t>-</t>
        </is>
      </c>
      <c r="Q988" s="15" t="inlineStr">
        <is>
          <t>-</t>
        </is>
      </c>
    </row>
    <row r="989">
      <c r="A989" s="47" t="n"/>
      <c r="B989" s="16" t="inlineStr">
        <is>
          <t>-</t>
        </is>
      </c>
      <c r="C989" s="11" t="inlineStr">
        <is>
          <t>-</t>
        </is>
      </c>
      <c r="D989" s="11" t="inlineStr">
        <is>
          <t>-</t>
        </is>
      </c>
      <c r="E989" s="11" t="inlineStr">
        <is>
          <t>-</t>
        </is>
      </c>
      <c r="F989" s="11" t="inlineStr">
        <is>
          <t>-</t>
        </is>
      </c>
      <c r="G989" s="11" t="inlineStr">
        <is>
          <t>-</t>
        </is>
      </c>
      <c r="H989" s="11" t="inlineStr">
        <is>
          <t>-</t>
        </is>
      </c>
      <c r="I989" s="11" t="inlineStr">
        <is>
          <t>-</t>
        </is>
      </c>
      <c r="J989" s="11" t="inlineStr">
        <is>
          <t>-</t>
        </is>
      </c>
      <c r="K989" s="11" t="inlineStr">
        <is>
          <t>-</t>
        </is>
      </c>
      <c r="L989" s="11" t="inlineStr">
        <is>
          <t>-</t>
        </is>
      </c>
      <c r="M989" s="11" t="inlineStr">
        <is>
          <t>-</t>
        </is>
      </c>
      <c r="N989" s="11" t="inlineStr">
        <is>
          <t>-</t>
        </is>
      </c>
      <c r="O989" s="11" t="inlineStr">
        <is>
          <t>-</t>
        </is>
      </c>
      <c r="P989" s="11" t="inlineStr">
        <is>
          <t>-</t>
        </is>
      </c>
      <c r="Q989" s="12" t="inlineStr">
        <is>
          <t>-</t>
        </is>
      </c>
    </row>
    <row r="990">
      <c r="A990" s="47" t="n"/>
      <c r="B990" s="13" t="inlineStr">
        <is>
          <t>-</t>
        </is>
      </c>
      <c r="C990" s="14" t="inlineStr">
        <is>
          <t>-</t>
        </is>
      </c>
      <c r="D990" s="14" t="inlineStr">
        <is>
          <t>-</t>
        </is>
      </c>
      <c r="E990" s="14" t="inlineStr">
        <is>
          <t>-</t>
        </is>
      </c>
      <c r="F990" s="14" t="inlineStr">
        <is>
          <t>-</t>
        </is>
      </c>
      <c r="G990" s="14" t="inlineStr">
        <is>
          <t>-</t>
        </is>
      </c>
      <c r="H990" s="14" t="inlineStr">
        <is>
          <t>-</t>
        </is>
      </c>
      <c r="I990" s="14" t="inlineStr">
        <is>
          <t>-</t>
        </is>
      </c>
      <c r="J990" s="14" t="inlineStr">
        <is>
          <t>-</t>
        </is>
      </c>
      <c r="K990" s="14" t="inlineStr">
        <is>
          <t>-</t>
        </is>
      </c>
      <c r="L990" s="14" t="inlineStr">
        <is>
          <t>-</t>
        </is>
      </c>
      <c r="M990" s="14" t="inlineStr">
        <is>
          <t>-</t>
        </is>
      </c>
      <c r="N990" s="14" t="inlineStr">
        <is>
          <t>-</t>
        </is>
      </c>
      <c r="O990" s="14" t="inlineStr">
        <is>
          <t>-</t>
        </is>
      </c>
      <c r="P990" s="14" t="inlineStr">
        <is>
          <t>-</t>
        </is>
      </c>
      <c r="Q990" s="15" t="inlineStr">
        <is>
          <t>-</t>
        </is>
      </c>
    </row>
    <row r="991">
      <c r="A991" s="47" t="n"/>
      <c r="B991" s="16" t="inlineStr">
        <is>
          <t>-</t>
        </is>
      </c>
      <c r="C991" s="11" t="inlineStr">
        <is>
          <t>-</t>
        </is>
      </c>
      <c r="D991" s="11" t="inlineStr">
        <is>
          <t>-</t>
        </is>
      </c>
      <c r="E991" s="11" t="inlineStr">
        <is>
          <t>-</t>
        </is>
      </c>
      <c r="F991" s="11" t="inlineStr">
        <is>
          <t>-</t>
        </is>
      </c>
      <c r="G991" s="11" t="inlineStr">
        <is>
          <t>-</t>
        </is>
      </c>
      <c r="H991" s="11" t="inlineStr">
        <is>
          <t>-</t>
        </is>
      </c>
      <c r="I991" s="11" t="inlineStr">
        <is>
          <t>-</t>
        </is>
      </c>
      <c r="J991" s="11" t="inlineStr">
        <is>
          <t>-</t>
        </is>
      </c>
      <c r="K991" s="11" t="inlineStr">
        <is>
          <t>-</t>
        </is>
      </c>
      <c r="L991" s="11" t="inlineStr">
        <is>
          <t>-</t>
        </is>
      </c>
      <c r="M991" s="11" t="inlineStr">
        <is>
          <t>-</t>
        </is>
      </c>
      <c r="N991" s="11" t="inlineStr">
        <is>
          <t>-</t>
        </is>
      </c>
      <c r="O991" s="11" t="inlineStr">
        <is>
          <t>-</t>
        </is>
      </c>
      <c r="P991" s="11" t="inlineStr">
        <is>
          <t>-</t>
        </is>
      </c>
      <c r="Q991" s="12" t="inlineStr">
        <is>
          <t>-</t>
        </is>
      </c>
    </row>
    <row r="992">
      <c r="A992" s="47" t="n"/>
      <c r="B992" s="13" t="inlineStr">
        <is>
          <t>-</t>
        </is>
      </c>
      <c r="C992" s="14" t="inlineStr">
        <is>
          <t>-</t>
        </is>
      </c>
      <c r="D992" s="14" t="inlineStr">
        <is>
          <t>-</t>
        </is>
      </c>
      <c r="E992" s="14" t="inlineStr">
        <is>
          <t>-</t>
        </is>
      </c>
      <c r="F992" s="14" t="inlineStr">
        <is>
          <t>-</t>
        </is>
      </c>
      <c r="G992" s="14" t="inlineStr">
        <is>
          <t>-</t>
        </is>
      </c>
      <c r="H992" s="14" t="inlineStr">
        <is>
          <t>-</t>
        </is>
      </c>
      <c r="I992" s="14" t="inlineStr">
        <is>
          <t>-</t>
        </is>
      </c>
      <c r="J992" s="14" t="inlineStr">
        <is>
          <t>-</t>
        </is>
      </c>
      <c r="K992" s="14" t="inlineStr">
        <is>
          <t>-</t>
        </is>
      </c>
      <c r="L992" s="14" t="inlineStr">
        <is>
          <t>-</t>
        </is>
      </c>
      <c r="M992" s="14" t="inlineStr">
        <is>
          <t>-</t>
        </is>
      </c>
      <c r="N992" s="14" t="inlineStr">
        <is>
          <t>-</t>
        </is>
      </c>
      <c r="O992" s="14" t="inlineStr">
        <is>
          <t>-</t>
        </is>
      </c>
      <c r="P992" s="14" t="inlineStr">
        <is>
          <t>-</t>
        </is>
      </c>
      <c r="Q992" s="15" t="inlineStr">
        <is>
          <t>-</t>
        </is>
      </c>
    </row>
    <row r="993">
      <c r="A993" s="47" t="n"/>
      <c r="B993" s="16" t="inlineStr">
        <is>
          <t>-</t>
        </is>
      </c>
      <c r="C993" s="11" t="inlineStr">
        <is>
          <t>-</t>
        </is>
      </c>
      <c r="D993" s="11" t="inlineStr">
        <is>
          <t>-</t>
        </is>
      </c>
      <c r="E993" s="11" t="inlineStr">
        <is>
          <t>-</t>
        </is>
      </c>
      <c r="F993" s="11" t="inlineStr">
        <is>
          <t>-</t>
        </is>
      </c>
      <c r="G993" s="11" t="inlineStr">
        <is>
          <t>-</t>
        </is>
      </c>
      <c r="H993" s="11" t="inlineStr">
        <is>
          <t>-</t>
        </is>
      </c>
      <c r="I993" s="11" t="inlineStr">
        <is>
          <t>-</t>
        </is>
      </c>
      <c r="J993" s="11" t="inlineStr">
        <is>
          <t>-</t>
        </is>
      </c>
      <c r="K993" s="11" t="inlineStr">
        <is>
          <t>-</t>
        </is>
      </c>
      <c r="L993" s="11" t="inlineStr">
        <is>
          <t>-</t>
        </is>
      </c>
      <c r="M993" s="11" t="inlineStr">
        <is>
          <t>-</t>
        </is>
      </c>
      <c r="N993" s="11" t="inlineStr">
        <is>
          <t>-</t>
        </is>
      </c>
      <c r="O993" s="11" t="inlineStr">
        <is>
          <t>-</t>
        </is>
      </c>
      <c r="P993" s="11" t="inlineStr">
        <is>
          <t>-</t>
        </is>
      </c>
      <c r="Q993" s="12" t="inlineStr">
        <is>
          <t>-</t>
        </is>
      </c>
    </row>
    <row r="994" ht="36" customHeight="1" s="155">
      <c r="B994" s="46" t="inlineStr">
        <is>
          <t>pasta frolla basi abbattute</t>
        </is>
      </c>
      <c r="C994" s="49">
        <f>_xlfn.XLOOKUP(A995,Magazzino!$D$1:$D$1500,Magazzino!$F$1:$F$1500,"",0,1)</f>
        <v/>
      </c>
      <c r="D994" s="50">
        <f>_xlfn.XLOOKUP(A996,Magazzino!$D$1:$D$1500,Magazzino!$F$1:$F$1500,"",0,1)</f>
        <v/>
      </c>
      <c r="E994" s="50">
        <f>_xlfn.XLOOKUP(A997,Magazzino!$D$1:$D$1500,Magazzino!$F$1:$F$1500,"",0,1)</f>
        <v/>
      </c>
      <c r="F994" s="50">
        <f>_xlfn.XLOOKUP(A998,Magazzino!$D$1:$D$1500,Magazzino!$F$1:$F$1500,"",0,1)</f>
        <v/>
      </c>
      <c r="G994" s="50">
        <f>_xlfn.XLOOKUP(A999,Magazzino!$D$1:$D$1500,Magazzino!$F$1:$F$1500,"",0,1)</f>
        <v/>
      </c>
      <c r="H994" s="50">
        <f>_xlfn.XLOOKUP(A1500,Magazzino!$D$1:$D$1500,Magazzino!$F$1:$F$1500,"",0,1)</f>
        <v/>
      </c>
      <c r="I994" s="50">
        <f>_xlfn.XLOOKUP(A1001,Magazzino!$D$1:$D$1500,Magazzino!$F$1:$F$1500,"",0,1)</f>
        <v/>
      </c>
      <c r="J994" s="50">
        <f>_xlfn.XLOOKUP(A1002,Magazzino!$D$1:$D$1500,Magazzino!$F$1:$F$1500,"",0,1)</f>
        <v/>
      </c>
      <c r="K994" s="50">
        <f>_xlfn.XLOOKUP(A1003,Magazzino!$D$1:$D$1500,Magazzino!$F$1:$F$1500,"",0,1)</f>
        <v/>
      </c>
      <c r="L994" s="50">
        <f>_xlfn.XLOOKUP(A1004,Magazzino!$D$1:$D$1500,Magazzino!$F$1:$F$1500,"",0,1)</f>
        <v/>
      </c>
      <c r="M994" s="50">
        <f>_xlfn.XLOOKUP(A1005,Magazzino!$D$1:$D$1500,Magazzino!$F$1:$F$1500,"",0,1)</f>
        <v/>
      </c>
      <c r="N994" s="50">
        <f>_xlfn.XLOOKUP(A1006,Magazzino!$D$1:$D$1500,Magazzino!$F$1:$F$1500,"",0,1)</f>
        <v/>
      </c>
      <c r="O994" s="50">
        <f>_xlfn.XLOOKUP(A1007,Magazzino!$D$1:$D$1500,Magazzino!$F$1:$F$1500,"",0,1)</f>
        <v/>
      </c>
      <c r="P994" s="50">
        <f>_xlfn.XLOOKUP(A1008,Magazzino!$D$1:$D$1500,Magazzino!$F$1:$F$1500,"",0,1)</f>
        <v/>
      </c>
      <c r="Q994" s="51">
        <f>_xlfn.XLOOKUP(A1009,Magazzino!$D$1:$D$1500,Magazzino!$F$1:$F$1500,"",0,1)</f>
        <v/>
      </c>
    </row>
    <row r="995">
      <c r="A995" s="47" t="inlineStr">
        <is>
          <t xml:space="preserve">FARINA 0/MAN. CAPUTO DA KG.25  </t>
        </is>
      </c>
      <c r="B995" s="16" t="inlineStr">
        <is>
          <t>-</t>
        </is>
      </c>
      <c r="C995" s="11" t="inlineStr">
        <is>
          <t>-</t>
        </is>
      </c>
      <c r="D995" s="11" t="inlineStr">
        <is>
          <t>-</t>
        </is>
      </c>
      <c r="E995" s="11" t="inlineStr">
        <is>
          <t>-</t>
        </is>
      </c>
      <c r="F995" s="11" t="inlineStr">
        <is>
          <t>-</t>
        </is>
      </c>
      <c r="G995" s="11" t="inlineStr">
        <is>
          <t>-</t>
        </is>
      </c>
      <c r="H995" s="11" t="inlineStr">
        <is>
          <t>-</t>
        </is>
      </c>
      <c r="I995" s="11" t="inlineStr">
        <is>
          <t>-</t>
        </is>
      </c>
      <c r="J995" s="11" t="inlineStr">
        <is>
          <t>-</t>
        </is>
      </c>
      <c r="K995" s="11" t="inlineStr">
        <is>
          <t>-</t>
        </is>
      </c>
      <c r="L995" s="11" t="inlineStr">
        <is>
          <t>-</t>
        </is>
      </c>
      <c r="M995" s="11" t="inlineStr">
        <is>
          <t>-</t>
        </is>
      </c>
      <c r="N995" s="11" t="inlineStr">
        <is>
          <t>-</t>
        </is>
      </c>
      <c r="O995" s="11" t="inlineStr">
        <is>
          <t>-</t>
        </is>
      </c>
      <c r="P995" s="11" t="inlineStr">
        <is>
          <t>-</t>
        </is>
      </c>
      <c r="Q995" s="12" t="inlineStr">
        <is>
          <t>-</t>
        </is>
      </c>
    </row>
    <row r="996">
      <c r="A996" s="47" t="inlineStr">
        <is>
          <t xml:space="preserve">STRUTTO RAFFINATO I B VERDE  </t>
        </is>
      </c>
      <c r="B996" s="13" t="inlineStr">
        <is>
          <t>-</t>
        </is>
      </c>
      <c r="C996" s="14" t="inlineStr">
        <is>
          <t>-</t>
        </is>
      </c>
      <c r="D996" s="14" t="inlineStr">
        <is>
          <t>-</t>
        </is>
      </c>
      <c r="E996" s="14" t="inlineStr">
        <is>
          <t>-</t>
        </is>
      </c>
      <c r="F996" s="14" t="inlineStr">
        <is>
          <t>-</t>
        </is>
      </c>
      <c r="G996" s="14" t="inlineStr">
        <is>
          <t>-</t>
        </is>
      </c>
      <c r="H996" s="14" t="inlineStr">
        <is>
          <t>-</t>
        </is>
      </c>
      <c r="I996" s="14" t="inlineStr">
        <is>
          <t>-</t>
        </is>
      </c>
      <c r="J996" s="14" t="inlineStr">
        <is>
          <t>-</t>
        </is>
      </c>
      <c r="K996" s="14" t="inlineStr">
        <is>
          <t>-</t>
        </is>
      </c>
      <c r="L996" s="14" t="inlineStr">
        <is>
          <t>-</t>
        </is>
      </c>
      <c r="M996" s="14" t="inlineStr">
        <is>
          <t>-</t>
        </is>
      </c>
      <c r="N996" s="14" t="inlineStr">
        <is>
          <t>-</t>
        </is>
      </c>
      <c r="O996" s="14" t="inlineStr">
        <is>
          <t>-</t>
        </is>
      </c>
      <c r="P996" s="14" t="inlineStr">
        <is>
          <t>-</t>
        </is>
      </c>
      <c r="Q996" s="15" t="inlineStr">
        <is>
          <t>-</t>
        </is>
      </c>
    </row>
    <row r="997">
      <c r="A997" s="47" t="inlineStr">
        <is>
          <t>zucchero semolato</t>
        </is>
      </c>
      <c r="B997" s="16" t="inlineStr">
        <is>
          <t>-</t>
        </is>
      </c>
      <c r="C997" s="11" t="inlineStr">
        <is>
          <t>-</t>
        </is>
      </c>
      <c r="D997" s="11" t="inlineStr">
        <is>
          <t>-</t>
        </is>
      </c>
      <c r="E997" s="11" t="inlineStr">
        <is>
          <t>-</t>
        </is>
      </c>
      <c r="F997" s="11" t="inlineStr">
        <is>
          <t>-</t>
        </is>
      </c>
      <c r="G997" s="11" t="inlineStr">
        <is>
          <t>-</t>
        </is>
      </c>
      <c r="H997" s="11" t="inlineStr">
        <is>
          <t>-</t>
        </is>
      </c>
      <c r="I997" s="11" t="inlineStr">
        <is>
          <t>-</t>
        </is>
      </c>
      <c r="J997" s="11" t="inlineStr">
        <is>
          <t>-</t>
        </is>
      </c>
      <c r="K997" s="11" t="inlineStr">
        <is>
          <t>-</t>
        </is>
      </c>
      <c r="L997" s="11" t="inlineStr">
        <is>
          <t>-</t>
        </is>
      </c>
      <c r="M997" s="11" t="inlineStr">
        <is>
          <t>-</t>
        </is>
      </c>
      <c r="N997" s="11" t="inlineStr">
        <is>
          <t>-</t>
        </is>
      </c>
      <c r="O997" s="11" t="inlineStr">
        <is>
          <t>-</t>
        </is>
      </c>
      <c r="P997" s="11" t="inlineStr">
        <is>
          <t>-</t>
        </is>
      </c>
      <c r="Q997" s="12" t="inlineStr">
        <is>
          <t>-</t>
        </is>
      </c>
    </row>
    <row r="998">
      <c r="A998" s="48" t="inlineStr">
        <is>
          <t xml:space="preserve">SALE SACCHI SALTECHNO KG.25  </t>
        </is>
      </c>
      <c r="B998" s="13" t="inlineStr">
        <is>
          <t>-</t>
        </is>
      </c>
      <c r="C998" s="14" t="inlineStr">
        <is>
          <t>-</t>
        </is>
      </c>
      <c r="D998" s="14" t="inlineStr">
        <is>
          <t>-</t>
        </is>
      </c>
      <c r="E998" s="14" t="inlineStr">
        <is>
          <t>-</t>
        </is>
      </c>
      <c r="F998" s="14" t="inlineStr">
        <is>
          <t>-</t>
        </is>
      </c>
      <c r="G998" s="14" t="inlineStr">
        <is>
          <t>-</t>
        </is>
      </c>
      <c r="H998" s="14" t="inlineStr">
        <is>
          <t>-</t>
        </is>
      </c>
      <c r="I998" s="14" t="inlineStr">
        <is>
          <t>-</t>
        </is>
      </c>
      <c r="J998" s="14" t="inlineStr">
        <is>
          <t>-</t>
        </is>
      </c>
      <c r="K998" s="14" t="inlineStr">
        <is>
          <t>-</t>
        </is>
      </c>
      <c r="L998" s="14" t="inlineStr">
        <is>
          <t>-</t>
        </is>
      </c>
      <c r="M998" s="14" t="inlineStr">
        <is>
          <t>-</t>
        </is>
      </c>
      <c r="N998" s="14" t="inlineStr">
        <is>
          <t>-</t>
        </is>
      </c>
      <c r="O998" s="14" t="inlineStr">
        <is>
          <t>-</t>
        </is>
      </c>
      <c r="P998" s="14" t="inlineStr">
        <is>
          <t>-</t>
        </is>
      </c>
      <c r="Q998" s="15" t="inlineStr">
        <is>
          <t>-</t>
        </is>
      </c>
    </row>
    <row r="999">
      <c r="A999" s="47" t="n"/>
      <c r="B999" s="16" t="inlineStr">
        <is>
          <t>-</t>
        </is>
      </c>
      <c r="C999" s="11" t="inlineStr">
        <is>
          <t>-</t>
        </is>
      </c>
      <c r="D999" s="11" t="inlineStr">
        <is>
          <t>-</t>
        </is>
      </c>
      <c r="E999" s="11" t="inlineStr">
        <is>
          <t>-</t>
        </is>
      </c>
      <c r="F999" s="11" t="inlineStr">
        <is>
          <t>-</t>
        </is>
      </c>
      <c r="G999" s="11" t="inlineStr">
        <is>
          <t>-</t>
        </is>
      </c>
      <c r="H999" s="11" t="inlineStr">
        <is>
          <t>-</t>
        </is>
      </c>
      <c r="I999" s="11" t="inlineStr">
        <is>
          <t>-</t>
        </is>
      </c>
      <c r="J999" s="11" t="inlineStr">
        <is>
          <t>-</t>
        </is>
      </c>
      <c r="K999" s="11" t="inlineStr">
        <is>
          <t>-</t>
        </is>
      </c>
      <c r="L999" s="11" t="inlineStr">
        <is>
          <t>-</t>
        </is>
      </c>
      <c r="M999" s="11" t="inlineStr">
        <is>
          <t>-</t>
        </is>
      </c>
      <c r="N999" s="11" t="inlineStr">
        <is>
          <t>-</t>
        </is>
      </c>
      <c r="O999" s="11" t="inlineStr">
        <is>
          <t>-</t>
        </is>
      </c>
      <c r="P999" s="11" t="inlineStr">
        <is>
          <t>-</t>
        </is>
      </c>
      <c r="Q999" s="12" t="inlineStr">
        <is>
          <t>-</t>
        </is>
      </c>
    </row>
    <row r="1000">
      <c r="A1000" s="47" t="n"/>
      <c r="B1000" s="13" t="inlineStr">
        <is>
          <t>-</t>
        </is>
      </c>
      <c r="C1000" s="14" t="inlineStr">
        <is>
          <t>-</t>
        </is>
      </c>
      <c r="D1000" s="14" t="inlineStr">
        <is>
          <t>-</t>
        </is>
      </c>
      <c r="E1000" s="14" t="inlineStr">
        <is>
          <t>-</t>
        </is>
      </c>
      <c r="F1000" s="14" t="inlineStr">
        <is>
          <t>-</t>
        </is>
      </c>
      <c r="G1000" s="14" t="inlineStr">
        <is>
          <t>-</t>
        </is>
      </c>
      <c r="H1000" s="14" t="inlineStr">
        <is>
          <t>-</t>
        </is>
      </c>
      <c r="I1000" s="14" t="inlineStr">
        <is>
          <t>-</t>
        </is>
      </c>
      <c r="J1000" s="14" t="inlineStr">
        <is>
          <t>-</t>
        </is>
      </c>
      <c r="K1000" s="14" t="inlineStr">
        <is>
          <t>-</t>
        </is>
      </c>
      <c r="L1000" s="14" t="inlineStr">
        <is>
          <t>-</t>
        </is>
      </c>
      <c r="M1000" s="14" t="inlineStr">
        <is>
          <t>-</t>
        </is>
      </c>
      <c r="N1000" s="14" t="inlineStr">
        <is>
          <t>-</t>
        </is>
      </c>
      <c r="O1000" s="14" t="inlineStr">
        <is>
          <t>-</t>
        </is>
      </c>
      <c r="P1000" s="14" t="inlineStr">
        <is>
          <t>-</t>
        </is>
      </c>
      <c r="Q1000" s="15" t="inlineStr">
        <is>
          <t>-</t>
        </is>
      </c>
    </row>
    <row r="1001">
      <c r="A1001" s="47" t="n"/>
      <c r="B1001" s="16" t="inlineStr">
        <is>
          <t>-</t>
        </is>
      </c>
      <c r="C1001" s="11" t="inlineStr">
        <is>
          <t>-</t>
        </is>
      </c>
      <c r="D1001" s="11" t="inlineStr">
        <is>
          <t>-</t>
        </is>
      </c>
      <c r="E1001" s="11" t="inlineStr">
        <is>
          <t>-</t>
        </is>
      </c>
      <c r="F1001" s="11" t="inlineStr">
        <is>
          <t>-</t>
        </is>
      </c>
      <c r="G1001" s="11" t="inlineStr">
        <is>
          <t>-</t>
        </is>
      </c>
      <c r="H1001" s="11" t="inlineStr">
        <is>
          <t>-</t>
        </is>
      </c>
      <c r="I1001" s="11" t="inlineStr">
        <is>
          <t>-</t>
        </is>
      </c>
      <c r="J1001" s="11" t="inlineStr">
        <is>
          <t>-</t>
        </is>
      </c>
      <c r="K1001" s="11" t="inlineStr">
        <is>
          <t>-</t>
        </is>
      </c>
      <c r="L1001" s="11" t="inlineStr">
        <is>
          <t>-</t>
        </is>
      </c>
      <c r="M1001" s="11" t="inlineStr">
        <is>
          <t>-</t>
        </is>
      </c>
      <c r="N1001" s="11" t="inlineStr">
        <is>
          <t>-</t>
        </is>
      </c>
      <c r="O1001" s="11" t="inlineStr">
        <is>
          <t>-</t>
        </is>
      </c>
      <c r="P1001" s="11" t="inlineStr">
        <is>
          <t>-</t>
        </is>
      </c>
      <c r="Q1001" s="12" t="inlineStr">
        <is>
          <t>-</t>
        </is>
      </c>
    </row>
    <row r="1002">
      <c r="A1002" s="47" t="n"/>
      <c r="B1002" s="13" t="inlineStr">
        <is>
          <t>-</t>
        </is>
      </c>
      <c r="C1002" s="14" t="inlineStr">
        <is>
          <t>-</t>
        </is>
      </c>
      <c r="D1002" s="14" t="inlineStr">
        <is>
          <t>-</t>
        </is>
      </c>
      <c r="E1002" s="14" t="inlineStr">
        <is>
          <t>-</t>
        </is>
      </c>
      <c r="F1002" s="14" t="inlineStr">
        <is>
          <t>-</t>
        </is>
      </c>
      <c r="G1002" s="14" t="inlineStr">
        <is>
          <t>-</t>
        </is>
      </c>
      <c r="H1002" s="14" t="inlineStr">
        <is>
          <t>-</t>
        </is>
      </c>
      <c r="I1002" s="14" t="inlineStr">
        <is>
          <t>-</t>
        </is>
      </c>
      <c r="J1002" s="14" t="inlineStr">
        <is>
          <t>-</t>
        </is>
      </c>
      <c r="K1002" s="14" t="inlineStr">
        <is>
          <t>-</t>
        </is>
      </c>
      <c r="L1002" s="14" t="inlineStr">
        <is>
          <t>-</t>
        </is>
      </c>
      <c r="M1002" s="14" t="inlineStr">
        <is>
          <t>-</t>
        </is>
      </c>
      <c r="N1002" s="14" t="inlineStr">
        <is>
          <t>-</t>
        </is>
      </c>
      <c r="O1002" s="14" t="inlineStr">
        <is>
          <t>-</t>
        </is>
      </c>
      <c r="P1002" s="14" t="inlineStr">
        <is>
          <t>-</t>
        </is>
      </c>
      <c r="Q1002" s="15" t="inlineStr">
        <is>
          <t>-</t>
        </is>
      </c>
    </row>
    <row r="1003">
      <c r="A1003" s="47" t="n"/>
      <c r="B1003" s="16" t="inlineStr">
        <is>
          <t>-</t>
        </is>
      </c>
      <c r="C1003" s="11" t="inlineStr">
        <is>
          <t>-</t>
        </is>
      </c>
      <c r="D1003" s="11" t="inlineStr">
        <is>
          <t>-</t>
        </is>
      </c>
      <c r="E1003" s="11" t="inlineStr">
        <is>
          <t>-</t>
        </is>
      </c>
      <c r="F1003" s="11" t="inlineStr">
        <is>
          <t>-</t>
        </is>
      </c>
      <c r="G1003" s="11" t="inlineStr">
        <is>
          <t>-</t>
        </is>
      </c>
      <c r="H1003" s="11" t="inlineStr">
        <is>
          <t>-</t>
        </is>
      </c>
      <c r="I1003" s="11" t="inlineStr">
        <is>
          <t>-</t>
        </is>
      </c>
      <c r="J1003" s="11" t="inlineStr">
        <is>
          <t>-</t>
        </is>
      </c>
      <c r="K1003" s="11" t="inlineStr">
        <is>
          <t>-</t>
        </is>
      </c>
      <c r="L1003" s="11" t="inlineStr">
        <is>
          <t>-</t>
        </is>
      </c>
      <c r="M1003" s="11" t="inlineStr">
        <is>
          <t>-</t>
        </is>
      </c>
      <c r="N1003" s="11" t="inlineStr">
        <is>
          <t>-</t>
        </is>
      </c>
      <c r="O1003" s="11" t="inlineStr">
        <is>
          <t>-</t>
        </is>
      </c>
      <c r="P1003" s="11" t="inlineStr">
        <is>
          <t>-</t>
        </is>
      </c>
      <c r="Q1003" s="12" t="inlineStr">
        <is>
          <t>-</t>
        </is>
      </c>
    </row>
    <row r="1004">
      <c r="A1004" s="47" t="n"/>
      <c r="B1004" s="13" t="inlineStr">
        <is>
          <t>-</t>
        </is>
      </c>
      <c r="C1004" s="14" t="inlineStr">
        <is>
          <t>-</t>
        </is>
      </c>
      <c r="D1004" s="14" t="inlineStr">
        <is>
          <t>-</t>
        </is>
      </c>
      <c r="E1004" s="14" t="inlineStr">
        <is>
          <t>-</t>
        </is>
      </c>
      <c r="F1004" s="14" t="inlineStr">
        <is>
          <t>-</t>
        </is>
      </c>
      <c r="G1004" s="14" t="inlineStr">
        <is>
          <t>-</t>
        </is>
      </c>
      <c r="H1004" s="14" t="inlineStr">
        <is>
          <t>-</t>
        </is>
      </c>
      <c r="I1004" s="14" t="inlineStr">
        <is>
          <t>-</t>
        </is>
      </c>
      <c r="J1004" s="14" t="inlineStr">
        <is>
          <t>-</t>
        </is>
      </c>
      <c r="K1004" s="14" t="inlineStr">
        <is>
          <t>-</t>
        </is>
      </c>
      <c r="L1004" s="14" t="inlineStr">
        <is>
          <t>-</t>
        </is>
      </c>
      <c r="M1004" s="14" t="inlineStr">
        <is>
          <t>-</t>
        </is>
      </c>
      <c r="N1004" s="14" t="inlineStr">
        <is>
          <t>-</t>
        </is>
      </c>
      <c r="O1004" s="14" t="inlineStr">
        <is>
          <t>-</t>
        </is>
      </c>
      <c r="P1004" s="14" t="inlineStr">
        <is>
          <t>-</t>
        </is>
      </c>
      <c r="Q1004" s="15" t="inlineStr">
        <is>
          <t>-</t>
        </is>
      </c>
    </row>
    <row r="1005">
      <c r="A1005" s="47" t="n"/>
      <c r="B1005" s="16" t="inlineStr">
        <is>
          <t>-</t>
        </is>
      </c>
      <c r="C1005" s="11" t="inlineStr">
        <is>
          <t>-</t>
        </is>
      </c>
      <c r="D1005" s="11" t="inlineStr">
        <is>
          <t>-</t>
        </is>
      </c>
      <c r="E1005" s="11" t="inlineStr">
        <is>
          <t>-</t>
        </is>
      </c>
      <c r="F1005" s="11" t="inlineStr">
        <is>
          <t>-</t>
        </is>
      </c>
      <c r="G1005" s="11" t="inlineStr">
        <is>
          <t>-</t>
        </is>
      </c>
      <c r="H1005" s="11" t="inlineStr">
        <is>
          <t>-</t>
        </is>
      </c>
      <c r="I1005" s="11" t="inlineStr">
        <is>
          <t>-</t>
        </is>
      </c>
      <c r="J1005" s="11" t="inlineStr">
        <is>
          <t>-</t>
        </is>
      </c>
      <c r="K1005" s="11" t="inlineStr">
        <is>
          <t>-</t>
        </is>
      </c>
      <c r="L1005" s="11" t="inlineStr">
        <is>
          <t>-</t>
        </is>
      </c>
      <c r="M1005" s="11" t="inlineStr">
        <is>
          <t>-</t>
        </is>
      </c>
      <c r="N1005" s="11" t="inlineStr">
        <is>
          <t>-</t>
        </is>
      </c>
      <c r="O1005" s="11" t="inlineStr">
        <is>
          <t>-</t>
        </is>
      </c>
      <c r="P1005" s="11" t="inlineStr">
        <is>
          <t>-</t>
        </is>
      </c>
      <c r="Q1005" s="12" t="inlineStr">
        <is>
          <t>-</t>
        </is>
      </c>
    </row>
    <row r="1006">
      <c r="A1006" s="47" t="n"/>
      <c r="B1006" s="13" t="inlineStr">
        <is>
          <t>-</t>
        </is>
      </c>
      <c r="C1006" s="14" t="inlineStr">
        <is>
          <t>-</t>
        </is>
      </c>
      <c r="D1006" s="14" t="inlineStr">
        <is>
          <t>-</t>
        </is>
      </c>
      <c r="E1006" s="14" t="inlineStr">
        <is>
          <t>-</t>
        </is>
      </c>
      <c r="F1006" s="14" t="inlineStr">
        <is>
          <t>-</t>
        </is>
      </c>
      <c r="G1006" s="14" t="inlineStr">
        <is>
          <t>-</t>
        </is>
      </c>
      <c r="H1006" s="14" t="inlineStr">
        <is>
          <t>-</t>
        </is>
      </c>
      <c r="I1006" s="14" t="inlineStr">
        <is>
          <t>-</t>
        </is>
      </c>
      <c r="J1006" s="14" t="inlineStr">
        <is>
          <t>-</t>
        </is>
      </c>
      <c r="K1006" s="14" t="inlineStr">
        <is>
          <t>-</t>
        </is>
      </c>
      <c r="L1006" s="14" t="inlineStr">
        <is>
          <t>-</t>
        </is>
      </c>
      <c r="M1006" s="14" t="inlineStr">
        <is>
          <t>-</t>
        </is>
      </c>
      <c r="N1006" s="14" t="inlineStr">
        <is>
          <t>-</t>
        </is>
      </c>
      <c r="O1006" s="14" t="inlineStr">
        <is>
          <t>-</t>
        </is>
      </c>
      <c r="P1006" s="14" t="inlineStr">
        <is>
          <t>-</t>
        </is>
      </c>
      <c r="Q1006" s="15" t="inlineStr">
        <is>
          <t>-</t>
        </is>
      </c>
    </row>
    <row r="1007">
      <c r="A1007" s="47" t="n"/>
      <c r="B1007" s="16" t="inlineStr">
        <is>
          <t>-</t>
        </is>
      </c>
      <c r="C1007" s="11" t="inlineStr">
        <is>
          <t>-</t>
        </is>
      </c>
      <c r="D1007" s="11" t="inlineStr">
        <is>
          <t>-</t>
        </is>
      </c>
      <c r="E1007" s="11" t="inlineStr">
        <is>
          <t>-</t>
        </is>
      </c>
      <c r="F1007" s="11" t="inlineStr">
        <is>
          <t>-</t>
        </is>
      </c>
      <c r="G1007" s="11" t="inlineStr">
        <is>
          <t>-</t>
        </is>
      </c>
      <c r="H1007" s="11" t="inlineStr">
        <is>
          <t>-</t>
        </is>
      </c>
      <c r="I1007" s="11" t="inlineStr">
        <is>
          <t>-</t>
        </is>
      </c>
      <c r="J1007" s="11" t="inlineStr">
        <is>
          <t>-</t>
        </is>
      </c>
      <c r="K1007" s="11" t="inlineStr">
        <is>
          <t>-</t>
        </is>
      </c>
      <c r="L1007" s="11" t="inlineStr">
        <is>
          <t>-</t>
        </is>
      </c>
      <c r="M1007" s="11" t="inlineStr">
        <is>
          <t>-</t>
        </is>
      </c>
      <c r="N1007" s="11" t="inlineStr">
        <is>
          <t>-</t>
        </is>
      </c>
      <c r="O1007" s="11" t="inlineStr">
        <is>
          <t>-</t>
        </is>
      </c>
      <c r="P1007" s="11" t="inlineStr">
        <is>
          <t>-</t>
        </is>
      </c>
      <c r="Q1007" s="12" t="inlineStr">
        <is>
          <t>-</t>
        </is>
      </c>
    </row>
    <row r="1008">
      <c r="A1008" s="47" t="n"/>
      <c r="B1008" s="13" t="inlineStr">
        <is>
          <t>-</t>
        </is>
      </c>
      <c r="C1008" s="14" t="inlineStr">
        <is>
          <t>-</t>
        </is>
      </c>
      <c r="D1008" s="14" t="inlineStr">
        <is>
          <t>-</t>
        </is>
      </c>
      <c r="E1008" s="14" t="inlineStr">
        <is>
          <t>-</t>
        </is>
      </c>
      <c r="F1008" s="14" t="inlineStr">
        <is>
          <t>-</t>
        </is>
      </c>
      <c r="G1008" s="14" t="inlineStr">
        <is>
          <t>-</t>
        </is>
      </c>
      <c r="H1008" s="14" t="inlineStr">
        <is>
          <t>-</t>
        </is>
      </c>
      <c r="I1008" s="14" t="inlineStr">
        <is>
          <t>-</t>
        </is>
      </c>
      <c r="J1008" s="14" t="inlineStr">
        <is>
          <t>-</t>
        </is>
      </c>
      <c r="K1008" s="14" t="inlineStr">
        <is>
          <t>-</t>
        </is>
      </c>
      <c r="L1008" s="14" t="inlineStr">
        <is>
          <t>-</t>
        </is>
      </c>
      <c r="M1008" s="14" t="inlineStr">
        <is>
          <t>-</t>
        </is>
      </c>
      <c r="N1008" s="14" t="inlineStr">
        <is>
          <t>-</t>
        </is>
      </c>
      <c r="O1008" s="14" t="inlineStr">
        <is>
          <t>-</t>
        </is>
      </c>
      <c r="P1008" s="14" t="inlineStr">
        <is>
          <t>-</t>
        </is>
      </c>
      <c r="Q1008" s="15" t="inlineStr">
        <is>
          <t>-</t>
        </is>
      </c>
    </row>
    <row r="1009">
      <c r="A1009" s="47" t="n"/>
      <c r="B1009" s="16" t="inlineStr">
        <is>
          <t>-</t>
        </is>
      </c>
      <c r="C1009" s="11" t="inlineStr">
        <is>
          <t>-</t>
        </is>
      </c>
      <c r="D1009" s="11" t="inlineStr">
        <is>
          <t>-</t>
        </is>
      </c>
      <c r="E1009" s="11" t="inlineStr">
        <is>
          <t>-</t>
        </is>
      </c>
      <c r="F1009" s="11" t="inlineStr">
        <is>
          <t>-</t>
        </is>
      </c>
      <c r="G1009" s="11" t="inlineStr">
        <is>
          <t>-</t>
        </is>
      </c>
      <c r="H1009" s="11" t="inlineStr">
        <is>
          <t>-</t>
        </is>
      </c>
      <c r="I1009" s="11" t="inlineStr">
        <is>
          <t>-</t>
        </is>
      </c>
      <c r="J1009" s="11" t="inlineStr">
        <is>
          <t>-</t>
        </is>
      </c>
      <c r="K1009" s="11" t="inlineStr">
        <is>
          <t>-</t>
        </is>
      </c>
      <c r="L1009" s="11" t="inlineStr">
        <is>
          <t>-</t>
        </is>
      </c>
      <c r="M1009" s="11" t="inlineStr">
        <is>
          <t>-</t>
        </is>
      </c>
      <c r="N1009" s="11" t="inlineStr">
        <is>
          <t>-</t>
        </is>
      </c>
      <c r="O1009" s="11" t="inlineStr">
        <is>
          <t>-</t>
        </is>
      </c>
      <c r="P1009" s="11" t="inlineStr">
        <is>
          <t>-</t>
        </is>
      </c>
      <c r="Q1009" s="12" t="inlineStr">
        <is>
          <t>-</t>
        </is>
      </c>
    </row>
    <row r="1010" ht="36" customHeight="1" s="155">
      <c r="B1010" s="46" t="inlineStr">
        <is>
          <t>pasta frolla fresca</t>
        </is>
      </c>
      <c r="C1010" s="49">
        <f>_xlfn.XLOOKUP(A1011,Magazzino!$D$1:$D$1500,Magazzino!$F$1:$F$1500,"",0,1)</f>
        <v/>
      </c>
      <c r="D1010" s="50">
        <f>_xlfn.XLOOKUP(A1012,Magazzino!$D$1:$D$1500,Magazzino!$F$1:$F$1500,"",0,1)</f>
        <v/>
      </c>
      <c r="E1010" s="50">
        <f>_xlfn.XLOOKUP(A1013,Magazzino!$D$1:$D$1500,Magazzino!$F$1:$F$1500,"",0,1)</f>
        <v/>
      </c>
      <c r="F1010" s="50">
        <f>_xlfn.XLOOKUP(A1014,Magazzino!$D$1:$D$1500,Magazzino!$F$1:$F$1500,"",0,1)</f>
        <v/>
      </c>
      <c r="G1010" s="50">
        <f>_xlfn.XLOOKUP(A1015,Magazzino!$D$1:$D$1500,Magazzino!$F$1:$F$1500,"",0,1)</f>
        <v/>
      </c>
      <c r="H1010" s="50">
        <f>_xlfn.XLOOKUP(A1016,Magazzino!$D$1:$D$1500,Magazzino!$F$1:$F$1500,"",0,1)</f>
        <v/>
      </c>
      <c r="I1010" s="50">
        <f>_xlfn.XLOOKUP(A1017,Magazzino!$D$1:$D$1500,Magazzino!$F$1:$F$1500,"",0,1)</f>
        <v/>
      </c>
      <c r="J1010" s="50">
        <f>_xlfn.XLOOKUP(A1018,Magazzino!$D$1:$D$1500,Magazzino!$F$1:$F$1500,"",0,1)</f>
        <v/>
      </c>
      <c r="K1010" s="50">
        <f>_xlfn.XLOOKUP(A1019,Magazzino!$D$1:$D$1500,Magazzino!$F$1:$F$1500,"",0,1)</f>
        <v/>
      </c>
      <c r="L1010" s="50">
        <f>_xlfn.XLOOKUP(A1020,Magazzino!$D$1:$D$1500,Magazzino!$F$1:$F$1500,"",0,1)</f>
        <v/>
      </c>
      <c r="M1010" s="50">
        <f>_xlfn.XLOOKUP(A1021,Magazzino!$D$1:$D$1500,Magazzino!$F$1:$F$1500,"",0,1)</f>
        <v/>
      </c>
      <c r="N1010" s="50">
        <f>_xlfn.XLOOKUP(A1022,Magazzino!$D$1:$D$1500,Magazzino!$F$1:$F$1500,"",0,1)</f>
        <v/>
      </c>
      <c r="O1010" s="50">
        <f>_xlfn.XLOOKUP(A1023,Magazzino!$D$1:$D$1500,Magazzino!$F$1:$F$1500,"",0,1)</f>
        <v/>
      </c>
      <c r="P1010" s="50">
        <f>_xlfn.XLOOKUP(A1024,Magazzino!$D$1:$D$1500,Magazzino!$F$1:$F$1500,"",0,1)</f>
        <v/>
      </c>
      <c r="Q1010" s="51">
        <f>_xlfn.XLOOKUP(A1025,Magazzino!$D$1:$D$1500,Magazzino!$F$1:$F$1500,"",0,1)</f>
        <v/>
      </c>
    </row>
    <row r="1011">
      <c r="A1011" s="47" t="inlineStr">
        <is>
          <t xml:space="preserve">FARINA 0/MAN. CAPUTO DA KG.25  </t>
        </is>
      </c>
      <c r="B1011" s="16" t="inlineStr">
        <is>
          <t>-</t>
        </is>
      </c>
      <c r="C1011" s="11" t="inlineStr">
        <is>
          <t>-</t>
        </is>
      </c>
      <c r="D1011" s="11" t="inlineStr">
        <is>
          <t>-</t>
        </is>
      </c>
      <c r="E1011" s="11" t="inlineStr">
        <is>
          <t>-</t>
        </is>
      </c>
      <c r="F1011" s="11" t="inlineStr">
        <is>
          <t>-</t>
        </is>
      </c>
      <c r="G1011" s="11" t="inlineStr">
        <is>
          <t>-</t>
        </is>
      </c>
      <c r="H1011" s="11" t="inlineStr">
        <is>
          <t>-</t>
        </is>
      </c>
      <c r="I1011" s="11" t="inlineStr">
        <is>
          <t>-</t>
        </is>
      </c>
      <c r="J1011" s="11" t="inlineStr">
        <is>
          <t>-</t>
        </is>
      </c>
      <c r="K1011" s="11" t="inlineStr">
        <is>
          <t>-</t>
        </is>
      </c>
      <c r="L1011" s="11" t="inlineStr">
        <is>
          <t>-</t>
        </is>
      </c>
      <c r="M1011" s="11" t="inlineStr">
        <is>
          <t>-</t>
        </is>
      </c>
      <c r="N1011" s="11" t="inlineStr">
        <is>
          <t>-</t>
        </is>
      </c>
      <c r="O1011" s="11" t="inlineStr">
        <is>
          <t>-</t>
        </is>
      </c>
      <c r="P1011" s="11" t="inlineStr">
        <is>
          <t>-</t>
        </is>
      </c>
      <c r="Q1011" s="12" t="inlineStr">
        <is>
          <t>-</t>
        </is>
      </c>
    </row>
    <row r="1012">
      <c r="A1012" s="47" t="inlineStr">
        <is>
          <t xml:space="preserve">STRUTTO RAFFINATO I B VERDE  </t>
        </is>
      </c>
      <c r="B1012" s="13" t="inlineStr">
        <is>
          <t>-</t>
        </is>
      </c>
      <c r="C1012" s="14" t="inlineStr">
        <is>
          <t>-</t>
        </is>
      </c>
      <c r="D1012" s="14" t="inlineStr">
        <is>
          <t>-</t>
        </is>
      </c>
      <c r="E1012" s="14" t="inlineStr">
        <is>
          <t>-</t>
        </is>
      </c>
      <c r="F1012" s="14" t="inlineStr">
        <is>
          <t>-</t>
        </is>
      </c>
      <c r="G1012" s="14" t="inlineStr">
        <is>
          <t>-</t>
        </is>
      </c>
      <c r="H1012" s="14" t="inlineStr">
        <is>
          <t>-</t>
        </is>
      </c>
      <c r="I1012" s="14" t="inlineStr">
        <is>
          <t>-</t>
        </is>
      </c>
      <c r="J1012" s="14" t="inlineStr">
        <is>
          <t>-</t>
        </is>
      </c>
      <c r="K1012" s="14" t="inlineStr">
        <is>
          <t>-</t>
        </is>
      </c>
      <c r="L1012" s="14" t="inlineStr">
        <is>
          <t>-</t>
        </is>
      </c>
      <c r="M1012" s="14" t="inlineStr">
        <is>
          <t>-</t>
        </is>
      </c>
      <c r="N1012" s="14" t="inlineStr">
        <is>
          <t>-</t>
        </is>
      </c>
      <c r="O1012" s="14" t="inlineStr">
        <is>
          <t>-</t>
        </is>
      </c>
      <c r="P1012" s="14" t="inlineStr">
        <is>
          <t>-</t>
        </is>
      </c>
      <c r="Q1012" s="15" t="inlineStr">
        <is>
          <t>-</t>
        </is>
      </c>
    </row>
    <row r="1013">
      <c r="A1013" s="47" t="inlineStr">
        <is>
          <t>zucchero semolato</t>
        </is>
      </c>
      <c r="B1013" s="16" t="inlineStr">
        <is>
          <t>-</t>
        </is>
      </c>
      <c r="C1013" s="11" t="inlineStr">
        <is>
          <t>-</t>
        </is>
      </c>
      <c r="D1013" s="11" t="inlineStr">
        <is>
          <t>-</t>
        </is>
      </c>
      <c r="E1013" s="11" t="inlineStr">
        <is>
          <t>-</t>
        </is>
      </c>
      <c r="F1013" s="11" t="inlineStr">
        <is>
          <t>-</t>
        </is>
      </c>
      <c r="G1013" s="11" t="inlineStr">
        <is>
          <t>-</t>
        </is>
      </c>
      <c r="H1013" s="11" t="inlineStr">
        <is>
          <t>-</t>
        </is>
      </c>
      <c r="I1013" s="11" t="inlineStr">
        <is>
          <t>-</t>
        </is>
      </c>
      <c r="J1013" s="11" t="inlineStr">
        <is>
          <t>-</t>
        </is>
      </c>
      <c r="K1013" s="11" t="inlineStr">
        <is>
          <t>-</t>
        </is>
      </c>
      <c r="L1013" s="11" t="inlineStr">
        <is>
          <t>-</t>
        </is>
      </c>
      <c r="M1013" s="11" t="inlineStr">
        <is>
          <t>-</t>
        </is>
      </c>
      <c r="N1013" s="11" t="inlineStr">
        <is>
          <t>-</t>
        </is>
      </c>
      <c r="O1013" s="11" t="inlineStr">
        <is>
          <t>-</t>
        </is>
      </c>
      <c r="P1013" s="11" t="inlineStr">
        <is>
          <t>-</t>
        </is>
      </c>
      <c r="Q1013" s="12" t="inlineStr">
        <is>
          <t>-</t>
        </is>
      </c>
    </row>
    <row r="1014">
      <c r="A1014" s="48" t="inlineStr">
        <is>
          <t xml:space="preserve">SALE SACCHI SALTECHNO KG.25  </t>
        </is>
      </c>
      <c r="B1014" s="13" t="inlineStr">
        <is>
          <t>-</t>
        </is>
      </c>
      <c r="C1014" s="14" t="inlineStr">
        <is>
          <t>-</t>
        </is>
      </c>
      <c r="D1014" s="14" t="inlineStr">
        <is>
          <t>-</t>
        </is>
      </c>
      <c r="E1014" s="14" t="inlineStr">
        <is>
          <t>-</t>
        </is>
      </c>
      <c r="F1014" s="14" t="inlineStr">
        <is>
          <t>-</t>
        </is>
      </c>
      <c r="G1014" s="14" t="inlineStr">
        <is>
          <t>-</t>
        </is>
      </c>
      <c r="H1014" s="14" t="inlineStr">
        <is>
          <t>-</t>
        </is>
      </c>
      <c r="I1014" s="14" t="inlineStr">
        <is>
          <t>-</t>
        </is>
      </c>
      <c r="J1014" s="14" t="inlineStr">
        <is>
          <t>-</t>
        </is>
      </c>
      <c r="K1014" s="14" t="inlineStr">
        <is>
          <t>-</t>
        </is>
      </c>
      <c r="L1014" s="14" t="inlineStr">
        <is>
          <t>-</t>
        </is>
      </c>
      <c r="M1014" s="14" t="inlineStr">
        <is>
          <t>-</t>
        </is>
      </c>
      <c r="N1014" s="14" t="inlineStr">
        <is>
          <t>-</t>
        </is>
      </c>
      <c r="O1014" s="14" t="inlineStr">
        <is>
          <t>-</t>
        </is>
      </c>
      <c r="P1014" s="14" t="inlineStr">
        <is>
          <t>-</t>
        </is>
      </c>
      <c r="Q1014" s="15" t="inlineStr">
        <is>
          <t>-</t>
        </is>
      </c>
    </row>
    <row r="1015">
      <c r="A1015" s="47" t="n"/>
      <c r="B1015" s="16" t="inlineStr">
        <is>
          <t>-</t>
        </is>
      </c>
      <c r="C1015" s="11" t="inlineStr">
        <is>
          <t>-</t>
        </is>
      </c>
      <c r="D1015" s="11" t="inlineStr">
        <is>
          <t>-</t>
        </is>
      </c>
      <c r="E1015" s="11" t="inlineStr">
        <is>
          <t>-</t>
        </is>
      </c>
      <c r="F1015" s="11" t="inlineStr">
        <is>
          <t>-</t>
        </is>
      </c>
      <c r="G1015" s="11" t="inlineStr">
        <is>
          <t>-</t>
        </is>
      </c>
      <c r="H1015" s="11" t="inlineStr">
        <is>
          <t>-</t>
        </is>
      </c>
      <c r="I1015" s="11" t="inlineStr">
        <is>
          <t>-</t>
        </is>
      </c>
      <c r="J1015" s="11" t="inlineStr">
        <is>
          <t>-</t>
        </is>
      </c>
      <c r="K1015" s="11" t="inlineStr">
        <is>
          <t>-</t>
        </is>
      </c>
      <c r="L1015" s="11" t="inlineStr">
        <is>
          <t>-</t>
        </is>
      </c>
      <c r="M1015" s="11" t="inlineStr">
        <is>
          <t>-</t>
        </is>
      </c>
      <c r="N1015" s="11" t="inlineStr">
        <is>
          <t>-</t>
        </is>
      </c>
      <c r="O1015" s="11" t="inlineStr">
        <is>
          <t>-</t>
        </is>
      </c>
      <c r="P1015" s="11" t="inlineStr">
        <is>
          <t>-</t>
        </is>
      </c>
      <c r="Q1015" s="12" t="inlineStr">
        <is>
          <t>-</t>
        </is>
      </c>
    </row>
    <row r="1016">
      <c r="A1016" s="47" t="n"/>
      <c r="B1016" s="13" t="inlineStr">
        <is>
          <t>-</t>
        </is>
      </c>
      <c r="C1016" s="14" t="inlineStr">
        <is>
          <t>-</t>
        </is>
      </c>
      <c r="D1016" s="14" t="inlineStr">
        <is>
          <t>-</t>
        </is>
      </c>
      <c r="E1016" s="14" t="inlineStr">
        <is>
          <t>-</t>
        </is>
      </c>
      <c r="F1016" s="14" t="inlineStr">
        <is>
          <t>-</t>
        </is>
      </c>
      <c r="G1016" s="14" t="inlineStr">
        <is>
          <t>-</t>
        </is>
      </c>
      <c r="H1016" s="14" t="inlineStr">
        <is>
          <t>-</t>
        </is>
      </c>
      <c r="I1016" s="14" t="inlineStr">
        <is>
          <t>-</t>
        </is>
      </c>
      <c r="J1016" s="14" t="inlineStr">
        <is>
          <t>-</t>
        </is>
      </c>
      <c r="K1016" s="14" t="inlineStr">
        <is>
          <t>-</t>
        </is>
      </c>
      <c r="L1016" s="14" t="inlineStr">
        <is>
          <t>-</t>
        </is>
      </c>
      <c r="M1016" s="14" t="inlineStr">
        <is>
          <t>-</t>
        </is>
      </c>
      <c r="N1016" s="14" t="inlineStr">
        <is>
          <t>-</t>
        </is>
      </c>
      <c r="O1016" s="14" t="inlineStr">
        <is>
          <t>-</t>
        </is>
      </c>
      <c r="P1016" s="14" t="inlineStr">
        <is>
          <t>-</t>
        </is>
      </c>
      <c r="Q1016" s="15" t="inlineStr">
        <is>
          <t>-</t>
        </is>
      </c>
    </row>
    <row r="1017">
      <c r="A1017" s="47" t="n"/>
      <c r="B1017" s="16" t="inlineStr">
        <is>
          <t>-</t>
        </is>
      </c>
      <c r="C1017" s="11" t="inlineStr">
        <is>
          <t>-</t>
        </is>
      </c>
      <c r="D1017" s="11" t="inlineStr">
        <is>
          <t>-</t>
        </is>
      </c>
      <c r="E1017" s="11" t="inlineStr">
        <is>
          <t>-</t>
        </is>
      </c>
      <c r="F1017" s="11" t="inlineStr">
        <is>
          <t>-</t>
        </is>
      </c>
      <c r="G1017" s="11" t="inlineStr">
        <is>
          <t>-</t>
        </is>
      </c>
      <c r="H1017" s="11" t="inlineStr">
        <is>
          <t>-</t>
        </is>
      </c>
      <c r="I1017" s="11" t="inlineStr">
        <is>
          <t>-</t>
        </is>
      </c>
      <c r="J1017" s="11" t="inlineStr">
        <is>
          <t>-</t>
        </is>
      </c>
      <c r="K1017" s="11" t="inlineStr">
        <is>
          <t>-</t>
        </is>
      </c>
      <c r="L1017" s="11" t="inlineStr">
        <is>
          <t>-</t>
        </is>
      </c>
      <c r="M1017" s="11" t="inlineStr">
        <is>
          <t>-</t>
        </is>
      </c>
      <c r="N1017" s="11" t="inlineStr">
        <is>
          <t>-</t>
        </is>
      </c>
      <c r="O1017" s="11" t="inlineStr">
        <is>
          <t>-</t>
        </is>
      </c>
      <c r="P1017" s="11" t="inlineStr">
        <is>
          <t>-</t>
        </is>
      </c>
      <c r="Q1017" s="12" t="inlineStr">
        <is>
          <t>-</t>
        </is>
      </c>
    </row>
    <row r="1018">
      <c r="A1018" s="47" t="n"/>
      <c r="B1018" s="13" t="inlineStr">
        <is>
          <t>-</t>
        </is>
      </c>
      <c r="C1018" s="14" t="inlineStr">
        <is>
          <t>-</t>
        </is>
      </c>
      <c r="D1018" s="14" t="inlineStr">
        <is>
          <t>-</t>
        </is>
      </c>
      <c r="E1018" s="14" t="inlineStr">
        <is>
          <t>-</t>
        </is>
      </c>
      <c r="F1018" s="14" t="inlineStr">
        <is>
          <t>-</t>
        </is>
      </c>
      <c r="G1018" s="14" t="inlineStr">
        <is>
          <t>-</t>
        </is>
      </c>
      <c r="H1018" s="14" t="inlineStr">
        <is>
          <t>-</t>
        </is>
      </c>
      <c r="I1018" s="14" t="inlineStr">
        <is>
          <t>-</t>
        </is>
      </c>
      <c r="J1018" s="14" t="inlineStr">
        <is>
          <t>-</t>
        </is>
      </c>
      <c r="K1018" s="14" t="inlineStr">
        <is>
          <t>-</t>
        </is>
      </c>
      <c r="L1018" s="14" t="inlineStr">
        <is>
          <t>-</t>
        </is>
      </c>
      <c r="M1018" s="14" t="inlineStr">
        <is>
          <t>-</t>
        </is>
      </c>
      <c r="N1018" s="14" t="inlineStr">
        <is>
          <t>-</t>
        </is>
      </c>
      <c r="O1018" s="14" t="inlineStr">
        <is>
          <t>-</t>
        </is>
      </c>
      <c r="P1018" s="14" t="inlineStr">
        <is>
          <t>-</t>
        </is>
      </c>
      <c r="Q1018" s="15" t="inlineStr">
        <is>
          <t>-</t>
        </is>
      </c>
    </row>
    <row r="1019">
      <c r="A1019" s="47" t="n"/>
      <c r="B1019" s="16" t="inlineStr">
        <is>
          <t>-</t>
        </is>
      </c>
      <c r="C1019" s="11" t="inlineStr">
        <is>
          <t>-</t>
        </is>
      </c>
      <c r="D1019" s="11" t="inlineStr">
        <is>
          <t>-</t>
        </is>
      </c>
      <c r="E1019" s="11" t="inlineStr">
        <is>
          <t>-</t>
        </is>
      </c>
      <c r="F1019" s="11" t="inlineStr">
        <is>
          <t>-</t>
        </is>
      </c>
      <c r="G1019" s="11" t="inlineStr">
        <is>
          <t>-</t>
        </is>
      </c>
      <c r="H1019" s="11" t="inlineStr">
        <is>
          <t>-</t>
        </is>
      </c>
      <c r="I1019" s="11" t="inlineStr">
        <is>
          <t>-</t>
        </is>
      </c>
      <c r="J1019" s="11" t="inlineStr">
        <is>
          <t>-</t>
        </is>
      </c>
      <c r="K1019" s="11" t="inlineStr">
        <is>
          <t>-</t>
        </is>
      </c>
      <c r="L1019" s="11" t="inlineStr">
        <is>
          <t>-</t>
        </is>
      </c>
      <c r="M1019" s="11" t="inlineStr">
        <is>
          <t>-</t>
        </is>
      </c>
      <c r="N1019" s="11" t="inlineStr">
        <is>
          <t>-</t>
        </is>
      </c>
      <c r="O1019" s="11" t="inlineStr">
        <is>
          <t>-</t>
        </is>
      </c>
      <c r="P1019" s="11" t="inlineStr">
        <is>
          <t>-</t>
        </is>
      </c>
      <c r="Q1019" s="12" t="inlineStr">
        <is>
          <t>-</t>
        </is>
      </c>
    </row>
    <row r="1020">
      <c r="A1020" s="47" t="n"/>
      <c r="B1020" s="13" t="inlineStr">
        <is>
          <t>-</t>
        </is>
      </c>
      <c r="C1020" s="14" t="inlineStr">
        <is>
          <t>-</t>
        </is>
      </c>
      <c r="D1020" s="14" t="inlineStr">
        <is>
          <t>-</t>
        </is>
      </c>
      <c r="E1020" s="14" t="inlineStr">
        <is>
          <t>-</t>
        </is>
      </c>
      <c r="F1020" s="14" t="inlineStr">
        <is>
          <t>-</t>
        </is>
      </c>
      <c r="G1020" s="14" t="inlineStr">
        <is>
          <t>-</t>
        </is>
      </c>
      <c r="H1020" s="14" t="inlineStr">
        <is>
          <t>-</t>
        </is>
      </c>
      <c r="I1020" s="14" t="inlineStr">
        <is>
          <t>-</t>
        </is>
      </c>
      <c r="J1020" s="14" t="inlineStr">
        <is>
          <t>-</t>
        </is>
      </c>
      <c r="K1020" s="14" t="inlineStr">
        <is>
          <t>-</t>
        </is>
      </c>
      <c r="L1020" s="14" t="inlineStr">
        <is>
          <t>-</t>
        </is>
      </c>
      <c r="M1020" s="14" t="inlineStr">
        <is>
          <t>-</t>
        </is>
      </c>
      <c r="N1020" s="14" t="inlineStr">
        <is>
          <t>-</t>
        </is>
      </c>
      <c r="O1020" s="14" t="inlineStr">
        <is>
          <t>-</t>
        </is>
      </c>
      <c r="P1020" s="14" t="inlineStr">
        <is>
          <t>-</t>
        </is>
      </c>
      <c r="Q1020" s="15" t="inlineStr">
        <is>
          <t>-</t>
        </is>
      </c>
    </row>
    <row r="1021">
      <c r="A1021" s="47" t="n"/>
      <c r="B1021" s="16" t="inlineStr">
        <is>
          <t>-</t>
        </is>
      </c>
      <c r="C1021" s="11" t="inlineStr">
        <is>
          <t>-</t>
        </is>
      </c>
      <c r="D1021" s="11" t="inlineStr">
        <is>
          <t>-</t>
        </is>
      </c>
      <c r="E1021" s="11" t="inlineStr">
        <is>
          <t>-</t>
        </is>
      </c>
      <c r="F1021" s="11" t="inlineStr">
        <is>
          <t>-</t>
        </is>
      </c>
      <c r="G1021" s="11" t="inlineStr">
        <is>
          <t>-</t>
        </is>
      </c>
      <c r="H1021" s="11" t="inlineStr">
        <is>
          <t>-</t>
        </is>
      </c>
      <c r="I1021" s="11" t="inlineStr">
        <is>
          <t>-</t>
        </is>
      </c>
      <c r="J1021" s="11" t="inlineStr">
        <is>
          <t>-</t>
        </is>
      </c>
      <c r="K1021" s="11" t="inlineStr">
        <is>
          <t>-</t>
        </is>
      </c>
      <c r="L1021" s="11" t="inlineStr">
        <is>
          <t>-</t>
        </is>
      </c>
      <c r="M1021" s="11" t="inlineStr">
        <is>
          <t>-</t>
        </is>
      </c>
      <c r="N1021" s="11" t="inlineStr">
        <is>
          <t>-</t>
        </is>
      </c>
      <c r="O1021" s="11" t="inlineStr">
        <is>
          <t>-</t>
        </is>
      </c>
      <c r="P1021" s="11" t="inlineStr">
        <is>
          <t>-</t>
        </is>
      </c>
      <c r="Q1021" s="12" t="inlineStr">
        <is>
          <t>-</t>
        </is>
      </c>
    </row>
    <row r="1022">
      <c r="A1022" s="47" t="n"/>
      <c r="B1022" s="13" t="inlineStr">
        <is>
          <t>-</t>
        </is>
      </c>
      <c r="C1022" s="14" t="inlineStr">
        <is>
          <t>-</t>
        </is>
      </c>
      <c r="D1022" s="14" t="inlineStr">
        <is>
          <t>-</t>
        </is>
      </c>
      <c r="E1022" s="14" t="inlineStr">
        <is>
          <t>-</t>
        </is>
      </c>
      <c r="F1022" s="14" t="inlineStr">
        <is>
          <t>-</t>
        </is>
      </c>
      <c r="G1022" s="14" t="inlineStr">
        <is>
          <t>-</t>
        </is>
      </c>
      <c r="H1022" s="14" t="inlineStr">
        <is>
          <t>-</t>
        </is>
      </c>
      <c r="I1022" s="14" t="inlineStr">
        <is>
          <t>-</t>
        </is>
      </c>
      <c r="J1022" s="14" t="inlineStr">
        <is>
          <t>-</t>
        </is>
      </c>
      <c r="K1022" s="14" t="inlineStr">
        <is>
          <t>-</t>
        </is>
      </c>
      <c r="L1022" s="14" t="inlineStr">
        <is>
          <t>-</t>
        </is>
      </c>
      <c r="M1022" s="14" t="inlineStr">
        <is>
          <t>-</t>
        </is>
      </c>
      <c r="N1022" s="14" t="inlineStr">
        <is>
          <t>-</t>
        </is>
      </c>
      <c r="O1022" s="14" t="inlineStr">
        <is>
          <t>-</t>
        </is>
      </c>
      <c r="P1022" s="14" t="inlineStr">
        <is>
          <t>-</t>
        </is>
      </c>
      <c r="Q1022" s="15" t="inlineStr">
        <is>
          <t>-</t>
        </is>
      </c>
    </row>
    <row r="1023">
      <c r="A1023" s="47" t="n"/>
      <c r="B1023" s="16" t="inlineStr">
        <is>
          <t>-</t>
        </is>
      </c>
      <c r="C1023" s="11" t="inlineStr">
        <is>
          <t>-</t>
        </is>
      </c>
      <c r="D1023" s="11" t="inlineStr">
        <is>
          <t>-</t>
        </is>
      </c>
      <c r="E1023" s="11" t="inlineStr">
        <is>
          <t>-</t>
        </is>
      </c>
      <c r="F1023" s="11" t="inlineStr">
        <is>
          <t>-</t>
        </is>
      </c>
      <c r="G1023" s="11" t="inlineStr">
        <is>
          <t>-</t>
        </is>
      </c>
      <c r="H1023" s="11" t="inlineStr">
        <is>
          <t>-</t>
        </is>
      </c>
      <c r="I1023" s="11" t="inlineStr">
        <is>
          <t>-</t>
        </is>
      </c>
      <c r="J1023" s="11" t="inlineStr">
        <is>
          <t>-</t>
        </is>
      </c>
      <c r="K1023" s="11" t="inlineStr">
        <is>
          <t>-</t>
        </is>
      </c>
      <c r="L1023" s="11" t="inlineStr">
        <is>
          <t>-</t>
        </is>
      </c>
      <c r="M1023" s="11" t="inlineStr">
        <is>
          <t>-</t>
        </is>
      </c>
      <c r="N1023" s="11" t="inlineStr">
        <is>
          <t>-</t>
        </is>
      </c>
      <c r="O1023" s="11" t="inlineStr">
        <is>
          <t>-</t>
        </is>
      </c>
      <c r="P1023" s="11" t="inlineStr">
        <is>
          <t>-</t>
        </is>
      </c>
      <c r="Q1023" s="12" t="inlineStr">
        <is>
          <t>-</t>
        </is>
      </c>
    </row>
    <row r="1024">
      <c r="A1024" s="47" t="n"/>
      <c r="B1024" s="13" t="inlineStr">
        <is>
          <t>-</t>
        </is>
      </c>
      <c r="C1024" s="14" t="inlineStr">
        <is>
          <t>-</t>
        </is>
      </c>
      <c r="D1024" s="14" t="inlineStr">
        <is>
          <t>-</t>
        </is>
      </c>
      <c r="E1024" s="14" t="inlineStr">
        <is>
          <t>-</t>
        </is>
      </c>
      <c r="F1024" s="14" t="inlineStr">
        <is>
          <t>-</t>
        </is>
      </c>
      <c r="G1024" s="14" t="inlineStr">
        <is>
          <t>-</t>
        </is>
      </c>
      <c r="H1024" s="14" t="inlineStr">
        <is>
          <t>-</t>
        </is>
      </c>
      <c r="I1024" s="14" t="inlineStr">
        <is>
          <t>-</t>
        </is>
      </c>
      <c r="J1024" s="14" t="inlineStr">
        <is>
          <t>-</t>
        </is>
      </c>
      <c r="K1024" s="14" t="inlineStr">
        <is>
          <t>-</t>
        </is>
      </c>
      <c r="L1024" s="14" t="inlineStr">
        <is>
          <t>-</t>
        </is>
      </c>
      <c r="M1024" s="14" t="inlineStr">
        <is>
          <t>-</t>
        </is>
      </c>
      <c r="N1024" s="14" t="inlineStr">
        <is>
          <t>-</t>
        </is>
      </c>
      <c r="O1024" s="14" t="inlineStr">
        <is>
          <t>-</t>
        </is>
      </c>
      <c r="P1024" s="14" t="inlineStr">
        <is>
          <t>-</t>
        </is>
      </c>
      <c r="Q1024" s="15" t="inlineStr">
        <is>
          <t>-</t>
        </is>
      </c>
    </row>
    <row r="1025">
      <c r="A1025" s="47" t="n"/>
      <c r="B1025" s="16" t="inlineStr">
        <is>
          <t>-</t>
        </is>
      </c>
      <c r="C1025" s="11" t="inlineStr">
        <is>
          <t>-</t>
        </is>
      </c>
      <c r="D1025" s="11" t="inlineStr">
        <is>
          <t>-</t>
        </is>
      </c>
      <c r="E1025" s="11" t="inlineStr">
        <is>
          <t>-</t>
        </is>
      </c>
      <c r="F1025" s="11" t="inlineStr">
        <is>
          <t>-</t>
        </is>
      </c>
      <c r="G1025" s="11" t="inlineStr">
        <is>
          <t>-</t>
        </is>
      </c>
      <c r="H1025" s="11" t="inlineStr">
        <is>
          <t>-</t>
        </is>
      </c>
      <c r="I1025" s="11" t="inlineStr">
        <is>
          <t>-</t>
        </is>
      </c>
      <c r="J1025" s="11" t="inlineStr">
        <is>
          <t>-</t>
        </is>
      </c>
      <c r="K1025" s="11" t="inlineStr">
        <is>
          <t>-</t>
        </is>
      </c>
      <c r="L1025" s="11" t="inlineStr">
        <is>
          <t>-</t>
        </is>
      </c>
      <c r="M1025" s="11" t="inlineStr">
        <is>
          <t>-</t>
        </is>
      </c>
      <c r="N1025" s="11" t="inlineStr">
        <is>
          <t>-</t>
        </is>
      </c>
      <c r="O1025" s="11" t="inlineStr">
        <is>
          <t>-</t>
        </is>
      </c>
      <c r="P1025" s="11" t="inlineStr">
        <is>
          <t>-</t>
        </is>
      </c>
      <c r="Q1025" s="12" t="inlineStr">
        <is>
          <t>-</t>
        </is>
      </c>
    </row>
    <row r="1026" ht="36" customHeight="1" s="155">
      <c r="B1026" s="46" t="inlineStr">
        <is>
          <t>Peperoni</t>
        </is>
      </c>
      <c r="C1026" s="49">
        <f>_xlfn.XLOOKUP(A1027,Magazzino!$D$1:$D$1500,Magazzino!$F$1:$F$1500,"",0,1)</f>
        <v/>
      </c>
      <c r="D1026" s="50">
        <f>_xlfn.XLOOKUP(A1028,Magazzino!$D$1:$D$1500,Magazzino!$F$1:$F$1500,"",0,1)</f>
        <v/>
      </c>
      <c r="E1026" s="50">
        <f>_xlfn.XLOOKUP(A1029,Magazzino!$D$1:$D$1500,Magazzino!$F$1:$F$1500,"",0,1)</f>
        <v/>
      </c>
      <c r="F1026" s="50">
        <f>_xlfn.XLOOKUP(A1030,Magazzino!$D$1:$D$1500,Magazzino!$F$1:$F$1500,"",0,1)</f>
        <v/>
      </c>
      <c r="G1026" s="50">
        <f>_xlfn.XLOOKUP(A1031,Magazzino!$D$1:$D$1500,Magazzino!$F$1:$F$1500,"",0,1)</f>
        <v/>
      </c>
      <c r="H1026" s="50">
        <f>_xlfn.XLOOKUP(A1032,Magazzino!$D$1:$D$1500,Magazzino!$F$1:$F$1500,"",0,1)</f>
        <v/>
      </c>
      <c r="I1026" s="50">
        <f>_xlfn.XLOOKUP(A1033,Magazzino!$D$1:$D$1500,Magazzino!$F$1:$F$1500,"",0,1)</f>
        <v/>
      </c>
      <c r="J1026" s="50">
        <f>_xlfn.XLOOKUP(A1034,Magazzino!$D$1:$D$1500,Magazzino!$F$1:$F$1500,"",0,1)</f>
        <v/>
      </c>
      <c r="K1026" s="50">
        <f>_xlfn.XLOOKUP(A1035,Magazzino!$D$1:$D$1500,Magazzino!$F$1:$F$1500,"",0,1)</f>
        <v/>
      </c>
      <c r="L1026" s="50">
        <f>_xlfn.XLOOKUP(A1036,Magazzino!$D$1:$D$1500,Magazzino!$F$1:$F$1500,"",0,1)</f>
        <v/>
      </c>
      <c r="M1026" s="50">
        <f>_xlfn.XLOOKUP(A1037,Magazzino!$D$1:$D$1500,Magazzino!$F$1:$F$1500,"",0,1)</f>
        <v/>
      </c>
      <c r="N1026" s="50">
        <f>_xlfn.XLOOKUP(A1038,Magazzino!$D$1:$D$1500,Magazzino!$F$1:$F$1500,"",0,1)</f>
        <v/>
      </c>
      <c r="O1026" s="50">
        <f>_xlfn.XLOOKUP(A1039,Magazzino!$D$1:$D$1500,Magazzino!$F$1:$F$1500,"",0,1)</f>
        <v/>
      </c>
      <c r="P1026" s="50">
        <f>_xlfn.XLOOKUP(A1040,Magazzino!$D$1:$D$1500,Magazzino!$F$1:$F$1500,"",0,1)</f>
        <v/>
      </c>
      <c r="Q1026" s="51">
        <f>_xlfn.XLOOKUP(A1041,Magazzino!$D$1:$D$1500,Magazzino!$F$1:$F$1500,"",0,1)</f>
        <v/>
      </c>
    </row>
    <row r="1027">
      <c r="A1027" s="47" t="inlineStr">
        <is>
          <t>Peperoni  L.031-004226-0000007</t>
        </is>
      </c>
      <c r="B1027" s="16" t="inlineStr">
        <is>
          <t>-</t>
        </is>
      </c>
      <c r="C1027" s="11" t="inlineStr">
        <is>
          <t>-</t>
        </is>
      </c>
      <c r="D1027" s="11" t="inlineStr">
        <is>
          <t>-</t>
        </is>
      </c>
      <c r="E1027" s="11" t="inlineStr">
        <is>
          <t>-</t>
        </is>
      </c>
      <c r="F1027" s="11" t="inlineStr">
        <is>
          <t>-</t>
        </is>
      </c>
      <c r="G1027" s="11" t="inlineStr">
        <is>
          <t>-</t>
        </is>
      </c>
      <c r="H1027" s="11" t="inlineStr">
        <is>
          <t>-</t>
        </is>
      </c>
      <c r="I1027" s="11" t="inlineStr">
        <is>
          <t>-</t>
        </is>
      </c>
      <c r="J1027" s="11" t="inlineStr">
        <is>
          <t>-</t>
        </is>
      </c>
      <c r="K1027" s="11" t="inlineStr">
        <is>
          <t>-</t>
        </is>
      </c>
      <c r="L1027" s="11" t="inlineStr">
        <is>
          <t>-</t>
        </is>
      </c>
      <c r="M1027" s="11" t="inlineStr">
        <is>
          <t>-</t>
        </is>
      </c>
      <c r="N1027" s="11" t="inlineStr">
        <is>
          <t>-</t>
        </is>
      </c>
      <c r="O1027" s="11" t="inlineStr">
        <is>
          <t>-</t>
        </is>
      </c>
      <c r="P1027" s="11" t="inlineStr">
        <is>
          <t>-</t>
        </is>
      </c>
      <c r="Q1027" s="12" t="inlineStr">
        <is>
          <t>-</t>
        </is>
      </c>
    </row>
    <row r="1028">
      <c r="A1028" s="47" t="n"/>
      <c r="B1028" s="13" t="inlineStr">
        <is>
          <t>-</t>
        </is>
      </c>
      <c r="C1028" s="14" t="inlineStr">
        <is>
          <t>-</t>
        </is>
      </c>
      <c r="D1028" s="14" t="inlineStr">
        <is>
          <t>-</t>
        </is>
      </c>
      <c r="E1028" s="14" t="inlineStr">
        <is>
          <t>-</t>
        </is>
      </c>
      <c r="F1028" s="14" t="inlineStr">
        <is>
          <t>-</t>
        </is>
      </c>
      <c r="G1028" s="14" t="inlineStr">
        <is>
          <t>-</t>
        </is>
      </c>
      <c r="H1028" s="14" t="inlineStr">
        <is>
          <t>-</t>
        </is>
      </c>
      <c r="I1028" s="14" t="inlineStr">
        <is>
          <t>-</t>
        </is>
      </c>
      <c r="J1028" s="14" t="inlineStr">
        <is>
          <t>-</t>
        </is>
      </c>
      <c r="K1028" s="14" t="inlineStr">
        <is>
          <t>-</t>
        </is>
      </c>
      <c r="L1028" s="14" t="inlineStr">
        <is>
          <t>-</t>
        </is>
      </c>
      <c r="M1028" s="14" t="inlineStr">
        <is>
          <t>-</t>
        </is>
      </c>
      <c r="N1028" s="14" t="inlineStr">
        <is>
          <t>-</t>
        </is>
      </c>
      <c r="O1028" s="14" t="inlineStr">
        <is>
          <t>-</t>
        </is>
      </c>
      <c r="P1028" s="14" t="inlineStr">
        <is>
          <t>-</t>
        </is>
      </c>
      <c r="Q1028" s="15" t="inlineStr">
        <is>
          <t>-</t>
        </is>
      </c>
    </row>
    <row r="1029">
      <c r="A1029" s="47" t="n"/>
      <c r="B1029" s="16" t="inlineStr">
        <is>
          <t>-</t>
        </is>
      </c>
      <c r="C1029" s="11" t="inlineStr">
        <is>
          <t>-</t>
        </is>
      </c>
      <c r="D1029" s="11" t="inlineStr">
        <is>
          <t>-</t>
        </is>
      </c>
      <c r="E1029" s="11" t="inlineStr">
        <is>
          <t>-</t>
        </is>
      </c>
      <c r="F1029" s="11" t="inlineStr">
        <is>
          <t>-</t>
        </is>
      </c>
      <c r="G1029" s="11" t="inlineStr">
        <is>
          <t>-</t>
        </is>
      </c>
      <c r="H1029" s="11" t="inlineStr">
        <is>
          <t>-</t>
        </is>
      </c>
      <c r="I1029" s="11" t="inlineStr">
        <is>
          <t>-</t>
        </is>
      </c>
      <c r="J1029" s="11" t="inlineStr">
        <is>
          <t>-</t>
        </is>
      </c>
      <c r="K1029" s="11" t="inlineStr">
        <is>
          <t>-</t>
        </is>
      </c>
      <c r="L1029" s="11" t="inlineStr">
        <is>
          <t>-</t>
        </is>
      </c>
      <c r="M1029" s="11" t="inlineStr">
        <is>
          <t>-</t>
        </is>
      </c>
      <c r="N1029" s="11" t="inlineStr">
        <is>
          <t>-</t>
        </is>
      </c>
      <c r="O1029" s="11" t="inlineStr">
        <is>
          <t>-</t>
        </is>
      </c>
      <c r="P1029" s="11" t="inlineStr">
        <is>
          <t>-</t>
        </is>
      </c>
      <c r="Q1029" s="12" t="inlineStr">
        <is>
          <t>-</t>
        </is>
      </c>
    </row>
    <row r="1030">
      <c r="A1030" s="47" t="n"/>
      <c r="B1030" s="13" t="inlineStr">
        <is>
          <t>-</t>
        </is>
      </c>
      <c r="C1030" s="14" t="inlineStr">
        <is>
          <t>-</t>
        </is>
      </c>
      <c r="D1030" s="14" t="inlineStr">
        <is>
          <t>-</t>
        </is>
      </c>
      <c r="E1030" s="14" t="inlineStr">
        <is>
          <t>-</t>
        </is>
      </c>
      <c r="F1030" s="14" t="inlineStr">
        <is>
          <t>-</t>
        </is>
      </c>
      <c r="G1030" s="14" t="inlineStr">
        <is>
          <t>-</t>
        </is>
      </c>
      <c r="H1030" s="14" t="inlineStr">
        <is>
          <t>-</t>
        </is>
      </c>
      <c r="I1030" s="14" t="inlineStr">
        <is>
          <t>-</t>
        </is>
      </c>
      <c r="J1030" s="14" t="inlineStr">
        <is>
          <t>-</t>
        </is>
      </c>
      <c r="K1030" s="14" t="inlineStr">
        <is>
          <t>-</t>
        </is>
      </c>
      <c r="L1030" s="14" t="inlineStr">
        <is>
          <t>-</t>
        </is>
      </c>
      <c r="M1030" s="14" t="inlineStr">
        <is>
          <t>-</t>
        </is>
      </c>
      <c r="N1030" s="14" t="inlineStr">
        <is>
          <t>-</t>
        </is>
      </c>
      <c r="O1030" s="14" t="inlineStr">
        <is>
          <t>-</t>
        </is>
      </c>
      <c r="P1030" s="14" t="inlineStr">
        <is>
          <t>-</t>
        </is>
      </c>
      <c r="Q1030" s="15" t="inlineStr">
        <is>
          <t>-</t>
        </is>
      </c>
    </row>
    <row r="1031">
      <c r="A1031" s="47" t="n"/>
      <c r="B1031" s="16" t="inlineStr">
        <is>
          <t>-</t>
        </is>
      </c>
      <c r="C1031" s="11" t="inlineStr">
        <is>
          <t>-</t>
        </is>
      </c>
      <c r="D1031" s="11" t="inlineStr">
        <is>
          <t>-</t>
        </is>
      </c>
      <c r="E1031" s="11" t="inlineStr">
        <is>
          <t>-</t>
        </is>
      </c>
      <c r="F1031" s="11" t="inlineStr">
        <is>
          <t>-</t>
        </is>
      </c>
      <c r="G1031" s="11" t="inlineStr">
        <is>
          <t>-</t>
        </is>
      </c>
      <c r="H1031" s="11" t="inlineStr">
        <is>
          <t>-</t>
        </is>
      </c>
      <c r="I1031" s="11" t="inlineStr">
        <is>
          <t>-</t>
        </is>
      </c>
      <c r="J1031" s="11" t="inlineStr">
        <is>
          <t>-</t>
        </is>
      </c>
      <c r="K1031" s="11" t="inlineStr">
        <is>
          <t>-</t>
        </is>
      </c>
      <c r="L1031" s="11" t="inlineStr">
        <is>
          <t>-</t>
        </is>
      </c>
      <c r="M1031" s="11" t="inlineStr">
        <is>
          <t>-</t>
        </is>
      </c>
      <c r="N1031" s="11" t="inlineStr">
        <is>
          <t>-</t>
        </is>
      </c>
      <c r="O1031" s="11" t="inlineStr">
        <is>
          <t>-</t>
        </is>
      </c>
      <c r="P1031" s="11" t="inlineStr">
        <is>
          <t>-</t>
        </is>
      </c>
      <c r="Q1031" s="12" t="inlineStr">
        <is>
          <t>-</t>
        </is>
      </c>
    </row>
    <row r="1032">
      <c r="A1032" s="47" t="n"/>
      <c r="B1032" s="13" t="inlineStr">
        <is>
          <t>-</t>
        </is>
      </c>
      <c r="C1032" s="14" t="inlineStr">
        <is>
          <t>-</t>
        </is>
      </c>
      <c r="D1032" s="14" t="inlineStr">
        <is>
          <t>-</t>
        </is>
      </c>
      <c r="E1032" s="14" t="inlineStr">
        <is>
          <t>-</t>
        </is>
      </c>
      <c r="F1032" s="14" t="inlineStr">
        <is>
          <t>-</t>
        </is>
      </c>
      <c r="G1032" s="14" t="inlineStr">
        <is>
          <t>-</t>
        </is>
      </c>
      <c r="H1032" s="14" t="inlineStr">
        <is>
          <t>-</t>
        </is>
      </c>
      <c r="I1032" s="14" t="inlineStr">
        <is>
          <t>-</t>
        </is>
      </c>
      <c r="J1032" s="14" t="inlineStr">
        <is>
          <t>-</t>
        </is>
      </c>
      <c r="K1032" s="14" t="inlineStr">
        <is>
          <t>-</t>
        </is>
      </c>
      <c r="L1032" s="14" t="inlineStr">
        <is>
          <t>-</t>
        </is>
      </c>
      <c r="M1032" s="14" t="inlineStr">
        <is>
          <t>-</t>
        </is>
      </c>
      <c r="N1032" s="14" t="inlineStr">
        <is>
          <t>-</t>
        </is>
      </c>
      <c r="O1032" s="14" t="inlineStr">
        <is>
          <t>-</t>
        </is>
      </c>
      <c r="P1032" s="14" t="inlineStr">
        <is>
          <t>-</t>
        </is>
      </c>
      <c r="Q1032" s="15" t="inlineStr">
        <is>
          <t>-</t>
        </is>
      </c>
    </row>
    <row r="1033">
      <c r="A1033" s="47" t="n"/>
      <c r="B1033" s="16" t="inlineStr">
        <is>
          <t>-</t>
        </is>
      </c>
      <c r="C1033" s="11" t="inlineStr">
        <is>
          <t>-</t>
        </is>
      </c>
      <c r="D1033" s="11" t="inlineStr">
        <is>
          <t>-</t>
        </is>
      </c>
      <c r="E1033" s="11" t="inlineStr">
        <is>
          <t>-</t>
        </is>
      </c>
      <c r="F1033" s="11" t="inlineStr">
        <is>
          <t>-</t>
        </is>
      </c>
      <c r="G1033" s="11" t="inlineStr">
        <is>
          <t>-</t>
        </is>
      </c>
      <c r="H1033" s="11" t="inlineStr">
        <is>
          <t>-</t>
        </is>
      </c>
      <c r="I1033" s="11" t="inlineStr">
        <is>
          <t>-</t>
        </is>
      </c>
      <c r="J1033" s="11" t="inlineStr">
        <is>
          <t>-</t>
        </is>
      </c>
      <c r="K1033" s="11" t="inlineStr">
        <is>
          <t>-</t>
        </is>
      </c>
      <c r="L1033" s="11" t="inlineStr">
        <is>
          <t>-</t>
        </is>
      </c>
      <c r="M1033" s="11" t="inlineStr">
        <is>
          <t>-</t>
        </is>
      </c>
      <c r="N1033" s="11" t="inlineStr">
        <is>
          <t>-</t>
        </is>
      </c>
      <c r="O1033" s="11" t="inlineStr">
        <is>
          <t>-</t>
        </is>
      </c>
      <c r="P1033" s="11" t="inlineStr">
        <is>
          <t>-</t>
        </is>
      </c>
      <c r="Q1033" s="12" t="inlineStr">
        <is>
          <t>-</t>
        </is>
      </c>
    </row>
    <row r="1034">
      <c r="A1034" s="47" t="n"/>
      <c r="B1034" s="13" t="inlineStr">
        <is>
          <t>-</t>
        </is>
      </c>
      <c r="C1034" s="14" t="inlineStr">
        <is>
          <t>-</t>
        </is>
      </c>
      <c r="D1034" s="14" t="inlineStr">
        <is>
          <t>-</t>
        </is>
      </c>
      <c r="E1034" s="14" t="inlineStr">
        <is>
          <t>-</t>
        </is>
      </c>
      <c r="F1034" s="14" t="inlineStr">
        <is>
          <t>-</t>
        </is>
      </c>
      <c r="G1034" s="14" t="inlineStr">
        <is>
          <t>-</t>
        </is>
      </c>
      <c r="H1034" s="14" t="inlineStr">
        <is>
          <t>-</t>
        </is>
      </c>
      <c r="I1034" s="14" t="inlineStr">
        <is>
          <t>-</t>
        </is>
      </c>
      <c r="J1034" s="14" t="inlineStr">
        <is>
          <t>-</t>
        </is>
      </c>
      <c r="K1034" s="14" t="inlineStr">
        <is>
          <t>-</t>
        </is>
      </c>
      <c r="L1034" s="14" t="inlineStr">
        <is>
          <t>-</t>
        </is>
      </c>
      <c r="M1034" s="14" t="inlineStr">
        <is>
          <t>-</t>
        </is>
      </c>
      <c r="N1034" s="14" t="inlineStr">
        <is>
          <t>-</t>
        </is>
      </c>
      <c r="O1034" s="14" t="inlineStr">
        <is>
          <t>-</t>
        </is>
      </c>
      <c r="P1034" s="14" t="inlineStr">
        <is>
          <t>-</t>
        </is>
      </c>
      <c r="Q1034" s="15" t="inlineStr">
        <is>
          <t>-</t>
        </is>
      </c>
    </row>
    <row r="1035">
      <c r="A1035" s="47" t="n"/>
      <c r="B1035" s="16" t="inlineStr">
        <is>
          <t>-</t>
        </is>
      </c>
      <c r="C1035" s="11" t="inlineStr">
        <is>
          <t>-</t>
        </is>
      </c>
      <c r="D1035" s="11" t="inlineStr">
        <is>
          <t>-</t>
        </is>
      </c>
      <c r="E1035" s="11" t="inlineStr">
        <is>
          <t>-</t>
        </is>
      </c>
      <c r="F1035" s="11" t="inlineStr">
        <is>
          <t>-</t>
        </is>
      </c>
      <c r="G1035" s="11" t="inlineStr">
        <is>
          <t>-</t>
        </is>
      </c>
      <c r="H1035" s="11" t="inlineStr">
        <is>
          <t>-</t>
        </is>
      </c>
      <c r="I1035" s="11" t="inlineStr">
        <is>
          <t>-</t>
        </is>
      </c>
      <c r="J1035" s="11" t="inlineStr">
        <is>
          <t>-</t>
        </is>
      </c>
      <c r="K1035" s="11" t="inlineStr">
        <is>
          <t>-</t>
        </is>
      </c>
      <c r="L1035" s="11" t="inlineStr">
        <is>
          <t>-</t>
        </is>
      </c>
      <c r="M1035" s="11" t="inlineStr">
        <is>
          <t>-</t>
        </is>
      </c>
      <c r="N1035" s="11" t="inlineStr">
        <is>
          <t>-</t>
        </is>
      </c>
      <c r="O1035" s="11" t="inlineStr">
        <is>
          <t>-</t>
        </is>
      </c>
      <c r="P1035" s="11" t="inlineStr">
        <is>
          <t>-</t>
        </is>
      </c>
      <c r="Q1035" s="12" t="inlineStr">
        <is>
          <t>-</t>
        </is>
      </c>
    </row>
    <row r="1036">
      <c r="A1036" s="47" t="n"/>
      <c r="B1036" s="13" t="inlineStr">
        <is>
          <t>-</t>
        </is>
      </c>
      <c r="C1036" s="14" t="inlineStr">
        <is>
          <t>-</t>
        </is>
      </c>
      <c r="D1036" s="14" t="inlineStr">
        <is>
          <t>-</t>
        </is>
      </c>
      <c r="E1036" s="14" t="inlineStr">
        <is>
          <t>-</t>
        </is>
      </c>
      <c r="F1036" s="14" t="inlineStr">
        <is>
          <t>-</t>
        </is>
      </c>
      <c r="G1036" s="14" t="inlineStr">
        <is>
          <t>-</t>
        </is>
      </c>
      <c r="H1036" s="14" t="inlineStr">
        <is>
          <t>-</t>
        </is>
      </c>
      <c r="I1036" s="14" t="inlineStr">
        <is>
          <t>-</t>
        </is>
      </c>
      <c r="J1036" s="14" t="inlineStr">
        <is>
          <t>-</t>
        </is>
      </c>
      <c r="K1036" s="14" t="inlineStr">
        <is>
          <t>-</t>
        </is>
      </c>
      <c r="L1036" s="14" t="inlineStr">
        <is>
          <t>-</t>
        </is>
      </c>
      <c r="M1036" s="14" t="inlineStr">
        <is>
          <t>-</t>
        </is>
      </c>
      <c r="N1036" s="14" t="inlineStr">
        <is>
          <t>-</t>
        </is>
      </c>
      <c r="O1036" s="14" t="inlineStr">
        <is>
          <t>-</t>
        </is>
      </c>
      <c r="P1036" s="14" t="inlineStr">
        <is>
          <t>-</t>
        </is>
      </c>
      <c r="Q1036" s="15" t="inlineStr">
        <is>
          <t>-</t>
        </is>
      </c>
    </row>
    <row r="1037">
      <c r="A1037" s="47" t="n"/>
      <c r="B1037" s="16" t="inlineStr">
        <is>
          <t>-</t>
        </is>
      </c>
      <c r="C1037" s="11" t="inlineStr">
        <is>
          <t>-</t>
        </is>
      </c>
      <c r="D1037" s="11" t="inlineStr">
        <is>
          <t>-</t>
        </is>
      </c>
      <c r="E1037" s="11" t="inlineStr">
        <is>
          <t>-</t>
        </is>
      </c>
      <c r="F1037" s="11" t="inlineStr">
        <is>
          <t>-</t>
        </is>
      </c>
      <c r="G1037" s="11" t="inlineStr">
        <is>
          <t>-</t>
        </is>
      </c>
      <c r="H1037" s="11" t="inlineStr">
        <is>
          <t>-</t>
        </is>
      </c>
      <c r="I1037" s="11" t="inlineStr">
        <is>
          <t>-</t>
        </is>
      </c>
      <c r="J1037" s="11" t="inlineStr">
        <is>
          <t>-</t>
        </is>
      </c>
      <c r="K1037" s="11" t="inlineStr">
        <is>
          <t>-</t>
        </is>
      </c>
      <c r="L1037" s="11" t="inlineStr">
        <is>
          <t>-</t>
        </is>
      </c>
      <c r="M1037" s="11" t="inlineStr">
        <is>
          <t>-</t>
        </is>
      </c>
      <c r="N1037" s="11" t="inlineStr">
        <is>
          <t>-</t>
        </is>
      </c>
      <c r="O1037" s="11" t="inlineStr">
        <is>
          <t>-</t>
        </is>
      </c>
      <c r="P1037" s="11" t="inlineStr">
        <is>
          <t>-</t>
        </is>
      </c>
      <c r="Q1037" s="12" t="inlineStr">
        <is>
          <t>-</t>
        </is>
      </c>
    </row>
    <row r="1038">
      <c r="A1038" s="47" t="n"/>
      <c r="B1038" s="13" t="inlineStr">
        <is>
          <t>-</t>
        </is>
      </c>
      <c r="C1038" s="14" t="inlineStr">
        <is>
          <t>-</t>
        </is>
      </c>
      <c r="D1038" s="14" t="inlineStr">
        <is>
          <t>-</t>
        </is>
      </c>
      <c r="E1038" s="14" t="inlineStr">
        <is>
          <t>-</t>
        </is>
      </c>
      <c r="F1038" s="14" t="inlineStr">
        <is>
          <t>-</t>
        </is>
      </c>
      <c r="G1038" s="14" t="inlineStr">
        <is>
          <t>-</t>
        </is>
      </c>
      <c r="H1038" s="14" t="inlineStr">
        <is>
          <t>-</t>
        </is>
      </c>
      <c r="I1038" s="14" t="inlineStr">
        <is>
          <t>-</t>
        </is>
      </c>
      <c r="J1038" s="14" t="inlineStr">
        <is>
          <t>-</t>
        </is>
      </c>
      <c r="K1038" s="14" t="inlineStr">
        <is>
          <t>-</t>
        </is>
      </c>
      <c r="L1038" s="14" t="inlineStr">
        <is>
          <t>-</t>
        </is>
      </c>
      <c r="M1038" s="14" t="inlineStr">
        <is>
          <t>-</t>
        </is>
      </c>
      <c r="N1038" s="14" t="inlineStr">
        <is>
          <t>-</t>
        </is>
      </c>
      <c r="O1038" s="14" t="inlineStr">
        <is>
          <t>-</t>
        </is>
      </c>
      <c r="P1038" s="14" t="inlineStr">
        <is>
          <t>-</t>
        </is>
      </c>
      <c r="Q1038" s="15" t="inlineStr">
        <is>
          <t>-</t>
        </is>
      </c>
    </row>
    <row r="1039">
      <c r="A1039" s="47" t="n"/>
      <c r="B1039" s="16" t="inlineStr">
        <is>
          <t>-</t>
        </is>
      </c>
      <c r="C1039" s="11" t="inlineStr">
        <is>
          <t>-</t>
        </is>
      </c>
      <c r="D1039" s="11" t="inlineStr">
        <is>
          <t>-</t>
        </is>
      </c>
      <c r="E1039" s="11" t="inlineStr">
        <is>
          <t>-</t>
        </is>
      </c>
      <c r="F1039" s="11" t="inlineStr">
        <is>
          <t>-</t>
        </is>
      </c>
      <c r="G1039" s="11" t="inlineStr">
        <is>
          <t>-</t>
        </is>
      </c>
      <c r="H1039" s="11" t="inlineStr">
        <is>
          <t>-</t>
        </is>
      </c>
      <c r="I1039" s="11" t="inlineStr">
        <is>
          <t>-</t>
        </is>
      </c>
      <c r="J1039" s="11" t="inlineStr">
        <is>
          <t>-</t>
        </is>
      </c>
      <c r="K1039" s="11" t="inlineStr">
        <is>
          <t>-</t>
        </is>
      </c>
      <c r="L1039" s="11" t="inlineStr">
        <is>
          <t>-</t>
        </is>
      </c>
      <c r="M1039" s="11" t="inlineStr">
        <is>
          <t>-</t>
        </is>
      </c>
      <c r="N1039" s="11" t="inlineStr">
        <is>
          <t>-</t>
        </is>
      </c>
      <c r="O1039" s="11" t="inlineStr">
        <is>
          <t>-</t>
        </is>
      </c>
      <c r="P1039" s="11" t="inlineStr">
        <is>
          <t>-</t>
        </is>
      </c>
      <c r="Q1039" s="12" t="inlineStr">
        <is>
          <t>-</t>
        </is>
      </c>
    </row>
    <row r="1040">
      <c r="A1040" s="47" t="n"/>
      <c r="B1040" s="13" t="inlineStr">
        <is>
          <t>-</t>
        </is>
      </c>
      <c r="C1040" s="14" t="inlineStr">
        <is>
          <t>-</t>
        </is>
      </c>
      <c r="D1040" s="14" t="inlineStr">
        <is>
          <t>-</t>
        </is>
      </c>
      <c r="E1040" s="14" t="inlineStr">
        <is>
          <t>-</t>
        </is>
      </c>
      <c r="F1040" s="14" t="inlineStr">
        <is>
          <t>-</t>
        </is>
      </c>
      <c r="G1040" s="14" t="inlineStr">
        <is>
          <t>-</t>
        </is>
      </c>
      <c r="H1040" s="14" t="inlineStr">
        <is>
          <t>-</t>
        </is>
      </c>
      <c r="I1040" s="14" t="inlineStr">
        <is>
          <t>-</t>
        </is>
      </c>
      <c r="J1040" s="14" t="inlineStr">
        <is>
          <t>-</t>
        </is>
      </c>
      <c r="K1040" s="14" t="inlineStr">
        <is>
          <t>-</t>
        </is>
      </c>
      <c r="L1040" s="14" t="inlineStr">
        <is>
          <t>-</t>
        </is>
      </c>
      <c r="M1040" s="14" t="inlineStr">
        <is>
          <t>-</t>
        </is>
      </c>
      <c r="N1040" s="14" t="inlineStr">
        <is>
          <t>-</t>
        </is>
      </c>
      <c r="O1040" s="14" t="inlineStr">
        <is>
          <t>-</t>
        </is>
      </c>
      <c r="P1040" s="14" t="inlineStr">
        <is>
          <t>-</t>
        </is>
      </c>
      <c r="Q1040" s="15" t="inlineStr">
        <is>
          <t>-</t>
        </is>
      </c>
    </row>
    <row r="1041">
      <c r="A1041" s="47" t="n"/>
      <c r="B1041" s="16" t="inlineStr">
        <is>
          <t>-</t>
        </is>
      </c>
      <c r="C1041" s="11" t="inlineStr">
        <is>
          <t>-</t>
        </is>
      </c>
      <c r="D1041" s="11" t="inlineStr">
        <is>
          <t>-</t>
        </is>
      </c>
      <c r="E1041" s="11" t="inlineStr">
        <is>
          <t>-</t>
        </is>
      </c>
      <c r="F1041" s="11" t="inlineStr">
        <is>
          <t>-</t>
        </is>
      </c>
      <c r="G1041" s="11" t="inlineStr">
        <is>
          <t>-</t>
        </is>
      </c>
      <c r="H1041" s="11" t="inlineStr">
        <is>
          <t>-</t>
        </is>
      </c>
      <c r="I1041" s="11" t="inlineStr">
        <is>
          <t>-</t>
        </is>
      </c>
      <c r="J1041" s="11" t="inlineStr">
        <is>
          <t>-</t>
        </is>
      </c>
      <c r="K1041" s="11" t="inlineStr">
        <is>
          <t>-</t>
        </is>
      </c>
      <c r="L1041" s="11" t="inlineStr">
        <is>
          <t>-</t>
        </is>
      </c>
      <c r="M1041" s="11" t="inlineStr">
        <is>
          <t>-</t>
        </is>
      </c>
      <c r="N1041" s="11" t="inlineStr">
        <is>
          <t>-</t>
        </is>
      </c>
      <c r="O1041" s="11" t="inlineStr">
        <is>
          <t>-</t>
        </is>
      </c>
      <c r="P1041" s="11" t="inlineStr">
        <is>
          <t>-</t>
        </is>
      </c>
      <c r="Q1041" s="12" t="inlineStr">
        <is>
          <t>-</t>
        </is>
      </c>
    </row>
    <row r="1042" ht="36" customHeight="1" s="155">
      <c r="B1042" s="46" t="inlineStr">
        <is>
          <t>pasta sfoglia</t>
        </is>
      </c>
      <c r="C1042" s="49">
        <f>_xlfn.XLOOKUP(A1043,Magazzino!$D$1:$D$1500,Magazzino!$F$1:$F$1500,"",0,1)</f>
        <v/>
      </c>
      <c r="D1042" s="50">
        <f>_xlfn.XLOOKUP(A1044,Magazzino!$D$1:$D$1500,Magazzino!$F$1:$F$1500,"",0,1)</f>
        <v/>
      </c>
      <c r="E1042" s="50">
        <f>_xlfn.XLOOKUP(A1045,Magazzino!$D$1:$D$1500,Magazzino!$F$1:$F$1500,"",0,1)</f>
        <v/>
      </c>
      <c r="F1042" s="50">
        <f>_xlfn.XLOOKUP(A1046,Magazzino!$D$1:$D$1500,Magazzino!$F$1:$F$1500,"",0,1)</f>
        <v/>
      </c>
      <c r="G1042" s="50">
        <f>_xlfn.XLOOKUP(A1047,Magazzino!$D$1:$D$1500,Magazzino!$F$1:$F$1500,"",0,1)</f>
        <v/>
      </c>
      <c r="H1042" s="50">
        <f>_xlfn.XLOOKUP(A1048,Magazzino!$D$1:$D$1500,Magazzino!$F$1:$F$1500,"",0,1)</f>
        <v/>
      </c>
      <c r="I1042" s="50">
        <f>_xlfn.XLOOKUP(A1049,Magazzino!$D$1:$D$1500,Magazzino!$F$1:$F$1500,"",0,1)</f>
        <v/>
      </c>
      <c r="J1042" s="50">
        <f>_xlfn.XLOOKUP(A1050,Magazzino!$D$1:$D$1500,Magazzino!$F$1:$F$1500,"",0,1)</f>
        <v/>
      </c>
      <c r="K1042" s="50">
        <f>_xlfn.XLOOKUP(A1051,Magazzino!$D$1:$D$1500,Magazzino!$F$1:$F$1500,"",0,1)</f>
        <v/>
      </c>
      <c r="L1042" s="50">
        <f>_xlfn.XLOOKUP(A1052,Magazzino!$D$1:$D$1500,Magazzino!$F$1:$F$1500,"",0,1)</f>
        <v/>
      </c>
      <c r="M1042" s="50">
        <f>_xlfn.XLOOKUP(A1053,Magazzino!$D$1:$D$1500,Magazzino!$F$1:$F$1500,"",0,1)</f>
        <v/>
      </c>
      <c r="N1042" s="50">
        <f>_xlfn.XLOOKUP(A1054,Magazzino!$D$1:$D$1500,Magazzino!$F$1:$F$1500,"",0,1)</f>
        <v/>
      </c>
      <c r="O1042" s="50">
        <f>_xlfn.XLOOKUP(A1055,Magazzino!$D$1:$D$1500,Magazzino!$F$1:$F$1500,"",0,1)</f>
        <v/>
      </c>
      <c r="P1042" s="50">
        <f>_xlfn.XLOOKUP(A1056,Magazzino!$D$1:$D$1500,Magazzino!$F$1:$F$1500,"",0,1)</f>
        <v/>
      </c>
      <c r="Q1042" s="51">
        <f>_xlfn.XLOOKUP(A1057,Magazzino!$D$1:$D$1500,Magazzino!$F$1:$F$1500,"",0,1)</f>
        <v/>
      </c>
    </row>
    <row r="1043">
      <c r="A1043" s="47" t="inlineStr">
        <is>
          <t xml:space="preserve">FARINA 0/MAN. CAPUTO DA KG.25  </t>
        </is>
      </c>
      <c r="B1043" s="16" t="inlineStr">
        <is>
          <t>-</t>
        </is>
      </c>
      <c r="C1043" s="11" t="inlineStr">
        <is>
          <t>-</t>
        </is>
      </c>
      <c r="D1043" s="11" t="inlineStr">
        <is>
          <t>-</t>
        </is>
      </c>
      <c r="E1043" s="11" t="inlineStr">
        <is>
          <t>-</t>
        </is>
      </c>
      <c r="F1043" s="11" t="inlineStr">
        <is>
          <t>-</t>
        </is>
      </c>
      <c r="G1043" s="11" t="inlineStr">
        <is>
          <t>-</t>
        </is>
      </c>
      <c r="H1043" s="11" t="inlineStr">
        <is>
          <t>-</t>
        </is>
      </c>
      <c r="I1043" s="11" t="inlineStr">
        <is>
          <t>-</t>
        </is>
      </c>
      <c r="J1043" s="11" t="inlineStr">
        <is>
          <t>-</t>
        </is>
      </c>
      <c r="K1043" s="11" t="inlineStr">
        <is>
          <t>-</t>
        </is>
      </c>
      <c r="L1043" s="11" t="inlineStr">
        <is>
          <t>-</t>
        </is>
      </c>
      <c r="M1043" s="11" t="inlineStr">
        <is>
          <t>-</t>
        </is>
      </c>
      <c r="N1043" s="11" t="inlineStr">
        <is>
          <t>-</t>
        </is>
      </c>
      <c r="O1043" s="11" t="inlineStr">
        <is>
          <t>-</t>
        </is>
      </c>
      <c r="P1043" s="11" t="inlineStr">
        <is>
          <t>-</t>
        </is>
      </c>
      <c r="Q1043" s="12" t="inlineStr">
        <is>
          <t>-</t>
        </is>
      </c>
    </row>
    <row r="1044">
      <c r="A1044" s="48" t="inlineStr">
        <is>
          <t xml:space="preserve">SALE SACCHI SALTECHNO KG.25  </t>
        </is>
      </c>
      <c r="B1044" s="13" t="inlineStr">
        <is>
          <t>-</t>
        </is>
      </c>
      <c r="C1044" s="14" t="inlineStr">
        <is>
          <t>-</t>
        </is>
      </c>
      <c r="D1044" s="14" t="inlineStr">
        <is>
          <t>-</t>
        </is>
      </c>
      <c r="E1044" s="14" t="inlineStr">
        <is>
          <t>-</t>
        </is>
      </c>
      <c r="F1044" s="14" t="inlineStr">
        <is>
          <t>-</t>
        </is>
      </c>
      <c r="G1044" s="14" t="inlineStr">
        <is>
          <t>-</t>
        </is>
      </c>
      <c r="H1044" s="14" t="inlineStr">
        <is>
          <t>-</t>
        </is>
      </c>
      <c r="I1044" s="14" t="inlineStr">
        <is>
          <t>-</t>
        </is>
      </c>
      <c r="J1044" s="14" t="inlineStr">
        <is>
          <t>-</t>
        </is>
      </c>
      <c r="K1044" s="14" t="inlineStr">
        <is>
          <t>-</t>
        </is>
      </c>
      <c r="L1044" s="14" t="inlineStr">
        <is>
          <t>-</t>
        </is>
      </c>
      <c r="M1044" s="14" t="inlineStr">
        <is>
          <t>-</t>
        </is>
      </c>
      <c r="N1044" s="14" t="inlineStr">
        <is>
          <t>-</t>
        </is>
      </c>
      <c r="O1044" s="14" t="inlineStr">
        <is>
          <t>-</t>
        </is>
      </c>
      <c r="P1044" s="14" t="inlineStr">
        <is>
          <t>-</t>
        </is>
      </c>
      <c r="Q1044" s="15" t="inlineStr">
        <is>
          <t>-</t>
        </is>
      </c>
    </row>
    <row r="1045">
      <c r="A1045" s="47" t="inlineStr">
        <is>
          <t>margarina crema</t>
        </is>
      </c>
      <c r="B1045" s="16" t="inlineStr">
        <is>
          <t>-</t>
        </is>
      </c>
      <c r="C1045" s="11" t="inlineStr">
        <is>
          <t>-</t>
        </is>
      </c>
      <c r="D1045" s="11" t="inlineStr">
        <is>
          <t>-</t>
        </is>
      </c>
      <c r="E1045" s="11" t="inlineStr">
        <is>
          <t>-</t>
        </is>
      </c>
      <c r="F1045" s="11" t="inlineStr">
        <is>
          <t>-</t>
        </is>
      </c>
      <c r="G1045" s="11" t="inlineStr">
        <is>
          <t>-</t>
        </is>
      </c>
      <c r="H1045" s="11" t="inlineStr">
        <is>
          <t>-</t>
        </is>
      </c>
      <c r="I1045" s="11" t="inlineStr">
        <is>
          <t>-</t>
        </is>
      </c>
      <c r="J1045" s="11" t="inlineStr">
        <is>
          <t>-</t>
        </is>
      </c>
      <c r="K1045" s="11" t="inlineStr">
        <is>
          <t>-</t>
        </is>
      </c>
      <c r="L1045" s="11" t="inlineStr">
        <is>
          <t>-</t>
        </is>
      </c>
      <c r="M1045" s="11" t="inlineStr">
        <is>
          <t>-</t>
        </is>
      </c>
      <c r="N1045" s="11" t="inlineStr">
        <is>
          <t>-</t>
        </is>
      </c>
      <c r="O1045" s="11" t="inlineStr">
        <is>
          <t>-</t>
        </is>
      </c>
      <c r="P1045" s="11" t="inlineStr">
        <is>
          <t>-</t>
        </is>
      </c>
      <c r="Q1045" s="12" t="inlineStr">
        <is>
          <t>-</t>
        </is>
      </c>
    </row>
    <row r="1046">
      <c r="A1046" s="47" t="n"/>
      <c r="B1046" s="13" t="inlineStr">
        <is>
          <t>-</t>
        </is>
      </c>
      <c r="C1046" s="14" t="inlineStr">
        <is>
          <t>-</t>
        </is>
      </c>
      <c r="D1046" s="14" t="inlineStr">
        <is>
          <t>-</t>
        </is>
      </c>
      <c r="E1046" s="14" t="inlineStr">
        <is>
          <t>-</t>
        </is>
      </c>
      <c r="F1046" s="14" t="inlineStr">
        <is>
          <t>-</t>
        </is>
      </c>
      <c r="G1046" s="14" t="inlineStr">
        <is>
          <t>-</t>
        </is>
      </c>
      <c r="H1046" s="14" t="inlineStr">
        <is>
          <t>-</t>
        </is>
      </c>
      <c r="I1046" s="14" t="inlineStr">
        <is>
          <t>-</t>
        </is>
      </c>
      <c r="J1046" s="14" t="inlineStr">
        <is>
          <t>-</t>
        </is>
      </c>
      <c r="K1046" s="14" t="inlineStr">
        <is>
          <t>-</t>
        </is>
      </c>
      <c r="L1046" s="14" t="inlineStr">
        <is>
          <t>-</t>
        </is>
      </c>
      <c r="M1046" s="14" t="inlineStr">
        <is>
          <t>-</t>
        </is>
      </c>
      <c r="N1046" s="14" t="inlineStr">
        <is>
          <t>-</t>
        </is>
      </c>
      <c r="O1046" s="14" t="inlineStr">
        <is>
          <t>-</t>
        </is>
      </c>
      <c r="P1046" s="14" t="inlineStr">
        <is>
          <t>-</t>
        </is>
      </c>
      <c r="Q1046" s="15" t="inlineStr">
        <is>
          <t>-</t>
        </is>
      </c>
    </row>
    <row r="1047">
      <c r="A1047" s="47" t="n"/>
      <c r="B1047" s="16" t="inlineStr">
        <is>
          <t>-</t>
        </is>
      </c>
      <c r="C1047" s="11" t="inlineStr">
        <is>
          <t>-</t>
        </is>
      </c>
      <c r="D1047" s="11" t="inlineStr">
        <is>
          <t>-</t>
        </is>
      </c>
      <c r="E1047" s="11" t="inlineStr">
        <is>
          <t>-</t>
        </is>
      </c>
      <c r="F1047" s="11" t="inlineStr">
        <is>
          <t>-</t>
        </is>
      </c>
      <c r="G1047" s="11" t="inlineStr">
        <is>
          <t>-</t>
        </is>
      </c>
      <c r="H1047" s="11" t="inlineStr">
        <is>
          <t>-</t>
        </is>
      </c>
      <c r="I1047" s="11" t="inlineStr">
        <is>
          <t>-</t>
        </is>
      </c>
      <c r="J1047" s="11" t="inlineStr">
        <is>
          <t>-</t>
        </is>
      </c>
      <c r="K1047" s="11" t="inlineStr">
        <is>
          <t>-</t>
        </is>
      </c>
      <c r="L1047" s="11" t="inlineStr">
        <is>
          <t>-</t>
        </is>
      </c>
      <c r="M1047" s="11" t="inlineStr">
        <is>
          <t>-</t>
        </is>
      </c>
      <c r="N1047" s="11" t="inlineStr">
        <is>
          <t>-</t>
        </is>
      </c>
      <c r="O1047" s="11" t="inlineStr">
        <is>
          <t>-</t>
        </is>
      </c>
      <c r="P1047" s="11" t="inlineStr">
        <is>
          <t>-</t>
        </is>
      </c>
      <c r="Q1047" s="12" t="inlineStr">
        <is>
          <t>-</t>
        </is>
      </c>
    </row>
    <row r="1048">
      <c r="A1048" s="47" t="n"/>
      <c r="B1048" s="13" t="inlineStr">
        <is>
          <t>-</t>
        </is>
      </c>
      <c r="C1048" s="14" t="inlineStr">
        <is>
          <t>-</t>
        </is>
      </c>
      <c r="D1048" s="14" t="inlineStr">
        <is>
          <t>-</t>
        </is>
      </c>
      <c r="E1048" s="14" t="inlineStr">
        <is>
          <t>-</t>
        </is>
      </c>
      <c r="F1048" s="14" t="inlineStr">
        <is>
          <t>-</t>
        </is>
      </c>
      <c r="G1048" s="14" t="inlineStr">
        <is>
          <t>-</t>
        </is>
      </c>
      <c r="H1048" s="14" t="inlineStr">
        <is>
          <t>-</t>
        </is>
      </c>
      <c r="I1048" s="14" t="inlineStr">
        <is>
          <t>-</t>
        </is>
      </c>
      <c r="J1048" s="14" t="inlineStr">
        <is>
          <t>-</t>
        </is>
      </c>
      <c r="K1048" s="14" t="inlineStr">
        <is>
          <t>-</t>
        </is>
      </c>
      <c r="L1048" s="14" t="inlineStr">
        <is>
          <t>-</t>
        </is>
      </c>
      <c r="M1048" s="14" t="inlineStr">
        <is>
          <t>-</t>
        </is>
      </c>
      <c r="N1048" s="14" t="inlineStr">
        <is>
          <t>-</t>
        </is>
      </c>
      <c r="O1048" s="14" t="inlineStr">
        <is>
          <t>-</t>
        </is>
      </c>
      <c r="P1048" s="14" t="inlineStr">
        <is>
          <t>-</t>
        </is>
      </c>
      <c r="Q1048" s="15" t="inlineStr">
        <is>
          <t>-</t>
        </is>
      </c>
    </row>
    <row r="1049">
      <c r="A1049" s="47" t="n"/>
      <c r="B1049" s="16" t="inlineStr">
        <is>
          <t>-</t>
        </is>
      </c>
      <c r="C1049" s="11" t="inlineStr">
        <is>
          <t>-</t>
        </is>
      </c>
      <c r="D1049" s="11" t="inlineStr">
        <is>
          <t>-</t>
        </is>
      </c>
      <c r="E1049" s="11" t="inlineStr">
        <is>
          <t>-</t>
        </is>
      </c>
      <c r="F1049" s="11" t="inlineStr">
        <is>
          <t>-</t>
        </is>
      </c>
      <c r="G1049" s="11" t="inlineStr">
        <is>
          <t>-</t>
        </is>
      </c>
      <c r="H1049" s="11" t="inlineStr">
        <is>
          <t>-</t>
        </is>
      </c>
      <c r="I1049" s="11" t="inlineStr">
        <is>
          <t>-</t>
        </is>
      </c>
      <c r="J1049" s="11" t="inlineStr">
        <is>
          <t>-</t>
        </is>
      </c>
      <c r="K1049" s="11" t="inlineStr">
        <is>
          <t>-</t>
        </is>
      </c>
      <c r="L1049" s="11" t="inlineStr">
        <is>
          <t>-</t>
        </is>
      </c>
      <c r="M1049" s="11" t="inlineStr">
        <is>
          <t>-</t>
        </is>
      </c>
      <c r="N1049" s="11" t="inlineStr">
        <is>
          <t>-</t>
        </is>
      </c>
      <c r="O1049" s="11" t="inlineStr">
        <is>
          <t>-</t>
        </is>
      </c>
      <c r="P1049" s="11" t="inlineStr">
        <is>
          <t>-</t>
        </is>
      </c>
      <c r="Q1049" s="12" t="inlineStr">
        <is>
          <t>-</t>
        </is>
      </c>
    </row>
    <row r="1050">
      <c r="A1050" s="47" t="n"/>
      <c r="B1050" s="13" t="inlineStr">
        <is>
          <t>-</t>
        </is>
      </c>
      <c r="C1050" s="14" t="inlineStr">
        <is>
          <t>-</t>
        </is>
      </c>
      <c r="D1050" s="14" t="inlineStr">
        <is>
          <t>-</t>
        </is>
      </c>
      <c r="E1050" s="14" t="inlineStr">
        <is>
          <t>-</t>
        </is>
      </c>
      <c r="F1050" s="14" t="inlineStr">
        <is>
          <t>-</t>
        </is>
      </c>
      <c r="G1050" s="14" t="inlineStr">
        <is>
          <t>-</t>
        </is>
      </c>
      <c r="H1050" s="14" t="inlineStr">
        <is>
          <t>-</t>
        </is>
      </c>
      <c r="I1050" s="14" t="inlineStr">
        <is>
          <t>-</t>
        </is>
      </c>
      <c r="J1050" s="14" t="inlineStr">
        <is>
          <t>-</t>
        </is>
      </c>
      <c r="K1050" s="14" t="inlineStr">
        <is>
          <t>-</t>
        </is>
      </c>
      <c r="L1050" s="14" t="inlineStr">
        <is>
          <t>-</t>
        </is>
      </c>
      <c r="M1050" s="14" t="inlineStr">
        <is>
          <t>-</t>
        </is>
      </c>
      <c r="N1050" s="14" t="inlineStr">
        <is>
          <t>-</t>
        </is>
      </c>
      <c r="O1050" s="14" t="inlineStr">
        <is>
          <t>-</t>
        </is>
      </c>
      <c r="P1050" s="14" t="inlineStr">
        <is>
          <t>-</t>
        </is>
      </c>
      <c r="Q1050" s="15" t="inlineStr">
        <is>
          <t>-</t>
        </is>
      </c>
    </row>
    <row r="1051">
      <c r="A1051" s="47" t="n"/>
      <c r="B1051" s="16" t="inlineStr">
        <is>
          <t>-</t>
        </is>
      </c>
      <c r="C1051" s="11" t="inlineStr">
        <is>
          <t>-</t>
        </is>
      </c>
      <c r="D1051" s="11" t="inlineStr">
        <is>
          <t>-</t>
        </is>
      </c>
      <c r="E1051" s="11" t="inlineStr">
        <is>
          <t>-</t>
        </is>
      </c>
      <c r="F1051" s="11" t="inlineStr">
        <is>
          <t>-</t>
        </is>
      </c>
      <c r="G1051" s="11" t="inlineStr">
        <is>
          <t>-</t>
        </is>
      </c>
      <c r="H1051" s="11" t="inlineStr">
        <is>
          <t>-</t>
        </is>
      </c>
      <c r="I1051" s="11" t="inlineStr">
        <is>
          <t>-</t>
        </is>
      </c>
      <c r="J1051" s="11" t="inlineStr">
        <is>
          <t>-</t>
        </is>
      </c>
      <c r="K1051" s="11" t="inlineStr">
        <is>
          <t>-</t>
        </is>
      </c>
      <c r="L1051" s="11" t="inlineStr">
        <is>
          <t>-</t>
        </is>
      </c>
      <c r="M1051" s="11" t="inlineStr">
        <is>
          <t>-</t>
        </is>
      </c>
      <c r="N1051" s="11" t="inlineStr">
        <is>
          <t>-</t>
        </is>
      </c>
      <c r="O1051" s="11" t="inlineStr">
        <is>
          <t>-</t>
        </is>
      </c>
      <c r="P1051" s="11" t="inlineStr">
        <is>
          <t>-</t>
        </is>
      </c>
      <c r="Q1051" s="12" t="inlineStr">
        <is>
          <t>-</t>
        </is>
      </c>
    </row>
    <row r="1052">
      <c r="A1052" s="47" t="n"/>
      <c r="B1052" s="13" t="inlineStr">
        <is>
          <t>-</t>
        </is>
      </c>
      <c r="C1052" s="14" t="inlineStr">
        <is>
          <t>-</t>
        </is>
      </c>
      <c r="D1052" s="14" t="inlineStr">
        <is>
          <t>-</t>
        </is>
      </c>
      <c r="E1052" s="14" t="inlineStr">
        <is>
          <t>-</t>
        </is>
      </c>
      <c r="F1052" s="14" t="inlineStr">
        <is>
          <t>-</t>
        </is>
      </c>
      <c r="G1052" s="14" t="inlineStr">
        <is>
          <t>-</t>
        </is>
      </c>
      <c r="H1052" s="14" t="inlineStr">
        <is>
          <t>-</t>
        </is>
      </c>
      <c r="I1052" s="14" t="inlineStr">
        <is>
          <t>-</t>
        </is>
      </c>
      <c r="J1052" s="14" t="inlineStr">
        <is>
          <t>-</t>
        </is>
      </c>
      <c r="K1052" s="14" t="inlineStr">
        <is>
          <t>-</t>
        </is>
      </c>
      <c r="L1052" s="14" t="inlineStr">
        <is>
          <t>-</t>
        </is>
      </c>
      <c r="M1052" s="14" t="inlineStr">
        <is>
          <t>-</t>
        </is>
      </c>
      <c r="N1052" s="14" t="inlineStr">
        <is>
          <t>-</t>
        </is>
      </c>
      <c r="O1052" s="14" t="inlineStr">
        <is>
          <t>-</t>
        </is>
      </c>
      <c r="P1052" s="14" t="inlineStr">
        <is>
          <t>-</t>
        </is>
      </c>
      <c r="Q1052" s="15" t="inlineStr">
        <is>
          <t>-</t>
        </is>
      </c>
    </row>
    <row r="1053">
      <c r="A1053" s="47" t="n"/>
      <c r="B1053" s="16" t="inlineStr">
        <is>
          <t>-</t>
        </is>
      </c>
      <c r="C1053" s="11" t="inlineStr">
        <is>
          <t>-</t>
        </is>
      </c>
      <c r="D1053" s="11" t="inlineStr">
        <is>
          <t>-</t>
        </is>
      </c>
      <c r="E1053" s="11" t="inlineStr">
        <is>
          <t>-</t>
        </is>
      </c>
      <c r="F1053" s="11" t="inlineStr">
        <is>
          <t>-</t>
        </is>
      </c>
      <c r="G1053" s="11" t="inlineStr">
        <is>
          <t>-</t>
        </is>
      </c>
      <c r="H1053" s="11" t="inlineStr">
        <is>
          <t>-</t>
        </is>
      </c>
      <c r="I1053" s="11" t="inlineStr">
        <is>
          <t>-</t>
        </is>
      </c>
      <c r="J1053" s="11" t="inlineStr">
        <is>
          <t>-</t>
        </is>
      </c>
      <c r="K1053" s="11" t="inlineStr">
        <is>
          <t>-</t>
        </is>
      </c>
      <c r="L1053" s="11" t="inlineStr">
        <is>
          <t>-</t>
        </is>
      </c>
      <c r="M1053" s="11" t="inlineStr">
        <is>
          <t>-</t>
        </is>
      </c>
      <c r="N1053" s="11" t="inlineStr">
        <is>
          <t>-</t>
        </is>
      </c>
      <c r="O1053" s="11" t="inlineStr">
        <is>
          <t>-</t>
        </is>
      </c>
      <c r="P1053" s="11" t="inlineStr">
        <is>
          <t>-</t>
        </is>
      </c>
      <c r="Q1053" s="12" t="inlineStr">
        <is>
          <t>-</t>
        </is>
      </c>
    </row>
    <row r="1054">
      <c r="A1054" s="47" t="n"/>
      <c r="B1054" s="13" t="inlineStr">
        <is>
          <t>-</t>
        </is>
      </c>
      <c r="C1054" s="14" t="inlineStr">
        <is>
          <t>-</t>
        </is>
      </c>
      <c r="D1054" s="14" t="inlineStr">
        <is>
          <t>-</t>
        </is>
      </c>
      <c r="E1054" s="14" t="inlineStr">
        <is>
          <t>-</t>
        </is>
      </c>
      <c r="F1054" s="14" t="inlineStr">
        <is>
          <t>-</t>
        </is>
      </c>
      <c r="G1054" s="14" t="inlineStr">
        <is>
          <t>-</t>
        </is>
      </c>
      <c r="H1054" s="14" t="inlineStr">
        <is>
          <t>-</t>
        </is>
      </c>
      <c r="I1054" s="14" t="inlineStr">
        <is>
          <t>-</t>
        </is>
      </c>
      <c r="J1054" s="14" t="inlineStr">
        <is>
          <t>-</t>
        </is>
      </c>
      <c r="K1054" s="14" t="inlineStr">
        <is>
          <t>-</t>
        </is>
      </c>
      <c r="L1054" s="14" t="inlineStr">
        <is>
          <t>-</t>
        </is>
      </c>
      <c r="M1054" s="14" t="inlineStr">
        <is>
          <t>-</t>
        </is>
      </c>
      <c r="N1054" s="14" t="inlineStr">
        <is>
          <t>-</t>
        </is>
      </c>
      <c r="O1054" s="14" t="inlineStr">
        <is>
          <t>-</t>
        </is>
      </c>
      <c r="P1054" s="14" t="inlineStr">
        <is>
          <t>-</t>
        </is>
      </c>
      <c r="Q1054" s="15" t="inlineStr">
        <is>
          <t>-</t>
        </is>
      </c>
    </row>
    <row r="1055">
      <c r="A1055" s="47" t="n"/>
      <c r="B1055" s="16" t="inlineStr">
        <is>
          <t>-</t>
        </is>
      </c>
      <c r="C1055" s="11" t="inlineStr">
        <is>
          <t>-</t>
        </is>
      </c>
      <c r="D1055" s="11" t="inlineStr">
        <is>
          <t>-</t>
        </is>
      </c>
      <c r="E1055" s="11" t="inlineStr">
        <is>
          <t>-</t>
        </is>
      </c>
      <c r="F1055" s="11" t="inlineStr">
        <is>
          <t>-</t>
        </is>
      </c>
      <c r="G1055" s="11" t="inlineStr">
        <is>
          <t>-</t>
        </is>
      </c>
      <c r="H1055" s="11" t="inlineStr">
        <is>
          <t>-</t>
        </is>
      </c>
      <c r="I1055" s="11" t="inlineStr">
        <is>
          <t>-</t>
        </is>
      </c>
      <c r="J1055" s="11" t="inlineStr">
        <is>
          <t>-</t>
        </is>
      </c>
      <c r="K1055" s="11" t="inlineStr">
        <is>
          <t>-</t>
        </is>
      </c>
      <c r="L1055" s="11" t="inlineStr">
        <is>
          <t>-</t>
        </is>
      </c>
      <c r="M1055" s="11" t="inlineStr">
        <is>
          <t>-</t>
        </is>
      </c>
      <c r="N1055" s="11" t="inlineStr">
        <is>
          <t>-</t>
        </is>
      </c>
      <c r="O1055" s="11" t="inlineStr">
        <is>
          <t>-</t>
        </is>
      </c>
      <c r="P1055" s="11" t="inlineStr">
        <is>
          <t>-</t>
        </is>
      </c>
      <c r="Q1055" s="12" t="inlineStr">
        <is>
          <t>-</t>
        </is>
      </c>
    </row>
    <row r="1056">
      <c r="A1056" s="47" t="n"/>
      <c r="B1056" s="13" t="inlineStr">
        <is>
          <t>-</t>
        </is>
      </c>
      <c r="C1056" s="14" t="inlineStr">
        <is>
          <t>-</t>
        </is>
      </c>
      <c r="D1056" s="14" t="inlineStr">
        <is>
          <t>-</t>
        </is>
      </c>
      <c r="E1056" s="14" t="inlineStr">
        <is>
          <t>-</t>
        </is>
      </c>
      <c r="F1056" s="14" t="inlineStr">
        <is>
          <t>-</t>
        </is>
      </c>
      <c r="G1056" s="14" t="inlineStr">
        <is>
          <t>-</t>
        </is>
      </c>
      <c r="H1056" s="14" t="inlineStr">
        <is>
          <t>-</t>
        </is>
      </c>
      <c r="I1056" s="14" t="inlineStr">
        <is>
          <t>-</t>
        </is>
      </c>
      <c r="J1056" s="14" t="inlineStr">
        <is>
          <t>-</t>
        </is>
      </c>
      <c r="K1056" s="14" t="inlineStr">
        <is>
          <t>-</t>
        </is>
      </c>
      <c r="L1056" s="14" t="inlineStr">
        <is>
          <t>-</t>
        </is>
      </c>
      <c r="M1056" s="14" t="inlineStr">
        <is>
          <t>-</t>
        </is>
      </c>
      <c r="N1056" s="14" t="inlineStr">
        <is>
          <t>-</t>
        </is>
      </c>
      <c r="O1056" s="14" t="inlineStr">
        <is>
          <t>-</t>
        </is>
      </c>
      <c r="P1056" s="14" t="inlineStr">
        <is>
          <t>-</t>
        </is>
      </c>
      <c r="Q1056" s="15" t="inlineStr">
        <is>
          <t>-</t>
        </is>
      </c>
    </row>
    <row r="1057">
      <c r="A1057" s="47" t="n"/>
      <c r="B1057" s="16" t="inlineStr">
        <is>
          <t>-</t>
        </is>
      </c>
      <c r="C1057" s="11" t="inlineStr">
        <is>
          <t>-</t>
        </is>
      </c>
      <c r="D1057" s="11" t="inlineStr">
        <is>
          <t>-</t>
        </is>
      </c>
      <c r="E1057" s="11" t="inlineStr">
        <is>
          <t>-</t>
        </is>
      </c>
      <c r="F1057" s="11" t="inlineStr">
        <is>
          <t>-</t>
        </is>
      </c>
      <c r="G1057" s="11" t="inlineStr">
        <is>
          <t>-</t>
        </is>
      </c>
      <c r="H1057" s="11" t="inlineStr">
        <is>
          <t>-</t>
        </is>
      </c>
      <c r="I1057" s="11" t="inlineStr">
        <is>
          <t>-</t>
        </is>
      </c>
      <c r="J1057" s="11" t="inlineStr">
        <is>
          <t>-</t>
        </is>
      </c>
      <c r="K1057" s="11" t="inlineStr">
        <is>
          <t>-</t>
        </is>
      </c>
      <c r="L1057" s="11" t="inlineStr">
        <is>
          <t>-</t>
        </is>
      </c>
      <c r="M1057" s="11" t="inlineStr">
        <is>
          <t>-</t>
        </is>
      </c>
      <c r="N1057" s="11" t="inlineStr">
        <is>
          <t>-</t>
        </is>
      </c>
      <c r="O1057" s="11" t="inlineStr">
        <is>
          <t>-</t>
        </is>
      </c>
      <c r="P1057" s="11" t="inlineStr">
        <is>
          <t>-</t>
        </is>
      </c>
      <c r="Q1057" s="12" t="inlineStr">
        <is>
          <t>-</t>
        </is>
      </c>
    </row>
    <row r="1058" ht="36" customHeight="1" s="155">
      <c r="B1058" s="46" t="inlineStr">
        <is>
          <t>pasticcino crema</t>
        </is>
      </c>
      <c r="C1058" s="49">
        <f>_xlfn.XLOOKUP(A1059,Magazzino!$D$1:$D$1500,Magazzino!$F$1:$F$1500,"",0,1)</f>
        <v/>
      </c>
      <c r="D1058" s="50">
        <f>_xlfn.XLOOKUP(A1060,Magazzino!$D$1:$D$1500,Magazzino!$F$1:$F$1500,"",0,1)</f>
        <v/>
      </c>
      <c r="E1058" s="50">
        <f>_xlfn.XLOOKUP(A1061,Magazzino!$D$1:$D$1500,Magazzino!$F$1:$F$1500,"",0,1)</f>
        <v/>
      </c>
      <c r="F1058" s="50">
        <f>_xlfn.XLOOKUP(A1062,Magazzino!$D$1:$D$1500,Magazzino!$F$1:$F$1500,"",0,1)</f>
        <v/>
      </c>
      <c r="G1058" s="50">
        <f>_xlfn.XLOOKUP(A1063,Magazzino!$D$1:$D$1500,Magazzino!$F$1:$F$1500,"",0,1)</f>
        <v/>
      </c>
      <c r="H1058" s="50">
        <f>_xlfn.XLOOKUP(A1064,Magazzino!$D$1:$D$1500,Magazzino!$F$1:$F$1500,"",0,1)</f>
        <v/>
      </c>
      <c r="I1058" s="50">
        <f>_xlfn.XLOOKUP(A1065,Magazzino!$D$1:$D$1500,Magazzino!$F$1:$F$1500,"",0,1)</f>
        <v/>
      </c>
      <c r="J1058" s="50">
        <f>_xlfn.XLOOKUP(A1066,Magazzino!$D$1:$D$1500,Magazzino!$F$1:$F$1500,"",0,1)</f>
        <v/>
      </c>
      <c r="K1058" s="50">
        <f>_xlfn.XLOOKUP(A1067,Magazzino!$D$1:$D$1500,Magazzino!$F$1:$F$1500,"",0,1)</f>
        <v/>
      </c>
      <c r="L1058" s="50">
        <f>_xlfn.XLOOKUP(A1068,Magazzino!$D$1:$D$1500,Magazzino!$F$1:$F$1500,"",0,1)</f>
        <v/>
      </c>
      <c r="M1058" s="50">
        <f>_xlfn.XLOOKUP(A1069,Magazzino!$D$1:$D$1500,Magazzino!$F$1:$F$1500,"",0,1)</f>
        <v/>
      </c>
      <c r="N1058" s="50">
        <f>_xlfn.XLOOKUP(A1070,Magazzino!$D$1:$D$1500,Magazzino!$F$1:$F$1500,"",0,1)</f>
        <v/>
      </c>
      <c r="O1058" s="50">
        <f>_xlfn.XLOOKUP(A1071,Magazzino!$D$1:$D$1500,Magazzino!$F$1:$F$1500,"",0,1)</f>
        <v/>
      </c>
      <c r="P1058" s="50">
        <f>_xlfn.XLOOKUP(A1072,Magazzino!$D$1:$D$1500,Magazzino!$F$1:$F$1500,"",0,1)</f>
        <v/>
      </c>
      <c r="Q1058" s="51">
        <f>_xlfn.XLOOKUP(A1073,Magazzino!$D$1:$D$1500,Magazzino!$F$1:$F$1500,"",0,1)</f>
        <v/>
      </c>
    </row>
    <row r="1059">
      <c r="A1059" s="47" t="inlineStr">
        <is>
          <t xml:space="preserve">FARINA 0/MAN. CAPUTO DA KG.25  </t>
        </is>
      </c>
      <c r="B1059" s="16" t="inlineStr">
        <is>
          <t>-</t>
        </is>
      </c>
      <c r="C1059" s="11" t="inlineStr">
        <is>
          <t>-</t>
        </is>
      </c>
      <c r="D1059" s="11" t="inlineStr">
        <is>
          <t>-</t>
        </is>
      </c>
      <c r="E1059" s="11" t="inlineStr">
        <is>
          <t>-</t>
        </is>
      </c>
      <c r="F1059" s="11" t="inlineStr">
        <is>
          <t>-</t>
        </is>
      </c>
      <c r="G1059" s="11" t="inlineStr">
        <is>
          <t>-</t>
        </is>
      </c>
      <c r="H1059" s="11" t="inlineStr">
        <is>
          <t>-</t>
        </is>
      </c>
      <c r="I1059" s="11" t="inlineStr">
        <is>
          <t>-</t>
        </is>
      </c>
      <c r="J1059" s="11" t="inlineStr">
        <is>
          <t>-</t>
        </is>
      </c>
      <c r="K1059" s="11" t="inlineStr">
        <is>
          <t>-</t>
        </is>
      </c>
      <c r="L1059" s="11" t="inlineStr">
        <is>
          <t>-</t>
        </is>
      </c>
      <c r="M1059" s="11" t="inlineStr">
        <is>
          <t>-</t>
        </is>
      </c>
      <c r="N1059" s="11" t="inlineStr">
        <is>
          <t>-</t>
        </is>
      </c>
      <c r="O1059" s="11" t="inlineStr">
        <is>
          <t>-</t>
        </is>
      </c>
      <c r="P1059" s="11" t="inlineStr">
        <is>
          <t>-</t>
        </is>
      </c>
      <c r="Q1059" s="12" t="inlineStr">
        <is>
          <t>-</t>
        </is>
      </c>
    </row>
    <row r="1060">
      <c r="A1060" s="47" t="inlineStr">
        <is>
          <t xml:space="preserve">STRUTTO RAFFINATO I B VERDE  </t>
        </is>
      </c>
      <c r="B1060" s="13" t="inlineStr">
        <is>
          <t>-</t>
        </is>
      </c>
      <c r="C1060" s="14" t="inlineStr">
        <is>
          <t>-</t>
        </is>
      </c>
      <c r="D1060" s="14" t="inlineStr">
        <is>
          <t>-</t>
        </is>
      </c>
      <c r="E1060" s="14" t="inlineStr">
        <is>
          <t>-</t>
        </is>
      </c>
      <c r="F1060" s="14" t="inlineStr">
        <is>
          <t>-</t>
        </is>
      </c>
      <c r="G1060" s="14" t="inlineStr">
        <is>
          <t>-</t>
        </is>
      </c>
      <c r="H1060" s="14" t="inlineStr">
        <is>
          <t>-</t>
        </is>
      </c>
      <c r="I1060" s="14" t="inlineStr">
        <is>
          <t>-</t>
        </is>
      </c>
      <c r="J1060" s="14" t="inlineStr">
        <is>
          <t>-</t>
        </is>
      </c>
      <c r="K1060" s="14" t="inlineStr">
        <is>
          <t>-</t>
        </is>
      </c>
      <c r="L1060" s="14" t="inlineStr">
        <is>
          <t>-</t>
        </is>
      </c>
      <c r="M1060" s="14" t="inlineStr">
        <is>
          <t>-</t>
        </is>
      </c>
      <c r="N1060" s="14" t="inlineStr">
        <is>
          <t>-</t>
        </is>
      </c>
      <c r="O1060" s="14" t="inlineStr">
        <is>
          <t>-</t>
        </is>
      </c>
      <c r="P1060" s="14" t="inlineStr">
        <is>
          <t>-</t>
        </is>
      </c>
      <c r="Q1060" s="15" t="inlineStr">
        <is>
          <t>-</t>
        </is>
      </c>
    </row>
    <row r="1061">
      <c r="A1061" s="47" t="inlineStr">
        <is>
          <t>zucchero semolato</t>
        </is>
      </c>
      <c r="B1061" s="16" t="inlineStr">
        <is>
          <t>-</t>
        </is>
      </c>
      <c r="C1061" s="11" t="inlineStr">
        <is>
          <t>-</t>
        </is>
      </c>
      <c r="D1061" s="11" t="inlineStr">
        <is>
          <t>-</t>
        </is>
      </c>
      <c r="E1061" s="11" t="inlineStr">
        <is>
          <t>-</t>
        </is>
      </c>
      <c r="F1061" s="11" t="inlineStr">
        <is>
          <t>-</t>
        </is>
      </c>
      <c r="G1061" s="11" t="inlineStr">
        <is>
          <t>-</t>
        </is>
      </c>
      <c r="H1061" s="11" t="inlineStr">
        <is>
          <t>-</t>
        </is>
      </c>
      <c r="I1061" s="11" t="inlineStr">
        <is>
          <t>-</t>
        </is>
      </c>
      <c r="J1061" s="11" t="inlineStr">
        <is>
          <t>-</t>
        </is>
      </c>
      <c r="K1061" s="11" t="inlineStr">
        <is>
          <t>-</t>
        </is>
      </c>
      <c r="L1061" s="11" t="inlineStr">
        <is>
          <t>-</t>
        </is>
      </c>
      <c r="M1061" s="11" t="inlineStr">
        <is>
          <t>-</t>
        </is>
      </c>
      <c r="N1061" s="11" t="inlineStr">
        <is>
          <t>-</t>
        </is>
      </c>
      <c r="O1061" s="11" t="inlineStr">
        <is>
          <t>-</t>
        </is>
      </c>
      <c r="P1061" s="11" t="inlineStr">
        <is>
          <t>-</t>
        </is>
      </c>
      <c r="Q1061" s="12" t="inlineStr">
        <is>
          <t>-</t>
        </is>
      </c>
    </row>
    <row r="1062">
      <c r="A1062" s="48" t="inlineStr">
        <is>
          <t xml:space="preserve">SALE SACCHI SALTECHNO KG.25  </t>
        </is>
      </c>
      <c r="B1062" s="13" t="inlineStr">
        <is>
          <t>-</t>
        </is>
      </c>
      <c r="C1062" s="14" t="inlineStr">
        <is>
          <t>-</t>
        </is>
      </c>
      <c r="D1062" s="14" t="inlineStr">
        <is>
          <t>-</t>
        </is>
      </c>
      <c r="E1062" s="14" t="inlineStr">
        <is>
          <t>-</t>
        </is>
      </c>
      <c r="F1062" s="14" t="inlineStr">
        <is>
          <t>-</t>
        </is>
      </c>
      <c r="G1062" s="14" t="inlineStr">
        <is>
          <t>-</t>
        </is>
      </c>
      <c r="H1062" s="14" t="inlineStr">
        <is>
          <t>-</t>
        </is>
      </c>
      <c r="I1062" s="14" t="inlineStr">
        <is>
          <t>-</t>
        </is>
      </c>
      <c r="J1062" s="14" t="inlineStr">
        <is>
          <t>-</t>
        </is>
      </c>
      <c r="K1062" s="14" t="inlineStr">
        <is>
          <t>-</t>
        </is>
      </c>
      <c r="L1062" s="14" t="inlineStr">
        <is>
          <t>-</t>
        </is>
      </c>
      <c r="M1062" s="14" t="inlineStr">
        <is>
          <t>-</t>
        </is>
      </c>
      <c r="N1062" s="14" t="inlineStr">
        <is>
          <t>-</t>
        </is>
      </c>
      <c r="O1062" s="14" t="inlineStr">
        <is>
          <t>-</t>
        </is>
      </c>
      <c r="P1062" s="14" t="inlineStr">
        <is>
          <t>-</t>
        </is>
      </c>
      <c r="Q1062" s="15" t="inlineStr">
        <is>
          <t>-</t>
        </is>
      </c>
    </row>
    <row r="1063">
      <c r="A1063" s="47" t="inlineStr">
        <is>
          <t>latte   1500 int.uht  yma</t>
        </is>
      </c>
      <c r="B1063" s="16" t="inlineStr">
        <is>
          <t>-</t>
        </is>
      </c>
      <c r="C1063" s="11" t="inlineStr">
        <is>
          <t>-</t>
        </is>
      </c>
      <c r="D1063" s="11" t="inlineStr">
        <is>
          <t>-</t>
        </is>
      </c>
      <c r="E1063" s="11" t="inlineStr">
        <is>
          <t>-</t>
        </is>
      </c>
      <c r="F1063" s="11" t="inlineStr">
        <is>
          <t>-</t>
        </is>
      </c>
      <c r="G1063" s="11" t="inlineStr">
        <is>
          <t>-</t>
        </is>
      </c>
      <c r="H1063" s="11" t="inlineStr">
        <is>
          <t>-</t>
        </is>
      </c>
      <c r="I1063" s="11" t="inlineStr">
        <is>
          <t>-</t>
        </is>
      </c>
      <c r="J1063" s="11" t="inlineStr">
        <is>
          <t>-</t>
        </is>
      </c>
      <c r="K1063" s="11" t="inlineStr">
        <is>
          <t>-</t>
        </is>
      </c>
      <c r="L1063" s="11" t="inlineStr">
        <is>
          <t>-</t>
        </is>
      </c>
      <c r="M1063" s="11" t="inlineStr">
        <is>
          <t>-</t>
        </is>
      </c>
      <c r="N1063" s="11" t="inlineStr">
        <is>
          <t>-</t>
        </is>
      </c>
      <c r="O1063" s="11" t="inlineStr">
        <is>
          <t>-</t>
        </is>
      </c>
      <c r="P1063" s="11" t="inlineStr">
        <is>
          <t>-</t>
        </is>
      </c>
      <c r="Q1063" s="12" t="inlineStr">
        <is>
          <t>-</t>
        </is>
      </c>
    </row>
    <row r="1064">
      <c r="A1064" s="47" t="inlineStr">
        <is>
          <t>amido</t>
        </is>
      </c>
      <c r="B1064" s="13" t="inlineStr">
        <is>
          <t>-</t>
        </is>
      </c>
      <c r="C1064" s="14" t="inlineStr">
        <is>
          <t>-</t>
        </is>
      </c>
      <c r="D1064" s="14" t="inlineStr">
        <is>
          <t>-</t>
        </is>
      </c>
      <c r="E1064" s="14" t="inlineStr">
        <is>
          <t>-</t>
        </is>
      </c>
      <c r="F1064" s="14" t="inlineStr">
        <is>
          <t>-</t>
        </is>
      </c>
      <c r="G1064" s="14" t="inlineStr">
        <is>
          <t>-</t>
        </is>
      </c>
      <c r="H1064" s="14" t="inlineStr">
        <is>
          <t>-</t>
        </is>
      </c>
      <c r="I1064" s="14" t="inlineStr">
        <is>
          <t>-</t>
        </is>
      </c>
      <c r="J1064" s="14" t="inlineStr">
        <is>
          <t>-</t>
        </is>
      </c>
      <c r="K1064" s="14" t="inlineStr">
        <is>
          <t>-</t>
        </is>
      </c>
      <c r="L1064" s="14" t="inlineStr">
        <is>
          <t>-</t>
        </is>
      </c>
      <c r="M1064" s="14" t="inlineStr">
        <is>
          <t>-</t>
        </is>
      </c>
      <c r="N1064" s="14" t="inlineStr">
        <is>
          <t>-</t>
        </is>
      </c>
      <c r="O1064" s="14" t="inlineStr">
        <is>
          <t>-</t>
        </is>
      </c>
      <c r="P1064" s="14" t="inlineStr">
        <is>
          <t>-</t>
        </is>
      </c>
      <c r="Q1064" s="15" t="inlineStr">
        <is>
          <t>-</t>
        </is>
      </c>
    </row>
    <row r="1065">
      <c r="A1065" s="47" t="inlineStr">
        <is>
          <t>tuorlo d'uovo pastorizzato</t>
        </is>
      </c>
      <c r="B1065" s="16" t="inlineStr">
        <is>
          <t>-</t>
        </is>
      </c>
      <c r="C1065" s="11" t="inlineStr">
        <is>
          <t>-</t>
        </is>
      </c>
      <c r="D1065" s="11" t="inlineStr">
        <is>
          <t>-</t>
        </is>
      </c>
      <c r="E1065" s="11" t="inlineStr">
        <is>
          <t>-</t>
        </is>
      </c>
      <c r="F1065" s="11" t="inlineStr">
        <is>
          <t>-</t>
        </is>
      </c>
      <c r="G1065" s="11" t="inlineStr">
        <is>
          <t>-</t>
        </is>
      </c>
      <c r="H1065" s="11" t="inlineStr">
        <is>
          <t>-</t>
        </is>
      </c>
      <c r="I1065" s="11" t="inlineStr">
        <is>
          <t>-</t>
        </is>
      </c>
      <c r="J1065" s="11" t="inlineStr">
        <is>
          <t>-</t>
        </is>
      </c>
      <c r="K1065" s="11" t="inlineStr">
        <is>
          <t>-</t>
        </is>
      </c>
      <c r="L1065" s="11" t="inlineStr">
        <is>
          <t>-</t>
        </is>
      </c>
      <c r="M1065" s="11" t="inlineStr">
        <is>
          <t>-</t>
        </is>
      </c>
      <c r="N1065" s="11" t="inlineStr">
        <is>
          <t>-</t>
        </is>
      </c>
      <c r="O1065" s="11" t="inlineStr">
        <is>
          <t>-</t>
        </is>
      </c>
      <c r="P1065" s="11" t="inlineStr">
        <is>
          <t>-</t>
        </is>
      </c>
      <c r="Q1065" s="12" t="inlineStr">
        <is>
          <t>-</t>
        </is>
      </c>
    </row>
    <row r="1066">
      <c r="A1066" s="47" t="n"/>
      <c r="B1066" s="13" t="inlineStr">
        <is>
          <t>-</t>
        </is>
      </c>
      <c r="C1066" s="14" t="inlineStr">
        <is>
          <t>-</t>
        </is>
      </c>
      <c r="D1066" s="14" t="inlineStr">
        <is>
          <t>-</t>
        </is>
      </c>
      <c r="E1066" s="14" t="inlineStr">
        <is>
          <t>-</t>
        </is>
      </c>
      <c r="F1066" s="14" t="inlineStr">
        <is>
          <t>-</t>
        </is>
      </c>
      <c r="G1066" s="14" t="inlineStr">
        <is>
          <t>-</t>
        </is>
      </c>
      <c r="H1066" s="14" t="inlineStr">
        <is>
          <t>-</t>
        </is>
      </c>
      <c r="I1066" s="14" t="inlineStr">
        <is>
          <t>-</t>
        </is>
      </c>
      <c r="J1066" s="14" t="inlineStr">
        <is>
          <t>-</t>
        </is>
      </c>
      <c r="K1066" s="14" t="inlineStr">
        <is>
          <t>-</t>
        </is>
      </c>
      <c r="L1066" s="14" t="inlineStr">
        <is>
          <t>-</t>
        </is>
      </c>
      <c r="M1066" s="14" t="inlineStr">
        <is>
          <t>-</t>
        </is>
      </c>
      <c r="N1066" s="14" t="inlineStr">
        <is>
          <t>-</t>
        </is>
      </c>
      <c r="O1066" s="14" t="inlineStr">
        <is>
          <t>-</t>
        </is>
      </c>
      <c r="P1066" s="14" t="inlineStr">
        <is>
          <t>-</t>
        </is>
      </c>
      <c r="Q1066" s="15" t="inlineStr">
        <is>
          <t>-</t>
        </is>
      </c>
    </row>
    <row r="1067">
      <c r="A1067" s="47" t="n"/>
      <c r="B1067" s="16" t="inlineStr">
        <is>
          <t>-</t>
        </is>
      </c>
      <c r="C1067" s="11" t="inlineStr">
        <is>
          <t>-</t>
        </is>
      </c>
      <c r="D1067" s="11" t="inlineStr">
        <is>
          <t>-</t>
        </is>
      </c>
      <c r="E1067" s="11" t="inlineStr">
        <is>
          <t>-</t>
        </is>
      </c>
      <c r="F1067" s="11" t="inlineStr">
        <is>
          <t>-</t>
        </is>
      </c>
      <c r="G1067" s="11" t="inlineStr">
        <is>
          <t>-</t>
        </is>
      </c>
      <c r="H1067" s="11" t="inlineStr">
        <is>
          <t>-</t>
        </is>
      </c>
      <c r="I1067" s="11" t="inlineStr">
        <is>
          <t>-</t>
        </is>
      </c>
      <c r="J1067" s="11" t="inlineStr">
        <is>
          <t>-</t>
        </is>
      </c>
      <c r="K1067" s="11" t="inlineStr">
        <is>
          <t>-</t>
        </is>
      </c>
      <c r="L1067" s="11" t="inlineStr">
        <is>
          <t>-</t>
        </is>
      </c>
      <c r="M1067" s="11" t="inlineStr">
        <is>
          <t>-</t>
        </is>
      </c>
      <c r="N1067" s="11" t="inlineStr">
        <is>
          <t>-</t>
        </is>
      </c>
      <c r="O1067" s="11" t="inlineStr">
        <is>
          <t>-</t>
        </is>
      </c>
      <c r="P1067" s="11" t="inlineStr">
        <is>
          <t>-</t>
        </is>
      </c>
      <c r="Q1067" s="12" t="inlineStr">
        <is>
          <t>-</t>
        </is>
      </c>
    </row>
    <row r="1068">
      <c r="A1068" s="47" t="n"/>
      <c r="B1068" s="13" t="inlineStr">
        <is>
          <t>-</t>
        </is>
      </c>
      <c r="C1068" s="14" t="inlineStr">
        <is>
          <t>-</t>
        </is>
      </c>
      <c r="D1068" s="14" t="inlineStr">
        <is>
          <t>-</t>
        </is>
      </c>
      <c r="E1068" s="14" t="inlineStr">
        <is>
          <t>-</t>
        </is>
      </c>
      <c r="F1068" s="14" t="inlineStr">
        <is>
          <t>-</t>
        </is>
      </c>
      <c r="G1068" s="14" t="inlineStr">
        <is>
          <t>-</t>
        </is>
      </c>
      <c r="H1068" s="14" t="inlineStr">
        <is>
          <t>-</t>
        </is>
      </c>
      <c r="I1068" s="14" t="inlineStr">
        <is>
          <t>-</t>
        </is>
      </c>
      <c r="J1068" s="14" t="inlineStr">
        <is>
          <t>-</t>
        </is>
      </c>
      <c r="K1068" s="14" t="inlineStr">
        <is>
          <t>-</t>
        </is>
      </c>
      <c r="L1068" s="14" t="inlineStr">
        <is>
          <t>-</t>
        </is>
      </c>
      <c r="M1068" s="14" t="inlineStr">
        <is>
          <t>-</t>
        </is>
      </c>
      <c r="N1068" s="14" t="inlineStr">
        <is>
          <t>-</t>
        </is>
      </c>
      <c r="O1068" s="14" t="inlineStr">
        <is>
          <t>-</t>
        </is>
      </c>
      <c r="P1068" s="14" t="inlineStr">
        <is>
          <t>-</t>
        </is>
      </c>
      <c r="Q1068" s="15" t="inlineStr">
        <is>
          <t>-</t>
        </is>
      </c>
    </row>
    <row r="1069">
      <c r="A1069" s="47" t="n"/>
      <c r="B1069" s="16" t="inlineStr">
        <is>
          <t>-</t>
        </is>
      </c>
      <c r="C1069" s="11" t="inlineStr">
        <is>
          <t>-</t>
        </is>
      </c>
      <c r="D1069" s="11" t="inlineStr">
        <is>
          <t>-</t>
        </is>
      </c>
      <c r="E1069" s="11" t="inlineStr">
        <is>
          <t>-</t>
        </is>
      </c>
      <c r="F1069" s="11" t="inlineStr">
        <is>
          <t>-</t>
        </is>
      </c>
      <c r="G1069" s="11" t="inlineStr">
        <is>
          <t>-</t>
        </is>
      </c>
      <c r="H1069" s="11" t="inlineStr">
        <is>
          <t>-</t>
        </is>
      </c>
      <c r="I1069" s="11" t="inlineStr">
        <is>
          <t>-</t>
        </is>
      </c>
      <c r="J1069" s="11" t="inlineStr">
        <is>
          <t>-</t>
        </is>
      </c>
      <c r="K1069" s="11" t="inlineStr">
        <is>
          <t>-</t>
        </is>
      </c>
      <c r="L1069" s="11" t="inlineStr">
        <is>
          <t>-</t>
        </is>
      </c>
      <c r="M1069" s="11" t="inlineStr">
        <is>
          <t>-</t>
        </is>
      </c>
      <c r="N1069" s="11" t="inlineStr">
        <is>
          <t>-</t>
        </is>
      </c>
      <c r="O1069" s="11" t="inlineStr">
        <is>
          <t>-</t>
        </is>
      </c>
      <c r="P1069" s="11" t="inlineStr">
        <is>
          <t>-</t>
        </is>
      </c>
      <c r="Q1069" s="12" t="inlineStr">
        <is>
          <t>-</t>
        </is>
      </c>
    </row>
    <row r="1070">
      <c r="A1070" s="47" t="n"/>
      <c r="B1070" s="13" t="inlineStr">
        <is>
          <t>-</t>
        </is>
      </c>
      <c r="C1070" s="14" t="inlineStr">
        <is>
          <t>-</t>
        </is>
      </c>
      <c r="D1070" s="14" t="inlineStr">
        <is>
          <t>-</t>
        </is>
      </c>
      <c r="E1070" s="14" t="inlineStr">
        <is>
          <t>-</t>
        </is>
      </c>
      <c r="F1070" s="14" t="inlineStr">
        <is>
          <t>-</t>
        </is>
      </c>
      <c r="G1070" s="14" t="inlineStr">
        <is>
          <t>-</t>
        </is>
      </c>
      <c r="H1070" s="14" t="inlineStr">
        <is>
          <t>-</t>
        </is>
      </c>
      <c r="I1070" s="14" t="inlineStr">
        <is>
          <t>-</t>
        </is>
      </c>
      <c r="J1070" s="14" t="inlineStr">
        <is>
          <t>-</t>
        </is>
      </c>
      <c r="K1070" s="14" t="inlineStr">
        <is>
          <t>-</t>
        </is>
      </c>
      <c r="L1070" s="14" t="inlineStr">
        <is>
          <t>-</t>
        </is>
      </c>
      <c r="M1070" s="14" t="inlineStr">
        <is>
          <t>-</t>
        </is>
      </c>
      <c r="N1070" s="14" t="inlineStr">
        <is>
          <t>-</t>
        </is>
      </c>
      <c r="O1070" s="14" t="inlineStr">
        <is>
          <t>-</t>
        </is>
      </c>
      <c r="P1070" s="14" t="inlineStr">
        <is>
          <t>-</t>
        </is>
      </c>
      <c r="Q1070" s="15" t="inlineStr">
        <is>
          <t>-</t>
        </is>
      </c>
    </row>
    <row r="1071">
      <c r="A1071" s="47" t="n"/>
      <c r="B1071" s="16" t="inlineStr">
        <is>
          <t>-</t>
        </is>
      </c>
      <c r="C1071" s="11" t="inlineStr">
        <is>
          <t>-</t>
        </is>
      </c>
      <c r="D1071" s="11" t="inlineStr">
        <is>
          <t>-</t>
        </is>
      </c>
      <c r="E1071" s="11" t="inlineStr">
        <is>
          <t>-</t>
        </is>
      </c>
      <c r="F1071" s="11" t="inlineStr">
        <is>
          <t>-</t>
        </is>
      </c>
      <c r="G1071" s="11" t="inlineStr">
        <is>
          <t>-</t>
        </is>
      </c>
      <c r="H1071" s="11" t="inlineStr">
        <is>
          <t>-</t>
        </is>
      </c>
      <c r="I1071" s="11" t="inlineStr">
        <is>
          <t>-</t>
        </is>
      </c>
      <c r="J1071" s="11" t="inlineStr">
        <is>
          <t>-</t>
        </is>
      </c>
      <c r="K1071" s="11" t="inlineStr">
        <is>
          <t>-</t>
        </is>
      </c>
      <c r="L1071" s="11" t="inlineStr">
        <is>
          <t>-</t>
        </is>
      </c>
      <c r="M1071" s="11" t="inlineStr">
        <is>
          <t>-</t>
        </is>
      </c>
      <c r="N1071" s="11" t="inlineStr">
        <is>
          <t>-</t>
        </is>
      </c>
      <c r="O1071" s="11" t="inlineStr">
        <is>
          <t>-</t>
        </is>
      </c>
      <c r="P1071" s="11" t="inlineStr">
        <is>
          <t>-</t>
        </is>
      </c>
      <c r="Q1071" s="12" t="inlineStr">
        <is>
          <t>-</t>
        </is>
      </c>
    </row>
    <row r="1072">
      <c r="A1072" s="47" t="n"/>
      <c r="B1072" s="13" t="inlineStr">
        <is>
          <t>-</t>
        </is>
      </c>
      <c r="C1072" s="14" t="inlineStr">
        <is>
          <t>-</t>
        </is>
      </c>
      <c r="D1072" s="14" t="inlineStr">
        <is>
          <t>-</t>
        </is>
      </c>
      <c r="E1072" s="14" t="inlineStr">
        <is>
          <t>-</t>
        </is>
      </c>
      <c r="F1072" s="14" t="inlineStr">
        <is>
          <t>-</t>
        </is>
      </c>
      <c r="G1072" s="14" t="inlineStr">
        <is>
          <t>-</t>
        </is>
      </c>
      <c r="H1072" s="14" t="inlineStr">
        <is>
          <t>-</t>
        </is>
      </c>
      <c r="I1072" s="14" t="inlineStr">
        <is>
          <t>-</t>
        </is>
      </c>
      <c r="J1072" s="14" t="inlineStr">
        <is>
          <t>-</t>
        </is>
      </c>
      <c r="K1072" s="14" t="inlineStr">
        <is>
          <t>-</t>
        </is>
      </c>
      <c r="L1072" s="14" t="inlineStr">
        <is>
          <t>-</t>
        </is>
      </c>
      <c r="M1072" s="14" t="inlineStr">
        <is>
          <t>-</t>
        </is>
      </c>
      <c r="N1072" s="14" t="inlineStr">
        <is>
          <t>-</t>
        </is>
      </c>
      <c r="O1072" s="14" t="inlineStr">
        <is>
          <t>-</t>
        </is>
      </c>
      <c r="P1072" s="14" t="inlineStr">
        <is>
          <t>-</t>
        </is>
      </c>
      <c r="Q1072" s="15" t="inlineStr">
        <is>
          <t>-</t>
        </is>
      </c>
    </row>
    <row r="1073">
      <c r="A1073" s="47" t="n"/>
      <c r="B1073" s="16" t="inlineStr">
        <is>
          <t>-</t>
        </is>
      </c>
      <c r="C1073" s="11" t="inlineStr">
        <is>
          <t>-</t>
        </is>
      </c>
      <c r="D1073" s="11" t="inlineStr">
        <is>
          <t>-</t>
        </is>
      </c>
      <c r="E1073" s="11" t="inlineStr">
        <is>
          <t>-</t>
        </is>
      </c>
      <c r="F1073" s="11" t="inlineStr">
        <is>
          <t>-</t>
        </is>
      </c>
      <c r="G1073" s="11" t="inlineStr">
        <is>
          <t>-</t>
        </is>
      </c>
      <c r="H1073" s="11" t="inlineStr">
        <is>
          <t>-</t>
        </is>
      </c>
      <c r="I1073" s="11" t="inlineStr">
        <is>
          <t>-</t>
        </is>
      </c>
      <c r="J1073" s="11" t="inlineStr">
        <is>
          <t>-</t>
        </is>
      </c>
      <c r="K1073" s="11" t="inlineStr">
        <is>
          <t>-</t>
        </is>
      </c>
      <c r="L1073" s="11" t="inlineStr">
        <is>
          <t>-</t>
        </is>
      </c>
      <c r="M1073" s="11" t="inlineStr">
        <is>
          <t>-</t>
        </is>
      </c>
      <c r="N1073" s="11" t="inlineStr">
        <is>
          <t>-</t>
        </is>
      </c>
      <c r="O1073" s="11" t="inlineStr">
        <is>
          <t>-</t>
        </is>
      </c>
      <c r="P1073" s="11" t="inlineStr">
        <is>
          <t>-</t>
        </is>
      </c>
      <c r="Q1073" s="12" t="inlineStr">
        <is>
          <t>-</t>
        </is>
      </c>
    </row>
    <row r="1074" ht="36" customHeight="1" s="155">
      <c r="B1074" s="46" t="inlineStr">
        <is>
          <t>pasticcino limone</t>
        </is>
      </c>
      <c r="C1074" s="49">
        <f>_xlfn.XLOOKUP(A1075,Magazzino!$D$1:$D$1500,Magazzino!$F$1:$F$1500,"",0,1)</f>
        <v/>
      </c>
      <c r="D1074" s="50">
        <f>_xlfn.XLOOKUP(A1076,Magazzino!$D$1:$D$1500,Magazzino!$F$1:$F$1500,"",0,1)</f>
        <v/>
      </c>
      <c r="E1074" s="50">
        <f>_xlfn.XLOOKUP(A1077,Magazzino!$D$1:$D$1500,Magazzino!$F$1:$F$1500,"",0,1)</f>
        <v/>
      </c>
      <c r="F1074" s="50">
        <f>_xlfn.XLOOKUP(A1078,Magazzino!$D$1:$D$1500,Magazzino!$F$1:$F$1500,"",0,1)</f>
        <v/>
      </c>
      <c r="G1074" s="50">
        <f>_xlfn.XLOOKUP(A1079,Magazzino!$D$1:$D$1500,Magazzino!$F$1:$F$1500,"",0,1)</f>
        <v/>
      </c>
      <c r="H1074" s="50">
        <f>_xlfn.XLOOKUP(A1080,Magazzino!$D$1:$D$1500,Magazzino!$F$1:$F$1500,"",0,1)</f>
        <v/>
      </c>
      <c r="I1074" s="50">
        <f>_xlfn.XLOOKUP(A1081,Magazzino!$D$1:$D$1500,Magazzino!$F$1:$F$1500,"",0,1)</f>
        <v/>
      </c>
      <c r="J1074" s="50">
        <f>_xlfn.XLOOKUP(A1082,Magazzino!$D$1:$D$1500,Magazzino!$F$1:$F$1500,"",0,1)</f>
        <v/>
      </c>
      <c r="K1074" s="50">
        <f>_xlfn.XLOOKUP(A1083,Magazzino!$D$1:$D$1500,Magazzino!$F$1:$F$1500,"",0,1)</f>
        <v/>
      </c>
      <c r="L1074" s="50">
        <f>_xlfn.XLOOKUP(A1084,Magazzino!$D$1:$D$1500,Magazzino!$F$1:$F$1500,"",0,1)</f>
        <v/>
      </c>
      <c r="M1074" s="50">
        <f>_xlfn.XLOOKUP(A1085,Magazzino!$D$1:$D$1500,Magazzino!$F$1:$F$1500,"",0,1)</f>
        <v/>
      </c>
      <c r="N1074" s="50">
        <f>_xlfn.XLOOKUP(A1086,Magazzino!$D$1:$D$1500,Magazzino!$F$1:$F$1500,"",0,1)</f>
        <v/>
      </c>
      <c r="O1074" s="50">
        <f>_xlfn.XLOOKUP(A1087,Magazzino!$D$1:$D$1500,Magazzino!$F$1:$F$1500,"",0,1)</f>
        <v/>
      </c>
      <c r="P1074" s="50">
        <f>_xlfn.XLOOKUP(A1088,Magazzino!$D$1:$D$1500,Magazzino!$F$1:$F$1500,"",0,1)</f>
        <v/>
      </c>
      <c r="Q1074" s="51">
        <f>_xlfn.XLOOKUP(A1089,Magazzino!$D$1:$D$1500,Magazzino!$F$1:$F$1500,"",0,1)</f>
        <v/>
      </c>
    </row>
    <row r="1075">
      <c r="A1075" s="47" t="inlineStr">
        <is>
          <t xml:space="preserve">FARINA 0/MAN. CAPUTO DA KG.25  </t>
        </is>
      </c>
      <c r="B1075" s="16" t="inlineStr">
        <is>
          <t>-</t>
        </is>
      </c>
      <c r="C1075" s="11" t="inlineStr">
        <is>
          <t>-</t>
        </is>
      </c>
      <c r="D1075" s="11" t="inlineStr">
        <is>
          <t>-</t>
        </is>
      </c>
      <c r="E1075" s="11" t="inlineStr">
        <is>
          <t>-</t>
        </is>
      </c>
      <c r="F1075" s="11" t="inlineStr">
        <is>
          <t>-</t>
        </is>
      </c>
      <c r="G1075" s="11" t="inlineStr">
        <is>
          <t>-</t>
        </is>
      </c>
      <c r="H1075" s="11" t="inlineStr">
        <is>
          <t>-</t>
        </is>
      </c>
      <c r="I1075" s="11" t="inlineStr">
        <is>
          <t>-</t>
        </is>
      </c>
      <c r="J1075" s="11" t="inlineStr">
        <is>
          <t>-</t>
        </is>
      </c>
      <c r="K1075" s="11" t="inlineStr">
        <is>
          <t>-</t>
        </is>
      </c>
      <c r="L1075" s="11" t="inlineStr">
        <is>
          <t>-</t>
        </is>
      </c>
      <c r="M1075" s="11" t="inlineStr">
        <is>
          <t>-</t>
        </is>
      </c>
      <c r="N1075" s="11" t="inlineStr">
        <is>
          <t>-</t>
        </is>
      </c>
      <c r="O1075" s="11" t="inlineStr">
        <is>
          <t>-</t>
        </is>
      </c>
      <c r="P1075" s="11" t="inlineStr">
        <is>
          <t>-</t>
        </is>
      </c>
      <c r="Q1075" s="12" t="inlineStr">
        <is>
          <t>-</t>
        </is>
      </c>
    </row>
    <row r="1076">
      <c r="A1076" s="47" t="inlineStr">
        <is>
          <t xml:space="preserve">STRUTTO RAFFINATO I B VERDE  </t>
        </is>
      </c>
      <c r="B1076" s="13" t="inlineStr">
        <is>
          <t>-</t>
        </is>
      </c>
      <c r="C1076" s="14" t="inlineStr">
        <is>
          <t>-</t>
        </is>
      </c>
      <c r="D1076" s="14" t="inlineStr">
        <is>
          <t>-</t>
        </is>
      </c>
      <c r="E1076" s="14" t="inlineStr">
        <is>
          <t>-</t>
        </is>
      </c>
      <c r="F1076" s="14" t="inlineStr">
        <is>
          <t>-</t>
        </is>
      </c>
      <c r="G1076" s="14" t="inlineStr">
        <is>
          <t>-</t>
        </is>
      </c>
      <c r="H1076" s="14" t="inlineStr">
        <is>
          <t>-</t>
        </is>
      </c>
      <c r="I1076" s="14" t="inlineStr">
        <is>
          <t>-</t>
        </is>
      </c>
      <c r="J1076" s="14" t="inlineStr">
        <is>
          <t>-</t>
        </is>
      </c>
      <c r="K1076" s="14" t="inlineStr">
        <is>
          <t>-</t>
        </is>
      </c>
      <c r="L1076" s="14" t="inlineStr">
        <is>
          <t>-</t>
        </is>
      </c>
      <c r="M1076" s="14" t="inlineStr">
        <is>
          <t>-</t>
        </is>
      </c>
      <c r="N1076" s="14" t="inlineStr">
        <is>
          <t>-</t>
        </is>
      </c>
      <c r="O1076" s="14" t="inlineStr">
        <is>
          <t>-</t>
        </is>
      </c>
      <c r="P1076" s="14" t="inlineStr">
        <is>
          <t>-</t>
        </is>
      </c>
      <c r="Q1076" s="15" t="inlineStr">
        <is>
          <t>-</t>
        </is>
      </c>
    </row>
    <row r="1077">
      <c r="A1077" s="47" t="inlineStr">
        <is>
          <t>zucchero semolato</t>
        </is>
      </c>
      <c r="B1077" s="16" t="inlineStr">
        <is>
          <t>-</t>
        </is>
      </c>
      <c r="C1077" s="11" t="inlineStr">
        <is>
          <t>-</t>
        </is>
      </c>
      <c r="D1077" s="11" t="inlineStr">
        <is>
          <t>-</t>
        </is>
      </c>
      <c r="E1077" s="11" t="inlineStr">
        <is>
          <t>-</t>
        </is>
      </c>
      <c r="F1077" s="11" t="inlineStr">
        <is>
          <t>-</t>
        </is>
      </c>
      <c r="G1077" s="11" t="inlineStr">
        <is>
          <t>-</t>
        </is>
      </c>
      <c r="H1077" s="11" t="inlineStr">
        <is>
          <t>-</t>
        </is>
      </c>
      <c r="I1077" s="11" t="inlineStr">
        <is>
          <t>-</t>
        </is>
      </c>
      <c r="J1077" s="11" t="inlineStr">
        <is>
          <t>-</t>
        </is>
      </c>
      <c r="K1077" s="11" t="inlineStr">
        <is>
          <t>-</t>
        </is>
      </c>
      <c r="L1077" s="11" t="inlineStr">
        <is>
          <t>-</t>
        </is>
      </c>
      <c r="M1077" s="11" t="inlineStr">
        <is>
          <t>-</t>
        </is>
      </c>
      <c r="N1077" s="11" t="inlineStr">
        <is>
          <t>-</t>
        </is>
      </c>
      <c r="O1077" s="11" t="inlineStr">
        <is>
          <t>-</t>
        </is>
      </c>
      <c r="P1077" s="11" t="inlineStr">
        <is>
          <t>-</t>
        </is>
      </c>
      <c r="Q1077" s="12" t="inlineStr">
        <is>
          <t>-</t>
        </is>
      </c>
    </row>
    <row r="1078">
      <c r="A1078" s="48" t="inlineStr">
        <is>
          <t xml:space="preserve">SALE SACCHI SALTECHNO KG.25  </t>
        </is>
      </c>
      <c r="B1078" s="13" t="inlineStr">
        <is>
          <t>-</t>
        </is>
      </c>
      <c r="C1078" s="14" t="inlineStr">
        <is>
          <t>-</t>
        </is>
      </c>
      <c r="D1078" s="14" t="inlineStr">
        <is>
          <t>-</t>
        </is>
      </c>
      <c r="E1078" s="14" t="inlineStr">
        <is>
          <t>-</t>
        </is>
      </c>
      <c r="F1078" s="14" t="inlineStr">
        <is>
          <t>-</t>
        </is>
      </c>
      <c r="G1078" s="14" t="inlineStr">
        <is>
          <t>-</t>
        </is>
      </c>
      <c r="H1078" s="14" t="inlineStr">
        <is>
          <t>-</t>
        </is>
      </c>
      <c r="I1078" s="14" t="inlineStr">
        <is>
          <t>-</t>
        </is>
      </c>
      <c r="J1078" s="14" t="inlineStr">
        <is>
          <t>-</t>
        </is>
      </c>
      <c r="K1078" s="14" t="inlineStr">
        <is>
          <t>-</t>
        </is>
      </c>
      <c r="L1078" s="14" t="inlineStr">
        <is>
          <t>-</t>
        </is>
      </c>
      <c r="M1078" s="14" t="inlineStr">
        <is>
          <t>-</t>
        </is>
      </c>
      <c r="N1078" s="14" t="inlineStr">
        <is>
          <t>-</t>
        </is>
      </c>
      <c r="O1078" s="14" t="inlineStr">
        <is>
          <t>-</t>
        </is>
      </c>
      <c r="P1078" s="14" t="inlineStr">
        <is>
          <t>-</t>
        </is>
      </c>
      <c r="Q1078" s="15" t="inlineStr">
        <is>
          <t>-</t>
        </is>
      </c>
    </row>
    <row r="1079">
      <c r="A1079" s="47" t="inlineStr">
        <is>
          <t>limoni</t>
        </is>
      </c>
      <c r="B1079" s="16" t="inlineStr">
        <is>
          <t>-</t>
        </is>
      </c>
      <c r="C1079" s="11" t="inlineStr">
        <is>
          <t>-</t>
        </is>
      </c>
      <c r="D1079" s="11" t="inlineStr">
        <is>
          <t>-</t>
        </is>
      </c>
      <c r="E1079" s="11" t="inlineStr">
        <is>
          <t>-</t>
        </is>
      </c>
      <c r="F1079" s="11" t="inlineStr">
        <is>
          <t>-</t>
        </is>
      </c>
      <c r="G1079" s="11" t="inlineStr">
        <is>
          <t>-</t>
        </is>
      </c>
      <c r="H1079" s="11" t="inlineStr">
        <is>
          <t>-</t>
        </is>
      </c>
      <c r="I1079" s="11" t="inlineStr">
        <is>
          <t>-</t>
        </is>
      </c>
      <c r="J1079" s="11" t="inlineStr">
        <is>
          <t>-</t>
        </is>
      </c>
      <c r="K1079" s="11" t="inlineStr">
        <is>
          <t>-</t>
        </is>
      </c>
      <c r="L1079" s="11" t="inlineStr">
        <is>
          <t>-</t>
        </is>
      </c>
      <c r="M1079" s="11" t="inlineStr">
        <is>
          <t>-</t>
        </is>
      </c>
      <c r="N1079" s="11" t="inlineStr">
        <is>
          <t>-</t>
        </is>
      </c>
      <c r="O1079" s="11" t="inlineStr">
        <is>
          <t>-</t>
        </is>
      </c>
      <c r="P1079" s="11" t="inlineStr">
        <is>
          <t>-</t>
        </is>
      </c>
      <c r="Q1079" s="12" t="inlineStr">
        <is>
          <t>-</t>
        </is>
      </c>
    </row>
    <row r="1080">
      <c r="A1080" s="47" t="n"/>
      <c r="B1080" s="13" t="inlineStr">
        <is>
          <t>-</t>
        </is>
      </c>
      <c r="C1080" s="14" t="inlineStr">
        <is>
          <t>-</t>
        </is>
      </c>
      <c r="D1080" s="14" t="inlineStr">
        <is>
          <t>-</t>
        </is>
      </c>
      <c r="E1080" s="14" t="inlineStr">
        <is>
          <t>-</t>
        </is>
      </c>
      <c r="F1080" s="14" t="inlineStr">
        <is>
          <t>-</t>
        </is>
      </c>
      <c r="G1080" s="14" t="inlineStr">
        <is>
          <t>-</t>
        </is>
      </c>
      <c r="H1080" s="14" t="inlineStr">
        <is>
          <t>-</t>
        </is>
      </c>
      <c r="I1080" s="14" t="inlineStr">
        <is>
          <t>-</t>
        </is>
      </c>
      <c r="J1080" s="14" t="inlineStr">
        <is>
          <t>-</t>
        </is>
      </c>
      <c r="K1080" s="14" t="inlineStr">
        <is>
          <t>-</t>
        </is>
      </c>
      <c r="L1080" s="14" t="inlineStr">
        <is>
          <t>-</t>
        </is>
      </c>
      <c r="M1080" s="14" t="inlineStr">
        <is>
          <t>-</t>
        </is>
      </c>
      <c r="N1080" s="14" t="inlineStr">
        <is>
          <t>-</t>
        </is>
      </c>
      <c r="O1080" s="14" t="inlineStr">
        <is>
          <t>-</t>
        </is>
      </c>
      <c r="P1080" s="14" t="inlineStr">
        <is>
          <t>-</t>
        </is>
      </c>
      <c r="Q1080" s="15" t="inlineStr">
        <is>
          <t>-</t>
        </is>
      </c>
    </row>
    <row r="1081">
      <c r="A1081" s="47" t="n"/>
      <c r="B1081" s="16" t="inlineStr">
        <is>
          <t>-</t>
        </is>
      </c>
      <c r="C1081" s="11" t="inlineStr">
        <is>
          <t>-</t>
        </is>
      </c>
      <c r="D1081" s="11" t="inlineStr">
        <is>
          <t>-</t>
        </is>
      </c>
      <c r="E1081" s="11" t="inlineStr">
        <is>
          <t>-</t>
        </is>
      </c>
      <c r="F1081" s="11" t="inlineStr">
        <is>
          <t>-</t>
        </is>
      </c>
      <c r="G1081" s="11" t="inlineStr">
        <is>
          <t>-</t>
        </is>
      </c>
      <c r="H1081" s="11" t="inlineStr">
        <is>
          <t>-</t>
        </is>
      </c>
      <c r="I1081" s="11" t="inlineStr">
        <is>
          <t>-</t>
        </is>
      </c>
      <c r="J1081" s="11" t="inlineStr">
        <is>
          <t>-</t>
        </is>
      </c>
      <c r="K1081" s="11" t="inlineStr">
        <is>
          <t>-</t>
        </is>
      </c>
      <c r="L1081" s="11" t="inlineStr">
        <is>
          <t>-</t>
        </is>
      </c>
      <c r="M1081" s="11" t="inlineStr">
        <is>
          <t>-</t>
        </is>
      </c>
      <c r="N1081" s="11" t="inlineStr">
        <is>
          <t>-</t>
        </is>
      </c>
      <c r="O1081" s="11" t="inlineStr">
        <is>
          <t>-</t>
        </is>
      </c>
      <c r="P1081" s="11" t="inlineStr">
        <is>
          <t>-</t>
        </is>
      </c>
      <c r="Q1081" s="12" t="inlineStr">
        <is>
          <t>-</t>
        </is>
      </c>
    </row>
    <row r="1082">
      <c r="A1082" s="47" t="n"/>
      <c r="B1082" s="13" t="inlineStr">
        <is>
          <t>-</t>
        </is>
      </c>
      <c r="C1082" s="14" t="inlineStr">
        <is>
          <t>-</t>
        </is>
      </c>
      <c r="D1082" s="14" t="inlineStr">
        <is>
          <t>-</t>
        </is>
      </c>
      <c r="E1082" s="14" t="inlineStr">
        <is>
          <t>-</t>
        </is>
      </c>
      <c r="F1082" s="14" t="inlineStr">
        <is>
          <t>-</t>
        </is>
      </c>
      <c r="G1082" s="14" t="inlineStr">
        <is>
          <t>-</t>
        </is>
      </c>
      <c r="H1082" s="14" t="inlineStr">
        <is>
          <t>-</t>
        </is>
      </c>
      <c r="I1082" s="14" t="inlineStr">
        <is>
          <t>-</t>
        </is>
      </c>
      <c r="J1082" s="14" t="inlineStr">
        <is>
          <t>-</t>
        </is>
      </c>
      <c r="K1082" s="14" t="inlineStr">
        <is>
          <t>-</t>
        </is>
      </c>
      <c r="L1082" s="14" t="inlineStr">
        <is>
          <t>-</t>
        </is>
      </c>
      <c r="M1082" s="14" t="inlineStr">
        <is>
          <t>-</t>
        </is>
      </c>
      <c r="N1082" s="14" t="inlineStr">
        <is>
          <t>-</t>
        </is>
      </c>
      <c r="O1082" s="14" t="inlineStr">
        <is>
          <t>-</t>
        </is>
      </c>
      <c r="P1082" s="14" t="inlineStr">
        <is>
          <t>-</t>
        </is>
      </c>
      <c r="Q1082" s="15" t="inlineStr">
        <is>
          <t>-</t>
        </is>
      </c>
    </row>
    <row r="1083">
      <c r="A1083" s="47" t="n"/>
      <c r="B1083" s="16" t="inlineStr">
        <is>
          <t>-</t>
        </is>
      </c>
      <c r="C1083" s="11" t="inlineStr">
        <is>
          <t>-</t>
        </is>
      </c>
      <c r="D1083" s="11" t="inlineStr">
        <is>
          <t>-</t>
        </is>
      </c>
      <c r="E1083" s="11" t="inlineStr">
        <is>
          <t>-</t>
        </is>
      </c>
      <c r="F1083" s="11" t="inlineStr">
        <is>
          <t>-</t>
        </is>
      </c>
      <c r="G1083" s="11" t="inlineStr">
        <is>
          <t>-</t>
        </is>
      </c>
      <c r="H1083" s="11" t="inlineStr">
        <is>
          <t>-</t>
        </is>
      </c>
      <c r="I1083" s="11" t="inlineStr">
        <is>
          <t>-</t>
        </is>
      </c>
      <c r="J1083" s="11" t="inlineStr">
        <is>
          <t>-</t>
        </is>
      </c>
      <c r="K1083" s="11" t="inlineStr">
        <is>
          <t>-</t>
        </is>
      </c>
      <c r="L1083" s="11" t="inlineStr">
        <is>
          <t>-</t>
        </is>
      </c>
      <c r="M1083" s="11" t="inlineStr">
        <is>
          <t>-</t>
        </is>
      </c>
      <c r="N1083" s="11" t="inlineStr">
        <is>
          <t>-</t>
        </is>
      </c>
      <c r="O1083" s="11" t="inlineStr">
        <is>
          <t>-</t>
        </is>
      </c>
      <c r="P1083" s="11" t="inlineStr">
        <is>
          <t>-</t>
        </is>
      </c>
      <c r="Q1083" s="12" t="inlineStr">
        <is>
          <t>-</t>
        </is>
      </c>
    </row>
    <row r="1084">
      <c r="A1084" s="47" t="n"/>
      <c r="B1084" s="13" t="inlineStr">
        <is>
          <t>-</t>
        </is>
      </c>
      <c r="C1084" s="14" t="inlineStr">
        <is>
          <t>-</t>
        </is>
      </c>
      <c r="D1084" s="14" t="inlineStr">
        <is>
          <t>-</t>
        </is>
      </c>
      <c r="E1084" s="14" t="inlineStr">
        <is>
          <t>-</t>
        </is>
      </c>
      <c r="F1084" s="14" t="inlineStr">
        <is>
          <t>-</t>
        </is>
      </c>
      <c r="G1084" s="14" t="inlineStr">
        <is>
          <t>-</t>
        </is>
      </c>
      <c r="H1084" s="14" t="inlineStr">
        <is>
          <t>-</t>
        </is>
      </c>
      <c r="I1084" s="14" t="inlineStr">
        <is>
          <t>-</t>
        </is>
      </c>
      <c r="J1084" s="14" t="inlineStr">
        <is>
          <t>-</t>
        </is>
      </c>
      <c r="K1084" s="14" t="inlineStr">
        <is>
          <t>-</t>
        </is>
      </c>
      <c r="L1084" s="14" t="inlineStr">
        <is>
          <t>-</t>
        </is>
      </c>
      <c r="M1084" s="14" t="inlineStr">
        <is>
          <t>-</t>
        </is>
      </c>
      <c r="N1084" s="14" t="inlineStr">
        <is>
          <t>-</t>
        </is>
      </c>
      <c r="O1084" s="14" t="inlineStr">
        <is>
          <t>-</t>
        </is>
      </c>
      <c r="P1084" s="14" t="inlineStr">
        <is>
          <t>-</t>
        </is>
      </c>
      <c r="Q1084" s="15" t="inlineStr">
        <is>
          <t>-</t>
        </is>
      </c>
    </row>
    <row r="1085">
      <c r="A1085" s="47" t="n"/>
      <c r="B1085" s="16" t="inlineStr">
        <is>
          <t>-</t>
        </is>
      </c>
      <c r="C1085" s="11" t="inlineStr">
        <is>
          <t>-</t>
        </is>
      </c>
      <c r="D1085" s="11" t="inlineStr">
        <is>
          <t>-</t>
        </is>
      </c>
      <c r="E1085" s="11" t="inlineStr">
        <is>
          <t>-</t>
        </is>
      </c>
      <c r="F1085" s="11" t="inlineStr">
        <is>
          <t>-</t>
        </is>
      </c>
      <c r="G1085" s="11" t="inlineStr">
        <is>
          <t>-</t>
        </is>
      </c>
      <c r="H1085" s="11" t="inlineStr">
        <is>
          <t>-</t>
        </is>
      </c>
      <c r="I1085" s="11" t="inlineStr">
        <is>
          <t>-</t>
        </is>
      </c>
      <c r="J1085" s="11" t="inlineStr">
        <is>
          <t>-</t>
        </is>
      </c>
      <c r="K1085" s="11" t="inlineStr">
        <is>
          <t>-</t>
        </is>
      </c>
      <c r="L1085" s="11" t="inlineStr">
        <is>
          <t>-</t>
        </is>
      </c>
      <c r="M1085" s="11" t="inlineStr">
        <is>
          <t>-</t>
        </is>
      </c>
      <c r="N1085" s="11" t="inlineStr">
        <is>
          <t>-</t>
        </is>
      </c>
      <c r="O1085" s="11" t="inlineStr">
        <is>
          <t>-</t>
        </is>
      </c>
      <c r="P1085" s="11" t="inlineStr">
        <is>
          <t>-</t>
        </is>
      </c>
      <c r="Q1085" s="12" t="inlineStr">
        <is>
          <t>-</t>
        </is>
      </c>
    </row>
    <row r="1086">
      <c r="A1086" s="47" t="n"/>
      <c r="B1086" s="13" t="inlineStr">
        <is>
          <t>-</t>
        </is>
      </c>
      <c r="C1086" s="14" t="inlineStr">
        <is>
          <t>-</t>
        </is>
      </c>
      <c r="D1086" s="14" t="inlineStr">
        <is>
          <t>-</t>
        </is>
      </c>
      <c r="E1086" s="14" t="inlineStr">
        <is>
          <t>-</t>
        </is>
      </c>
      <c r="F1086" s="14" t="inlineStr">
        <is>
          <t>-</t>
        </is>
      </c>
      <c r="G1086" s="14" t="inlineStr">
        <is>
          <t>-</t>
        </is>
      </c>
      <c r="H1086" s="14" t="inlineStr">
        <is>
          <t>-</t>
        </is>
      </c>
      <c r="I1086" s="14" t="inlineStr">
        <is>
          <t>-</t>
        </is>
      </c>
      <c r="J1086" s="14" t="inlineStr">
        <is>
          <t>-</t>
        </is>
      </c>
      <c r="K1086" s="14" t="inlineStr">
        <is>
          <t>-</t>
        </is>
      </c>
      <c r="L1086" s="14" t="inlineStr">
        <is>
          <t>-</t>
        </is>
      </c>
      <c r="M1086" s="14" t="inlineStr">
        <is>
          <t>-</t>
        </is>
      </c>
      <c r="N1086" s="14" t="inlineStr">
        <is>
          <t>-</t>
        </is>
      </c>
      <c r="O1086" s="14" t="inlineStr">
        <is>
          <t>-</t>
        </is>
      </c>
      <c r="P1086" s="14" t="inlineStr">
        <is>
          <t>-</t>
        </is>
      </c>
      <c r="Q1086" s="15" t="inlineStr">
        <is>
          <t>-</t>
        </is>
      </c>
    </row>
    <row r="1087">
      <c r="A1087" s="47" t="n"/>
      <c r="B1087" s="16" t="inlineStr">
        <is>
          <t>-</t>
        </is>
      </c>
      <c r="C1087" s="11" t="inlineStr">
        <is>
          <t>-</t>
        </is>
      </c>
      <c r="D1087" s="11" t="inlineStr">
        <is>
          <t>-</t>
        </is>
      </c>
      <c r="E1087" s="11" t="inlineStr">
        <is>
          <t>-</t>
        </is>
      </c>
      <c r="F1087" s="11" t="inlineStr">
        <is>
          <t>-</t>
        </is>
      </c>
      <c r="G1087" s="11" t="inlineStr">
        <is>
          <t>-</t>
        </is>
      </c>
      <c r="H1087" s="11" t="inlineStr">
        <is>
          <t>-</t>
        </is>
      </c>
      <c r="I1087" s="11" t="inlineStr">
        <is>
          <t>-</t>
        </is>
      </c>
      <c r="J1087" s="11" t="inlineStr">
        <is>
          <t>-</t>
        </is>
      </c>
      <c r="K1087" s="11" t="inlineStr">
        <is>
          <t>-</t>
        </is>
      </c>
      <c r="L1087" s="11" t="inlineStr">
        <is>
          <t>-</t>
        </is>
      </c>
      <c r="M1087" s="11" t="inlineStr">
        <is>
          <t>-</t>
        </is>
      </c>
      <c r="N1087" s="11" t="inlineStr">
        <is>
          <t>-</t>
        </is>
      </c>
      <c r="O1087" s="11" t="inlineStr">
        <is>
          <t>-</t>
        </is>
      </c>
      <c r="P1087" s="11" t="inlineStr">
        <is>
          <t>-</t>
        </is>
      </c>
      <c r="Q1087" s="12" t="inlineStr">
        <is>
          <t>-</t>
        </is>
      </c>
    </row>
    <row r="1088">
      <c r="A1088" s="47" t="n"/>
      <c r="B1088" s="13" t="inlineStr">
        <is>
          <t>-</t>
        </is>
      </c>
      <c r="C1088" s="14" t="inlineStr">
        <is>
          <t>-</t>
        </is>
      </c>
      <c r="D1088" s="14" t="inlineStr">
        <is>
          <t>-</t>
        </is>
      </c>
      <c r="E1088" s="14" t="inlineStr">
        <is>
          <t>-</t>
        </is>
      </c>
      <c r="F1088" s="14" t="inlineStr">
        <is>
          <t>-</t>
        </is>
      </c>
      <c r="G1088" s="14" t="inlineStr">
        <is>
          <t>-</t>
        </is>
      </c>
      <c r="H1088" s="14" t="inlineStr">
        <is>
          <t>-</t>
        </is>
      </c>
      <c r="I1088" s="14" t="inlineStr">
        <is>
          <t>-</t>
        </is>
      </c>
      <c r="J1088" s="14" t="inlineStr">
        <is>
          <t>-</t>
        </is>
      </c>
      <c r="K1088" s="14" t="inlineStr">
        <is>
          <t>-</t>
        </is>
      </c>
      <c r="L1088" s="14" t="inlineStr">
        <is>
          <t>-</t>
        </is>
      </c>
      <c r="M1088" s="14" t="inlineStr">
        <is>
          <t>-</t>
        </is>
      </c>
      <c r="N1088" s="14" t="inlineStr">
        <is>
          <t>-</t>
        </is>
      </c>
      <c r="O1088" s="14" t="inlineStr">
        <is>
          <t>-</t>
        </is>
      </c>
      <c r="P1088" s="14" t="inlineStr">
        <is>
          <t>-</t>
        </is>
      </c>
      <c r="Q1088" s="15" t="inlineStr">
        <is>
          <t>-</t>
        </is>
      </c>
    </row>
    <row r="1089">
      <c r="A1089" s="47" t="n"/>
      <c r="B1089" s="16" t="inlineStr">
        <is>
          <t>-</t>
        </is>
      </c>
      <c r="C1089" s="11" t="inlineStr">
        <is>
          <t>-</t>
        </is>
      </c>
      <c r="D1089" s="11" t="inlineStr">
        <is>
          <t>-</t>
        </is>
      </c>
      <c r="E1089" s="11" t="inlineStr">
        <is>
          <t>-</t>
        </is>
      </c>
      <c r="F1089" s="11" t="inlineStr">
        <is>
          <t>-</t>
        </is>
      </c>
      <c r="G1089" s="11" t="inlineStr">
        <is>
          <t>-</t>
        </is>
      </c>
      <c r="H1089" s="11" t="inlineStr">
        <is>
          <t>-</t>
        </is>
      </c>
      <c r="I1089" s="11" t="inlineStr">
        <is>
          <t>-</t>
        </is>
      </c>
      <c r="J1089" s="11" t="inlineStr">
        <is>
          <t>-</t>
        </is>
      </c>
      <c r="K1089" s="11" t="inlineStr">
        <is>
          <t>-</t>
        </is>
      </c>
      <c r="L1089" s="11" t="inlineStr">
        <is>
          <t>-</t>
        </is>
      </c>
      <c r="M1089" s="11" t="inlineStr">
        <is>
          <t>-</t>
        </is>
      </c>
      <c r="N1089" s="11" t="inlineStr">
        <is>
          <t>-</t>
        </is>
      </c>
      <c r="O1089" s="11" t="inlineStr">
        <is>
          <t>-</t>
        </is>
      </c>
      <c r="P1089" s="11" t="inlineStr">
        <is>
          <t>-</t>
        </is>
      </c>
      <c r="Q1089" s="12" t="inlineStr">
        <is>
          <t>-</t>
        </is>
      </c>
    </row>
    <row r="1090" ht="36" customHeight="1" s="155">
      <c r="B1090" s="46" t="inlineStr">
        <is>
          <t>pasticcino pistacchio</t>
        </is>
      </c>
      <c r="C1090" s="49">
        <f>_xlfn.XLOOKUP(A1091,Magazzino!$D$1:$D$1500,Magazzino!$F$1:$F$1500,"",0,1)</f>
        <v/>
      </c>
      <c r="D1090" s="50">
        <f>_xlfn.XLOOKUP(A1092,Magazzino!$D$1:$D$1500,Magazzino!$F$1:$F$1500,"",0,1)</f>
        <v/>
      </c>
      <c r="E1090" s="50">
        <f>_xlfn.XLOOKUP(A1093,Magazzino!$D$1:$D$1500,Magazzino!$F$1:$F$1500,"",0,1)</f>
        <v/>
      </c>
      <c r="F1090" s="50">
        <f>_xlfn.XLOOKUP(A1094,Magazzino!$D$1:$D$1500,Magazzino!$F$1:$F$1500,"",0,1)</f>
        <v/>
      </c>
      <c r="G1090" s="50">
        <f>_xlfn.XLOOKUP(A1095,Magazzino!$D$1:$D$1500,Magazzino!$F$1:$F$1500,"",0,1)</f>
        <v/>
      </c>
      <c r="H1090" s="50">
        <f>_xlfn.XLOOKUP(A1096,Magazzino!$D$1:$D$1500,Magazzino!$F$1:$F$1500,"",0,1)</f>
        <v/>
      </c>
      <c r="I1090" s="50">
        <f>_xlfn.XLOOKUP(A1097,Magazzino!$D$1:$D$1500,Magazzino!$F$1:$F$1500,"",0,1)</f>
        <v/>
      </c>
      <c r="J1090" s="50">
        <f>_xlfn.XLOOKUP(A1098,Magazzino!$D$1:$D$1500,Magazzino!$F$1:$F$1500,"",0,1)</f>
        <v/>
      </c>
      <c r="K1090" s="50">
        <f>_xlfn.XLOOKUP(A1099,Magazzino!$D$1:$D$1500,Magazzino!$F$1:$F$1500,"",0,1)</f>
        <v/>
      </c>
      <c r="L1090" s="50">
        <f>_xlfn.XLOOKUP(A1100,Magazzino!$D$1:$D$1500,Magazzino!$F$1:$F$1500,"",0,1)</f>
        <v/>
      </c>
      <c r="M1090" s="50">
        <f>_xlfn.XLOOKUP(A1101,Magazzino!$D$1:$D$1500,Magazzino!$F$1:$F$1500,"",0,1)</f>
        <v/>
      </c>
      <c r="N1090" s="50">
        <f>_xlfn.XLOOKUP(A1102,Magazzino!$D$1:$D$1500,Magazzino!$F$1:$F$1500,"",0,1)</f>
        <v/>
      </c>
      <c r="O1090" s="50">
        <f>_xlfn.XLOOKUP(A1103,Magazzino!$D$1:$D$1500,Magazzino!$F$1:$F$1500,"",0,1)</f>
        <v/>
      </c>
      <c r="P1090" s="50">
        <f>_xlfn.XLOOKUP(A1104,Magazzino!$D$1:$D$1500,Magazzino!$F$1:$F$1500,"",0,1)</f>
        <v/>
      </c>
      <c r="Q1090" s="51">
        <f>_xlfn.XLOOKUP(A1105,Magazzino!$D$1:$D$1500,Magazzino!$F$1:$F$1500,"",0,1)</f>
        <v/>
      </c>
    </row>
    <row r="1091">
      <c r="A1091" s="47" t="inlineStr">
        <is>
          <t xml:space="preserve">FARINA 0/MAN. CAPUTO DA KG.25  </t>
        </is>
      </c>
      <c r="B1091" s="16" t="inlineStr">
        <is>
          <t>-</t>
        </is>
      </c>
      <c r="C1091" s="11" t="inlineStr">
        <is>
          <t>-</t>
        </is>
      </c>
      <c r="D1091" s="11" t="inlineStr">
        <is>
          <t>-</t>
        </is>
      </c>
      <c r="E1091" s="11" t="inlineStr">
        <is>
          <t>-</t>
        </is>
      </c>
      <c r="F1091" s="11" t="inlineStr">
        <is>
          <t>-</t>
        </is>
      </c>
      <c r="G1091" s="11" t="inlineStr">
        <is>
          <t>-</t>
        </is>
      </c>
      <c r="H1091" s="11" t="inlineStr">
        <is>
          <t>-</t>
        </is>
      </c>
      <c r="I1091" s="11" t="inlineStr">
        <is>
          <t>-</t>
        </is>
      </c>
      <c r="J1091" s="11" t="inlineStr">
        <is>
          <t>-</t>
        </is>
      </c>
      <c r="K1091" s="11" t="inlineStr">
        <is>
          <t>-</t>
        </is>
      </c>
      <c r="L1091" s="11" t="inlineStr">
        <is>
          <t>-</t>
        </is>
      </c>
      <c r="M1091" s="11" t="inlineStr">
        <is>
          <t>-</t>
        </is>
      </c>
      <c r="N1091" s="11" t="inlineStr">
        <is>
          <t>-</t>
        </is>
      </c>
      <c r="O1091" s="11" t="inlineStr">
        <is>
          <t>-</t>
        </is>
      </c>
      <c r="P1091" s="11" t="inlineStr">
        <is>
          <t>-</t>
        </is>
      </c>
      <c r="Q1091" s="12" t="inlineStr">
        <is>
          <t>-</t>
        </is>
      </c>
    </row>
    <row r="1092">
      <c r="A1092" s="47" t="inlineStr">
        <is>
          <t xml:space="preserve">STRUTTO RAFFINATO I B VERDE  </t>
        </is>
      </c>
      <c r="B1092" s="13" t="inlineStr">
        <is>
          <t>-</t>
        </is>
      </c>
      <c r="C1092" s="14" t="inlineStr">
        <is>
          <t>-</t>
        </is>
      </c>
      <c r="D1092" s="14" t="inlineStr">
        <is>
          <t>-</t>
        </is>
      </c>
      <c r="E1092" s="14" t="inlineStr">
        <is>
          <t>-</t>
        </is>
      </c>
      <c r="F1092" s="14" t="inlineStr">
        <is>
          <t>-</t>
        </is>
      </c>
      <c r="G1092" s="14" t="inlineStr">
        <is>
          <t>-</t>
        </is>
      </c>
      <c r="H1092" s="14" t="inlineStr">
        <is>
          <t>-</t>
        </is>
      </c>
      <c r="I1092" s="14" t="inlineStr">
        <is>
          <t>-</t>
        </is>
      </c>
      <c r="J1092" s="14" t="inlineStr">
        <is>
          <t>-</t>
        </is>
      </c>
      <c r="K1092" s="14" t="inlineStr">
        <is>
          <t>-</t>
        </is>
      </c>
      <c r="L1092" s="14" t="inlineStr">
        <is>
          <t>-</t>
        </is>
      </c>
      <c r="M1092" s="14" t="inlineStr">
        <is>
          <t>-</t>
        </is>
      </c>
      <c r="N1092" s="14" t="inlineStr">
        <is>
          <t>-</t>
        </is>
      </c>
      <c r="O1092" s="14" t="inlineStr">
        <is>
          <t>-</t>
        </is>
      </c>
      <c r="P1092" s="14" t="inlineStr">
        <is>
          <t>-</t>
        </is>
      </c>
      <c r="Q1092" s="15" t="inlineStr">
        <is>
          <t>-</t>
        </is>
      </c>
    </row>
    <row r="1093">
      <c r="A1093" s="47" t="inlineStr">
        <is>
          <t>zucchero semolato</t>
        </is>
      </c>
      <c r="B1093" s="16" t="inlineStr">
        <is>
          <t>-</t>
        </is>
      </c>
      <c r="C1093" s="11" t="inlineStr">
        <is>
          <t>-</t>
        </is>
      </c>
      <c r="D1093" s="11" t="inlineStr">
        <is>
          <t>-</t>
        </is>
      </c>
      <c r="E1093" s="11" t="inlineStr">
        <is>
          <t>-</t>
        </is>
      </c>
      <c r="F1093" s="11" t="inlineStr">
        <is>
          <t>-</t>
        </is>
      </c>
      <c r="G1093" s="11" t="inlineStr">
        <is>
          <t>-</t>
        </is>
      </c>
      <c r="H1093" s="11" t="inlineStr">
        <is>
          <t>-</t>
        </is>
      </c>
      <c r="I1093" s="11" t="inlineStr">
        <is>
          <t>-</t>
        </is>
      </c>
      <c r="J1093" s="11" t="inlineStr">
        <is>
          <t>-</t>
        </is>
      </c>
      <c r="K1093" s="11" t="inlineStr">
        <is>
          <t>-</t>
        </is>
      </c>
      <c r="L1093" s="11" t="inlineStr">
        <is>
          <t>-</t>
        </is>
      </c>
      <c r="M1093" s="11" t="inlineStr">
        <is>
          <t>-</t>
        </is>
      </c>
      <c r="N1093" s="11" t="inlineStr">
        <is>
          <t>-</t>
        </is>
      </c>
      <c r="O1093" s="11" t="inlineStr">
        <is>
          <t>-</t>
        </is>
      </c>
      <c r="P1093" s="11" t="inlineStr">
        <is>
          <t>-</t>
        </is>
      </c>
      <c r="Q1093" s="12" t="inlineStr">
        <is>
          <t>-</t>
        </is>
      </c>
    </row>
    <row r="1094">
      <c r="A1094" s="48" t="inlineStr">
        <is>
          <t xml:space="preserve">SALE SACCHI SALTECHNO KG.25  </t>
        </is>
      </c>
      <c r="B1094" s="13" t="inlineStr">
        <is>
          <t>-</t>
        </is>
      </c>
      <c r="C1094" s="14" t="inlineStr">
        <is>
          <t>-</t>
        </is>
      </c>
      <c r="D1094" s="14" t="inlineStr">
        <is>
          <t>-</t>
        </is>
      </c>
      <c r="E1094" s="14" t="inlineStr">
        <is>
          <t>-</t>
        </is>
      </c>
      <c r="F1094" s="14" t="inlineStr">
        <is>
          <t>-</t>
        </is>
      </c>
      <c r="G1094" s="14" t="inlineStr">
        <is>
          <t>-</t>
        </is>
      </c>
      <c r="H1094" s="14" t="inlineStr">
        <is>
          <t>-</t>
        </is>
      </c>
      <c r="I1094" s="14" t="inlineStr">
        <is>
          <t>-</t>
        </is>
      </c>
      <c r="J1094" s="14" t="inlineStr">
        <is>
          <t>-</t>
        </is>
      </c>
      <c r="K1094" s="14" t="inlineStr">
        <is>
          <t>-</t>
        </is>
      </c>
      <c r="L1094" s="14" t="inlineStr">
        <is>
          <t>-</t>
        </is>
      </c>
      <c r="M1094" s="14" t="inlineStr">
        <is>
          <t>-</t>
        </is>
      </c>
      <c r="N1094" s="14" t="inlineStr">
        <is>
          <t>-</t>
        </is>
      </c>
      <c r="O1094" s="14" t="inlineStr">
        <is>
          <t>-</t>
        </is>
      </c>
      <c r="P1094" s="14" t="inlineStr">
        <is>
          <t>-</t>
        </is>
      </c>
      <c r="Q1094" s="15" t="inlineStr">
        <is>
          <t>-</t>
        </is>
      </c>
    </row>
    <row r="1095">
      <c r="A1095" s="47" t="inlineStr">
        <is>
          <t>NUPPY PISTACCHIO PIU' 6Kg</t>
        </is>
      </c>
      <c r="B1095" s="16" t="inlineStr">
        <is>
          <t>-</t>
        </is>
      </c>
      <c r="C1095" s="11" t="inlineStr">
        <is>
          <t>-</t>
        </is>
      </c>
      <c r="D1095" s="11" t="inlineStr">
        <is>
          <t>-</t>
        </is>
      </c>
      <c r="E1095" s="11" t="inlineStr">
        <is>
          <t>-</t>
        </is>
      </c>
      <c r="F1095" s="11" t="inlineStr">
        <is>
          <t>-</t>
        </is>
      </c>
      <c r="G1095" s="11" t="inlineStr">
        <is>
          <t>-</t>
        </is>
      </c>
      <c r="H1095" s="11" t="inlineStr">
        <is>
          <t>-</t>
        </is>
      </c>
      <c r="I1095" s="11" t="inlineStr">
        <is>
          <t>-</t>
        </is>
      </c>
      <c r="J1095" s="11" t="inlineStr">
        <is>
          <t>-</t>
        </is>
      </c>
      <c r="K1095" s="11" t="inlineStr">
        <is>
          <t>-</t>
        </is>
      </c>
      <c r="L1095" s="11" t="inlineStr">
        <is>
          <t>-</t>
        </is>
      </c>
      <c r="M1095" s="11" t="inlineStr">
        <is>
          <t>-</t>
        </is>
      </c>
      <c r="N1095" s="11" t="inlineStr">
        <is>
          <t>-</t>
        </is>
      </c>
      <c r="O1095" s="11" t="inlineStr">
        <is>
          <t>-</t>
        </is>
      </c>
      <c r="P1095" s="11" t="inlineStr">
        <is>
          <t>-</t>
        </is>
      </c>
      <c r="Q1095" s="12" t="inlineStr">
        <is>
          <t>-</t>
        </is>
      </c>
    </row>
    <row r="1096">
      <c r="A1096" s="47" t="n"/>
      <c r="B1096" s="13" t="inlineStr">
        <is>
          <t>-</t>
        </is>
      </c>
      <c r="C1096" s="14" t="inlineStr">
        <is>
          <t>-</t>
        </is>
      </c>
      <c r="D1096" s="14" t="inlineStr">
        <is>
          <t>-</t>
        </is>
      </c>
      <c r="E1096" s="14" t="inlineStr">
        <is>
          <t>-</t>
        </is>
      </c>
      <c r="F1096" s="14" t="inlineStr">
        <is>
          <t>-</t>
        </is>
      </c>
      <c r="G1096" s="14" t="inlineStr">
        <is>
          <t>-</t>
        </is>
      </c>
      <c r="H1096" s="14" t="inlineStr">
        <is>
          <t>-</t>
        </is>
      </c>
      <c r="I1096" s="14" t="inlineStr">
        <is>
          <t>-</t>
        </is>
      </c>
      <c r="J1096" s="14" t="inlineStr">
        <is>
          <t>-</t>
        </is>
      </c>
      <c r="K1096" s="14" t="inlineStr">
        <is>
          <t>-</t>
        </is>
      </c>
      <c r="L1096" s="14" t="inlineStr">
        <is>
          <t>-</t>
        </is>
      </c>
      <c r="M1096" s="14" t="inlineStr">
        <is>
          <t>-</t>
        </is>
      </c>
      <c r="N1096" s="14" t="inlineStr">
        <is>
          <t>-</t>
        </is>
      </c>
      <c r="O1096" s="14" t="inlineStr">
        <is>
          <t>-</t>
        </is>
      </c>
      <c r="P1096" s="14" t="inlineStr">
        <is>
          <t>-</t>
        </is>
      </c>
      <c r="Q1096" s="15" t="inlineStr">
        <is>
          <t>-</t>
        </is>
      </c>
    </row>
    <row r="1097">
      <c r="A1097" s="47" t="n"/>
      <c r="B1097" s="16" t="inlineStr">
        <is>
          <t>-</t>
        </is>
      </c>
      <c r="C1097" s="11" t="inlineStr">
        <is>
          <t>-</t>
        </is>
      </c>
      <c r="D1097" s="11" t="inlineStr">
        <is>
          <t>-</t>
        </is>
      </c>
      <c r="E1097" s="11" t="inlineStr">
        <is>
          <t>-</t>
        </is>
      </c>
      <c r="F1097" s="11" t="inlineStr">
        <is>
          <t>-</t>
        </is>
      </c>
      <c r="G1097" s="11" t="inlineStr">
        <is>
          <t>-</t>
        </is>
      </c>
      <c r="H1097" s="11" t="inlineStr">
        <is>
          <t>-</t>
        </is>
      </c>
      <c r="I1097" s="11" t="inlineStr">
        <is>
          <t>-</t>
        </is>
      </c>
      <c r="J1097" s="11" t="inlineStr">
        <is>
          <t>-</t>
        </is>
      </c>
      <c r="K1097" s="11" t="inlineStr">
        <is>
          <t>-</t>
        </is>
      </c>
      <c r="L1097" s="11" t="inlineStr">
        <is>
          <t>-</t>
        </is>
      </c>
      <c r="M1097" s="11" t="inlineStr">
        <is>
          <t>-</t>
        </is>
      </c>
      <c r="N1097" s="11" t="inlineStr">
        <is>
          <t>-</t>
        </is>
      </c>
      <c r="O1097" s="11" t="inlineStr">
        <is>
          <t>-</t>
        </is>
      </c>
      <c r="P1097" s="11" t="inlineStr">
        <is>
          <t>-</t>
        </is>
      </c>
      <c r="Q1097" s="12" t="inlineStr">
        <is>
          <t>-</t>
        </is>
      </c>
    </row>
    <row r="1098">
      <c r="A1098" s="47" t="n"/>
      <c r="B1098" s="13" t="inlineStr">
        <is>
          <t>-</t>
        </is>
      </c>
      <c r="C1098" s="14" t="inlineStr">
        <is>
          <t>-</t>
        </is>
      </c>
      <c r="D1098" s="14" t="inlineStr">
        <is>
          <t>-</t>
        </is>
      </c>
      <c r="E1098" s="14" t="inlineStr">
        <is>
          <t>-</t>
        </is>
      </c>
      <c r="F1098" s="14" t="inlineStr">
        <is>
          <t>-</t>
        </is>
      </c>
      <c r="G1098" s="14" t="inlineStr">
        <is>
          <t>-</t>
        </is>
      </c>
      <c r="H1098" s="14" t="inlineStr">
        <is>
          <t>-</t>
        </is>
      </c>
      <c r="I1098" s="14" t="inlineStr">
        <is>
          <t>-</t>
        </is>
      </c>
      <c r="J1098" s="14" t="inlineStr">
        <is>
          <t>-</t>
        </is>
      </c>
      <c r="K1098" s="14" t="inlineStr">
        <is>
          <t>-</t>
        </is>
      </c>
      <c r="L1098" s="14" t="inlineStr">
        <is>
          <t>-</t>
        </is>
      </c>
      <c r="M1098" s="14" t="inlineStr">
        <is>
          <t>-</t>
        </is>
      </c>
      <c r="N1098" s="14" t="inlineStr">
        <is>
          <t>-</t>
        </is>
      </c>
      <c r="O1098" s="14" t="inlineStr">
        <is>
          <t>-</t>
        </is>
      </c>
      <c r="P1098" s="14" t="inlineStr">
        <is>
          <t>-</t>
        </is>
      </c>
      <c r="Q1098" s="15" t="inlineStr">
        <is>
          <t>-</t>
        </is>
      </c>
    </row>
    <row r="1099">
      <c r="A1099" s="47" t="n"/>
      <c r="B1099" s="16" t="inlineStr">
        <is>
          <t>-</t>
        </is>
      </c>
      <c r="C1099" s="11" t="inlineStr">
        <is>
          <t>-</t>
        </is>
      </c>
      <c r="D1099" s="11" t="inlineStr">
        <is>
          <t>-</t>
        </is>
      </c>
      <c r="E1099" s="11" t="inlineStr">
        <is>
          <t>-</t>
        </is>
      </c>
      <c r="F1099" s="11" t="inlineStr">
        <is>
          <t>-</t>
        </is>
      </c>
      <c r="G1099" s="11" t="inlineStr">
        <is>
          <t>-</t>
        </is>
      </c>
      <c r="H1099" s="11" t="inlineStr">
        <is>
          <t>-</t>
        </is>
      </c>
      <c r="I1099" s="11" t="inlineStr">
        <is>
          <t>-</t>
        </is>
      </c>
      <c r="J1099" s="11" t="inlineStr">
        <is>
          <t>-</t>
        </is>
      </c>
      <c r="K1099" s="11" t="inlineStr">
        <is>
          <t>-</t>
        </is>
      </c>
      <c r="L1099" s="11" t="inlineStr">
        <is>
          <t>-</t>
        </is>
      </c>
      <c r="M1099" s="11" t="inlineStr">
        <is>
          <t>-</t>
        </is>
      </c>
      <c r="N1099" s="11" t="inlineStr">
        <is>
          <t>-</t>
        </is>
      </c>
      <c r="O1099" s="11" t="inlineStr">
        <is>
          <t>-</t>
        </is>
      </c>
      <c r="P1099" s="11" t="inlineStr">
        <is>
          <t>-</t>
        </is>
      </c>
      <c r="Q1099" s="12" t="inlineStr">
        <is>
          <t>-</t>
        </is>
      </c>
    </row>
    <row r="1100">
      <c r="A1100" s="47" t="n"/>
      <c r="B1100" s="13" t="inlineStr">
        <is>
          <t>-</t>
        </is>
      </c>
      <c r="C1100" s="14" t="inlineStr">
        <is>
          <t>-</t>
        </is>
      </c>
      <c r="D1100" s="14" t="inlineStr">
        <is>
          <t>-</t>
        </is>
      </c>
      <c r="E1100" s="14" t="inlineStr">
        <is>
          <t>-</t>
        </is>
      </c>
      <c r="F1100" s="14" t="inlineStr">
        <is>
          <t>-</t>
        </is>
      </c>
      <c r="G1100" s="14" t="inlineStr">
        <is>
          <t>-</t>
        </is>
      </c>
      <c r="H1100" s="14" t="inlineStr">
        <is>
          <t>-</t>
        </is>
      </c>
      <c r="I1100" s="14" t="inlineStr">
        <is>
          <t>-</t>
        </is>
      </c>
      <c r="J1100" s="14" t="inlineStr">
        <is>
          <t>-</t>
        </is>
      </c>
      <c r="K1100" s="14" t="inlineStr">
        <is>
          <t>-</t>
        </is>
      </c>
      <c r="L1100" s="14" t="inlineStr">
        <is>
          <t>-</t>
        </is>
      </c>
      <c r="M1100" s="14" t="inlineStr">
        <is>
          <t>-</t>
        </is>
      </c>
      <c r="N1100" s="14" t="inlineStr">
        <is>
          <t>-</t>
        </is>
      </c>
      <c r="O1100" s="14" t="inlineStr">
        <is>
          <t>-</t>
        </is>
      </c>
      <c r="P1100" s="14" t="inlineStr">
        <is>
          <t>-</t>
        </is>
      </c>
      <c r="Q1100" s="15" t="inlineStr">
        <is>
          <t>-</t>
        </is>
      </c>
    </row>
    <row r="1101">
      <c r="A1101" s="47" t="n"/>
      <c r="B1101" s="16" t="inlineStr">
        <is>
          <t>-</t>
        </is>
      </c>
      <c r="C1101" s="11" t="inlineStr">
        <is>
          <t>-</t>
        </is>
      </c>
      <c r="D1101" s="11" t="inlineStr">
        <is>
          <t>-</t>
        </is>
      </c>
      <c r="E1101" s="11" t="inlineStr">
        <is>
          <t>-</t>
        </is>
      </c>
      <c r="F1101" s="11" t="inlineStr">
        <is>
          <t>-</t>
        </is>
      </c>
      <c r="G1101" s="11" t="inlineStr">
        <is>
          <t>-</t>
        </is>
      </c>
      <c r="H1101" s="11" t="inlineStr">
        <is>
          <t>-</t>
        </is>
      </c>
      <c r="I1101" s="11" t="inlineStr">
        <is>
          <t>-</t>
        </is>
      </c>
      <c r="J1101" s="11" t="inlineStr">
        <is>
          <t>-</t>
        </is>
      </c>
      <c r="K1101" s="11" t="inlineStr">
        <is>
          <t>-</t>
        </is>
      </c>
      <c r="L1101" s="11" t="inlineStr">
        <is>
          <t>-</t>
        </is>
      </c>
      <c r="M1101" s="11" t="inlineStr">
        <is>
          <t>-</t>
        </is>
      </c>
      <c r="N1101" s="11" t="inlineStr">
        <is>
          <t>-</t>
        </is>
      </c>
      <c r="O1101" s="11" t="inlineStr">
        <is>
          <t>-</t>
        </is>
      </c>
      <c r="P1101" s="11" t="inlineStr">
        <is>
          <t>-</t>
        </is>
      </c>
      <c r="Q1101" s="12" t="inlineStr">
        <is>
          <t>-</t>
        </is>
      </c>
    </row>
    <row r="1102">
      <c r="A1102" s="47" t="n"/>
      <c r="B1102" s="13" t="inlineStr">
        <is>
          <t>-</t>
        </is>
      </c>
      <c r="C1102" s="14" t="inlineStr">
        <is>
          <t>-</t>
        </is>
      </c>
      <c r="D1102" s="14" t="inlineStr">
        <is>
          <t>-</t>
        </is>
      </c>
      <c r="E1102" s="14" t="inlineStr">
        <is>
          <t>-</t>
        </is>
      </c>
      <c r="F1102" s="14" t="inlineStr">
        <is>
          <t>-</t>
        </is>
      </c>
      <c r="G1102" s="14" t="inlineStr">
        <is>
          <t>-</t>
        </is>
      </c>
      <c r="H1102" s="14" t="inlineStr">
        <is>
          <t>-</t>
        </is>
      </c>
      <c r="I1102" s="14" t="inlineStr">
        <is>
          <t>-</t>
        </is>
      </c>
      <c r="J1102" s="14" t="inlineStr">
        <is>
          <t>-</t>
        </is>
      </c>
      <c r="K1102" s="14" t="inlineStr">
        <is>
          <t>-</t>
        </is>
      </c>
      <c r="L1102" s="14" t="inlineStr">
        <is>
          <t>-</t>
        </is>
      </c>
      <c r="M1102" s="14" t="inlineStr">
        <is>
          <t>-</t>
        </is>
      </c>
      <c r="N1102" s="14" t="inlineStr">
        <is>
          <t>-</t>
        </is>
      </c>
      <c r="O1102" s="14" t="inlineStr">
        <is>
          <t>-</t>
        </is>
      </c>
      <c r="P1102" s="14" t="inlineStr">
        <is>
          <t>-</t>
        </is>
      </c>
      <c r="Q1102" s="15" t="inlineStr">
        <is>
          <t>-</t>
        </is>
      </c>
    </row>
    <row r="1103">
      <c r="A1103" s="47" t="n"/>
      <c r="B1103" s="16" t="inlineStr">
        <is>
          <t>-</t>
        </is>
      </c>
      <c r="C1103" s="11" t="inlineStr">
        <is>
          <t>-</t>
        </is>
      </c>
      <c r="D1103" s="11" t="inlineStr">
        <is>
          <t>-</t>
        </is>
      </c>
      <c r="E1103" s="11" t="inlineStr">
        <is>
          <t>-</t>
        </is>
      </c>
      <c r="F1103" s="11" t="inlineStr">
        <is>
          <t>-</t>
        </is>
      </c>
      <c r="G1103" s="11" t="inlineStr">
        <is>
          <t>-</t>
        </is>
      </c>
      <c r="H1103" s="11" t="inlineStr">
        <is>
          <t>-</t>
        </is>
      </c>
      <c r="I1103" s="11" t="inlineStr">
        <is>
          <t>-</t>
        </is>
      </c>
      <c r="J1103" s="11" t="inlineStr">
        <is>
          <t>-</t>
        </is>
      </c>
      <c r="K1103" s="11" t="inlineStr">
        <is>
          <t>-</t>
        </is>
      </c>
      <c r="L1103" s="11" t="inlineStr">
        <is>
          <t>-</t>
        </is>
      </c>
      <c r="M1103" s="11" t="inlineStr">
        <is>
          <t>-</t>
        </is>
      </c>
      <c r="N1103" s="11" t="inlineStr">
        <is>
          <t>-</t>
        </is>
      </c>
      <c r="O1103" s="11" t="inlineStr">
        <is>
          <t>-</t>
        </is>
      </c>
      <c r="P1103" s="11" t="inlineStr">
        <is>
          <t>-</t>
        </is>
      </c>
      <c r="Q1103" s="12" t="inlineStr">
        <is>
          <t>-</t>
        </is>
      </c>
    </row>
    <row r="1104">
      <c r="A1104" s="47" t="n"/>
      <c r="B1104" s="13" t="inlineStr">
        <is>
          <t>-</t>
        </is>
      </c>
      <c r="C1104" s="14" t="inlineStr">
        <is>
          <t>-</t>
        </is>
      </c>
      <c r="D1104" s="14" t="inlineStr">
        <is>
          <t>-</t>
        </is>
      </c>
      <c r="E1104" s="14" t="inlineStr">
        <is>
          <t>-</t>
        </is>
      </c>
      <c r="F1104" s="14" t="inlineStr">
        <is>
          <t>-</t>
        </is>
      </c>
      <c r="G1104" s="14" t="inlineStr">
        <is>
          <t>-</t>
        </is>
      </c>
      <c r="H1104" s="14" t="inlineStr">
        <is>
          <t>-</t>
        </is>
      </c>
      <c r="I1104" s="14" t="inlineStr">
        <is>
          <t>-</t>
        </is>
      </c>
      <c r="J1104" s="14" t="inlineStr">
        <is>
          <t>-</t>
        </is>
      </c>
      <c r="K1104" s="14" t="inlineStr">
        <is>
          <t>-</t>
        </is>
      </c>
      <c r="L1104" s="14" t="inlineStr">
        <is>
          <t>-</t>
        </is>
      </c>
      <c r="M1104" s="14" t="inlineStr">
        <is>
          <t>-</t>
        </is>
      </c>
      <c r="N1104" s="14" t="inlineStr">
        <is>
          <t>-</t>
        </is>
      </c>
      <c r="O1104" s="14" t="inlineStr">
        <is>
          <t>-</t>
        </is>
      </c>
      <c r="P1104" s="14" t="inlineStr">
        <is>
          <t>-</t>
        </is>
      </c>
      <c r="Q1104" s="15" t="inlineStr">
        <is>
          <t>-</t>
        </is>
      </c>
    </row>
    <row r="1105">
      <c r="A1105" s="47" t="n"/>
      <c r="B1105" s="16" t="inlineStr">
        <is>
          <t>-</t>
        </is>
      </c>
      <c r="C1105" s="11" t="inlineStr">
        <is>
          <t>-</t>
        </is>
      </c>
      <c r="D1105" s="11" t="inlineStr">
        <is>
          <t>-</t>
        </is>
      </c>
      <c r="E1105" s="11" t="inlineStr">
        <is>
          <t>-</t>
        </is>
      </c>
      <c r="F1105" s="11" t="inlineStr">
        <is>
          <t>-</t>
        </is>
      </c>
      <c r="G1105" s="11" t="inlineStr">
        <is>
          <t>-</t>
        </is>
      </c>
      <c r="H1105" s="11" t="inlineStr">
        <is>
          <t>-</t>
        </is>
      </c>
      <c r="I1105" s="11" t="inlineStr">
        <is>
          <t>-</t>
        </is>
      </c>
      <c r="J1105" s="11" t="inlineStr">
        <is>
          <t>-</t>
        </is>
      </c>
      <c r="K1105" s="11" t="inlineStr">
        <is>
          <t>-</t>
        </is>
      </c>
      <c r="L1105" s="11" t="inlineStr">
        <is>
          <t>-</t>
        </is>
      </c>
      <c r="M1105" s="11" t="inlineStr">
        <is>
          <t>-</t>
        </is>
      </c>
      <c r="N1105" s="11" t="inlineStr">
        <is>
          <t>-</t>
        </is>
      </c>
      <c r="O1105" s="11" t="inlineStr">
        <is>
          <t>-</t>
        </is>
      </c>
      <c r="P1105" s="11" t="inlineStr">
        <is>
          <t>-</t>
        </is>
      </c>
      <c r="Q1105" s="12" t="inlineStr">
        <is>
          <t>-</t>
        </is>
      </c>
    </row>
    <row r="1106" ht="36" customHeight="1" s="155">
      <c r="B1106" s="46" t="inlineStr">
        <is>
          <t>pastiera</t>
        </is>
      </c>
      <c r="C1106" s="49">
        <f>_xlfn.XLOOKUP(A1107,Magazzino!$D$1:$D$1500,Magazzino!$F$1:$F$1500,"",0,1)</f>
        <v/>
      </c>
      <c r="D1106" s="50">
        <f>_xlfn.XLOOKUP(A1108,Magazzino!$D$1:$D$1500,Magazzino!$F$1:$F$1500,"",0,1)</f>
        <v/>
      </c>
      <c r="E1106" s="50">
        <f>_xlfn.XLOOKUP(A1109,Magazzino!$D$1:$D$1500,Magazzino!$F$1:$F$1500,"",0,1)</f>
        <v/>
      </c>
      <c r="F1106" s="50">
        <f>_xlfn.XLOOKUP(A1110,Magazzino!$D$1:$D$1500,Magazzino!$F$1:$F$1500,"",0,1)</f>
        <v/>
      </c>
      <c r="G1106" s="50">
        <f>_xlfn.XLOOKUP(A1111,Magazzino!$D$1:$D$1500,Magazzino!$F$1:$F$1500,"",0,1)</f>
        <v/>
      </c>
      <c r="H1106" s="50">
        <f>_xlfn.XLOOKUP(A1112,Magazzino!$D$1:$D$1500,Magazzino!$F$1:$F$1500,"",0,1)</f>
        <v/>
      </c>
      <c r="I1106" s="50">
        <f>_xlfn.XLOOKUP(A1113,Magazzino!$D$1:$D$1500,Magazzino!$F$1:$F$1500,"",0,1)</f>
        <v/>
      </c>
      <c r="J1106" s="50">
        <f>_xlfn.XLOOKUP(A1114,Magazzino!$D$1:$D$1500,Magazzino!$F$1:$F$1500,"",0,1)</f>
        <v/>
      </c>
      <c r="K1106" s="50">
        <f>_xlfn.XLOOKUP(A1115,Magazzino!$D$1:$D$1500,Magazzino!$F$1:$F$1500,"",0,1)</f>
        <v/>
      </c>
      <c r="L1106" s="50">
        <f>_xlfn.XLOOKUP(A1116,Magazzino!$D$1:$D$1500,Magazzino!$F$1:$F$1500,"",0,1)</f>
        <v/>
      </c>
      <c r="M1106" s="50">
        <f>_xlfn.XLOOKUP(A1117,Magazzino!$D$1:$D$1500,Magazzino!$F$1:$F$1500,"",0,1)</f>
        <v/>
      </c>
      <c r="N1106" s="50">
        <f>_xlfn.XLOOKUP(A1118,Magazzino!$D$1:$D$1500,Magazzino!$F$1:$F$1500,"",0,1)</f>
        <v/>
      </c>
      <c r="O1106" s="50">
        <f>_xlfn.XLOOKUP(A1119,Magazzino!$D$1:$D$1500,Magazzino!$F$1:$F$1500,"",0,1)</f>
        <v/>
      </c>
      <c r="P1106" s="50">
        <f>_xlfn.XLOOKUP(A1120,Magazzino!$D$1:$D$1500,Magazzino!$F$1:$F$1500,"",0,1)</f>
        <v/>
      </c>
      <c r="Q1106" s="51">
        <f>_xlfn.XLOOKUP(A1121,Magazzino!$D$1:$D$1500,Magazzino!$F$1:$F$1500,"",0,1)</f>
        <v/>
      </c>
    </row>
    <row r="1107">
      <c r="A1107" s="47" t="inlineStr">
        <is>
          <t xml:space="preserve">FARINA 0/MAN. CAPUTO DA KG.25  </t>
        </is>
      </c>
      <c r="B1107" s="16" t="inlineStr">
        <is>
          <t>-</t>
        </is>
      </c>
      <c r="C1107" s="11" t="inlineStr">
        <is>
          <t>-</t>
        </is>
      </c>
      <c r="D1107" s="11" t="inlineStr">
        <is>
          <t>-</t>
        </is>
      </c>
      <c r="E1107" s="11" t="inlineStr">
        <is>
          <t>-</t>
        </is>
      </c>
      <c r="F1107" s="11" t="inlineStr">
        <is>
          <t>-</t>
        </is>
      </c>
      <c r="G1107" s="11" t="inlineStr">
        <is>
          <t>-</t>
        </is>
      </c>
      <c r="H1107" s="11" t="inlineStr">
        <is>
          <t>-</t>
        </is>
      </c>
      <c r="I1107" s="11" t="inlineStr">
        <is>
          <t>-</t>
        </is>
      </c>
      <c r="J1107" s="11" t="inlineStr">
        <is>
          <t>-</t>
        </is>
      </c>
      <c r="K1107" s="11" t="inlineStr">
        <is>
          <t>-</t>
        </is>
      </c>
      <c r="L1107" s="11" t="inlineStr">
        <is>
          <t>-</t>
        </is>
      </c>
      <c r="M1107" s="11" t="inlineStr">
        <is>
          <t>-</t>
        </is>
      </c>
      <c r="N1107" s="11" t="inlineStr">
        <is>
          <t>-</t>
        </is>
      </c>
      <c r="O1107" s="11" t="inlineStr">
        <is>
          <t>-</t>
        </is>
      </c>
      <c r="P1107" s="11" t="inlineStr">
        <is>
          <t>-</t>
        </is>
      </c>
      <c r="Q1107" s="12" t="inlineStr">
        <is>
          <t>-</t>
        </is>
      </c>
    </row>
    <row r="1108">
      <c r="A1108" s="47" t="inlineStr">
        <is>
          <t xml:space="preserve">STRUTTO RAFFINATO I B VERDE  </t>
        </is>
      </c>
      <c r="B1108" s="13" t="inlineStr">
        <is>
          <t>-</t>
        </is>
      </c>
      <c r="C1108" s="14" t="inlineStr">
        <is>
          <t>-</t>
        </is>
      </c>
      <c r="D1108" s="14" t="inlineStr">
        <is>
          <t>-</t>
        </is>
      </c>
      <c r="E1108" s="14" t="inlineStr">
        <is>
          <t>-</t>
        </is>
      </c>
      <c r="F1108" s="14" t="inlineStr">
        <is>
          <t>-</t>
        </is>
      </c>
      <c r="G1108" s="14" t="inlineStr">
        <is>
          <t>-</t>
        </is>
      </c>
      <c r="H1108" s="14" t="inlineStr">
        <is>
          <t>-</t>
        </is>
      </c>
      <c r="I1108" s="14" t="inlineStr">
        <is>
          <t>-</t>
        </is>
      </c>
      <c r="J1108" s="14" t="inlineStr">
        <is>
          <t>-</t>
        </is>
      </c>
      <c r="K1108" s="14" t="inlineStr">
        <is>
          <t>-</t>
        </is>
      </c>
      <c r="L1108" s="14" t="inlineStr">
        <is>
          <t>-</t>
        </is>
      </c>
      <c r="M1108" s="14" t="inlineStr">
        <is>
          <t>-</t>
        </is>
      </c>
      <c r="N1108" s="14" t="inlineStr">
        <is>
          <t>-</t>
        </is>
      </c>
      <c r="O1108" s="14" t="inlineStr">
        <is>
          <t>-</t>
        </is>
      </c>
      <c r="P1108" s="14" t="inlineStr">
        <is>
          <t>-</t>
        </is>
      </c>
      <c r="Q1108" s="15" t="inlineStr">
        <is>
          <t>-</t>
        </is>
      </c>
    </row>
    <row r="1109">
      <c r="A1109" s="47" t="inlineStr">
        <is>
          <t>zucchero a velo</t>
        </is>
      </c>
      <c r="B1109" s="16" t="inlineStr">
        <is>
          <t>-</t>
        </is>
      </c>
      <c r="C1109" s="11" t="inlineStr">
        <is>
          <t>-</t>
        </is>
      </c>
      <c r="D1109" s="11" t="inlineStr">
        <is>
          <t>-</t>
        </is>
      </c>
      <c r="E1109" s="11" t="inlineStr">
        <is>
          <t>-</t>
        </is>
      </c>
      <c r="F1109" s="11" t="inlineStr">
        <is>
          <t>-</t>
        </is>
      </c>
      <c r="G1109" s="11" t="inlineStr">
        <is>
          <t>-</t>
        </is>
      </c>
      <c r="H1109" s="11" t="inlineStr">
        <is>
          <t>-</t>
        </is>
      </c>
      <c r="I1109" s="11" t="inlineStr">
        <is>
          <t>-</t>
        </is>
      </c>
      <c r="J1109" s="11" t="inlineStr">
        <is>
          <t>-</t>
        </is>
      </c>
      <c r="K1109" s="11" t="inlineStr">
        <is>
          <t>-</t>
        </is>
      </c>
      <c r="L1109" s="11" t="inlineStr">
        <is>
          <t>-</t>
        </is>
      </c>
      <c r="M1109" s="11" t="inlineStr">
        <is>
          <t>-</t>
        </is>
      </c>
      <c r="N1109" s="11" t="inlineStr">
        <is>
          <t>-</t>
        </is>
      </c>
      <c r="O1109" s="11" t="inlineStr">
        <is>
          <t>-</t>
        </is>
      </c>
      <c r="P1109" s="11" t="inlineStr">
        <is>
          <t>-</t>
        </is>
      </c>
      <c r="Q1109" s="12" t="inlineStr">
        <is>
          <t>-</t>
        </is>
      </c>
    </row>
    <row r="1110">
      <c r="A1110" s="48" t="inlineStr">
        <is>
          <t xml:space="preserve">SALE SACCHI SALTECHNO KG.25  </t>
        </is>
      </c>
      <c r="B1110" s="13" t="inlineStr">
        <is>
          <t>-</t>
        </is>
      </c>
      <c r="C1110" s="14" t="inlineStr">
        <is>
          <t>-</t>
        </is>
      </c>
      <c r="D1110" s="14" t="inlineStr">
        <is>
          <t>-</t>
        </is>
      </c>
      <c r="E1110" s="14" t="inlineStr">
        <is>
          <t>-</t>
        </is>
      </c>
      <c r="F1110" s="14" t="inlineStr">
        <is>
          <t>-</t>
        </is>
      </c>
      <c r="G1110" s="14" t="inlineStr">
        <is>
          <t>-</t>
        </is>
      </c>
      <c r="H1110" s="14" t="inlineStr">
        <is>
          <t>-</t>
        </is>
      </c>
      <c r="I1110" s="14" t="inlineStr">
        <is>
          <t>-</t>
        </is>
      </c>
      <c r="J1110" s="14" t="inlineStr">
        <is>
          <t>-</t>
        </is>
      </c>
      <c r="K1110" s="14" t="inlineStr">
        <is>
          <t>-</t>
        </is>
      </c>
      <c r="L1110" s="14" t="inlineStr">
        <is>
          <t>-</t>
        </is>
      </c>
      <c r="M1110" s="14" t="inlineStr">
        <is>
          <t>-</t>
        </is>
      </c>
      <c r="N1110" s="14" t="inlineStr">
        <is>
          <t>-</t>
        </is>
      </c>
      <c r="O1110" s="14" t="inlineStr">
        <is>
          <t>-</t>
        </is>
      </c>
      <c r="P1110" s="14" t="inlineStr">
        <is>
          <t>-</t>
        </is>
      </c>
      <c r="Q1110" s="15" t="inlineStr">
        <is>
          <t>-</t>
        </is>
      </c>
    </row>
    <row r="1111">
      <c r="A1111" s="47" t="inlineStr">
        <is>
          <t>granno</t>
        </is>
      </c>
      <c r="B1111" s="16" t="inlineStr">
        <is>
          <t>-</t>
        </is>
      </c>
      <c r="C1111" s="11" t="inlineStr">
        <is>
          <t>-</t>
        </is>
      </c>
      <c r="D1111" s="11" t="inlineStr">
        <is>
          <t>-</t>
        </is>
      </c>
      <c r="E1111" s="11" t="inlineStr">
        <is>
          <t>-</t>
        </is>
      </c>
      <c r="F1111" s="11" t="inlineStr">
        <is>
          <t>-</t>
        </is>
      </c>
      <c r="G1111" s="11" t="inlineStr">
        <is>
          <t>-</t>
        </is>
      </c>
      <c r="H1111" s="11" t="inlineStr">
        <is>
          <t>-</t>
        </is>
      </c>
      <c r="I1111" s="11" t="inlineStr">
        <is>
          <t>-</t>
        </is>
      </c>
      <c r="J1111" s="11" t="inlineStr">
        <is>
          <t>-</t>
        </is>
      </c>
      <c r="K1111" s="11" t="inlineStr">
        <is>
          <t>-</t>
        </is>
      </c>
      <c r="L1111" s="11" t="inlineStr">
        <is>
          <t>-</t>
        </is>
      </c>
      <c r="M1111" s="11" t="inlineStr">
        <is>
          <t>-</t>
        </is>
      </c>
      <c r="N1111" s="11" t="inlineStr">
        <is>
          <t>-</t>
        </is>
      </c>
      <c r="O1111" s="11" t="inlineStr">
        <is>
          <t>-</t>
        </is>
      </c>
      <c r="P1111" s="11" t="inlineStr">
        <is>
          <t>-</t>
        </is>
      </c>
      <c r="Q1111" s="12" t="inlineStr">
        <is>
          <t>-</t>
        </is>
      </c>
    </row>
    <row r="1112">
      <c r="A1112" s="47" t="inlineStr">
        <is>
          <t>latte   1500 int.uht  yma</t>
        </is>
      </c>
      <c r="B1112" s="13" t="inlineStr">
        <is>
          <t>-</t>
        </is>
      </c>
      <c r="C1112" s="14" t="inlineStr">
        <is>
          <t>-</t>
        </is>
      </c>
      <c r="D1112" s="14" t="inlineStr">
        <is>
          <t>-</t>
        </is>
      </c>
      <c r="E1112" s="14" t="inlineStr">
        <is>
          <t>-</t>
        </is>
      </c>
      <c r="F1112" s="14" t="inlineStr">
        <is>
          <t>-</t>
        </is>
      </c>
      <c r="G1112" s="14" t="inlineStr">
        <is>
          <t>-</t>
        </is>
      </c>
      <c r="H1112" s="14" t="inlineStr">
        <is>
          <t>-</t>
        </is>
      </c>
      <c r="I1112" s="14" t="inlineStr">
        <is>
          <t>-</t>
        </is>
      </c>
      <c r="J1112" s="14" t="inlineStr">
        <is>
          <t>-</t>
        </is>
      </c>
      <c r="K1112" s="14" t="inlineStr">
        <is>
          <t>-</t>
        </is>
      </c>
      <c r="L1112" s="14" t="inlineStr">
        <is>
          <t>-</t>
        </is>
      </c>
      <c r="M1112" s="14" t="inlineStr">
        <is>
          <t>-</t>
        </is>
      </c>
      <c r="N1112" s="14" t="inlineStr">
        <is>
          <t>-</t>
        </is>
      </c>
      <c r="O1112" s="14" t="inlineStr">
        <is>
          <t>-</t>
        </is>
      </c>
      <c r="P1112" s="14" t="inlineStr">
        <is>
          <t>-</t>
        </is>
      </c>
      <c r="Q1112" s="15" t="inlineStr">
        <is>
          <t>-</t>
        </is>
      </c>
    </row>
    <row r="1113">
      <c r="A1113" s="47" t="inlineStr">
        <is>
          <t>uova</t>
        </is>
      </c>
      <c r="B1113" s="16" t="inlineStr">
        <is>
          <t>-</t>
        </is>
      </c>
      <c r="C1113" s="11" t="inlineStr">
        <is>
          <t>-</t>
        </is>
      </c>
      <c r="D1113" s="11" t="inlineStr">
        <is>
          <t>-</t>
        </is>
      </c>
      <c r="E1113" s="11" t="inlineStr">
        <is>
          <t>-</t>
        </is>
      </c>
      <c r="F1113" s="11" t="inlineStr">
        <is>
          <t>-</t>
        </is>
      </c>
      <c r="G1113" s="11" t="inlineStr">
        <is>
          <t>-</t>
        </is>
      </c>
      <c r="H1113" s="11" t="inlineStr">
        <is>
          <t>-</t>
        </is>
      </c>
      <c r="I1113" s="11" t="inlineStr">
        <is>
          <t>-</t>
        </is>
      </c>
      <c r="J1113" s="11" t="inlineStr">
        <is>
          <t>-</t>
        </is>
      </c>
      <c r="K1113" s="11" t="inlineStr">
        <is>
          <t>-</t>
        </is>
      </c>
      <c r="L1113" s="11" t="inlineStr">
        <is>
          <t>-</t>
        </is>
      </c>
      <c r="M1113" s="11" t="inlineStr">
        <is>
          <t>-</t>
        </is>
      </c>
      <c r="N1113" s="11" t="inlineStr">
        <is>
          <t>-</t>
        </is>
      </c>
      <c r="O1113" s="11" t="inlineStr">
        <is>
          <t>-</t>
        </is>
      </c>
      <c r="P1113" s="11" t="inlineStr">
        <is>
          <t>-</t>
        </is>
      </c>
      <c r="Q1113" s="12" t="inlineStr">
        <is>
          <t>-</t>
        </is>
      </c>
    </row>
    <row r="1114">
      <c r="A1114" s="47" t="n"/>
      <c r="B1114" s="13" t="inlineStr">
        <is>
          <t>-</t>
        </is>
      </c>
      <c r="C1114" s="14" t="inlineStr">
        <is>
          <t>-</t>
        </is>
      </c>
      <c r="D1114" s="14" t="inlineStr">
        <is>
          <t>-</t>
        </is>
      </c>
      <c r="E1114" s="14" t="inlineStr">
        <is>
          <t>-</t>
        </is>
      </c>
      <c r="F1114" s="14" t="inlineStr">
        <is>
          <t>-</t>
        </is>
      </c>
      <c r="G1114" s="14" t="inlineStr">
        <is>
          <t>-</t>
        </is>
      </c>
      <c r="H1114" s="14" t="inlineStr">
        <is>
          <t>-</t>
        </is>
      </c>
      <c r="I1114" s="14" t="inlineStr">
        <is>
          <t>-</t>
        </is>
      </c>
      <c r="J1114" s="14" t="inlineStr">
        <is>
          <t>-</t>
        </is>
      </c>
      <c r="K1114" s="14" t="inlineStr">
        <is>
          <t>-</t>
        </is>
      </c>
      <c r="L1114" s="14" t="inlineStr">
        <is>
          <t>-</t>
        </is>
      </c>
      <c r="M1114" s="14" t="inlineStr">
        <is>
          <t>-</t>
        </is>
      </c>
      <c r="N1114" s="14" t="inlineStr">
        <is>
          <t>-</t>
        </is>
      </c>
      <c r="O1114" s="14" t="inlineStr">
        <is>
          <t>-</t>
        </is>
      </c>
      <c r="P1114" s="14" t="inlineStr">
        <is>
          <t>-</t>
        </is>
      </c>
      <c r="Q1114" s="15" t="inlineStr">
        <is>
          <t>-</t>
        </is>
      </c>
    </row>
    <row r="1115">
      <c r="A1115" s="47" t="n"/>
      <c r="B1115" s="16" t="inlineStr">
        <is>
          <t>-</t>
        </is>
      </c>
      <c r="C1115" s="11" t="inlineStr">
        <is>
          <t>-</t>
        </is>
      </c>
      <c r="D1115" s="11" t="inlineStr">
        <is>
          <t>-</t>
        </is>
      </c>
      <c r="E1115" s="11" t="inlineStr">
        <is>
          <t>-</t>
        </is>
      </c>
      <c r="F1115" s="11" t="inlineStr">
        <is>
          <t>-</t>
        </is>
      </c>
      <c r="G1115" s="11" t="inlineStr">
        <is>
          <t>-</t>
        </is>
      </c>
      <c r="H1115" s="11" t="inlineStr">
        <is>
          <t>-</t>
        </is>
      </c>
      <c r="I1115" s="11" t="inlineStr">
        <is>
          <t>-</t>
        </is>
      </c>
      <c r="J1115" s="11" t="inlineStr">
        <is>
          <t>-</t>
        </is>
      </c>
      <c r="K1115" s="11" t="inlineStr">
        <is>
          <t>-</t>
        </is>
      </c>
      <c r="L1115" s="11" t="inlineStr">
        <is>
          <t>-</t>
        </is>
      </c>
      <c r="M1115" s="11" t="inlineStr">
        <is>
          <t>-</t>
        </is>
      </c>
      <c r="N1115" s="11" t="inlineStr">
        <is>
          <t>-</t>
        </is>
      </c>
      <c r="O1115" s="11" t="inlineStr">
        <is>
          <t>-</t>
        </is>
      </c>
      <c r="P1115" s="11" t="inlineStr">
        <is>
          <t>-</t>
        </is>
      </c>
      <c r="Q1115" s="12" t="inlineStr">
        <is>
          <t>-</t>
        </is>
      </c>
    </row>
    <row r="1116">
      <c r="A1116" s="47" t="n"/>
      <c r="B1116" s="13" t="inlineStr">
        <is>
          <t>-</t>
        </is>
      </c>
      <c r="C1116" s="14" t="inlineStr">
        <is>
          <t>-</t>
        </is>
      </c>
      <c r="D1116" s="14" t="inlineStr">
        <is>
          <t>-</t>
        </is>
      </c>
      <c r="E1116" s="14" t="inlineStr">
        <is>
          <t>-</t>
        </is>
      </c>
      <c r="F1116" s="14" t="inlineStr">
        <is>
          <t>-</t>
        </is>
      </c>
      <c r="G1116" s="14" t="inlineStr">
        <is>
          <t>-</t>
        </is>
      </c>
      <c r="H1116" s="14" t="inlineStr">
        <is>
          <t>-</t>
        </is>
      </c>
      <c r="I1116" s="14" t="inlineStr">
        <is>
          <t>-</t>
        </is>
      </c>
      <c r="J1116" s="14" t="inlineStr">
        <is>
          <t>-</t>
        </is>
      </c>
      <c r="K1116" s="14" t="inlineStr">
        <is>
          <t>-</t>
        </is>
      </c>
      <c r="L1116" s="14" t="inlineStr">
        <is>
          <t>-</t>
        </is>
      </c>
      <c r="M1116" s="14" t="inlineStr">
        <is>
          <t>-</t>
        </is>
      </c>
      <c r="N1116" s="14" t="inlineStr">
        <is>
          <t>-</t>
        </is>
      </c>
      <c r="O1116" s="14" t="inlineStr">
        <is>
          <t>-</t>
        </is>
      </c>
      <c r="P1116" s="14" t="inlineStr">
        <is>
          <t>-</t>
        </is>
      </c>
      <c r="Q1116" s="15" t="inlineStr">
        <is>
          <t>-</t>
        </is>
      </c>
    </row>
    <row r="1117">
      <c r="A1117" s="47" t="n"/>
      <c r="B1117" s="16" t="inlineStr">
        <is>
          <t>-</t>
        </is>
      </c>
      <c r="C1117" s="11" t="inlineStr">
        <is>
          <t>-</t>
        </is>
      </c>
      <c r="D1117" s="11" t="inlineStr">
        <is>
          <t>-</t>
        </is>
      </c>
      <c r="E1117" s="11" t="inlineStr">
        <is>
          <t>-</t>
        </is>
      </c>
      <c r="F1117" s="11" t="inlineStr">
        <is>
          <t>-</t>
        </is>
      </c>
      <c r="G1117" s="11" t="inlineStr">
        <is>
          <t>-</t>
        </is>
      </c>
      <c r="H1117" s="11" t="inlineStr">
        <is>
          <t>-</t>
        </is>
      </c>
      <c r="I1117" s="11" t="inlineStr">
        <is>
          <t>-</t>
        </is>
      </c>
      <c r="J1117" s="11" t="inlineStr">
        <is>
          <t>-</t>
        </is>
      </c>
      <c r="K1117" s="11" t="inlineStr">
        <is>
          <t>-</t>
        </is>
      </c>
      <c r="L1117" s="11" t="inlineStr">
        <is>
          <t>-</t>
        </is>
      </c>
      <c r="M1117" s="11" t="inlineStr">
        <is>
          <t>-</t>
        </is>
      </c>
      <c r="N1117" s="11" t="inlineStr">
        <is>
          <t>-</t>
        </is>
      </c>
      <c r="O1117" s="11" t="inlineStr">
        <is>
          <t>-</t>
        </is>
      </c>
      <c r="P1117" s="11" t="inlineStr">
        <is>
          <t>-</t>
        </is>
      </c>
      <c r="Q1117" s="12" t="inlineStr">
        <is>
          <t>-</t>
        </is>
      </c>
    </row>
    <row r="1118">
      <c r="A1118" s="47" t="n"/>
      <c r="B1118" s="13" t="inlineStr">
        <is>
          <t>-</t>
        </is>
      </c>
      <c r="C1118" s="14" t="inlineStr">
        <is>
          <t>-</t>
        </is>
      </c>
      <c r="D1118" s="14" t="inlineStr">
        <is>
          <t>-</t>
        </is>
      </c>
      <c r="E1118" s="14" t="inlineStr">
        <is>
          <t>-</t>
        </is>
      </c>
      <c r="F1118" s="14" t="inlineStr">
        <is>
          <t>-</t>
        </is>
      </c>
      <c r="G1118" s="14" t="inlineStr">
        <is>
          <t>-</t>
        </is>
      </c>
      <c r="H1118" s="14" t="inlineStr">
        <is>
          <t>-</t>
        </is>
      </c>
      <c r="I1118" s="14" t="inlineStr">
        <is>
          <t>-</t>
        </is>
      </c>
      <c r="J1118" s="14" t="inlineStr">
        <is>
          <t>-</t>
        </is>
      </c>
      <c r="K1118" s="14" t="inlineStr">
        <is>
          <t>-</t>
        </is>
      </c>
      <c r="L1118" s="14" t="inlineStr">
        <is>
          <t>-</t>
        </is>
      </c>
      <c r="M1118" s="14" t="inlineStr">
        <is>
          <t>-</t>
        </is>
      </c>
      <c r="N1118" s="14" t="inlineStr">
        <is>
          <t>-</t>
        </is>
      </c>
      <c r="O1118" s="14" t="inlineStr">
        <is>
          <t>-</t>
        </is>
      </c>
      <c r="P1118" s="14" t="inlineStr">
        <is>
          <t>-</t>
        </is>
      </c>
      <c r="Q1118" s="15" t="inlineStr">
        <is>
          <t>-</t>
        </is>
      </c>
    </row>
    <row r="1119">
      <c r="A1119" s="47" t="n"/>
      <c r="B1119" s="16" t="inlineStr">
        <is>
          <t>-</t>
        </is>
      </c>
      <c r="C1119" s="11" t="inlineStr">
        <is>
          <t>-</t>
        </is>
      </c>
      <c r="D1119" s="11" t="inlineStr">
        <is>
          <t>-</t>
        </is>
      </c>
      <c r="E1119" s="11" t="inlineStr">
        <is>
          <t>-</t>
        </is>
      </c>
      <c r="F1119" s="11" t="inlineStr">
        <is>
          <t>-</t>
        </is>
      </c>
      <c r="G1119" s="11" t="inlineStr">
        <is>
          <t>-</t>
        </is>
      </c>
      <c r="H1119" s="11" t="inlineStr">
        <is>
          <t>-</t>
        </is>
      </c>
      <c r="I1119" s="11" t="inlineStr">
        <is>
          <t>-</t>
        </is>
      </c>
      <c r="J1119" s="11" t="inlineStr">
        <is>
          <t>-</t>
        </is>
      </c>
      <c r="K1119" s="11" t="inlineStr">
        <is>
          <t>-</t>
        </is>
      </c>
      <c r="L1119" s="11" t="inlineStr">
        <is>
          <t>-</t>
        </is>
      </c>
      <c r="M1119" s="11" t="inlineStr">
        <is>
          <t>-</t>
        </is>
      </c>
      <c r="N1119" s="11" t="inlineStr">
        <is>
          <t>-</t>
        </is>
      </c>
      <c r="O1119" s="11" t="inlineStr">
        <is>
          <t>-</t>
        </is>
      </c>
      <c r="P1119" s="11" t="inlineStr">
        <is>
          <t>-</t>
        </is>
      </c>
      <c r="Q1119" s="12" t="inlineStr">
        <is>
          <t>-</t>
        </is>
      </c>
    </row>
    <row r="1120">
      <c r="A1120" s="47" t="n"/>
      <c r="B1120" s="13" t="inlineStr">
        <is>
          <t>-</t>
        </is>
      </c>
      <c r="C1120" s="14" t="inlineStr">
        <is>
          <t>-</t>
        </is>
      </c>
      <c r="D1120" s="14" t="inlineStr">
        <is>
          <t>-</t>
        </is>
      </c>
      <c r="E1120" s="14" t="inlineStr">
        <is>
          <t>-</t>
        </is>
      </c>
      <c r="F1120" s="14" t="inlineStr">
        <is>
          <t>-</t>
        </is>
      </c>
      <c r="G1120" s="14" t="inlineStr">
        <is>
          <t>-</t>
        </is>
      </c>
      <c r="H1120" s="14" t="inlineStr">
        <is>
          <t>-</t>
        </is>
      </c>
      <c r="I1120" s="14" t="inlineStr">
        <is>
          <t>-</t>
        </is>
      </c>
      <c r="J1120" s="14" t="inlineStr">
        <is>
          <t>-</t>
        </is>
      </c>
      <c r="K1120" s="14" t="inlineStr">
        <is>
          <t>-</t>
        </is>
      </c>
      <c r="L1120" s="14" t="inlineStr">
        <is>
          <t>-</t>
        </is>
      </c>
      <c r="M1120" s="14" t="inlineStr">
        <is>
          <t>-</t>
        </is>
      </c>
      <c r="N1120" s="14" t="inlineStr">
        <is>
          <t>-</t>
        </is>
      </c>
      <c r="O1120" s="14" t="inlineStr">
        <is>
          <t>-</t>
        </is>
      </c>
      <c r="P1120" s="14" t="inlineStr">
        <is>
          <t>-</t>
        </is>
      </c>
      <c r="Q1120" s="15" t="inlineStr">
        <is>
          <t>-</t>
        </is>
      </c>
    </row>
    <row r="1121">
      <c r="A1121" s="47" t="n"/>
      <c r="B1121" s="16" t="inlineStr">
        <is>
          <t>-</t>
        </is>
      </c>
      <c r="C1121" s="11" t="inlineStr">
        <is>
          <t>-</t>
        </is>
      </c>
      <c r="D1121" s="11" t="inlineStr">
        <is>
          <t>-</t>
        </is>
      </c>
      <c r="E1121" s="11" t="inlineStr">
        <is>
          <t>-</t>
        </is>
      </c>
      <c r="F1121" s="11" t="inlineStr">
        <is>
          <t>-</t>
        </is>
      </c>
      <c r="G1121" s="11" t="inlineStr">
        <is>
          <t>-</t>
        </is>
      </c>
      <c r="H1121" s="11" t="inlineStr">
        <is>
          <t>-</t>
        </is>
      </c>
      <c r="I1121" s="11" t="inlineStr">
        <is>
          <t>-</t>
        </is>
      </c>
      <c r="J1121" s="11" t="inlineStr">
        <is>
          <t>-</t>
        </is>
      </c>
      <c r="K1121" s="11" t="inlineStr">
        <is>
          <t>-</t>
        </is>
      </c>
      <c r="L1121" s="11" t="inlineStr">
        <is>
          <t>-</t>
        </is>
      </c>
      <c r="M1121" s="11" t="inlineStr">
        <is>
          <t>-</t>
        </is>
      </c>
      <c r="N1121" s="11" t="inlineStr">
        <is>
          <t>-</t>
        </is>
      </c>
      <c r="O1121" s="11" t="inlineStr">
        <is>
          <t>-</t>
        </is>
      </c>
      <c r="P1121" s="11" t="inlineStr">
        <is>
          <t>-</t>
        </is>
      </c>
      <c r="Q1121" s="12" t="inlineStr">
        <is>
          <t>-</t>
        </is>
      </c>
    </row>
    <row r="1122" ht="36" customHeight="1" s="155">
      <c r="B1122" s="46" t="inlineStr">
        <is>
          <t>prussiana</t>
        </is>
      </c>
      <c r="C1122" s="49">
        <f>_xlfn.XLOOKUP(A1123,Magazzino!$D$1:$D$1500,Magazzino!$F$1:$F$1500,"",0,1)</f>
        <v/>
      </c>
      <c r="D1122" s="50">
        <f>_xlfn.XLOOKUP(A1124,Magazzino!$D$1:$D$1500,Magazzino!$F$1:$F$1500,"",0,1)</f>
        <v/>
      </c>
      <c r="E1122" s="50">
        <f>_xlfn.XLOOKUP(A1125,Magazzino!$D$1:$D$1500,Magazzino!$F$1:$F$1500,"",0,1)</f>
        <v/>
      </c>
      <c r="F1122" s="50">
        <f>_xlfn.XLOOKUP(A1126,Magazzino!$D$1:$D$1500,Magazzino!$F$1:$F$1500,"",0,1)</f>
        <v/>
      </c>
      <c r="G1122" s="50">
        <f>_xlfn.XLOOKUP(A1127,Magazzino!$D$1:$D$1500,Magazzino!$F$1:$F$1500,"",0,1)</f>
        <v/>
      </c>
      <c r="H1122" s="50">
        <f>_xlfn.XLOOKUP(A1128,Magazzino!$D$1:$D$1500,Magazzino!$F$1:$F$1500,"",0,1)</f>
        <v/>
      </c>
      <c r="I1122" s="50">
        <f>_xlfn.XLOOKUP(A1129,Magazzino!$D$1:$D$1500,Magazzino!$F$1:$F$1500,"",0,1)</f>
        <v/>
      </c>
      <c r="J1122" s="50">
        <f>_xlfn.XLOOKUP(A1130,Magazzino!$D$1:$D$1500,Magazzino!$F$1:$F$1500,"",0,1)</f>
        <v/>
      </c>
      <c r="K1122" s="50">
        <f>_xlfn.XLOOKUP(A1131,Magazzino!$D$1:$D$1500,Magazzino!$F$1:$F$1500,"",0,1)</f>
        <v/>
      </c>
      <c r="L1122" s="50">
        <f>_xlfn.XLOOKUP(A1132,Magazzino!$D$1:$D$1500,Magazzino!$F$1:$F$1500,"",0,1)</f>
        <v/>
      </c>
      <c r="M1122" s="50">
        <f>_xlfn.XLOOKUP(A1133,Magazzino!$D$1:$D$1500,Magazzino!$F$1:$F$1500,"",0,1)</f>
        <v/>
      </c>
      <c r="N1122" s="50">
        <f>_xlfn.XLOOKUP(A1134,Magazzino!$D$1:$D$1500,Magazzino!$F$1:$F$1500,"",0,1)</f>
        <v/>
      </c>
      <c r="O1122" s="50">
        <f>_xlfn.XLOOKUP(A1135,Magazzino!$D$1:$D$1500,Magazzino!$F$1:$F$1500,"",0,1)</f>
        <v/>
      </c>
      <c r="P1122" s="50">
        <f>_xlfn.XLOOKUP(A1136,Magazzino!$D$1:$D$1500,Magazzino!$F$1:$F$1500,"",0,1)</f>
        <v/>
      </c>
      <c r="Q1122" s="51">
        <f>_xlfn.XLOOKUP(A1137,Magazzino!$D$1:$D$1500,Magazzino!$F$1:$F$1500,"",0,1)</f>
        <v/>
      </c>
    </row>
    <row r="1123">
      <c r="A1123" s="47" t="inlineStr">
        <is>
          <t xml:space="preserve">FARINA 00 CAPUTO RINFORZ.KG.25  </t>
        </is>
      </c>
      <c r="B1123" s="16" t="inlineStr">
        <is>
          <t>-</t>
        </is>
      </c>
      <c r="C1123" s="11" t="inlineStr">
        <is>
          <t>-</t>
        </is>
      </c>
      <c r="D1123" s="11" t="inlineStr">
        <is>
          <t>-</t>
        </is>
      </c>
      <c r="E1123" s="11" t="inlineStr">
        <is>
          <t>-</t>
        </is>
      </c>
      <c r="F1123" s="11" t="inlineStr">
        <is>
          <t>-</t>
        </is>
      </c>
      <c r="G1123" s="11" t="inlineStr">
        <is>
          <t>-</t>
        </is>
      </c>
      <c r="H1123" s="11" t="inlineStr">
        <is>
          <t>-</t>
        </is>
      </c>
      <c r="I1123" s="11" t="inlineStr">
        <is>
          <t>-</t>
        </is>
      </c>
      <c r="J1123" s="11" t="inlineStr">
        <is>
          <t>-</t>
        </is>
      </c>
      <c r="K1123" s="11" t="inlineStr">
        <is>
          <t>-</t>
        </is>
      </c>
      <c r="L1123" s="11" t="inlineStr">
        <is>
          <t>-</t>
        </is>
      </c>
      <c r="M1123" s="11" t="inlineStr">
        <is>
          <t>-</t>
        </is>
      </c>
      <c r="N1123" s="11" t="inlineStr">
        <is>
          <t>-</t>
        </is>
      </c>
      <c r="O1123" s="11" t="inlineStr">
        <is>
          <t>-</t>
        </is>
      </c>
      <c r="P1123" s="11" t="inlineStr">
        <is>
          <t>-</t>
        </is>
      </c>
      <c r="Q1123" s="12" t="inlineStr">
        <is>
          <t>-</t>
        </is>
      </c>
    </row>
    <row r="1124">
      <c r="A1124" s="48" t="inlineStr">
        <is>
          <t xml:space="preserve">SALE SACCHI SALTECHNO KG.25  </t>
        </is>
      </c>
      <c r="B1124" s="13" t="inlineStr">
        <is>
          <t>-</t>
        </is>
      </c>
      <c r="C1124" s="14" t="inlineStr">
        <is>
          <t>-</t>
        </is>
      </c>
      <c r="D1124" s="14" t="inlineStr">
        <is>
          <t>-</t>
        </is>
      </c>
      <c r="E1124" s="14" t="inlineStr">
        <is>
          <t>-</t>
        </is>
      </c>
      <c r="F1124" s="14" t="inlineStr">
        <is>
          <t>-</t>
        </is>
      </c>
      <c r="G1124" s="14" t="inlineStr">
        <is>
          <t>-</t>
        </is>
      </c>
      <c r="H1124" s="14" t="inlineStr">
        <is>
          <t>-</t>
        </is>
      </c>
      <c r="I1124" s="14" t="inlineStr">
        <is>
          <t>-</t>
        </is>
      </c>
      <c r="J1124" s="14" t="inlineStr">
        <is>
          <t>-</t>
        </is>
      </c>
      <c r="K1124" s="14" t="inlineStr">
        <is>
          <t>-</t>
        </is>
      </c>
      <c r="L1124" s="14" t="inlineStr">
        <is>
          <t>-</t>
        </is>
      </c>
      <c r="M1124" s="14" t="inlineStr">
        <is>
          <t>-</t>
        </is>
      </c>
      <c r="N1124" s="14" t="inlineStr">
        <is>
          <t>-</t>
        </is>
      </c>
      <c r="O1124" s="14" t="inlineStr">
        <is>
          <t>-</t>
        </is>
      </c>
      <c r="P1124" s="14" t="inlineStr">
        <is>
          <t>-</t>
        </is>
      </c>
      <c r="Q1124" s="15" t="inlineStr">
        <is>
          <t>-</t>
        </is>
      </c>
    </row>
    <row r="1125">
      <c r="A1125" s="47" t="inlineStr">
        <is>
          <t>zucchero semolato</t>
        </is>
      </c>
      <c r="B1125" s="16" t="inlineStr">
        <is>
          <t>-</t>
        </is>
      </c>
      <c r="C1125" s="11" t="inlineStr">
        <is>
          <t>-</t>
        </is>
      </c>
      <c r="D1125" s="11" t="inlineStr">
        <is>
          <t>-</t>
        </is>
      </c>
      <c r="E1125" s="11" t="inlineStr">
        <is>
          <t>-</t>
        </is>
      </c>
      <c r="F1125" s="11" t="inlineStr">
        <is>
          <t>-</t>
        </is>
      </c>
      <c r="G1125" s="11" t="inlineStr">
        <is>
          <t>-</t>
        </is>
      </c>
      <c r="H1125" s="11" t="inlineStr">
        <is>
          <t>-</t>
        </is>
      </c>
      <c r="I1125" s="11" t="inlineStr">
        <is>
          <t>-</t>
        </is>
      </c>
      <c r="J1125" s="11" t="inlineStr">
        <is>
          <t>-</t>
        </is>
      </c>
      <c r="K1125" s="11" t="inlineStr">
        <is>
          <t>-</t>
        </is>
      </c>
      <c r="L1125" s="11" t="inlineStr">
        <is>
          <t>-</t>
        </is>
      </c>
      <c r="M1125" s="11" t="inlineStr">
        <is>
          <t>-</t>
        </is>
      </c>
      <c r="N1125" s="11" t="inlineStr">
        <is>
          <t>-</t>
        </is>
      </c>
      <c r="O1125" s="11" t="inlineStr">
        <is>
          <t>-</t>
        </is>
      </c>
      <c r="P1125" s="11" t="inlineStr">
        <is>
          <t>-</t>
        </is>
      </c>
      <c r="Q1125" s="12" t="inlineStr">
        <is>
          <t>-</t>
        </is>
      </c>
    </row>
    <row r="1126">
      <c r="A1126" s="47" t="inlineStr">
        <is>
          <t>margarina crema</t>
        </is>
      </c>
      <c r="B1126" s="13" t="inlineStr">
        <is>
          <t>-</t>
        </is>
      </c>
      <c r="C1126" s="14" t="inlineStr">
        <is>
          <t>-</t>
        </is>
      </c>
      <c r="D1126" s="14" t="inlineStr">
        <is>
          <t>-</t>
        </is>
      </c>
      <c r="E1126" s="14" t="inlineStr">
        <is>
          <t>-</t>
        </is>
      </c>
      <c r="F1126" s="14" t="inlineStr">
        <is>
          <t>-</t>
        </is>
      </c>
      <c r="G1126" s="14" t="inlineStr">
        <is>
          <t>-</t>
        </is>
      </c>
      <c r="H1126" s="14" t="inlineStr">
        <is>
          <t>-</t>
        </is>
      </c>
      <c r="I1126" s="14" t="inlineStr">
        <is>
          <t>-</t>
        </is>
      </c>
      <c r="J1126" s="14" t="inlineStr">
        <is>
          <t>-</t>
        </is>
      </c>
      <c r="K1126" s="14" t="inlineStr">
        <is>
          <t>-</t>
        </is>
      </c>
      <c r="L1126" s="14" t="inlineStr">
        <is>
          <t>-</t>
        </is>
      </c>
      <c r="M1126" s="14" t="inlineStr">
        <is>
          <t>-</t>
        </is>
      </c>
      <c r="N1126" s="14" t="inlineStr">
        <is>
          <t>-</t>
        </is>
      </c>
      <c r="O1126" s="14" t="inlineStr">
        <is>
          <t>-</t>
        </is>
      </c>
      <c r="P1126" s="14" t="inlineStr">
        <is>
          <t>-</t>
        </is>
      </c>
      <c r="Q1126" s="15" t="inlineStr">
        <is>
          <t>-</t>
        </is>
      </c>
    </row>
    <row r="1127">
      <c r="A1127" s="47" t="n"/>
      <c r="B1127" s="16" t="inlineStr">
        <is>
          <t>-</t>
        </is>
      </c>
      <c r="C1127" s="11" t="inlineStr">
        <is>
          <t>-</t>
        </is>
      </c>
      <c r="D1127" s="11" t="inlineStr">
        <is>
          <t>-</t>
        </is>
      </c>
      <c r="E1127" s="11" t="inlineStr">
        <is>
          <t>-</t>
        </is>
      </c>
      <c r="F1127" s="11" t="inlineStr">
        <is>
          <t>-</t>
        </is>
      </c>
      <c r="G1127" s="11" t="inlineStr">
        <is>
          <t>-</t>
        </is>
      </c>
      <c r="H1127" s="11" t="inlineStr">
        <is>
          <t>-</t>
        </is>
      </c>
      <c r="I1127" s="11" t="inlineStr">
        <is>
          <t>-</t>
        </is>
      </c>
      <c r="J1127" s="11" t="inlineStr">
        <is>
          <t>-</t>
        </is>
      </c>
      <c r="K1127" s="11" t="inlineStr">
        <is>
          <t>-</t>
        </is>
      </c>
      <c r="L1127" s="11" t="inlineStr">
        <is>
          <t>-</t>
        </is>
      </c>
      <c r="M1127" s="11" t="inlineStr">
        <is>
          <t>-</t>
        </is>
      </c>
      <c r="N1127" s="11" t="inlineStr">
        <is>
          <t>-</t>
        </is>
      </c>
      <c r="O1127" s="11" t="inlineStr">
        <is>
          <t>-</t>
        </is>
      </c>
      <c r="P1127" s="11" t="inlineStr">
        <is>
          <t>-</t>
        </is>
      </c>
      <c r="Q1127" s="12" t="inlineStr">
        <is>
          <t>-</t>
        </is>
      </c>
    </row>
    <row r="1128">
      <c r="A1128" s="47" t="n"/>
      <c r="B1128" s="13" t="inlineStr">
        <is>
          <t>-</t>
        </is>
      </c>
      <c r="C1128" s="14" t="inlineStr">
        <is>
          <t>-</t>
        </is>
      </c>
      <c r="D1128" s="14" t="inlineStr">
        <is>
          <t>-</t>
        </is>
      </c>
      <c r="E1128" s="14" t="inlineStr">
        <is>
          <t>-</t>
        </is>
      </c>
      <c r="F1128" s="14" t="inlineStr">
        <is>
          <t>-</t>
        </is>
      </c>
      <c r="G1128" s="14" t="inlineStr">
        <is>
          <t>-</t>
        </is>
      </c>
      <c r="H1128" s="14" t="inlineStr">
        <is>
          <t>-</t>
        </is>
      </c>
      <c r="I1128" s="14" t="inlineStr">
        <is>
          <t>-</t>
        </is>
      </c>
      <c r="J1128" s="14" t="inlineStr">
        <is>
          <t>-</t>
        </is>
      </c>
      <c r="K1128" s="14" t="inlineStr">
        <is>
          <t>-</t>
        </is>
      </c>
      <c r="L1128" s="14" t="inlineStr">
        <is>
          <t>-</t>
        </is>
      </c>
      <c r="M1128" s="14" t="inlineStr">
        <is>
          <t>-</t>
        </is>
      </c>
      <c r="N1128" s="14" t="inlineStr">
        <is>
          <t>-</t>
        </is>
      </c>
      <c r="O1128" s="14" t="inlineStr">
        <is>
          <t>-</t>
        </is>
      </c>
      <c r="P1128" s="14" t="inlineStr">
        <is>
          <t>-</t>
        </is>
      </c>
      <c r="Q1128" s="15" t="inlineStr">
        <is>
          <t>-</t>
        </is>
      </c>
    </row>
    <row r="1129">
      <c r="A1129" s="47" t="n"/>
      <c r="B1129" s="16" t="inlineStr">
        <is>
          <t>-</t>
        </is>
      </c>
      <c r="C1129" s="11" t="inlineStr">
        <is>
          <t>-</t>
        </is>
      </c>
      <c r="D1129" s="11" t="inlineStr">
        <is>
          <t>-</t>
        </is>
      </c>
      <c r="E1129" s="11" t="inlineStr">
        <is>
          <t>-</t>
        </is>
      </c>
      <c r="F1129" s="11" t="inlineStr">
        <is>
          <t>-</t>
        </is>
      </c>
      <c r="G1129" s="11" t="inlineStr">
        <is>
          <t>-</t>
        </is>
      </c>
      <c r="H1129" s="11" t="inlineStr">
        <is>
          <t>-</t>
        </is>
      </c>
      <c r="I1129" s="11" t="inlineStr">
        <is>
          <t>-</t>
        </is>
      </c>
      <c r="J1129" s="11" t="inlineStr">
        <is>
          <t>-</t>
        </is>
      </c>
      <c r="K1129" s="11" t="inlineStr">
        <is>
          <t>-</t>
        </is>
      </c>
      <c r="L1129" s="11" t="inlineStr">
        <is>
          <t>-</t>
        </is>
      </c>
      <c r="M1129" s="11" t="inlineStr">
        <is>
          <t>-</t>
        </is>
      </c>
      <c r="N1129" s="11" t="inlineStr">
        <is>
          <t>-</t>
        </is>
      </c>
      <c r="O1129" s="11" t="inlineStr">
        <is>
          <t>-</t>
        </is>
      </c>
      <c r="P1129" s="11" t="inlineStr">
        <is>
          <t>-</t>
        </is>
      </c>
      <c r="Q1129" s="12" t="inlineStr">
        <is>
          <t>-</t>
        </is>
      </c>
    </row>
    <row r="1130">
      <c r="A1130" s="47" t="n"/>
      <c r="B1130" s="13" t="inlineStr">
        <is>
          <t>-</t>
        </is>
      </c>
      <c r="C1130" s="14" t="inlineStr">
        <is>
          <t>-</t>
        </is>
      </c>
      <c r="D1130" s="14" t="inlineStr">
        <is>
          <t>-</t>
        </is>
      </c>
      <c r="E1130" s="14" t="inlineStr">
        <is>
          <t>-</t>
        </is>
      </c>
      <c r="F1130" s="14" t="inlineStr">
        <is>
          <t>-</t>
        </is>
      </c>
      <c r="G1130" s="14" t="inlineStr">
        <is>
          <t>-</t>
        </is>
      </c>
      <c r="H1130" s="14" t="inlineStr">
        <is>
          <t>-</t>
        </is>
      </c>
      <c r="I1130" s="14" t="inlineStr">
        <is>
          <t>-</t>
        </is>
      </c>
      <c r="J1130" s="14" t="inlineStr">
        <is>
          <t>-</t>
        </is>
      </c>
      <c r="K1130" s="14" t="inlineStr">
        <is>
          <t>-</t>
        </is>
      </c>
      <c r="L1130" s="14" t="inlineStr">
        <is>
          <t>-</t>
        </is>
      </c>
      <c r="M1130" s="14" t="inlineStr">
        <is>
          <t>-</t>
        </is>
      </c>
      <c r="N1130" s="14" t="inlineStr">
        <is>
          <t>-</t>
        </is>
      </c>
      <c r="O1130" s="14" t="inlineStr">
        <is>
          <t>-</t>
        </is>
      </c>
      <c r="P1130" s="14" t="inlineStr">
        <is>
          <t>-</t>
        </is>
      </c>
      <c r="Q1130" s="15" t="inlineStr">
        <is>
          <t>-</t>
        </is>
      </c>
    </row>
    <row r="1131">
      <c r="A1131" s="47" t="n"/>
      <c r="B1131" s="16" t="inlineStr">
        <is>
          <t>-</t>
        </is>
      </c>
      <c r="C1131" s="11" t="inlineStr">
        <is>
          <t>-</t>
        </is>
      </c>
      <c r="D1131" s="11" t="inlineStr">
        <is>
          <t>-</t>
        </is>
      </c>
      <c r="E1131" s="11" t="inlineStr">
        <is>
          <t>-</t>
        </is>
      </c>
      <c r="F1131" s="11" t="inlineStr">
        <is>
          <t>-</t>
        </is>
      </c>
      <c r="G1131" s="11" t="inlineStr">
        <is>
          <t>-</t>
        </is>
      </c>
      <c r="H1131" s="11" t="inlineStr">
        <is>
          <t>-</t>
        </is>
      </c>
      <c r="I1131" s="11" t="inlineStr">
        <is>
          <t>-</t>
        </is>
      </c>
      <c r="J1131" s="11" t="inlineStr">
        <is>
          <t>-</t>
        </is>
      </c>
      <c r="K1131" s="11" t="inlineStr">
        <is>
          <t>-</t>
        </is>
      </c>
      <c r="L1131" s="11" t="inlineStr">
        <is>
          <t>-</t>
        </is>
      </c>
      <c r="M1131" s="11" t="inlineStr">
        <is>
          <t>-</t>
        </is>
      </c>
      <c r="N1131" s="11" t="inlineStr">
        <is>
          <t>-</t>
        </is>
      </c>
      <c r="O1131" s="11" t="inlineStr">
        <is>
          <t>-</t>
        </is>
      </c>
      <c r="P1131" s="11" t="inlineStr">
        <is>
          <t>-</t>
        </is>
      </c>
      <c r="Q1131" s="12" t="inlineStr">
        <is>
          <t>-</t>
        </is>
      </c>
    </row>
    <row r="1132">
      <c r="A1132" s="47" t="n"/>
      <c r="B1132" s="13" t="inlineStr">
        <is>
          <t>-</t>
        </is>
      </c>
      <c r="C1132" s="14" t="inlineStr">
        <is>
          <t>-</t>
        </is>
      </c>
      <c r="D1132" s="14" t="inlineStr">
        <is>
          <t>-</t>
        </is>
      </c>
      <c r="E1132" s="14" t="inlineStr">
        <is>
          <t>-</t>
        </is>
      </c>
      <c r="F1132" s="14" t="inlineStr">
        <is>
          <t>-</t>
        </is>
      </c>
      <c r="G1132" s="14" t="inlineStr">
        <is>
          <t>-</t>
        </is>
      </c>
      <c r="H1132" s="14" t="inlineStr">
        <is>
          <t>-</t>
        </is>
      </c>
      <c r="I1132" s="14" t="inlineStr">
        <is>
          <t>-</t>
        </is>
      </c>
      <c r="J1132" s="14" t="inlineStr">
        <is>
          <t>-</t>
        </is>
      </c>
      <c r="K1132" s="14" t="inlineStr">
        <is>
          <t>-</t>
        </is>
      </c>
      <c r="L1132" s="14" t="inlineStr">
        <is>
          <t>-</t>
        </is>
      </c>
      <c r="M1132" s="14" t="inlineStr">
        <is>
          <t>-</t>
        </is>
      </c>
      <c r="N1132" s="14" t="inlineStr">
        <is>
          <t>-</t>
        </is>
      </c>
      <c r="O1132" s="14" t="inlineStr">
        <is>
          <t>-</t>
        </is>
      </c>
      <c r="P1132" s="14" t="inlineStr">
        <is>
          <t>-</t>
        </is>
      </c>
      <c r="Q1132" s="15" t="inlineStr">
        <is>
          <t>-</t>
        </is>
      </c>
    </row>
    <row r="1133">
      <c r="A1133" s="47" t="n"/>
      <c r="B1133" s="16" t="inlineStr">
        <is>
          <t>-</t>
        </is>
      </c>
      <c r="C1133" s="11" t="inlineStr">
        <is>
          <t>-</t>
        </is>
      </c>
      <c r="D1133" s="11" t="inlineStr">
        <is>
          <t>-</t>
        </is>
      </c>
      <c r="E1133" s="11" t="inlineStr">
        <is>
          <t>-</t>
        </is>
      </c>
      <c r="F1133" s="11" t="inlineStr">
        <is>
          <t>-</t>
        </is>
      </c>
      <c r="G1133" s="11" t="inlineStr">
        <is>
          <t>-</t>
        </is>
      </c>
      <c r="H1133" s="11" t="inlineStr">
        <is>
          <t>-</t>
        </is>
      </c>
      <c r="I1133" s="11" t="inlineStr">
        <is>
          <t>-</t>
        </is>
      </c>
      <c r="J1133" s="11" t="inlineStr">
        <is>
          <t>-</t>
        </is>
      </c>
      <c r="K1133" s="11" t="inlineStr">
        <is>
          <t>-</t>
        </is>
      </c>
      <c r="L1133" s="11" t="inlineStr">
        <is>
          <t>-</t>
        </is>
      </c>
      <c r="M1133" s="11" t="inlineStr">
        <is>
          <t>-</t>
        </is>
      </c>
      <c r="N1133" s="11" t="inlineStr">
        <is>
          <t>-</t>
        </is>
      </c>
      <c r="O1133" s="11" t="inlineStr">
        <is>
          <t>-</t>
        </is>
      </c>
      <c r="P1133" s="11" t="inlineStr">
        <is>
          <t>-</t>
        </is>
      </c>
      <c r="Q1133" s="12" t="inlineStr">
        <is>
          <t>-</t>
        </is>
      </c>
    </row>
    <row r="1134">
      <c r="A1134" s="47" t="n"/>
      <c r="B1134" s="13" t="inlineStr">
        <is>
          <t>-</t>
        </is>
      </c>
      <c r="C1134" s="14" t="inlineStr">
        <is>
          <t>-</t>
        </is>
      </c>
      <c r="D1134" s="14" t="inlineStr">
        <is>
          <t>-</t>
        </is>
      </c>
      <c r="E1134" s="14" t="inlineStr">
        <is>
          <t>-</t>
        </is>
      </c>
      <c r="F1134" s="14" t="inlineStr">
        <is>
          <t>-</t>
        </is>
      </c>
      <c r="G1134" s="14" t="inlineStr">
        <is>
          <t>-</t>
        </is>
      </c>
      <c r="H1134" s="14" t="inlineStr">
        <is>
          <t>-</t>
        </is>
      </c>
      <c r="I1134" s="14" t="inlineStr">
        <is>
          <t>-</t>
        </is>
      </c>
      <c r="J1134" s="14" t="inlineStr">
        <is>
          <t>-</t>
        </is>
      </c>
      <c r="K1134" s="14" t="inlineStr">
        <is>
          <t>-</t>
        </is>
      </c>
      <c r="L1134" s="14" t="inlineStr">
        <is>
          <t>-</t>
        </is>
      </c>
      <c r="M1134" s="14" t="inlineStr">
        <is>
          <t>-</t>
        </is>
      </c>
      <c r="N1134" s="14" t="inlineStr">
        <is>
          <t>-</t>
        </is>
      </c>
      <c r="O1134" s="14" t="inlineStr">
        <is>
          <t>-</t>
        </is>
      </c>
      <c r="P1134" s="14" t="inlineStr">
        <is>
          <t>-</t>
        </is>
      </c>
      <c r="Q1134" s="15" t="inlineStr">
        <is>
          <t>-</t>
        </is>
      </c>
    </row>
    <row r="1135">
      <c r="A1135" s="47" t="n"/>
      <c r="B1135" s="16" t="inlineStr">
        <is>
          <t>-</t>
        </is>
      </c>
      <c r="C1135" s="11" t="inlineStr">
        <is>
          <t>-</t>
        </is>
      </c>
      <c r="D1135" s="11" t="inlineStr">
        <is>
          <t>-</t>
        </is>
      </c>
      <c r="E1135" s="11" t="inlineStr">
        <is>
          <t>-</t>
        </is>
      </c>
      <c r="F1135" s="11" t="inlineStr">
        <is>
          <t>-</t>
        </is>
      </c>
      <c r="G1135" s="11" t="inlineStr">
        <is>
          <t>-</t>
        </is>
      </c>
      <c r="H1135" s="11" t="inlineStr">
        <is>
          <t>-</t>
        </is>
      </c>
      <c r="I1135" s="11" t="inlineStr">
        <is>
          <t>-</t>
        </is>
      </c>
      <c r="J1135" s="11" t="inlineStr">
        <is>
          <t>-</t>
        </is>
      </c>
      <c r="K1135" s="11" t="inlineStr">
        <is>
          <t>-</t>
        </is>
      </c>
      <c r="L1135" s="11" t="inlineStr">
        <is>
          <t>-</t>
        </is>
      </c>
      <c r="M1135" s="11" t="inlineStr">
        <is>
          <t>-</t>
        </is>
      </c>
      <c r="N1135" s="11" t="inlineStr">
        <is>
          <t>-</t>
        </is>
      </c>
      <c r="O1135" s="11" t="inlineStr">
        <is>
          <t>-</t>
        </is>
      </c>
      <c r="P1135" s="11" t="inlineStr">
        <is>
          <t>-</t>
        </is>
      </c>
      <c r="Q1135" s="12" t="inlineStr">
        <is>
          <t>-</t>
        </is>
      </c>
    </row>
    <row r="1136">
      <c r="A1136" s="47" t="n"/>
      <c r="B1136" s="13" t="inlineStr">
        <is>
          <t>-</t>
        </is>
      </c>
      <c r="C1136" s="14" t="inlineStr">
        <is>
          <t>-</t>
        </is>
      </c>
      <c r="D1136" s="14" t="inlineStr">
        <is>
          <t>-</t>
        </is>
      </c>
      <c r="E1136" s="14" t="inlineStr">
        <is>
          <t>-</t>
        </is>
      </c>
      <c r="F1136" s="14" t="inlineStr">
        <is>
          <t>-</t>
        </is>
      </c>
      <c r="G1136" s="14" t="inlineStr">
        <is>
          <t>-</t>
        </is>
      </c>
      <c r="H1136" s="14" t="inlineStr">
        <is>
          <t>-</t>
        </is>
      </c>
      <c r="I1136" s="14" t="inlineStr">
        <is>
          <t>-</t>
        </is>
      </c>
      <c r="J1136" s="14" t="inlineStr">
        <is>
          <t>-</t>
        </is>
      </c>
      <c r="K1136" s="14" t="inlineStr">
        <is>
          <t>-</t>
        </is>
      </c>
      <c r="L1136" s="14" t="inlineStr">
        <is>
          <t>-</t>
        </is>
      </c>
      <c r="M1136" s="14" t="inlineStr">
        <is>
          <t>-</t>
        </is>
      </c>
      <c r="N1136" s="14" t="inlineStr">
        <is>
          <t>-</t>
        </is>
      </c>
      <c r="O1136" s="14" t="inlineStr">
        <is>
          <t>-</t>
        </is>
      </c>
      <c r="P1136" s="14" t="inlineStr">
        <is>
          <t>-</t>
        </is>
      </c>
      <c r="Q1136" s="15" t="inlineStr">
        <is>
          <t>-</t>
        </is>
      </c>
    </row>
    <row r="1137">
      <c r="A1137" s="47" t="n"/>
      <c r="B1137" s="16" t="inlineStr">
        <is>
          <t>-</t>
        </is>
      </c>
      <c r="C1137" s="11" t="inlineStr">
        <is>
          <t>-</t>
        </is>
      </c>
      <c r="D1137" s="11" t="inlineStr">
        <is>
          <t>-</t>
        </is>
      </c>
      <c r="E1137" s="11" t="inlineStr">
        <is>
          <t>-</t>
        </is>
      </c>
      <c r="F1137" s="11" t="inlineStr">
        <is>
          <t>-</t>
        </is>
      </c>
      <c r="G1137" s="11" t="inlineStr">
        <is>
          <t>-</t>
        </is>
      </c>
      <c r="H1137" s="11" t="inlineStr">
        <is>
          <t>-</t>
        </is>
      </c>
      <c r="I1137" s="11" t="inlineStr">
        <is>
          <t>-</t>
        </is>
      </c>
      <c r="J1137" s="11" t="inlineStr">
        <is>
          <t>-</t>
        </is>
      </c>
      <c r="K1137" s="11" t="inlineStr">
        <is>
          <t>-</t>
        </is>
      </c>
      <c r="L1137" s="11" t="inlineStr">
        <is>
          <t>-</t>
        </is>
      </c>
      <c r="M1137" s="11" t="inlineStr">
        <is>
          <t>-</t>
        </is>
      </c>
      <c r="N1137" s="11" t="inlineStr">
        <is>
          <t>-</t>
        </is>
      </c>
      <c r="O1137" s="11" t="inlineStr">
        <is>
          <t>-</t>
        </is>
      </c>
      <c r="P1137" s="11" t="inlineStr">
        <is>
          <t>-</t>
        </is>
      </c>
      <c r="Q1137" s="12" t="inlineStr">
        <is>
          <t>-</t>
        </is>
      </c>
    </row>
    <row r="1138" ht="36" customHeight="1" s="155">
      <c r="B1138" s="46" t="inlineStr">
        <is>
          <t>ricotta zuccherata</t>
        </is>
      </c>
      <c r="C1138" s="49">
        <f>_xlfn.XLOOKUP(A1139,Magazzino!$D$1:$D$1500,Magazzino!$F$1:$F$1500,"",0,1)</f>
        <v/>
      </c>
      <c r="D1138" s="50">
        <f>_xlfn.XLOOKUP(A1140,Magazzino!$D$1:$D$1500,Magazzino!$F$1:$F$1500,"",0,1)</f>
        <v/>
      </c>
      <c r="E1138" s="50">
        <f>_xlfn.XLOOKUP(A1141,Magazzino!$D$1:$D$1500,Magazzino!$F$1:$F$1500,"",0,1)</f>
        <v/>
      </c>
      <c r="F1138" s="50">
        <f>_xlfn.XLOOKUP(A1142,Magazzino!$D$1:$D$1500,Magazzino!$F$1:$F$1500,"",0,1)</f>
        <v/>
      </c>
      <c r="G1138" s="50">
        <f>_xlfn.XLOOKUP(A1143,Magazzino!$D$1:$D$1500,Magazzino!$F$1:$F$1500,"",0,1)</f>
        <v/>
      </c>
      <c r="H1138" s="50">
        <f>_xlfn.XLOOKUP(A1144,Magazzino!$D$1:$D$1500,Magazzino!$F$1:$F$1500,"",0,1)</f>
        <v/>
      </c>
      <c r="I1138" s="50">
        <f>_xlfn.XLOOKUP(A1145,Magazzino!$D$1:$D$1500,Magazzino!$F$1:$F$1500,"",0,1)</f>
        <v/>
      </c>
      <c r="J1138" s="50">
        <f>_xlfn.XLOOKUP(A1146,Magazzino!$D$1:$D$1500,Magazzino!$F$1:$F$1500,"",0,1)</f>
        <v/>
      </c>
      <c r="K1138" s="50">
        <f>_xlfn.XLOOKUP(A1147,Magazzino!$D$1:$D$1500,Magazzino!$F$1:$F$1500,"",0,1)</f>
        <v/>
      </c>
      <c r="L1138" s="50">
        <f>_xlfn.XLOOKUP(A1148,Magazzino!$D$1:$D$1500,Magazzino!$F$1:$F$1500,"",0,1)</f>
        <v/>
      </c>
      <c r="M1138" s="50">
        <f>_xlfn.XLOOKUP(A1149,Magazzino!$D$1:$D$1500,Magazzino!$F$1:$F$1500,"",0,1)</f>
        <v/>
      </c>
      <c r="N1138" s="50">
        <f>_xlfn.XLOOKUP(A1150,Magazzino!$D$1:$D$1500,Magazzino!$F$1:$F$1500,"",0,1)</f>
        <v/>
      </c>
      <c r="O1138" s="50">
        <f>_xlfn.XLOOKUP(A1151,Magazzino!$D$1:$D$1500,Magazzino!$F$1:$F$1500,"",0,1)</f>
        <v/>
      </c>
      <c r="P1138" s="50">
        <f>_xlfn.XLOOKUP(A1152,Magazzino!$D$1:$D$1500,Magazzino!$F$1:$F$1500,"",0,1)</f>
        <v/>
      </c>
      <c r="Q1138" s="51">
        <f>_xlfn.XLOOKUP(A1153,Magazzino!$D$1:$D$1500,Magazzino!$F$1:$F$1500,"",0,1)</f>
        <v/>
      </c>
    </row>
    <row r="1139">
      <c r="A1139" s="47" t="inlineStr">
        <is>
          <t>ricotta zuccherata congelata</t>
        </is>
      </c>
      <c r="B1139" s="16" t="inlineStr">
        <is>
          <t>-</t>
        </is>
      </c>
      <c r="C1139" s="11" t="inlineStr">
        <is>
          <t>-</t>
        </is>
      </c>
      <c r="D1139" s="11" t="inlineStr">
        <is>
          <t>-</t>
        </is>
      </c>
      <c r="E1139" s="11" t="inlineStr">
        <is>
          <t>-</t>
        </is>
      </c>
      <c r="F1139" s="11" t="inlineStr">
        <is>
          <t>-</t>
        </is>
      </c>
      <c r="G1139" s="11" t="inlineStr">
        <is>
          <t>-</t>
        </is>
      </c>
      <c r="H1139" s="11" t="inlineStr">
        <is>
          <t>-</t>
        </is>
      </c>
      <c r="I1139" s="11" t="inlineStr">
        <is>
          <t>-</t>
        </is>
      </c>
      <c r="J1139" s="11" t="inlineStr">
        <is>
          <t>-</t>
        </is>
      </c>
      <c r="K1139" s="11" t="inlineStr">
        <is>
          <t>-</t>
        </is>
      </c>
      <c r="L1139" s="11" t="inlineStr">
        <is>
          <t>-</t>
        </is>
      </c>
      <c r="M1139" s="11" t="inlineStr">
        <is>
          <t>-</t>
        </is>
      </c>
      <c r="N1139" s="11" t="inlineStr">
        <is>
          <t>-</t>
        </is>
      </c>
      <c r="O1139" s="11" t="inlineStr">
        <is>
          <t>-</t>
        </is>
      </c>
      <c r="P1139" s="11" t="inlineStr">
        <is>
          <t>-</t>
        </is>
      </c>
      <c r="Q1139" s="12" t="inlineStr">
        <is>
          <t>-</t>
        </is>
      </c>
    </row>
    <row r="1140">
      <c r="A1140" s="47" t="n"/>
      <c r="B1140" s="13" t="inlineStr">
        <is>
          <t>-</t>
        </is>
      </c>
      <c r="C1140" s="14" t="inlineStr">
        <is>
          <t>-</t>
        </is>
      </c>
      <c r="D1140" s="14" t="inlineStr">
        <is>
          <t>-</t>
        </is>
      </c>
      <c r="E1140" s="14" t="inlineStr">
        <is>
          <t>-</t>
        </is>
      </c>
      <c r="F1140" s="14" t="inlineStr">
        <is>
          <t>-</t>
        </is>
      </c>
      <c r="G1140" s="14" t="inlineStr">
        <is>
          <t>-</t>
        </is>
      </c>
      <c r="H1140" s="14" t="inlineStr">
        <is>
          <t>-</t>
        </is>
      </c>
      <c r="I1140" s="14" t="inlineStr">
        <is>
          <t>-</t>
        </is>
      </c>
      <c r="J1140" s="14" t="inlineStr">
        <is>
          <t>-</t>
        </is>
      </c>
      <c r="K1140" s="14" t="inlineStr">
        <is>
          <t>-</t>
        </is>
      </c>
      <c r="L1140" s="14" t="inlineStr">
        <is>
          <t>-</t>
        </is>
      </c>
      <c r="M1140" s="14" t="inlineStr">
        <is>
          <t>-</t>
        </is>
      </c>
      <c r="N1140" s="14" t="inlineStr">
        <is>
          <t>-</t>
        </is>
      </c>
      <c r="O1140" s="14" t="inlineStr">
        <is>
          <t>-</t>
        </is>
      </c>
      <c r="P1140" s="14" t="inlineStr">
        <is>
          <t>-</t>
        </is>
      </c>
      <c r="Q1140" s="15" t="inlineStr">
        <is>
          <t>-</t>
        </is>
      </c>
    </row>
    <row r="1141">
      <c r="A1141" s="47" t="n"/>
      <c r="B1141" s="16" t="inlineStr">
        <is>
          <t>-</t>
        </is>
      </c>
      <c r="C1141" s="11" t="inlineStr">
        <is>
          <t>-</t>
        </is>
      </c>
      <c r="D1141" s="11" t="inlineStr">
        <is>
          <t>-</t>
        </is>
      </c>
      <c r="E1141" s="11" t="inlineStr">
        <is>
          <t>-</t>
        </is>
      </c>
      <c r="F1141" s="11" t="inlineStr">
        <is>
          <t>-</t>
        </is>
      </c>
      <c r="G1141" s="11" t="inlineStr">
        <is>
          <t>-</t>
        </is>
      </c>
      <c r="H1141" s="11" t="inlineStr">
        <is>
          <t>-</t>
        </is>
      </c>
      <c r="I1141" s="11" t="inlineStr">
        <is>
          <t>-</t>
        </is>
      </c>
      <c r="J1141" s="11" t="inlineStr">
        <is>
          <t>-</t>
        </is>
      </c>
      <c r="K1141" s="11" t="inlineStr">
        <is>
          <t>-</t>
        </is>
      </c>
      <c r="L1141" s="11" t="inlineStr">
        <is>
          <t>-</t>
        </is>
      </c>
      <c r="M1141" s="11" t="inlineStr">
        <is>
          <t>-</t>
        </is>
      </c>
      <c r="N1141" s="11" t="inlineStr">
        <is>
          <t>-</t>
        </is>
      </c>
      <c r="O1141" s="11" t="inlineStr">
        <is>
          <t>-</t>
        </is>
      </c>
      <c r="P1141" s="11" t="inlineStr">
        <is>
          <t>-</t>
        </is>
      </c>
      <c r="Q1141" s="12" t="inlineStr">
        <is>
          <t>-</t>
        </is>
      </c>
    </row>
    <row r="1142">
      <c r="A1142" s="47" t="n"/>
      <c r="B1142" s="13" t="inlineStr">
        <is>
          <t>-</t>
        </is>
      </c>
      <c r="C1142" s="14" t="inlineStr">
        <is>
          <t>-</t>
        </is>
      </c>
      <c r="D1142" s="14" t="inlineStr">
        <is>
          <t>-</t>
        </is>
      </c>
      <c r="E1142" s="14" t="inlineStr">
        <is>
          <t>-</t>
        </is>
      </c>
      <c r="F1142" s="14" t="inlineStr">
        <is>
          <t>-</t>
        </is>
      </c>
      <c r="G1142" s="14" t="inlineStr">
        <is>
          <t>-</t>
        </is>
      </c>
      <c r="H1142" s="14" t="inlineStr">
        <is>
          <t>-</t>
        </is>
      </c>
      <c r="I1142" s="14" t="inlineStr">
        <is>
          <t>-</t>
        </is>
      </c>
      <c r="J1142" s="14" t="inlineStr">
        <is>
          <t>-</t>
        </is>
      </c>
      <c r="K1142" s="14" t="inlineStr">
        <is>
          <t>-</t>
        </is>
      </c>
      <c r="L1142" s="14" t="inlineStr">
        <is>
          <t>-</t>
        </is>
      </c>
      <c r="M1142" s="14" t="inlineStr">
        <is>
          <t>-</t>
        </is>
      </c>
      <c r="N1142" s="14" t="inlineStr">
        <is>
          <t>-</t>
        </is>
      </c>
      <c r="O1142" s="14" t="inlineStr">
        <is>
          <t>-</t>
        </is>
      </c>
      <c r="P1142" s="14" t="inlineStr">
        <is>
          <t>-</t>
        </is>
      </c>
      <c r="Q1142" s="15" t="inlineStr">
        <is>
          <t>-</t>
        </is>
      </c>
    </row>
    <row r="1143">
      <c r="A1143" s="47" t="n"/>
      <c r="B1143" s="16" t="inlineStr">
        <is>
          <t>-</t>
        </is>
      </c>
      <c r="C1143" s="11" t="inlineStr">
        <is>
          <t>-</t>
        </is>
      </c>
      <c r="D1143" s="11" t="inlineStr">
        <is>
          <t>-</t>
        </is>
      </c>
      <c r="E1143" s="11" t="inlineStr">
        <is>
          <t>-</t>
        </is>
      </c>
      <c r="F1143" s="11" t="inlineStr">
        <is>
          <t>-</t>
        </is>
      </c>
      <c r="G1143" s="11" t="inlineStr">
        <is>
          <t>-</t>
        </is>
      </c>
      <c r="H1143" s="11" t="inlineStr">
        <is>
          <t>-</t>
        </is>
      </c>
      <c r="I1143" s="11" t="inlineStr">
        <is>
          <t>-</t>
        </is>
      </c>
      <c r="J1143" s="11" t="inlineStr">
        <is>
          <t>-</t>
        </is>
      </c>
      <c r="K1143" s="11" t="inlineStr">
        <is>
          <t>-</t>
        </is>
      </c>
      <c r="L1143" s="11" t="inlineStr">
        <is>
          <t>-</t>
        </is>
      </c>
      <c r="M1143" s="11" t="inlineStr">
        <is>
          <t>-</t>
        </is>
      </c>
      <c r="N1143" s="11" t="inlineStr">
        <is>
          <t>-</t>
        </is>
      </c>
      <c r="O1143" s="11" t="inlineStr">
        <is>
          <t>-</t>
        </is>
      </c>
      <c r="P1143" s="11" t="inlineStr">
        <is>
          <t>-</t>
        </is>
      </c>
      <c r="Q1143" s="12" t="inlineStr">
        <is>
          <t>-</t>
        </is>
      </c>
    </row>
    <row r="1144">
      <c r="A1144" s="47" t="n"/>
      <c r="B1144" s="13" t="inlineStr">
        <is>
          <t>-</t>
        </is>
      </c>
      <c r="C1144" s="14" t="inlineStr">
        <is>
          <t>-</t>
        </is>
      </c>
      <c r="D1144" s="14" t="inlineStr">
        <is>
          <t>-</t>
        </is>
      </c>
      <c r="E1144" s="14" t="inlineStr">
        <is>
          <t>-</t>
        </is>
      </c>
      <c r="F1144" s="14" t="inlineStr">
        <is>
          <t>-</t>
        </is>
      </c>
      <c r="G1144" s="14" t="inlineStr">
        <is>
          <t>-</t>
        </is>
      </c>
      <c r="H1144" s="14" t="inlineStr">
        <is>
          <t>-</t>
        </is>
      </c>
      <c r="I1144" s="14" t="inlineStr">
        <is>
          <t>-</t>
        </is>
      </c>
      <c r="J1144" s="14" t="inlineStr">
        <is>
          <t>-</t>
        </is>
      </c>
      <c r="K1144" s="14" t="inlineStr">
        <is>
          <t>-</t>
        </is>
      </c>
      <c r="L1144" s="14" t="inlineStr">
        <is>
          <t>-</t>
        </is>
      </c>
      <c r="M1144" s="14" t="inlineStr">
        <is>
          <t>-</t>
        </is>
      </c>
      <c r="N1144" s="14" t="inlineStr">
        <is>
          <t>-</t>
        </is>
      </c>
      <c r="O1144" s="14" t="inlineStr">
        <is>
          <t>-</t>
        </is>
      </c>
      <c r="P1144" s="14" t="inlineStr">
        <is>
          <t>-</t>
        </is>
      </c>
      <c r="Q1144" s="15" t="inlineStr">
        <is>
          <t>-</t>
        </is>
      </c>
    </row>
    <row r="1145">
      <c r="A1145" s="47" t="n"/>
      <c r="B1145" s="16" t="inlineStr">
        <is>
          <t>-</t>
        </is>
      </c>
      <c r="C1145" s="11" t="inlineStr">
        <is>
          <t>-</t>
        </is>
      </c>
      <c r="D1145" s="11" t="inlineStr">
        <is>
          <t>-</t>
        </is>
      </c>
      <c r="E1145" s="11" t="inlineStr">
        <is>
          <t>-</t>
        </is>
      </c>
      <c r="F1145" s="11" t="inlineStr">
        <is>
          <t>-</t>
        </is>
      </c>
      <c r="G1145" s="11" t="inlineStr">
        <is>
          <t>-</t>
        </is>
      </c>
      <c r="H1145" s="11" t="inlineStr">
        <is>
          <t>-</t>
        </is>
      </c>
      <c r="I1145" s="11" t="inlineStr">
        <is>
          <t>-</t>
        </is>
      </c>
      <c r="J1145" s="11" t="inlineStr">
        <is>
          <t>-</t>
        </is>
      </c>
      <c r="K1145" s="11" t="inlineStr">
        <is>
          <t>-</t>
        </is>
      </c>
      <c r="L1145" s="11" t="inlineStr">
        <is>
          <t>-</t>
        </is>
      </c>
      <c r="M1145" s="11" t="inlineStr">
        <is>
          <t>-</t>
        </is>
      </c>
      <c r="N1145" s="11" t="inlineStr">
        <is>
          <t>-</t>
        </is>
      </c>
      <c r="O1145" s="11" t="inlineStr">
        <is>
          <t>-</t>
        </is>
      </c>
      <c r="P1145" s="11" t="inlineStr">
        <is>
          <t>-</t>
        </is>
      </c>
      <c r="Q1145" s="12" t="inlineStr">
        <is>
          <t>-</t>
        </is>
      </c>
    </row>
    <row r="1146">
      <c r="A1146" s="47" t="n"/>
      <c r="B1146" s="13" t="inlineStr">
        <is>
          <t>-</t>
        </is>
      </c>
      <c r="C1146" s="14" t="inlineStr">
        <is>
          <t>-</t>
        </is>
      </c>
      <c r="D1146" s="14" t="inlineStr">
        <is>
          <t>-</t>
        </is>
      </c>
      <c r="E1146" s="14" t="inlineStr">
        <is>
          <t>-</t>
        </is>
      </c>
      <c r="F1146" s="14" t="inlineStr">
        <is>
          <t>-</t>
        </is>
      </c>
      <c r="G1146" s="14" t="inlineStr">
        <is>
          <t>-</t>
        </is>
      </c>
      <c r="H1146" s="14" t="inlineStr">
        <is>
          <t>-</t>
        </is>
      </c>
      <c r="I1146" s="14" t="inlineStr">
        <is>
          <t>-</t>
        </is>
      </c>
      <c r="J1146" s="14" t="inlineStr">
        <is>
          <t>-</t>
        </is>
      </c>
      <c r="K1146" s="14" t="inlineStr">
        <is>
          <t>-</t>
        </is>
      </c>
      <c r="L1146" s="14" t="inlineStr">
        <is>
          <t>-</t>
        </is>
      </c>
      <c r="M1146" s="14" t="inlineStr">
        <is>
          <t>-</t>
        </is>
      </c>
      <c r="N1146" s="14" t="inlineStr">
        <is>
          <t>-</t>
        </is>
      </c>
      <c r="O1146" s="14" t="inlineStr">
        <is>
          <t>-</t>
        </is>
      </c>
      <c r="P1146" s="14" t="inlineStr">
        <is>
          <t>-</t>
        </is>
      </c>
      <c r="Q1146" s="15" t="inlineStr">
        <is>
          <t>-</t>
        </is>
      </c>
    </row>
    <row r="1147">
      <c r="A1147" s="47" t="n"/>
      <c r="B1147" s="16" t="inlineStr">
        <is>
          <t>-</t>
        </is>
      </c>
      <c r="C1147" s="11" t="inlineStr">
        <is>
          <t>-</t>
        </is>
      </c>
      <c r="D1147" s="11" t="inlineStr">
        <is>
          <t>-</t>
        </is>
      </c>
      <c r="E1147" s="11" t="inlineStr">
        <is>
          <t>-</t>
        </is>
      </c>
      <c r="F1147" s="11" t="inlineStr">
        <is>
          <t>-</t>
        </is>
      </c>
      <c r="G1147" s="11" t="inlineStr">
        <is>
          <t>-</t>
        </is>
      </c>
      <c r="H1147" s="11" t="inlineStr">
        <is>
          <t>-</t>
        </is>
      </c>
      <c r="I1147" s="11" t="inlineStr">
        <is>
          <t>-</t>
        </is>
      </c>
      <c r="J1147" s="11" t="inlineStr">
        <is>
          <t>-</t>
        </is>
      </c>
      <c r="K1147" s="11" t="inlineStr">
        <is>
          <t>-</t>
        </is>
      </c>
      <c r="L1147" s="11" t="inlineStr">
        <is>
          <t>-</t>
        </is>
      </c>
      <c r="M1147" s="11" t="inlineStr">
        <is>
          <t>-</t>
        </is>
      </c>
      <c r="N1147" s="11" t="inlineStr">
        <is>
          <t>-</t>
        </is>
      </c>
      <c r="O1147" s="11" t="inlineStr">
        <is>
          <t>-</t>
        </is>
      </c>
      <c r="P1147" s="11" t="inlineStr">
        <is>
          <t>-</t>
        </is>
      </c>
      <c r="Q1147" s="12" t="inlineStr">
        <is>
          <t>-</t>
        </is>
      </c>
    </row>
    <row r="1148">
      <c r="A1148" s="47" t="n"/>
      <c r="B1148" s="13" t="inlineStr">
        <is>
          <t>-</t>
        </is>
      </c>
      <c r="C1148" s="14" t="inlineStr">
        <is>
          <t>-</t>
        </is>
      </c>
      <c r="D1148" s="14" t="inlineStr">
        <is>
          <t>-</t>
        </is>
      </c>
      <c r="E1148" s="14" t="inlineStr">
        <is>
          <t>-</t>
        </is>
      </c>
      <c r="F1148" s="14" t="inlineStr">
        <is>
          <t>-</t>
        </is>
      </c>
      <c r="G1148" s="14" t="inlineStr">
        <is>
          <t>-</t>
        </is>
      </c>
      <c r="H1148" s="14" t="inlineStr">
        <is>
          <t>-</t>
        </is>
      </c>
      <c r="I1148" s="14" t="inlineStr">
        <is>
          <t>-</t>
        </is>
      </c>
      <c r="J1148" s="14" t="inlineStr">
        <is>
          <t>-</t>
        </is>
      </c>
      <c r="K1148" s="14" t="inlineStr">
        <is>
          <t>-</t>
        </is>
      </c>
      <c r="L1148" s="14" t="inlineStr">
        <is>
          <t>-</t>
        </is>
      </c>
      <c r="M1148" s="14" t="inlineStr">
        <is>
          <t>-</t>
        </is>
      </c>
      <c r="N1148" s="14" t="inlineStr">
        <is>
          <t>-</t>
        </is>
      </c>
      <c r="O1148" s="14" t="inlineStr">
        <is>
          <t>-</t>
        </is>
      </c>
      <c r="P1148" s="14" t="inlineStr">
        <is>
          <t>-</t>
        </is>
      </c>
      <c r="Q1148" s="15" t="inlineStr">
        <is>
          <t>-</t>
        </is>
      </c>
    </row>
    <row r="1149">
      <c r="A1149" s="47" t="n"/>
      <c r="B1149" s="16" t="inlineStr">
        <is>
          <t>-</t>
        </is>
      </c>
      <c r="C1149" s="11" t="inlineStr">
        <is>
          <t>-</t>
        </is>
      </c>
      <c r="D1149" s="11" t="inlineStr">
        <is>
          <t>-</t>
        </is>
      </c>
      <c r="E1149" s="11" t="inlineStr">
        <is>
          <t>-</t>
        </is>
      </c>
      <c r="F1149" s="11" t="inlineStr">
        <is>
          <t>-</t>
        </is>
      </c>
      <c r="G1149" s="11" t="inlineStr">
        <is>
          <t>-</t>
        </is>
      </c>
      <c r="H1149" s="11" t="inlineStr">
        <is>
          <t>-</t>
        </is>
      </c>
      <c r="I1149" s="11" t="inlineStr">
        <is>
          <t>-</t>
        </is>
      </c>
      <c r="J1149" s="11" t="inlineStr">
        <is>
          <t>-</t>
        </is>
      </c>
      <c r="K1149" s="11" t="inlineStr">
        <is>
          <t>-</t>
        </is>
      </c>
      <c r="L1149" s="11" t="inlineStr">
        <is>
          <t>-</t>
        </is>
      </c>
      <c r="M1149" s="11" t="inlineStr">
        <is>
          <t>-</t>
        </is>
      </c>
      <c r="N1149" s="11" t="inlineStr">
        <is>
          <t>-</t>
        </is>
      </c>
      <c r="O1149" s="11" t="inlineStr">
        <is>
          <t>-</t>
        </is>
      </c>
      <c r="P1149" s="11" t="inlineStr">
        <is>
          <t>-</t>
        </is>
      </c>
      <c r="Q1149" s="12" t="inlineStr">
        <is>
          <t>-</t>
        </is>
      </c>
    </row>
    <row r="1150">
      <c r="A1150" s="47" t="n"/>
      <c r="B1150" s="13" t="inlineStr">
        <is>
          <t>-</t>
        </is>
      </c>
      <c r="C1150" s="14" t="inlineStr">
        <is>
          <t>-</t>
        </is>
      </c>
      <c r="D1150" s="14" t="inlineStr">
        <is>
          <t>-</t>
        </is>
      </c>
      <c r="E1150" s="14" t="inlineStr">
        <is>
          <t>-</t>
        </is>
      </c>
      <c r="F1150" s="14" t="inlineStr">
        <is>
          <t>-</t>
        </is>
      </c>
      <c r="G1150" s="14" t="inlineStr">
        <is>
          <t>-</t>
        </is>
      </c>
      <c r="H1150" s="14" t="inlineStr">
        <is>
          <t>-</t>
        </is>
      </c>
      <c r="I1150" s="14" t="inlineStr">
        <is>
          <t>-</t>
        </is>
      </c>
      <c r="J1150" s="14" t="inlineStr">
        <is>
          <t>-</t>
        </is>
      </c>
      <c r="K1150" s="14" t="inlineStr">
        <is>
          <t>-</t>
        </is>
      </c>
      <c r="L1150" s="14" t="inlineStr">
        <is>
          <t>-</t>
        </is>
      </c>
      <c r="M1150" s="14" t="inlineStr">
        <is>
          <t>-</t>
        </is>
      </c>
      <c r="N1150" s="14" t="inlineStr">
        <is>
          <t>-</t>
        </is>
      </c>
      <c r="O1150" s="14" t="inlineStr">
        <is>
          <t>-</t>
        </is>
      </c>
      <c r="P1150" s="14" t="inlineStr">
        <is>
          <t>-</t>
        </is>
      </c>
      <c r="Q1150" s="15" t="inlineStr">
        <is>
          <t>-</t>
        </is>
      </c>
    </row>
    <row r="1151">
      <c r="A1151" s="47" t="n"/>
      <c r="B1151" s="16" t="inlineStr">
        <is>
          <t>-</t>
        </is>
      </c>
      <c r="C1151" s="11" t="inlineStr">
        <is>
          <t>-</t>
        </is>
      </c>
      <c r="D1151" s="11" t="inlineStr">
        <is>
          <t>-</t>
        </is>
      </c>
      <c r="E1151" s="11" t="inlineStr">
        <is>
          <t>-</t>
        </is>
      </c>
      <c r="F1151" s="11" t="inlineStr">
        <is>
          <t>-</t>
        </is>
      </c>
      <c r="G1151" s="11" t="inlineStr">
        <is>
          <t>-</t>
        </is>
      </c>
      <c r="H1151" s="11" t="inlineStr">
        <is>
          <t>-</t>
        </is>
      </c>
      <c r="I1151" s="11" t="inlineStr">
        <is>
          <t>-</t>
        </is>
      </c>
      <c r="J1151" s="11" t="inlineStr">
        <is>
          <t>-</t>
        </is>
      </c>
      <c r="K1151" s="11" t="inlineStr">
        <is>
          <t>-</t>
        </is>
      </c>
      <c r="L1151" s="11" t="inlineStr">
        <is>
          <t>-</t>
        </is>
      </c>
      <c r="M1151" s="11" t="inlineStr">
        <is>
          <t>-</t>
        </is>
      </c>
      <c r="N1151" s="11" t="inlineStr">
        <is>
          <t>-</t>
        </is>
      </c>
      <c r="O1151" s="11" t="inlineStr">
        <is>
          <t>-</t>
        </is>
      </c>
      <c r="P1151" s="11" t="inlineStr">
        <is>
          <t>-</t>
        </is>
      </c>
      <c r="Q1151" s="12" t="inlineStr">
        <is>
          <t>-</t>
        </is>
      </c>
    </row>
    <row r="1152">
      <c r="A1152" s="47" t="n"/>
      <c r="B1152" s="13" t="inlineStr">
        <is>
          <t>-</t>
        </is>
      </c>
      <c r="C1152" s="14" t="inlineStr">
        <is>
          <t>-</t>
        </is>
      </c>
      <c r="D1152" s="14" t="inlineStr">
        <is>
          <t>-</t>
        </is>
      </c>
      <c r="E1152" s="14" t="inlineStr">
        <is>
          <t>-</t>
        </is>
      </c>
      <c r="F1152" s="14" t="inlineStr">
        <is>
          <t>-</t>
        </is>
      </c>
      <c r="G1152" s="14" t="inlineStr">
        <is>
          <t>-</t>
        </is>
      </c>
      <c r="H1152" s="14" t="inlineStr">
        <is>
          <t>-</t>
        </is>
      </c>
      <c r="I1152" s="14" t="inlineStr">
        <is>
          <t>-</t>
        </is>
      </c>
      <c r="J1152" s="14" t="inlineStr">
        <is>
          <t>-</t>
        </is>
      </c>
      <c r="K1152" s="14" t="inlineStr">
        <is>
          <t>-</t>
        </is>
      </c>
      <c r="L1152" s="14" t="inlineStr">
        <is>
          <t>-</t>
        </is>
      </c>
      <c r="M1152" s="14" t="inlineStr">
        <is>
          <t>-</t>
        </is>
      </c>
      <c r="N1152" s="14" t="inlineStr">
        <is>
          <t>-</t>
        </is>
      </c>
      <c r="O1152" s="14" t="inlineStr">
        <is>
          <t>-</t>
        </is>
      </c>
      <c r="P1152" s="14" t="inlineStr">
        <is>
          <t>-</t>
        </is>
      </c>
      <c r="Q1152" s="15" t="inlineStr">
        <is>
          <t>-</t>
        </is>
      </c>
    </row>
    <row r="1153">
      <c r="A1153" s="47" t="n"/>
      <c r="B1153" s="16" t="inlineStr">
        <is>
          <t>-</t>
        </is>
      </c>
      <c r="C1153" s="11" t="inlineStr">
        <is>
          <t>-</t>
        </is>
      </c>
      <c r="D1153" s="11" t="inlineStr">
        <is>
          <t>-</t>
        </is>
      </c>
      <c r="E1153" s="11" t="inlineStr">
        <is>
          <t>-</t>
        </is>
      </c>
      <c r="F1153" s="11" t="inlineStr">
        <is>
          <t>-</t>
        </is>
      </c>
      <c r="G1153" s="11" t="inlineStr">
        <is>
          <t>-</t>
        </is>
      </c>
      <c r="H1153" s="11" t="inlineStr">
        <is>
          <t>-</t>
        </is>
      </c>
      <c r="I1153" s="11" t="inlineStr">
        <is>
          <t>-</t>
        </is>
      </c>
      <c r="J1153" s="11" t="inlineStr">
        <is>
          <t>-</t>
        </is>
      </c>
      <c r="K1153" s="11" t="inlineStr">
        <is>
          <t>-</t>
        </is>
      </c>
      <c r="L1153" s="11" t="inlineStr">
        <is>
          <t>-</t>
        </is>
      </c>
      <c r="M1153" s="11" t="inlineStr">
        <is>
          <t>-</t>
        </is>
      </c>
      <c r="N1153" s="11" t="inlineStr">
        <is>
          <t>-</t>
        </is>
      </c>
      <c r="O1153" s="11" t="inlineStr">
        <is>
          <t>-</t>
        </is>
      </c>
      <c r="P1153" s="11" t="inlineStr">
        <is>
          <t>-</t>
        </is>
      </c>
      <c r="Q1153" s="12" t="inlineStr">
        <is>
          <t>-</t>
        </is>
      </c>
    </row>
    <row r="1154" ht="36" customHeight="1" s="155">
      <c r="B1154" s="46" t="inlineStr">
        <is>
          <t>rustico</t>
        </is>
      </c>
      <c r="C1154" s="49">
        <f>_xlfn.XLOOKUP(A1155,Magazzino!$D$1:$D$1500,Magazzino!$F$1:$F$1500,"",0,1)</f>
        <v/>
      </c>
      <c r="D1154" s="50">
        <f>_xlfn.XLOOKUP(A1156,Magazzino!$D$1:$D$1500,Magazzino!$F$1:$F$1500,"",0,1)</f>
        <v/>
      </c>
      <c r="E1154" s="50">
        <f>_xlfn.XLOOKUP(A1157,Magazzino!$D$1:$D$1500,Magazzino!$F$1:$F$1500,"",0,1)</f>
        <v/>
      </c>
      <c r="F1154" s="50">
        <f>_xlfn.XLOOKUP(A1158,Magazzino!$D$1:$D$1500,Magazzino!$F$1:$F$1500,"",0,1)</f>
        <v/>
      </c>
      <c r="G1154" s="50">
        <f>_xlfn.XLOOKUP(A1159,Magazzino!$D$1:$D$1500,Magazzino!$F$1:$F$1500,"",0,1)</f>
        <v/>
      </c>
      <c r="H1154" s="50">
        <f>_xlfn.XLOOKUP(A1160,Magazzino!$D$1:$D$1500,Magazzino!$F$1:$F$1500,"",0,1)</f>
        <v/>
      </c>
      <c r="I1154" s="50">
        <f>_xlfn.XLOOKUP(A1161,Magazzino!$D$1:$D$1500,Magazzino!$F$1:$F$1500,"",0,1)</f>
        <v/>
      </c>
      <c r="J1154" s="50">
        <f>_xlfn.XLOOKUP(A1162,Magazzino!$D$1:$D$1500,Magazzino!$F$1:$F$1500,"",0,1)</f>
        <v/>
      </c>
      <c r="K1154" s="50">
        <f>_xlfn.XLOOKUP(A1163,Magazzino!$D$1:$D$1500,Magazzino!$F$1:$F$1500,"",0,1)</f>
        <v/>
      </c>
      <c r="L1154" s="50">
        <f>_xlfn.XLOOKUP(A1164,Magazzino!$D$1:$D$1500,Magazzino!$F$1:$F$1500,"",0,1)</f>
        <v/>
      </c>
      <c r="M1154" s="50">
        <f>_xlfn.XLOOKUP(A1165,Magazzino!$D$1:$D$1500,Magazzino!$F$1:$F$1500,"",0,1)</f>
        <v/>
      </c>
      <c r="N1154" s="50">
        <f>_xlfn.XLOOKUP(A1166,Magazzino!$D$1:$D$1500,Magazzino!$F$1:$F$1500,"",0,1)</f>
        <v/>
      </c>
      <c r="O1154" s="50">
        <f>_xlfn.XLOOKUP(A1167,Magazzino!$D$1:$D$1500,Magazzino!$F$1:$F$1500,"",0,1)</f>
        <v/>
      </c>
      <c r="P1154" s="50">
        <f>_xlfn.XLOOKUP(A1168,Magazzino!$D$1:$D$1500,Magazzino!$F$1:$F$1500,"",0,1)</f>
        <v/>
      </c>
      <c r="Q1154" s="51">
        <f>_xlfn.XLOOKUP(A1169,Magazzino!$D$1:$D$1500,Magazzino!$F$1:$F$1500,"",0,1)</f>
        <v/>
      </c>
    </row>
    <row r="1155">
      <c r="A1155" s="47" t="inlineStr">
        <is>
          <t xml:space="preserve">FARINA 0/MAN. CAPUTO DA KG.25  </t>
        </is>
      </c>
      <c r="B1155" s="16" t="inlineStr">
        <is>
          <t>-</t>
        </is>
      </c>
      <c r="C1155" s="11" t="inlineStr">
        <is>
          <t>-</t>
        </is>
      </c>
      <c r="D1155" s="11" t="inlineStr">
        <is>
          <t>-</t>
        </is>
      </c>
      <c r="E1155" s="11" t="inlineStr">
        <is>
          <t>-</t>
        </is>
      </c>
      <c r="F1155" s="11" t="inlineStr">
        <is>
          <t>-</t>
        </is>
      </c>
      <c r="G1155" s="11" t="inlineStr">
        <is>
          <t>-</t>
        </is>
      </c>
      <c r="H1155" s="11" t="inlineStr">
        <is>
          <t>-</t>
        </is>
      </c>
      <c r="I1155" s="11" t="inlineStr">
        <is>
          <t>-</t>
        </is>
      </c>
      <c r="J1155" s="11" t="inlineStr">
        <is>
          <t>-</t>
        </is>
      </c>
      <c r="K1155" s="11" t="inlineStr">
        <is>
          <t>-</t>
        </is>
      </c>
      <c r="L1155" s="11" t="inlineStr">
        <is>
          <t>-</t>
        </is>
      </c>
      <c r="M1155" s="11" t="inlineStr">
        <is>
          <t>-</t>
        </is>
      </c>
      <c r="N1155" s="11" t="inlineStr">
        <is>
          <t>-</t>
        </is>
      </c>
      <c r="O1155" s="11" t="inlineStr">
        <is>
          <t>-</t>
        </is>
      </c>
      <c r="P1155" s="11" t="inlineStr">
        <is>
          <t>-</t>
        </is>
      </c>
      <c r="Q1155" s="12" t="inlineStr">
        <is>
          <t>-</t>
        </is>
      </c>
    </row>
    <row r="1156">
      <c r="A1156" s="47" t="inlineStr">
        <is>
          <t>RICOTTA TIPO ROMA</t>
        </is>
      </c>
      <c r="B1156" s="13" t="inlineStr">
        <is>
          <t>-</t>
        </is>
      </c>
      <c r="C1156" s="14" t="inlineStr">
        <is>
          <t>-</t>
        </is>
      </c>
      <c r="D1156" s="14" t="inlineStr">
        <is>
          <t>-</t>
        </is>
      </c>
      <c r="E1156" s="14" t="inlineStr">
        <is>
          <t>-</t>
        </is>
      </c>
      <c r="F1156" s="14" t="inlineStr">
        <is>
          <t>-</t>
        </is>
      </c>
      <c r="G1156" s="14" t="inlineStr">
        <is>
          <t>-</t>
        </is>
      </c>
      <c r="H1156" s="14" t="inlineStr">
        <is>
          <t>-</t>
        </is>
      </c>
      <c r="I1156" s="14" t="inlineStr">
        <is>
          <t>-</t>
        </is>
      </c>
      <c r="J1156" s="14" t="inlineStr">
        <is>
          <t>-</t>
        </is>
      </c>
      <c r="K1156" s="14" t="inlineStr">
        <is>
          <t>-</t>
        </is>
      </c>
      <c r="L1156" s="14" t="inlineStr">
        <is>
          <t>-</t>
        </is>
      </c>
      <c r="M1156" s="14" t="inlineStr">
        <is>
          <t>-</t>
        </is>
      </c>
      <c r="N1156" s="14" t="inlineStr">
        <is>
          <t>-</t>
        </is>
      </c>
      <c r="O1156" s="14" t="inlineStr">
        <is>
          <t>-</t>
        </is>
      </c>
      <c r="P1156" s="14" t="inlineStr">
        <is>
          <t>-</t>
        </is>
      </c>
      <c r="Q1156" s="15" t="inlineStr">
        <is>
          <t>-</t>
        </is>
      </c>
    </row>
    <row r="1157">
      <c r="A1157" s="48" t="inlineStr">
        <is>
          <t xml:space="preserve">SALE SACCHI SALTECHNO KG.25  </t>
        </is>
      </c>
      <c r="B1157" s="16" t="inlineStr">
        <is>
          <t>-</t>
        </is>
      </c>
      <c r="C1157" s="11" t="inlineStr">
        <is>
          <t>-</t>
        </is>
      </c>
      <c r="D1157" s="11" t="inlineStr">
        <is>
          <t>-</t>
        </is>
      </c>
      <c r="E1157" s="11" t="inlineStr">
        <is>
          <t>-</t>
        </is>
      </c>
      <c r="F1157" s="11" t="inlineStr">
        <is>
          <t>-</t>
        </is>
      </c>
      <c r="G1157" s="11" t="inlineStr">
        <is>
          <t>-</t>
        </is>
      </c>
      <c r="H1157" s="11" t="inlineStr">
        <is>
          <t>-</t>
        </is>
      </c>
      <c r="I1157" s="11" t="inlineStr">
        <is>
          <t>-</t>
        </is>
      </c>
      <c r="J1157" s="11" t="inlineStr">
        <is>
          <t>-</t>
        </is>
      </c>
      <c r="K1157" s="11" t="inlineStr">
        <is>
          <t>-</t>
        </is>
      </c>
      <c r="L1157" s="11" t="inlineStr">
        <is>
          <t>-</t>
        </is>
      </c>
      <c r="M1157" s="11" t="inlineStr">
        <is>
          <t>-</t>
        </is>
      </c>
      <c r="N1157" s="11" t="inlineStr">
        <is>
          <t>-</t>
        </is>
      </c>
      <c r="O1157" s="11" t="inlineStr">
        <is>
          <t>-</t>
        </is>
      </c>
      <c r="P1157" s="11" t="inlineStr">
        <is>
          <t>-</t>
        </is>
      </c>
      <c r="Q1157" s="12" t="inlineStr">
        <is>
          <t>-</t>
        </is>
      </c>
    </row>
    <row r="1158">
      <c r="A1158" s="47" t="inlineStr">
        <is>
          <t>wrustel</t>
        </is>
      </c>
      <c r="B1158" s="13" t="inlineStr">
        <is>
          <t>-</t>
        </is>
      </c>
      <c r="C1158" s="14" t="inlineStr">
        <is>
          <t>-</t>
        </is>
      </c>
      <c r="D1158" s="14" t="inlineStr">
        <is>
          <t>-</t>
        </is>
      </c>
      <c r="E1158" s="14" t="inlineStr">
        <is>
          <t>-</t>
        </is>
      </c>
      <c r="F1158" s="14" t="inlineStr">
        <is>
          <t>-</t>
        </is>
      </c>
      <c r="G1158" s="14" t="inlineStr">
        <is>
          <t>-</t>
        </is>
      </c>
      <c r="H1158" s="14" t="inlineStr">
        <is>
          <t>-</t>
        </is>
      </c>
      <c r="I1158" s="14" t="inlineStr">
        <is>
          <t>-</t>
        </is>
      </c>
      <c r="J1158" s="14" t="inlineStr">
        <is>
          <t>-</t>
        </is>
      </c>
      <c r="K1158" s="14" t="inlineStr">
        <is>
          <t>-</t>
        </is>
      </c>
      <c r="L1158" s="14" t="inlineStr">
        <is>
          <t>-</t>
        </is>
      </c>
      <c r="M1158" s="14" t="inlineStr">
        <is>
          <t>-</t>
        </is>
      </c>
      <c r="N1158" s="14" t="inlineStr">
        <is>
          <t>-</t>
        </is>
      </c>
      <c r="O1158" s="14" t="inlineStr">
        <is>
          <t>-</t>
        </is>
      </c>
      <c r="P1158" s="14" t="inlineStr">
        <is>
          <t>-</t>
        </is>
      </c>
      <c r="Q1158" s="15" t="inlineStr">
        <is>
          <t>-</t>
        </is>
      </c>
    </row>
    <row r="1159">
      <c r="A1159" s="47" t="inlineStr">
        <is>
          <t>salame</t>
        </is>
      </c>
      <c r="B1159" s="16" t="inlineStr">
        <is>
          <t>-</t>
        </is>
      </c>
      <c r="C1159" s="11" t="inlineStr">
        <is>
          <t>-</t>
        </is>
      </c>
      <c r="D1159" s="11" t="inlineStr">
        <is>
          <t>-</t>
        </is>
      </c>
      <c r="E1159" s="11" t="inlineStr">
        <is>
          <t>-</t>
        </is>
      </c>
      <c r="F1159" s="11" t="inlineStr">
        <is>
          <t>-</t>
        </is>
      </c>
      <c r="G1159" s="11" t="inlineStr">
        <is>
          <t>-</t>
        </is>
      </c>
      <c r="H1159" s="11" t="inlineStr">
        <is>
          <t>-</t>
        </is>
      </c>
      <c r="I1159" s="11" t="inlineStr">
        <is>
          <t>-</t>
        </is>
      </c>
      <c r="J1159" s="11" t="inlineStr">
        <is>
          <t>-</t>
        </is>
      </c>
      <c r="K1159" s="11" t="inlineStr">
        <is>
          <t>-</t>
        </is>
      </c>
      <c r="L1159" s="11" t="inlineStr">
        <is>
          <t>-</t>
        </is>
      </c>
      <c r="M1159" s="11" t="inlineStr">
        <is>
          <t>-</t>
        </is>
      </c>
      <c r="N1159" s="11" t="inlineStr">
        <is>
          <t>-</t>
        </is>
      </c>
      <c r="O1159" s="11" t="inlineStr">
        <is>
          <t>-</t>
        </is>
      </c>
      <c r="P1159" s="11" t="inlineStr">
        <is>
          <t>-</t>
        </is>
      </c>
      <c r="Q1159" s="12" t="inlineStr">
        <is>
          <t>-</t>
        </is>
      </c>
    </row>
    <row r="1160">
      <c r="A1160" s="47" t="inlineStr">
        <is>
          <t xml:space="preserve">STRUTTO RAFFINATO I B VERDE  </t>
        </is>
      </c>
      <c r="B1160" s="13" t="inlineStr">
        <is>
          <t>-</t>
        </is>
      </c>
      <c r="C1160" s="14" t="inlineStr">
        <is>
          <t>-</t>
        </is>
      </c>
      <c r="D1160" s="14" t="inlineStr">
        <is>
          <t>-</t>
        </is>
      </c>
      <c r="E1160" s="14" t="inlineStr">
        <is>
          <t>-</t>
        </is>
      </c>
      <c r="F1160" s="14" t="inlineStr">
        <is>
          <t>-</t>
        </is>
      </c>
      <c r="G1160" s="14" t="inlineStr">
        <is>
          <t>-</t>
        </is>
      </c>
      <c r="H1160" s="14" t="inlineStr">
        <is>
          <t>-</t>
        </is>
      </c>
      <c r="I1160" s="14" t="inlineStr">
        <is>
          <t>-</t>
        </is>
      </c>
      <c r="J1160" s="14" t="inlineStr">
        <is>
          <t>-</t>
        </is>
      </c>
      <c r="K1160" s="14" t="inlineStr">
        <is>
          <t>-</t>
        </is>
      </c>
      <c r="L1160" s="14" t="inlineStr">
        <is>
          <t>-</t>
        </is>
      </c>
      <c r="M1160" s="14" t="inlineStr">
        <is>
          <t>-</t>
        </is>
      </c>
      <c r="N1160" s="14" t="inlineStr">
        <is>
          <t>-</t>
        </is>
      </c>
      <c r="O1160" s="14" t="inlineStr">
        <is>
          <t>-</t>
        </is>
      </c>
      <c r="P1160" s="14" t="inlineStr">
        <is>
          <t>-</t>
        </is>
      </c>
      <c r="Q1160" s="15" t="inlineStr">
        <is>
          <t>-</t>
        </is>
      </c>
    </row>
    <row r="1161">
      <c r="A1161" s="47" t="inlineStr">
        <is>
          <t>zucchero semolato</t>
        </is>
      </c>
      <c r="B1161" s="16" t="inlineStr">
        <is>
          <t>-</t>
        </is>
      </c>
      <c r="C1161" s="11" t="inlineStr">
        <is>
          <t>-</t>
        </is>
      </c>
      <c r="D1161" s="11" t="inlineStr">
        <is>
          <t>-</t>
        </is>
      </c>
      <c r="E1161" s="11" t="inlineStr">
        <is>
          <t>-</t>
        </is>
      </c>
      <c r="F1161" s="11" t="inlineStr">
        <is>
          <t>-</t>
        </is>
      </c>
      <c r="G1161" s="11" t="inlineStr">
        <is>
          <t>-</t>
        </is>
      </c>
      <c r="H1161" s="11" t="inlineStr">
        <is>
          <t>-</t>
        </is>
      </c>
      <c r="I1161" s="11" t="inlineStr">
        <is>
          <t>-</t>
        </is>
      </c>
      <c r="J1161" s="11" t="inlineStr">
        <is>
          <t>-</t>
        </is>
      </c>
      <c r="K1161" s="11" t="inlineStr">
        <is>
          <t>-</t>
        </is>
      </c>
      <c r="L1161" s="11" t="inlineStr">
        <is>
          <t>-</t>
        </is>
      </c>
      <c r="M1161" s="11" t="inlineStr">
        <is>
          <t>-</t>
        </is>
      </c>
      <c r="N1161" s="11" t="inlineStr">
        <is>
          <t>-</t>
        </is>
      </c>
      <c r="O1161" s="11" t="inlineStr">
        <is>
          <t>-</t>
        </is>
      </c>
      <c r="P1161" s="11" t="inlineStr">
        <is>
          <t>-</t>
        </is>
      </c>
      <c r="Q1161" s="12" t="inlineStr">
        <is>
          <t>-</t>
        </is>
      </c>
    </row>
    <row r="1162">
      <c r="A1162" s="47" t="n"/>
      <c r="B1162" s="13" t="inlineStr">
        <is>
          <t>-</t>
        </is>
      </c>
      <c r="C1162" s="14" t="inlineStr">
        <is>
          <t>-</t>
        </is>
      </c>
      <c r="D1162" s="14" t="inlineStr">
        <is>
          <t>-</t>
        </is>
      </c>
      <c r="E1162" s="14" t="inlineStr">
        <is>
          <t>-</t>
        </is>
      </c>
      <c r="F1162" s="14" t="inlineStr">
        <is>
          <t>-</t>
        </is>
      </c>
      <c r="G1162" s="14" t="inlineStr">
        <is>
          <t>-</t>
        </is>
      </c>
      <c r="H1162" s="14" t="inlineStr">
        <is>
          <t>-</t>
        </is>
      </c>
      <c r="I1162" s="14" t="inlineStr">
        <is>
          <t>-</t>
        </is>
      </c>
      <c r="J1162" s="14" t="inlineStr">
        <is>
          <t>-</t>
        </is>
      </c>
      <c r="K1162" s="14" t="inlineStr">
        <is>
          <t>-</t>
        </is>
      </c>
      <c r="L1162" s="14" t="inlineStr">
        <is>
          <t>-</t>
        </is>
      </c>
      <c r="M1162" s="14" t="inlineStr">
        <is>
          <t>-</t>
        </is>
      </c>
      <c r="N1162" s="14" t="inlineStr">
        <is>
          <t>-</t>
        </is>
      </c>
      <c r="O1162" s="14" t="inlineStr">
        <is>
          <t>-</t>
        </is>
      </c>
      <c r="P1162" s="14" t="inlineStr">
        <is>
          <t>-</t>
        </is>
      </c>
      <c r="Q1162" s="15" t="inlineStr">
        <is>
          <t>-</t>
        </is>
      </c>
    </row>
    <row r="1163">
      <c r="A1163" s="47" t="n"/>
      <c r="B1163" s="16" t="inlineStr">
        <is>
          <t>-</t>
        </is>
      </c>
      <c r="C1163" s="11" t="inlineStr">
        <is>
          <t>-</t>
        </is>
      </c>
      <c r="D1163" s="11" t="inlineStr">
        <is>
          <t>-</t>
        </is>
      </c>
      <c r="E1163" s="11" t="inlineStr">
        <is>
          <t>-</t>
        </is>
      </c>
      <c r="F1163" s="11" t="inlineStr">
        <is>
          <t>-</t>
        </is>
      </c>
      <c r="G1163" s="11" t="inlineStr">
        <is>
          <t>-</t>
        </is>
      </c>
      <c r="H1163" s="11" t="inlineStr">
        <is>
          <t>-</t>
        </is>
      </c>
      <c r="I1163" s="11" t="inlineStr">
        <is>
          <t>-</t>
        </is>
      </c>
      <c r="J1163" s="11" t="inlineStr">
        <is>
          <t>-</t>
        </is>
      </c>
      <c r="K1163" s="11" t="inlineStr">
        <is>
          <t>-</t>
        </is>
      </c>
      <c r="L1163" s="11" t="inlineStr">
        <is>
          <t>-</t>
        </is>
      </c>
      <c r="M1163" s="11" t="inlineStr">
        <is>
          <t>-</t>
        </is>
      </c>
      <c r="N1163" s="11" t="inlineStr">
        <is>
          <t>-</t>
        </is>
      </c>
      <c r="O1163" s="11" t="inlineStr">
        <is>
          <t>-</t>
        </is>
      </c>
      <c r="P1163" s="11" t="inlineStr">
        <is>
          <t>-</t>
        </is>
      </c>
      <c r="Q1163" s="12" t="inlineStr">
        <is>
          <t>-</t>
        </is>
      </c>
    </row>
    <row r="1164">
      <c r="A1164" s="47" t="n"/>
      <c r="B1164" s="13" t="inlineStr">
        <is>
          <t>-</t>
        </is>
      </c>
      <c r="C1164" s="14" t="inlineStr">
        <is>
          <t>-</t>
        </is>
      </c>
      <c r="D1164" s="14" t="inlineStr">
        <is>
          <t>-</t>
        </is>
      </c>
      <c r="E1164" s="14" t="inlineStr">
        <is>
          <t>-</t>
        </is>
      </c>
      <c r="F1164" s="14" t="inlineStr">
        <is>
          <t>-</t>
        </is>
      </c>
      <c r="G1164" s="14" t="inlineStr">
        <is>
          <t>-</t>
        </is>
      </c>
      <c r="H1164" s="14" t="inlineStr">
        <is>
          <t>-</t>
        </is>
      </c>
      <c r="I1164" s="14" t="inlineStr">
        <is>
          <t>-</t>
        </is>
      </c>
      <c r="J1164" s="14" t="inlineStr">
        <is>
          <t>-</t>
        </is>
      </c>
      <c r="K1164" s="14" t="inlineStr">
        <is>
          <t>-</t>
        </is>
      </c>
      <c r="L1164" s="14" t="inlineStr">
        <is>
          <t>-</t>
        </is>
      </c>
      <c r="M1164" s="14" t="inlineStr">
        <is>
          <t>-</t>
        </is>
      </c>
      <c r="N1164" s="14" t="inlineStr">
        <is>
          <t>-</t>
        </is>
      </c>
      <c r="O1164" s="14" t="inlineStr">
        <is>
          <t>-</t>
        </is>
      </c>
      <c r="P1164" s="14" t="inlineStr">
        <is>
          <t>-</t>
        </is>
      </c>
      <c r="Q1164" s="15" t="inlineStr">
        <is>
          <t>-</t>
        </is>
      </c>
    </row>
    <row r="1165">
      <c r="A1165" s="47" t="n"/>
      <c r="B1165" s="16" t="inlineStr">
        <is>
          <t>-</t>
        </is>
      </c>
      <c r="C1165" s="11" t="inlineStr">
        <is>
          <t>-</t>
        </is>
      </c>
      <c r="D1165" s="11" t="inlineStr">
        <is>
          <t>-</t>
        </is>
      </c>
      <c r="E1165" s="11" t="inlineStr">
        <is>
          <t>-</t>
        </is>
      </c>
      <c r="F1165" s="11" t="inlineStr">
        <is>
          <t>-</t>
        </is>
      </c>
      <c r="G1165" s="11" t="inlineStr">
        <is>
          <t>-</t>
        </is>
      </c>
      <c r="H1165" s="11" t="inlineStr">
        <is>
          <t>-</t>
        </is>
      </c>
      <c r="I1165" s="11" t="inlineStr">
        <is>
          <t>-</t>
        </is>
      </c>
      <c r="J1165" s="11" t="inlineStr">
        <is>
          <t>-</t>
        </is>
      </c>
      <c r="K1165" s="11" t="inlineStr">
        <is>
          <t>-</t>
        </is>
      </c>
      <c r="L1165" s="11" t="inlineStr">
        <is>
          <t>-</t>
        </is>
      </c>
      <c r="M1165" s="11" t="inlineStr">
        <is>
          <t>-</t>
        </is>
      </c>
      <c r="N1165" s="11" t="inlineStr">
        <is>
          <t>-</t>
        </is>
      </c>
      <c r="O1165" s="11" t="inlineStr">
        <is>
          <t>-</t>
        </is>
      </c>
      <c r="P1165" s="11" t="inlineStr">
        <is>
          <t>-</t>
        </is>
      </c>
      <c r="Q1165" s="12" t="inlineStr">
        <is>
          <t>-</t>
        </is>
      </c>
    </row>
    <row r="1166">
      <c r="A1166" s="47" t="n"/>
      <c r="B1166" s="13" t="inlineStr">
        <is>
          <t>-</t>
        </is>
      </c>
      <c r="C1166" s="14" t="inlineStr">
        <is>
          <t>-</t>
        </is>
      </c>
      <c r="D1166" s="14" t="inlineStr">
        <is>
          <t>-</t>
        </is>
      </c>
      <c r="E1166" s="14" t="inlineStr">
        <is>
          <t>-</t>
        </is>
      </c>
      <c r="F1166" s="14" t="inlineStr">
        <is>
          <t>-</t>
        </is>
      </c>
      <c r="G1166" s="14" t="inlineStr">
        <is>
          <t>-</t>
        </is>
      </c>
      <c r="H1166" s="14" t="inlineStr">
        <is>
          <t>-</t>
        </is>
      </c>
      <c r="I1166" s="14" t="inlineStr">
        <is>
          <t>-</t>
        </is>
      </c>
      <c r="J1166" s="14" t="inlineStr">
        <is>
          <t>-</t>
        </is>
      </c>
      <c r="K1166" s="14" t="inlineStr">
        <is>
          <t>-</t>
        </is>
      </c>
      <c r="L1166" s="14" t="inlineStr">
        <is>
          <t>-</t>
        </is>
      </c>
      <c r="M1166" s="14" t="inlineStr">
        <is>
          <t>-</t>
        </is>
      </c>
      <c r="N1166" s="14" t="inlineStr">
        <is>
          <t>-</t>
        </is>
      </c>
      <c r="O1166" s="14" t="inlineStr">
        <is>
          <t>-</t>
        </is>
      </c>
      <c r="P1166" s="14" t="inlineStr">
        <is>
          <t>-</t>
        </is>
      </c>
      <c r="Q1166" s="15" t="inlineStr">
        <is>
          <t>-</t>
        </is>
      </c>
    </row>
    <row r="1167">
      <c r="A1167" s="47" t="n"/>
      <c r="B1167" s="16" t="inlineStr">
        <is>
          <t>-</t>
        </is>
      </c>
      <c r="C1167" s="11" t="inlineStr">
        <is>
          <t>-</t>
        </is>
      </c>
      <c r="D1167" s="11" t="inlineStr">
        <is>
          <t>-</t>
        </is>
      </c>
      <c r="E1167" s="11" t="inlineStr">
        <is>
          <t>-</t>
        </is>
      </c>
      <c r="F1167" s="11" t="inlineStr">
        <is>
          <t>-</t>
        </is>
      </c>
      <c r="G1167" s="11" t="inlineStr">
        <is>
          <t>-</t>
        </is>
      </c>
      <c r="H1167" s="11" t="inlineStr">
        <is>
          <t>-</t>
        </is>
      </c>
      <c r="I1167" s="11" t="inlineStr">
        <is>
          <t>-</t>
        </is>
      </c>
      <c r="J1167" s="11" t="inlineStr">
        <is>
          <t>-</t>
        </is>
      </c>
      <c r="K1167" s="11" t="inlineStr">
        <is>
          <t>-</t>
        </is>
      </c>
      <c r="L1167" s="11" t="inlineStr">
        <is>
          <t>-</t>
        </is>
      </c>
      <c r="M1167" s="11" t="inlineStr">
        <is>
          <t>-</t>
        </is>
      </c>
      <c r="N1167" s="11" t="inlineStr">
        <is>
          <t>-</t>
        </is>
      </c>
      <c r="O1167" s="11" t="inlineStr">
        <is>
          <t>-</t>
        </is>
      </c>
      <c r="P1167" s="11" t="inlineStr">
        <is>
          <t>-</t>
        </is>
      </c>
      <c r="Q1167" s="12" t="inlineStr">
        <is>
          <t>-</t>
        </is>
      </c>
    </row>
    <row r="1168">
      <c r="A1168" s="47" t="n"/>
      <c r="B1168" s="13" t="inlineStr">
        <is>
          <t>-</t>
        </is>
      </c>
      <c r="C1168" s="14" t="inlineStr">
        <is>
          <t>-</t>
        </is>
      </c>
      <c r="D1168" s="14" t="inlineStr">
        <is>
          <t>-</t>
        </is>
      </c>
      <c r="E1168" s="14" t="inlineStr">
        <is>
          <t>-</t>
        </is>
      </c>
      <c r="F1168" s="14" t="inlineStr">
        <is>
          <t>-</t>
        </is>
      </c>
      <c r="G1168" s="14" t="inlineStr">
        <is>
          <t>-</t>
        </is>
      </c>
      <c r="H1168" s="14" t="inlineStr">
        <is>
          <t>-</t>
        </is>
      </c>
      <c r="I1168" s="14" t="inlineStr">
        <is>
          <t>-</t>
        </is>
      </c>
      <c r="J1168" s="14" t="inlineStr">
        <is>
          <t>-</t>
        </is>
      </c>
      <c r="K1168" s="14" t="inlineStr">
        <is>
          <t>-</t>
        </is>
      </c>
      <c r="L1168" s="14" t="inlineStr">
        <is>
          <t>-</t>
        </is>
      </c>
      <c r="M1168" s="14" t="inlineStr">
        <is>
          <t>-</t>
        </is>
      </c>
      <c r="N1168" s="14" t="inlineStr">
        <is>
          <t>-</t>
        </is>
      </c>
      <c r="O1168" s="14" t="inlineStr">
        <is>
          <t>-</t>
        </is>
      </c>
      <c r="P1168" s="14" t="inlineStr">
        <is>
          <t>-</t>
        </is>
      </c>
      <c r="Q1168" s="15" t="inlineStr">
        <is>
          <t>-</t>
        </is>
      </c>
    </row>
    <row r="1169">
      <c r="A1169" s="47" t="n"/>
      <c r="B1169" s="16" t="inlineStr">
        <is>
          <t>-</t>
        </is>
      </c>
      <c r="C1169" s="11" t="inlineStr">
        <is>
          <t>-</t>
        </is>
      </c>
      <c r="D1169" s="11" t="inlineStr">
        <is>
          <t>-</t>
        </is>
      </c>
      <c r="E1169" s="11" t="inlineStr">
        <is>
          <t>-</t>
        </is>
      </c>
      <c r="F1169" s="11" t="inlineStr">
        <is>
          <t>-</t>
        </is>
      </c>
      <c r="G1169" s="11" t="inlineStr">
        <is>
          <t>-</t>
        </is>
      </c>
      <c r="H1169" s="11" t="inlineStr">
        <is>
          <t>-</t>
        </is>
      </c>
      <c r="I1169" s="11" t="inlineStr">
        <is>
          <t>-</t>
        </is>
      </c>
      <c r="J1169" s="11" t="inlineStr">
        <is>
          <t>-</t>
        </is>
      </c>
      <c r="K1169" s="11" t="inlineStr">
        <is>
          <t>-</t>
        </is>
      </c>
      <c r="L1169" s="11" t="inlineStr">
        <is>
          <t>-</t>
        </is>
      </c>
      <c r="M1169" s="11" t="inlineStr">
        <is>
          <t>-</t>
        </is>
      </c>
      <c r="N1169" s="11" t="inlineStr">
        <is>
          <t>-</t>
        </is>
      </c>
      <c r="O1169" s="11" t="inlineStr">
        <is>
          <t>-</t>
        </is>
      </c>
      <c r="P1169" s="11" t="inlineStr">
        <is>
          <t>-</t>
        </is>
      </c>
      <c r="Q1169" s="12" t="inlineStr">
        <is>
          <t>-</t>
        </is>
      </c>
    </row>
    <row r="1170" ht="36" customHeight="1" s="155">
      <c r="B1170" s="46" t="inlineStr">
        <is>
          <t>salsiccia di tacchino</t>
        </is>
      </c>
      <c r="C1170" s="49">
        <f>_xlfn.XLOOKUP(A1171,Magazzino!$D$1:$D$1500,Magazzino!$F$1:$F$1500,"",0,1)</f>
        <v/>
      </c>
      <c r="D1170" s="50">
        <f>_xlfn.XLOOKUP(A1172,Magazzino!$D$1:$D$1500,Magazzino!$F$1:$F$1500,"",0,1)</f>
        <v/>
      </c>
      <c r="E1170" s="50">
        <f>_xlfn.XLOOKUP(A1173,Magazzino!$D$1:$D$1500,Magazzino!$F$1:$F$1500,"",0,1)</f>
        <v/>
      </c>
      <c r="F1170" s="50">
        <f>_xlfn.XLOOKUP(A1174,Magazzino!$D$1:$D$1500,Magazzino!$F$1:$F$1500,"",0,1)</f>
        <v/>
      </c>
      <c r="G1170" s="50">
        <f>_xlfn.XLOOKUP(A1175,Magazzino!$D$1:$D$1500,Magazzino!$F$1:$F$1500,"",0,1)</f>
        <v/>
      </c>
      <c r="H1170" s="50">
        <f>_xlfn.XLOOKUP(A1176,Magazzino!$D$1:$D$1500,Magazzino!$F$1:$F$1500,"",0,1)</f>
        <v/>
      </c>
      <c r="I1170" s="50">
        <f>_xlfn.XLOOKUP(A1177,Magazzino!$D$1:$D$1500,Magazzino!$F$1:$F$1500,"",0,1)</f>
        <v/>
      </c>
      <c r="J1170" s="50">
        <f>_xlfn.XLOOKUP(A1178,Magazzino!$D$1:$D$1500,Magazzino!$F$1:$F$1500,"",0,1)</f>
        <v/>
      </c>
      <c r="K1170" s="50">
        <f>_xlfn.XLOOKUP(A1179,Magazzino!$D$1:$D$1500,Magazzino!$F$1:$F$1500,"",0,1)</f>
        <v/>
      </c>
      <c r="L1170" s="50">
        <f>_xlfn.XLOOKUP(A1180,Magazzino!$D$1:$D$1500,Magazzino!$F$1:$F$1500,"",0,1)</f>
        <v/>
      </c>
      <c r="M1170" s="50">
        <f>_xlfn.XLOOKUP(A1181,Magazzino!$D$1:$D$1500,Magazzino!$F$1:$F$1500,"",0,1)</f>
        <v/>
      </c>
      <c r="N1170" s="50">
        <f>_xlfn.XLOOKUP(A1182,Magazzino!$D$1:$D$1500,Magazzino!$F$1:$F$1500,"",0,1)</f>
        <v/>
      </c>
      <c r="O1170" s="50">
        <f>_xlfn.XLOOKUP(A1183,Magazzino!$D$1:$D$1500,Magazzino!$F$1:$F$1500,"",0,1)</f>
        <v/>
      </c>
      <c r="P1170" s="50">
        <f>_xlfn.XLOOKUP(A1184,Magazzino!$D$1:$D$1500,Magazzino!$F$1:$F$1500,"",0,1)</f>
        <v/>
      </c>
      <c r="Q1170" s="51">
        <f>_xlfn.XLOOKUP(A1185,Magazzino!$D$1:$D$1500,Magazzino!$F$1:$F$1500,"",0,1)</f>
        <v/>
      </c>
    </row>
    <row r="1171">
      <c r="A1171" s="47" t="inlineStr">
        <is>
          <t>basilico / rosmarino /prezzemolo</t>
        </is>
      </c>
      <c r="B1171" s="16" t="inlineStr">
        <is>
          <t>-</t>
        </is>
      </c>
      <c r="C1171" s="11" t="inlineStr">
        <is>
          <t>-</t>
        </is>
      </c>
      <c r="D1171" s="11" t="inlineStr">
        <is>
          <t>-</t>
        </is>
      </c>
      <c r="E1171" s="11" t="inlineStr">
        <is>
          <t>-</t>
        </is>
      </c>
      <c r="F1171" s="11" t="inlineStr">
        <is>
          <t>-</t>
        </is>
      </c>
      <c r="G1171" s="11" t="inlineStr">
        <is>
          <t>-</t>
        </is>
      </c>
      <c r="H1171" s="11" t="inlineStr">
        <is>
          <t>-</t>
        </is>
      </c>
      <c r="I1171" s="11" t="inlineStr">
        <is>
          <t>-</t>
        </is>
      </c>
      <c r="J1171" s="11" t="inlineStr">
        <is>
          <t>-</t>
        </is>
      </c>
      <c r="K1171" s="11" t="inlineStr">
        <is>
          <t>-</t>
        </is>
      </c>
      <c r="L1171" s="11" t="inlineStr">
        <is>
          <t>-</t>
        </is>
      </c>
      <c r="M1171" s="11" t="inlineStr">
        <is>
          <t>-</t>
        </is>
      </c>
      <c r="N1171" s="11" t="inlineStr">
        <is>
          <t>-</t>
        </is>
      </c>
      <c r="O1171" s="11" t="inlineStr">
        <is>
          <t>-</t>
        </is>
      </c>
      <c r="P1171" s="11" t="inlineStr">
        <is>
          <t>-</t>
        </is>
      </c>
      <c r="Q1171" s="12" t="inlineStr">
        <is>
          <t>-</t>
        </is>
      </c>
    </row>
    <row r="1172">
      <c r="A1172" s="47" t="inlineStr">
        <is>
          <t>salsiccia puro suino</t>
        </is>
      </c>
      <c r="B1172" s="13" t="inlineStr">
        <is>
          <t>-</t>
        </is>
      </c>
      <c r="C1172" s="14" t="inlineStr">
        <is>
          <t>-</t>
        </is>
      </c>
      <c r="D1172" s="14" t="inlineStr">
        <is>
          <t>-</t>
        </is>
      </c>
      <c r="E1172" s="14" t="inlineStr">
        <is>
          <t>-</t>
        </is>
      </c>
      <c r="F1172" s="14" t="inlineStr">
        <is>
          <t>-</t>
        </is>
      </c>
      <c r="G1172" s="14" t="inlineStr">
        <is>
          <t>-</t>
        </is>
      </c>
      <c r="H1172" s="14" t="inlineStr">
        <is>
          <t>-</t>
        </is>
      </c>
      <c r="I1172" s="14" t="inlineStr">
        <is>
          <t>-</t>
        </is>
      </c>
      <c r="J1172" s="14" t="inlineStr">
        <is>
          <t>-</t>
        </is>
      </c>
      <c r="K1172" s="14" t="inlineStr">
        <is>
          <t>-</t>
        </is>
      </c>
      <c r="L1172" s="14" t="inlineStr">
        <is>
          <t>-</t>
        </is>
      </c>
      <c r="M1172" s="14" t="inlineStr">
        <is>
          <t>-</t>
        </is>
      </c>
      <c r="N1172" s="14" t="inlineStr">
        <is>
          <t>-</t>
        </is>
      </c>
      <c r="O1172" s="14" t="inlineStr">
        <is>
          <t>-</t>
        </is>
      </c>
      <c r="P1172" s="14" t="inlineStr">
        <is>
          <t>-</t>
        </is>
      </c>
      <c r="Q1172" s="15" t="inlineStr">
        <is>
          <t>-</t>
        </is>
      </c>
    </row>
    <row r="1173">
      <c r="A1173" s="47" t="inlineStr">
        <is>
          <t>olio extravergine oliva</t>
        </is>
      </c>
      <c r="B1173" s="16" t="inlineStr">
        <is>
          <t>-</t>
        </is>
      </c>
      <c r="C1173" s="11" t="inlineStr">
        <is>
          <t>-</t>
        </is>
      </c>
      <c r="D1173" s="11" t="inlineStr">
        <is>
          <t>-</t>
        </is>
      </c>
      <c r="E1173" s="11" t="inlineStr">
        <is>
          <t>-</t>
        </is>
      </c>
      <c r="F1173" s="11" t="inlineStr">
        <is>
          <t>-</t>
        </is>
      </c>
      <c r="G1173" s="11" t="inlineStr">
        <is>
          <t>-</t>
        </is>
      </c>
      <c r="H1173" s="11" t="inlineStr">
        <is>
          <t>-</t>
        </is>
      </c>
      <c r="I1173" s="11" t="inlineStr">
        <is>
          <t>-</t>
        </is>
      </c>
      <c r="J1173" s="11" t="inlineStr">
        <is>
          <t>-</t>
        </is>
      </c>
      <c r="K1173" s="11" t="inlineStr">
        <is>
          <t>-</t>
        </is>
      </c>
      <c r="L1173" s="11" t="inlineStr">
        <is>
          <t>-</t>
        </is>
      </c>
      <c r="M1173" s="11" t="inlineStr">
        <is>
          <t>-</t>
        </is>
      </c>
      <c r="N1173" s="11" t="inlineStr">
        <is>
          <t>-</t>
        </is>
      </c>
      <c r="O1173" s="11" t="inlineStr">
        <is>
          <t>-</t>
        </is>
      </c>
      <c r="P1173" s="11" t="inlineStr">
        <is>
          <t>-</t>
        </is>
      </c>
      <c r="Q1173" s="12" t="inlineStr">
        <is>
          <t>-</t>
        </is>
      </c>
    </row>
    <row r="1174">
      <c r="A1174" s="48" t="inlineStr">
        <is>
          <t xml:space="preserve">SALE SACCHI SALTECHNO KG.25  </t>
        </is>
      </c>
      <c r="B1174" s="13" t="inlineStr">
        <is>
          <t>-</t>
        </is>
      </c>
      <c r="C1174" s="14" t="inlineStr">
        <is>
          <t>-</t>
        </is>
      </c>
      <c r="D1174" s="14" t="inlineStr">
        <is>
          <t>-</t>
        </is>
      </c>
      <c r="E1174" s="14" t="inlineStr">
        <is>
          <t>-</t>
        </is>
      </c>
      <c r="F1174" s="14" t="inlineStr">
        <is>
          <t>-</t>
        </is>
      </c>
      <c r="G1174" s="14" t="inlineStr">
        <is>
          <t>-</t>
        </is>
      </c>
      <c r="H1174" s="14" t="inlineStr">
        <is>
          <t>-</t>
        </is>
      </c>
      <c r="I1174" s="14" t="inlineStr">
        <is>
          <t>-</t>
        </is>
      </c>
      <c r="J1174" s="14" t="inlineStr">
        <is>
          <t>-</t>
        </is>
      </c>
      <c r="K1174" s="14" t="inlineStr">
        <is>
          <t>-</t>
        </is>
      </c>
      <c r="L1174" s="14" t="inlineStr">
        <is>
          <t>-</t>
        </is>
      </c>
      <c r="M1174" s="14" t="inlineStr">
        <is>
          <t>-</t>
        </is>
      </c>
      <c r="N1174" s="14" t="inlineStr">
        <is>
          <t>-</t>
        </is>
      </c>
      <c r="O1174" s="14" t="inlineStr">
        <is>
          <t>-</t>
        </is>
      </c>
      <c r="P1174" s="14" t="inlineStr">
        <is>
          <t>-</t>
        </is>
      </c>
      <c r="Q1174" s="15" t="inlineStr">
        <is>
          <t>-</t>
        </is>
      </c>
    </row>
    <row r="1175">
      <c r="A1175" s="47" t="n"/>
      <c r="B1175" s="16" t="inlineStr">
        <is>
          <t>-</t>
        </is>
      </c>
      <c r="C1175" s="11" t="inlineStr">
        <is>
          <t>-</t>
        </is>
      </c>
      <c r="D1175" s="11" t="inlineStr">
        <is>
          <t>-</t>
        </is>
      </c>
      <c r="E1175" s="11" t="inlineStr">
        <is>
          <t>-</t>
        </is>
      </c>
      <c r="F1175" s="11" t="inlineStr">
        <is>
          <t>-</t>
        </is>
      </c>
      <c r="G1175" s="11" t="inlineStr">
        <is>
          <t>-</t>
        </is>
      </c>
      <c r="H1175" s="11" t="inlineStr">
        <is>
          <t>-</t>
        </is>
      </c>
      <c r="I1175" s="11" t="inlineStr">
        <is>
          <t>-</t>
        </is>
      </c>
      <c r="J1175" s="11" t="inlineStr">
        <is>
          <t>-</t>
        </is>
      </c>
      <c r="K1175" s="11" t="inlineStr">
        <is>
          <t>-</t>
        </is>
      </c>
      <c r="L1175" s="11" t="inlineStr">
        <is>
          <t>-</t>
        </is>
      </c>
      <c r="M1175" s="11" t="inlineStr">
        <is>
          <t>-</t>
        </is>
      </c>
      <c r="N1175" s="11" t="inlineStr">
        <is>
          <t>-</t>
        </is>
      </c>
      <c r="O1175" s="11" t="inlineStr">
        <is>
          <t>-</t>
        </is>
      </c>
      <c r="P1175" s="11" t="inlineStr">
        <is>
          <t>-</t>
        </is>
      </c>
      <c r="Q1175" s="12" t="inlineStr">
        <is>
          <t>-</t>
        </is>
      </c>
    </row>
    <row r="1176">
      <c r="A1176" s="47" t="n"/>
      <c r="B1176" s="13" t="inlineStr">
        <is>
          <t>-</t>
        </is>
      </c>
      <c r="C1176" s="14" t="inlineStr">
        <is>
          <t>-</t>
        </is>
      </c>
      <c r="D1176" s="14" t="inlineStr">
        <is>
          <t>-</t>
        </is>
      </c>
      <c r="E1176" s="14" t="inlineStr">
        <is>
          <t>-</t>
        </is>
      </c>
      <c r="F1176" s="14" t="inlineStr">
        <is>
          <t>-</t>
        </is>
      </c>
      <c r="G1176" s="14" t="inlineStr">
        <is>
          <t>-</t>
        </is>
      </c>
      <c r="H1176" s="14" t="inlineStr">
        <is>
          <t>-</t>
        </is>
      </c>
      <c r="I1176" s="14" t="inlineStr">
        <is>
          <t>-</t>
        </is>
      </c>
      <c r="J1176" s="14" t="inlineStr">
        <is>
          <t>-</t>
        </is>
      </c>
      <c r="K1176" s="14" t="inlineStr">
        <is>
          <t>-</t>
        </is>
      </c>
      <c r="L1176" s="14" t="inlineStr">
        <is>
          <t>-</t>
        </is>
      </c>
      <c r="M1176" s="14" t="inlineStr">
        <is>
          <t>-</t>
        </is>
      </c>
      <c r="N1176" s="14" t="inlineStr">
        <is>
          <t>-</t>
        </is>
      </c>
      <c r="O1176" s="14" t="inlineStr">
        <is>
          <t>-</t>
        </is>
      </c>
      <c r="P1176" s="14" t="inlineStr">
        <is>
          <t>-</t>
        </is>
      </c>
      <c r="Q1176" s="15" t="inlineStr">
        <is>
          <t>-</t>
        </is>
      </c>
    </row>
    <row r="1177">
      <c r="A1177" s="47" t="n"/>
      <c r="B1177" s="16" t="inlineStr">
        <is>
          <t>-</t>
        </is>
      </c>
      <c r="C1177" s="11" t="inlineStr">
        <is>
          <t>-</t>
        </is>
      </c>
      <c r="D1177" s="11" t="inlineStr">
        <is>
          <t>-</t>
        </is>
      </c>
      <c r="E1177" s="11" t="inlineStr">
        <is>
          <t>-</t>
        </is>
      </c>
      <c r="F1177" s="11" t="inlineStr">
        <is>
          <t>-</t>
        </is>
      </c>
      <c r="G1177" s="11" t="inlineStr">
        <is>
          <t>-</t>
        </is>
      </c>
      <c r="H1177" s="11" t="inlineStr">
        <is>
          <t>-</t>
        </is>
      </c>
      <c r="I1177" s="11" t="inlineStr">
        <is>
          <t>-</t>
        </is>
      </c>
      <c r="J1177" s="11" t="inlineStr">
        <is>
          <t>-</t>
        </is>
      </c>
      <c r="K1177" s="11" t="inlineStr">
        <is>
          <t>-</t>
        </is>
      </c>
      <c r="L1177" s="11" t="inlineStr">
        <is>
          <t>-</t>
        </is>
      </c>
      <c r="M1177" s="11" t="inlineStr">
        <is>
          <t>-</t>
        </is>
      </c>
      <c r="N1177" s="11" t="inlineStr">
        <is>
          <t>-</t>
        </is>
      </c>
      <c r="O1177" s="11" t="inlineStr">
        <is>
          <t>-</t>
        </is>
      </c>
      <c r="P1177" s="11" t="inlineStr">
        <is>
          <t>-</t>
        </is>
      </c>
      <c r="Q1177" s="12" t="inlineStr">
        <is>
          <t>-</t>
        </is>
      </c>
    </row>
    <row r="1178">
      <c r="A1178" s="47" t="n"/>
      <c r="B1178" s="13" t="inlineStr">
        <is>
          <t>-</t>
        </is>
      </c>
      <c r="C1178" s="14" t="inlineStr">
        <is>
          <t>-</t>
        </is>
      </c>
      <c r="D1178" s="14" t="inlineStr">
        <is>
          <t>-</t>
        </is>
      </c>
      <c r="E1178" s="14" t="inlineStr">
        <is>
          <t>-</t>
        </is>
      </c>
      <c r="F1178" s="14" t="inlineStr">
        <is>
          <t>-</t>
        </is>
      </c>
      <c r="G1178" s="14" t="inlineStr">
        <is>
          <t>-</t>
        </is>
      </c>
      <c r="H1178" s="14" t="inlineStr">
        <is>
          <t>-</t>
        </is>
      </c>
      <c r="I1178" s="14" t="inlineStr">
        <is>
          <t>-</t>
        </is>
      </c>
      <c r="J1178" s="14" t="inlineStr">
        <is>
          <t>-</t>
        </is>
      </c>
      <c r="K1178" s="14" t="inlineStr">
        <is>
          <t>-</t>
        </is>
      </c>
      <c r="L1178" s="14" t="inlineStr">
        <is>
          <t>-</t>
        </is>
      </c>
      <c r="M1178" s="14" t="inlineStr">
        <is>
          <t>-</t>
        </is>
      </c>
      <c r="N1178" s="14" t="inlineStr">
        <is>
          <t>-</t>
        </is>
      </c>
      <c r="O1178" s="14" t="inlineStr">
        <is>
          <t>-</t>
        </is>
      </c>
      <c r="P1178" s="14" t="inlineStr">
        <is>
          <t>-</t>
        </is>
      </c>
      <c r="Q1178" s="15" t="inlineStr">
        <is>
          <t>-</t>
        </is>
      </c>
    </row>
    <row r="1179">
      <c r="A1179" s="47" t="n"/>
      <c r="B1179" s="16" t="inlineStr">
        <is>
          <t>-</t>
        </is>
      </c>
      <c r="C1179" s="11" t="inlineStr">
        <is>
          <t>-</t>
        </is>
      </c>
      <c r="D1179" s="11" t="inlineStr">
        <is>
          <t>-</t>
        </is>
      </c>
      <c r="E1179" s="11" t="inlineStr">
        <is>
          <t>-</t>
        </is>
      </c>
      <c r="F1179" s="11" t="inlineStr">
        <is>
          <t>-</t>
        </is>
      </c>
      <c r="G1179" s="11" t="inlineStr">
        <is>
          <t>-</t>
        </is>
      </c>
      <c r="H1179" s="11" t="inlineStr">
        <is>
          <t>-</t>
        </is>
      </c>
      <c r="I1179" s="11" t="inlineStr">
        <is>
          <t>-</t>
        </is>
      </c>
      <c r="J1179" s="11" t="inlineStr">
        <is>
          <t>-</t>
        </is>
      </c>
      <c r="K1179" s="11" t="inlineStr">
        <is>
          <t>-</t>
        </is>
      </c>
      <c r="L1179" s="11" t="inlineStr">
        <is>
          <t>-</t>
        </is>
      </c>
      <c r="M1179" s="11" t="inlineStr">
        <is>
          <t>-</t>
        </is>
      </c>
      <c r="N1179" s="11" t="inlineStr">
        <is>
          <t>-</t>
        </is>
      </c>
      <c r="O1179" s="11" t="inlineStr">
        <is>
          <t>-</t>
        </is>
      </c>
      <c r="P1179" s="11" t="inlineStr">
        <is>
          <t>-</t>
        </is>
      </c>
      <c r="Q1179" s="12" t="inlineStr">
        <is>
          <t>-</t>
        </is>
      </c>
    </row>
    <row r="1180">
      <c r="A1180" s="47" t="n"/>
      <c r="B1180" s="13" t="inlineStr">
        <is>
          <t>-</t>
        </is>
      </c>
      <c r="C1180" s="14" t="inlineStr">
        <is>
          <t>-</t>
        </is>
      </c>
      <c r="D1180" s="14" t="inlineStr">
        <is>
          <t>-</t>
        </is>
      </c>
      <c r="E1180" s="14" t="inlineStr">
        <is>
          <t>-</t>
        </is>
      </c>
      <c r="F1180" s="14" t="inlineStr">
        <is>
          <t>-</t>
        </is>
      </c>
      <c r="G1180" s="14" t="inlineStr">
        <is>
          <t>-</t>
        </is>
      </c>
      <c r="H1180" s="14" t="inlineStr">
        <is>
          <t>-</t>
        </is>
      </c>
      <c r="I1180" s="14" t="inlineStr">
        <is>
          <t>-</t>
        </is>
      </c>
      <c r="J1180" s="14" t="inlineStr">
        <is>
          <t>-</t>
        </is>
      </c>
      <c r="K1180" s="14" t="inlineStr">
        <is>
          <t>-</t>
        </is>
      </c>
      <c r="L1180" s="14" t="inlineStr">
        <is>
          <t>-</t>
        </is>
      </c>
      <c r="M1180" s="14" t="inlineStr">
        <is>
          <t>-</t>
        </is>
      </c>
      <c r="N1180" s="14" t="inlineStr">
        <is>
          <t>-</t>
        </is>
      </c>
      <c r="O1180" s="14" t="inlineStr">
        <is>
          <t>-</t>
        </is>
      </c>
      <c r="P1180" s="14" t="inlineStr">
        <is>
          <t>-</t>
        </is>
      </c>
      <c r="Q1180" s="15" t="inlineStr">
        <is>
          <t>-</t>
        </is>
      </c>
    </row>
    <row r="1181">
      <c r="A1181" s="47" t="n"/>
      <c r="B1181" s="16" t="inlineStr">
        <is>
          <t>-</t>
        </is>
      </c>
      <c r="C1181" s="11" t="inlineStr">
        <is>
          <t>-</t>
        </is>
      </c>
      <c r="D1181" s="11" t="inlineStr">
        <is>
          <t>-</t>
        </is>
      </c>
      <c r="E1181" s="11" t="inlineStr">
        <is>
          <t>-</t>
        </is>
      </c>
      <c r="F1181" s="11" t="inlineStr">
        <is>
          <t>-</t>
        </is>
      </c>
      <c r="G1181" s="11" t="inlineStr">
        <is>
          <t>-</t>
        </is>
      </c>
      <c r="H1181" s="11" t="inlineStr">
        <is>
          <t>-</t>
        </is>
      </c>
      <c r="I1181" s="11" t="inlineStr">
        <is>
          <t>-</t>
        </is>
      </c>
      <c r="J1181" s="11" t="inlineStr">
        <is>
          <t>-</t>
        </is>
      </c>
      <c r="K1181" s="11" t="inlineStr">
        <is>
          <t>-</t>
        </is>
      </c>
      <c r="L1181" s="11" t="inlineStr">
        <is>
          <t>-</t>
        </is>
      </c>
      <c r="M1181" s="11" t="inlineStr">
        <is>
          <t>-</t>
        </is>
      </c>
      <c r="N1181" s="11" t="inlineStr">
        <is>
          <t>-</t>
        </is>
      </c>
      <c r="O1181" s="11" t="inlineStr">
        <is>
          <t>-</t>
        </is>
      </c>
      <c r="P1181" s="11" t="inlineStr">
        <is>
          <t>-</t>
        </is>
      </c>
      <c r="Q1181" s="12" t="inlineStr">
        <is>
          <t>-</t>
        </is>
      </c>
    </row>
    <row r="1182">
      <c r="A1182" s="47" t="n"/>
      <c r="B1182" s="13" t="inlineStr">
        <is>
          <t>-</t>
        </is>
      </c>
      <c r="C1182" s="14" t="inlineStr">
        <is>
          <t>-</t>
        </is>
      </c>
      <c r="D1182" s="14" t="inlineStr">
        <is>
          <t>-</t>
        </is>
      </c>
      <c r="E1182" s="14" t="inlineStr">
        <is>
          <t>-</t>
        </is>
      </c>
      <c r="F1182" s="14" t="inlineStr">
        <is>
          <t>-</t>
        </is>
      </c>
      <c r="G1182" s="14" t="inlineStr">
        <is>
          <t>-</t>
        </is>
      </c>
      <c r="H1182" s="14" t="inlineStr">
        <is>
          <t>-</t>
        </is>
      </c>
      <c r="I1182" s="14" t="inlineStr">
        <is>
          <t>-</t>
        </is>
      </c>
      <c r="J1182" s="14" t="inlineStr">
        <is>
          <t>-</t>
        </is>
      </c>
      <c r="K1182" s="14" t="inlineStr">
        <is>
          <t>-</t>
        </is>
      </c>
      <c r="L1182" s="14" t="inlineStr">
        <is>
          <t>-</t>
        </is>
      </c>
      <c r="M1182" s="14" t="inlineStr">
        <is>
          <t>-</t>
        </is>
      </c>
      <c r="N1182" s="14" t="inlineStr">
        <is>
          <t>-</t>
        </is>
      </c>
      <c r="O1182" s="14" t="inlineStr">
        <is>
          <t>-</t>
        </is>
      </c>
      <c r="P1182" s="14" t="inlineStr">
        <is>
          <t>-</t>
        </is>
      </c>
      <c r="Q1182" s="15" t="inlineStr">
        <is>
          <t>-</t>
        </is>
      </c>
    </row>
    <row r="1183">
      <c r="A1183" s="47" t="n"/>
      <c r="B1183" s="16" t="inlineStr">
        <is>
          <t>-</t>
        </is>
      </c>
      <c r="C1183" s="11" t="inlineStr">
        <is>
          <t>-</t>
        </is>
      </c>
      <c r="D1183" s="11" t="inlineStr">
        <is>
          <t>-</t>
        </is>
      </c>
      <c r="E1183" s="11" t="inlineStr">
        <is>
          <t>-</t>
        </is>
      </c>
      <c r="F1183" s="11" t="inlineStr">
        <is>
          <t>-</t>
        </is>
      </c>
      <c r="G1183" s="11" t="inlineStr">
        <is>
          <t>-</t>
        </is>
      </c>
      <c r="H1183" s="11" t="inlineStr">
        <is>
          <t>-</t>
        </is>
      </c>
      <c r="I1183" s="11" t="inlineStr">
        <is>
          <t>-</t>
        </is>
      </c>
      <c r="J1183" s="11" t="inlineStr">
        <is>
          <t>-</t>
        </is>
      </c>
      <c r="K1183" s="11" t="inlineStr">
        <is>
          <t>-</t>
        </is>
      </c>
      <c r="L1183" s="11" t="inlineStr">
        <is>
          <t>-</t>
        </is>
      </c>
      <c r="M1183" s="11" t="inlineStr">
        <is>
          <t>-</t>
        </is>
      </c>
      <c r="N1183" s="11" t="inlineStr">
        <is>
          <t>-</t>
        </is>
      </c>
      <c r="O1183" s="11" t="inlineStr">
        <is>
          <t>-</t>
        </is>
      </c>
      <c r="P1183" s="11" t="inlineStr">
        <is>
          <t>-</t>
        </is>
      </c>
      <c r="Q1183" s="12" t="inlineStr">
        <is>
          <t>-</t>
        </is>
      </c>
    </row>
    <row r="1184">
      <c r="A1184" s="47" t="n"/>
      <c r="B1184" s="13" t="inlineStr">
        <is>
          <t>-</t>
        </is>
      </c>
      <c r="C1184" s="14" t="inlineStr">
        <is>
          <t>-</t>
        </is>
      </c>
      <c r="D1184" s="14" t="inlineStr">
        <is>
          <t>-</t>
        </is>
      </c>
      <c r="E1184" s="14" t="inlineStr">
        <is>
          <t>-</t>
        </is>
      </c>
      <c r="F1184" s="14" t="inlineStr">
        <is>
          <t>-</t>
        </is>
      </c>
      <c r="G1184" s="14" t="inlineStr">
        <is>
          <t>-</t>
        </is>
      </c>
      <c r="H1184" s="14" t="inlineStr">
        <is>
          <t>-</t>
        </is>
      </c>
      <c r="I1184" s="14" t="inlineStr">
        <is>
          <t>-</t>
        </is>
      </c>
      <c r="J1184" s="14" t="inlineStr">
        <is>
          <t>-</t>
        </is>
      </c>
      <c r="K1184" s="14" t="inlineStr">
        <is>
          <t>-</t>
        </is>
      </c>
      <c r="L1184" s="14" t="inlineStr">
        <is>
          <t>-</t>
        </is>
      </c>
      <c r="M1184" s="14" t="inlineStr">
        <is>
          <t>-</t>
        </is>
      </c>
      <c r="N1184" s="14" t="inlineStr">
        <is>
          <t>-</t>
        </is>
      </c>
      <c r="O1184" s="14" t="inlineStr">
        <is>
          <t>-</t>
        </is>
      </c>
      <c r="P1184" s="14" t="inlineStr">
        <is>
          <t>-</t>
        </is>
      </c>
      <c r="Q1184" s="15" t="inlineStr">
        <is>
          <t>-</t>
        </is>
      </c>
    </row>
    <row r="1185">
      <c r="A1185" s="47" t="n"/>
      <c r="B1185" s="16" t="inlineStr">
        <is>
          <t>-</t>
        </is>
      </c>
      <c r="C1185" s="11" t="inlineStr">
        <is>
          <t>-</t>
        </is>
      </c>
      <c r="D1185" s="11" t="inlineStr">
        <is>
          <t>-</t>
        </is>
      </c>
      <c r="E1185" s="11" t="inlineStr">
        <is>
          <t>-</t>
        </is>
      </c>
      <c r="F1185" s="11" t="inlineStr">
        <is>
          <t>-</t>
        </is>
      </c>
      <c r="G1185" s="11" t="inlineStr">
        <is>
          <t>-</t>
        </is>
      </c>
      <c r="H1185" s="11" t="inlineStr">
        <is>
          <t>-</t>
        </is>
      </c>
      <c r="I1185" s="11" t="inlineStr">
        <is>
          <t>-</t>
        </is>
      </c>
      <c r="J1185" s="11" t="inlineStr">
        <is>
          <t>-</t>
        </is>
      </c>
      <c r="K1185" s="11" t="inlineStr">
        <is>
          <t>-</t>
        </is>
      </c>
      <c r="L1185" s="11" t="inlineStr">
        <is>
          <t>-</t>
        </is>
      </c>
      <c r="M1185" s="11" t="inlineStr">
        <is>
          <t>-</t>
        </is>
      </c>
      <c r="N1185" s="11" t="inlineStr">
        <is>
          <t>-</t>
        </is>
      </c>
      <c r="O1185" s="11" t="inlineStr">
        <is>
          <t>-</t>
        </is>
      </c>
      <c r="P1185" s="11" t="inlineStr">
        <is>
          <t>-</t>
        </is>
      </c>
      <c r="Q1185" s="12" t="inlineStr">
        <is>
          <t>-</t>
        </is>
      </c>
    </row>
    <row r="1186" ht="48" customHeight="1" s="155">
      <c r="B1186" s="46" t="inlineStr">
        <is>
          <t>salumi misti</t>
        </is>
      </c>
      <c r="C1186" s="49">
        <f>_xlfn.XLOOKUP(A1187,Magazzino!$D$1:$D$1500,Magazzino!$F$1:$F$1500,"",0,1)</f>
        <v/>
      </c>
      <c r="D1186" s="50">
        <f>_xlfn.XLOOKUP(A1188,Magazzino!$D$1:$D$1500,Magazzino!$F$1:$F$1500,"",0,1)</f>
        <v/>
      </c>
      <c r="E1186" s="50">
        <f>_xlfn.XLOOKUP(A1189,Magazzino!$D$1:$D$1500,Magazzino!$F$1:$F$1500,"",0,1)</f>
        <v/>
      </c>
      <c r="F1186" s="50">
        <f>_xlfn.XLOOKUP(A1190,Magazzino!$D$1:$D$1500,Magazzino!$F$1:$F$1500,"",0,1)</f>
        <v/>
      </c>
      <c r="G1186" s="50">
        <f>_xlfn.XLOOKUP(A1191,Magazzino!$D$1:$D$1500,Magazzino!$F$1:$F$1500,"",0,1)</f>
        <v/>
      </c>
      <c r="H1186" s="50">
        <f>_xlfn.XLOOKUP(A1192,Magazzino!$D$1:$D$1500,Magazzino!$F$1:$F$1500,"",0,1)</f>
        <v/>
      </c>
      <c r="I1186" s="50">
        <f>_xlfn.XLOOKUP(A1193,Magazzino!$D$1:$D$1500,Magazzino!$F$1:$F$1500,"",0,1)</f>
        <v/>
      </c>
      <c r="J1186" s="50">
        <f>_xlfn.XLOOKUP(A1194,Magazzino!$D$1:$D$1500,Magazzino!$F$1:$F$1500,"",0,1)</f>
        <v/>
      </c>
      <c r="K1186" s="50">
        <f>_xlfn.XLOOKUP(A1195,Magazzino!$D$1:$D$1500,Magazzino!$F$1:$F$1500,"",0,1)</f>
        <v/>
      </c>
      <c r="L1186" s="50">
        <f>_xlfn.XLOOKUP(A1196,Magazzino!$D$1:$D$1500,Magazzino!$F$1:$F$1500,"",0,1)</f>
        <v/>
      </c>
      <c r="M1186" s="50">
        <f>_xlfn.XLOOKUP(A1197,Magazzino!$D$1:$D$1500,Magazzino!$F$1:$F$1500,"",0,1)</f>
        <v/>
      </c>
      <c r="N1186" s="50">
        <f>_xlfn.XLOOKUP(A1198,Magazzino!$D$1:$D$1500,Magazzino!$F$1:$F$1500,"",0,1)</f>
        <v/>
      </c>
      <c r="O1186" s="50">
        <f>_xlfn.XLOOKUP(A1199,Magazzino!$D$1:$D$1500,Magazzino!$F$1:$F$1500,"",0,1)</f>
        <v/>
      </c>
      <c r="P1186" s="50">
        <f>_xlfn.XLOOKUP(A1200,Magazzino!$D$1:$D$1500,Magazzino!$F$1:$F$1500,"",0,1)</f>
        <v/>
      </c>
      <c r="Q1186" s="51">
        <f>_xlfn.XLOOKUP(A1201,Magazzino!$D$1:$D$1500,Magazzino!$F$1:$F$1500,"",0,1)</f>
        <v/>
      </c>
    </row>
    <row r="1187">
      <c r="A1187" s="47" t="inlineStr">
        <is>
          <t>porch.montagna1/2 senfter</t>
        </is>
      </c>
      <c r="B1187" s="16" t="inlineStr">
        <is>
          <t>-</t>
        </is>
      </c>
      <c r="C1187" s="11" t="inlineStr">
        <is>
          <t>-</t>
        </is>
      </c>
      <c r="D1187" s="11" t="inlineStr">
        <is>
          <t>-</t>
        </is>
      </c>
      <c r="E1187" s="11" t="inlineStr">
        <is>
          <t>-</t>
        </is>
      </c>
      <c r="F1187" s="11" t="inlineStr">
        <is>
          <t>-</t>
        </is>
      </c>
      <c r="G1187" s="11" t="inlineStr">
        <is>
          <t>-</t>
        </is>
      </c>
      <c r="H1187" s="11" t="inlineStr">
        <is>
          <t>-</t>
        </is>
      </c>
      <c r="I1187" s="11" t="inlineStr">
        <is>
          <t>-</t>
        </is>
      </c>
      <c r="J1187" s="11" t="inlineStr">
        <is>
          <t>-</t>
        </is>
      </c>
      <c r="K1187" s="11" t="inlineStr">
        <is>
          <t>-</t>
        </is>
      </c>
      <c r="L1187" s="11" t="inlineStr">
        <is>
          <t>-</t>
        </is>
      </c>
      <c r="M1187" s="11" t="inlineStr">
        <is>
          <t>-</t>
        </is>
      </c>
      <c r="N1187" s="11" t="inlineStr">
        <is>
          <t>-</t>
        </is>
      </c>
      <c r="O1187" s="11" t="inlineStr">
        <is>
          <t>-</t>
        </is>
      </c>
      <c r="P1187" s="11" t="inlineStr">
        <is>
          <t>-</t>
        </is>
      </c>
      <c r="Q1187" s="12" t="inlineStr">
        <is>
          <t>-</t>
        </is>
      </c>
    </row>
    <row r="1188">
      <c r="A1188" s="47" t="inlineStr">
        <is>
          <t>wrustel</t>
        </is>
      </c>
      <c r="B1188" s="13" t="inlineStr">
        <is>
          <t>-</t>
        </is>
      </c>
      <c r="C1188" s="14" t="inlineStr">
        <is>
          <t>-</t>
        </is>
      </c>
      <c r="D1188" s="14" t="inlineStr">
        <is>
          <t>-</t>
        </is>
      </c>
      <c r="E1188" s="14" t="inlineStr">
        <is>
          <t>-</t>
        </is>
      </c>
      <c r="F1188" s="14" t="inlineStr">
        <is>
          <t>-</t>
        </is>
      </c>
      <c r="G1188" s="14" t="inlineStr">
        <is>
          <t>-</t>
        </is>
      </c>
      <c r="H1188" s="14" t="inlineStr">
        <is>
          <t>-</t>
        </is>
      </c>
      <c r="I1188" s="14" t="inlineStr">
        <is>
          <t>-</t>
        </is>
      </c>
      <c r="J1188" s="14" t="inlineStr">
        <is>
          <t>-</t>
        </is>
      </c>
      <c r="K1188" s="14" t="inlineStr">
        <is>
          <t>-</t>
        </is>
      </c>
      <c r="L1188" s="14" t="inlineStr">
        <is>
          <t>-</t>
        </is>
      </c>
      <c r="M1188" s="14" t="inlineStr">
        <is>
          <t>-</t>
        </is>
      </c>
      <c r="N1188" s="14" t="inlineStr">
        <is>
          <t>-</t>
        </is>
      </c>
      <c r="O1188" s="14" t="inlineStr">
        <is>
          <t>-</t>
        </is>
      </c>
      <c r="P1188" s="14" t="inlineStr">
        <is>
          <t>-</t>
        </is>
      </c>
      <c r="Q1188" s="15" t="inlineStr">
        <is>
          <t>-</t>
        </is>
      </c>
    </row>
    <row r="1189">
      <c r="A1189" s="47" t="inlineStr">
        <is>
          <t>salame</t>
        </is>
      </c>
      <c r="B1189" s="16" t="inlineStr">
        <is>
          <t>-</t>
        </is>
      </c>
      <c r="C1189" s="11" t="inlineStr">
        <is>
          <t>-</t>
        </is>
      </c>
      <c r="D1189" s="11" t="inlineStr">
        <is>
          <t>-</t>
        </is>
      </c>
      <c r="E1189" s="11" t="inlineStr">
        <is>
          <t>-</t>
        </is>
      </c>
      <c r="F1189" s="11" t="inlineStr">
        <is>
          <t>-</t>
        </is>
      </c>
      <c r="G1189" s="11" t="inlineStr">
        <is>
          <t>-</t>
        </is>
      </c>
      <c r="H1189" s="11" t="inlineStr">
        <is>
          <t>-</t>
        </is>
      </c>
      <c r="I1189" s="11" t="inlineStr">
        <is>
          <t>-</t>
        </is>
      </c>
      <c r="J1189" s="11" t="inlineStr">
        <is>
          <t>-</t>
        </is>
      </c>
      <c r="K1189" s="11" t="inlineStr">
        <is>
          <t>-</t>
        </is>
      </c>
      <c r="L1189" s="11" t="inlineStr">
        <is>
          <t>-</t>
        </is>
      </c>
      <c r="M1189" s="11" t="inlineStr">
        <is>
          <t>-</t>
        </is>
      </c>
      <c r="N1189" s="11" t="inlineStr">
        <is>
          <t>-</t>
        </is>
      </c>
      <c r="O1189" s="11" t="inlineStr">
        <is>
          <t>-</t>
        </is>
      </c>
      <c r="P1189" s="11" t="inlineStr">
        <is>
          <t>-</t>
        </is>
      </c>
      <c r="Q1189" s="12" t="inlineStr">
        <is>
          <t>-</t>
        </is>
      </c>
    </row>
    <row r="1190">
      <c r="A1190" s="47" t="inlineStr">
        <is>
          <t>granapadano</t>
        </is>
      </c>
      <c r="B1190" s="13" t="inlineStr">
        <is>
          <t>-</t>
        </is>
      </c>
      <c r="C1190" s="14" t="inlineStr">
        <is>
          <t>-</t>
        </is>
      </c>
      <c r="D1190" s="14" t="inlineStr">
        <is>
          <t>-</t>
        </is>
      </c>
      <c r="E1190" s="14" t="inlineStr">
        <is>
          <t>-</t>
        </is>
      </c>
      <c r="F1190" s="14" t="inlineStr">
        <is>
          <t>-</t>
        </is>
      </c>
      <c r="G1190" s="14" t="inlineStr">
        <is>
          <t>-</t>
        </is>
      </c>
      <c r="H1190" s="14" t="inlineStr">
        <is>
          <t>-</t>
        </is>
      </c>
      <c r="I1190" s="14" t="inlineStr">
        <is>
          <t>-</t>
        </is>
      </c>
      <c r="J1190" s="14" t="inlineStr">
        <is>
          <t>-</t>
        </is>
      </c>
      <c r="K1190" s="14" t="inlineStr">
        <is>
          <t>-</t>
        </is>
      </c>
      <c r="L1190" s="14" t="inlineStr">
        <is>
          <t>-</t>
        </is>
      </c>
      <c r="M1190" s="14" t="inlineStr">
        <is>
          <t>-</t>
        </is>
      </c>
      <c r="N1190" s="14" t="inlineStr">
        <is>
          <t>-</t>
        </is>
      </c>
      <c r="O1190" s="14" t="inlineStr">
        <is>
          <t>-</t>
        </is>
      </c>
      <c r="P1190" s="14" t="inlineStr">
        <is>
          <t>-</t>
        </is>
      </c>
      <c r="Q1190" s="15" t="inlineStr">
        <is>
          <t>-</t>
        </is>
      </c>
    </row>
    <row r="1191">
      <c r="A1191" s="47" t="n"/>
      <c r="B1191" s="16" t="inlineStr">
        <is>
          <t>-</t>
        </is>
      </c>
      <c r="C1191" s="11" t="inlineStr">
        <is>
          <t>-</t>
        </is>
      </c>
      <c r="D1191" s="11" t="inlineStr">
        <is>
          <t>-</t>
        </is>
      </c>
      <c r="E1191" s="11" t="inlineStr">
        <is>
          <t>-</t>
        </is>
      </c>
      <c r="F1191" s="11" t="inlineStr">
        <is>
          <t>-</t>
        </is>
      </c>
      <c r="G1191" s="11" t="inlineStr">
        <is>
          <t>-</t>
        </is>
      </c>
      <c r="H1191" s="11" t="inlineStr">
        <is>
          <t>-</t>
        </is>
      </c>
      <c r="I1191" s="11" t="inlineStr">
        <is>
          <t>-</t>
        </is>
      </c>
      <c r="J1191" s="11" t="inlineStr">
        <is>
          <t>-</t>
        </is>
      </c>
      <c r="K1191" s="11" t="inlineStr">
        <is>
          <t>-</t>
        </is>
      </c>
      <c r="L1191" s="11" t="inlineStr">
        <is>
          <t>-</t>
        </is>
      </c>
      <c r="M1191" s="11" t="inlineStr">
        <is>
          <t>-</t>
        </is>
      </c>
      <c r="N1191" s="11" t="inlineStr">
        <is>
          <t>-</t>
        </is>
      </c>
      <c r="O1191" s="11" t="inlineStr">
        <is>
          <t>-</t>
        </is>
      </c>
      <c r="P1191" s="11" t="inlineStr">
        <is>
          <t>-</t>
        </is>
      </c>
      <c r="Q1191" s="12" t="inlineStr">
        <is>
          <t>-</t>
        </is>
      </c>
    </row>
    <row r="1192">
      <c r="A1192" s="47" t="n"/>
      <c r="B1192" s="13" t="inlineStr">
        <is>
          <t>-</t>
        </is>
      </c>
      <c r="C1192" s="14" t="inlineStr">
        <is>
          <t>-</t>
        </is>
      </c>
      <c r="D1192" s="14" t="inlineStr">
        <is>
          <t>-</t>
        </is>
      </c>
      <c r="E1192" s="14" t="inlineStr">
        <is>
          <t>-</t>
        </is>
      </c>
      <c r="F1192" s="14" t="inlineStr">
        <is>
          <t>-</t>
        </is>
      </c>
      <c r="G1192" s="14" t="inlineStr">
        <is>
          <t>-</t>
        </is>
      </c>
      <c r="H1192" s="14" t="inlineStr">
        <is>
          <t>-</t>
        </is>
      </c>
      <c r="I1192" s="14" t="inlineStr">
        <is>
          <t>-</t>
        </is>
      </c>
      <c r="J1192" s="14" t="inlineStr">
        <is>
          <t>-</t>
        </is>
      </c>
      <c r="K1192" s="14" t="inlineStr">
        <is>
          <t>-</t>
        </is>
      </c>
      <c r="L1192" s="14" t="inlineStr">
        <is>
          <t>-</t>
        </is>
      </c>
      <c r="M1192" s="14" t="inlineStr">
        <is>
          <t>-</t>
        </is>
      </c>
      <c r="N1192" s="14" t="inlineStr">
        <is>
          <t>-</t>
        </is>
      </c>
      <c r="O1192" s="14" t="inlineStr">
        <is>
          <t>-</t>
        </is>
      </c>
      <c r="P1192" s="14" t="inlineStr">
        <is>
          <t>-</t>
        </is>
      </c>
      <c r="Q1192" s="15" t="inlineStr">
        <is>
          <t>-</t>
        </is>
      </c>
    </row>
    <row r="1193">
      <c r="A1193" s="47" t="n"/>
      <c r="B1193" s="16" t="inlineStr">
        <is>
          <t>-</t>
        </is>
      </c>
      <c r="C1193" s="11" t="inlineStr">
        <is>
          <t>-</t>
        </is>
      </c>
      <c r="D1193" s="11" t="inlineStr">
        <is>
          <t>-</t>
        </is>
      </c>
      <c r="E1193" s="11" t="inlineStr">
        <is>
          <t>-</t>
        </is>
      </c>
      <c r="F1193" s="11" t="inlineStr">
        <is>
          <t>-</t>
        </is>
      </c>
      <c r="G1193" s="11" t="inlineStr">
        <is>
          <t>-</t>
        </is>
      </c>
      <c r="H1193" s="11" t="inlineStr">
        <is>
          <t>-</t>
        </is>
      </c>
      <c r="I1193" s="11" t="inlineStr">
        <is>
          <t>-</t>
        </is>
      </c>
      <c r="J1193" s="11" t="inlineStr">
        <is>
          <t>-</t>
        </is>
      </c>
      <c r="K1193" s="11" t="inlineStr">
        <is>
          <t>-</t>
        </is>
      </c>
      <c r="L1193" s="11" t="inlineStr">
        <is>
          <t>-</t>
        </is>
      </c>
      <c r="M1193" s="11" t="inlineStr">
        <is>
          <t>-</t>
        </is>
      </c>
      <c r="N1193" s="11" t="inlineStr">
        <is>
          <t>-</t>
        </is>
      </c>
      <c r="O1193" s="11" t="inlineStr">
        <is>
          <t>-</t>
        </is>
      </c>
      <c r="P1193" s="11" t="inlineStr">
        <is>
          <t>-</t>
        </is>
      </c>
      <c r="Q1193" s="12" t="inlineStr">
        <is>
          <t>-</t>
        </is>
      </c>
    </row>
    <row r="1194">
      <c r="A1194" s="47" t="n"/>
      <c r="B1194" s="13" t="inlineStr">
        <is>
          <t>-</t>
        </is>
      </c>
      <c r="C1194" s="14" t="inlineStr">
        <is>
          <t>-</t>
        </is>
      </c>
      <c r="D1194" s="14" t="inlineStr">
        <is>
          <t>-</t>
        </is>
      </c>
      <c r="E1194" s="14" t="inlineStr">
        <is>
          <t>-</t>
        </is>
      </c>
      <c r="F1194" s="14" t="inlineStr">
        <is>
          <t>-</t>
        </is>
      </c>
      <c r="G1194" s="14" t="inlineStr">
        <is>
          <t>-</t>
        </is>
      </c>
      <c r="H1194" s="14" t="inlineStr">
        <is>
          <t>-</t>
        </is>
      </c>
      <c r="I1194" s="14" t="inlineStr">
        <is>
          <t>-</t>
        </is>
      </c>
      <c r="J1194" s="14" t="inlineStr">
        <is>
          <t>-</t>
        </is>
      </c>
      <c r="K1194" s="14" t="inlineStr">
        <is>
          <t>-</t>
        </is>
      </c>
      <c r="L1194" s="14" t="inlineStr">
        <is>
          <t>-</t>
        </is>
      </c>
      <c r="M1194" s="14" t="inlineStr">
        <is>
          <t>-</t>
        </is>
      </c>
      <c r="N1194" s="14" t="inlineStr">
        <is>
          <t>-</t>
        </is>
      </c>
      <c r="O1194" s="14" t="inlineStr">
        <is>
          <t>-</t>
        </is>
      </c>
      <c r="P1194" s="14" t="inlineStr">
        <is>
          <t>-</t>
        </is>
      </c>
      <c r="Q1194" s="15" t="inlineStr">
        <is>
          <t>-</t>
        </is>
      </c>
    </row>
    <row r="1195">
      <c r="A1195" s="47" t="n"/>
      <c r="B1195" s="16" t="inlineStr">
        <is>
          <t>-</t>
        </is>
      </c>
      <c r="C1195" s="11" t="inlineStr">
        <is>
          <t>-</t>
        </is>
      </c>
      <c r="D1195" s="11" t="inlineStr">
        <is>
          <t>-</t>
        </is>
      </c>
      <c r="E1195" s="11" t="inlineStr">
        <is>
          <t>-</t>
        </is>
      </c>
      <c r="F1195" s="11" t="inlineStr">
        <is>
          <t>-</t>
        </is>
      </c>
      <c r="G1195" s="11" t="inlineStr">
        <is>
          <t>-</t>
        </is>
      </c>
      <c r="H1195" s="11" t="inlineStr">
        <is>
          <t>-</t>
        </is>
      </c>
      <c r="I1195" s="11" t="inlineStr">
        <is>
          <t>-</t>
        </is>
      </c>
      <c r="J1195" s="11" t="inlineStr">
        <is>
          <t>-</t>
        </is>
      </c>
      <c r="K1195" s="11" t="inlineStr">
        <is>
          <t>-</t>
        </is>
      </c>
      <c r="L1195" s="11" t="inlineStr">
        <is>
          <t>-</t>
        </is>
      </c>
      <c r="M1195" s="11" t="inlineStr">
        <is>
          <t>-</t>
        </is>
      </c>
      <c r="N1195" s="11" t="inlineStr">
        <is>
          <t>-</t>
        </is>
      </c>
      <c r="O1195" s="11" t="inlineStr">
        <is>
          <t>-</t>
        </is>
      </c>
      <c r="P1195" s="11" t="inlineStr">
        <is>
          <t>-</t>
        </is>
      </c>
      <c r="Q1195" s="12" t="inlineStr">
        <is>
          <t>-</t>
        </is>
      </c>
    </row>
    <row r="1196">
      <c r="A1196" s="47" t="n"/>
      <c r="B1196" s="13" t="inlineStr">
        <is>
          <t>-</t>
        </is>
      </c>
      <c r="C1196" s="14" t="inlineStr">
        <is>
          <t>-</t>
        </is>
      </c>
      <c r="D1196" s="14" t="inlineStr">
        <is>
          <t>-</t>
        </is>
      </c>
      <c r="E1196" s="14" t="inlineStr">
        <is>
          <t>-</t>
        </is>
      </c>
      <c r="F1196" s="14" t="inlineStr">
        <is>
          <t>-</t>
        </is>
      </c>
      <c r="G1196" s="14" t="inlineStr">
        <is>
          <t>-</t>
        </is>
      </c>
      <c r="H1196" s="14" t="inlineStr">
        <is>
          <t>-</t>
        </is>
      </c>
      <c r="I1196" s="14" t="inlineStr">
        <is>
          <t>-</t>
        </is>
      </c>
      <c r="J1196" s="14" t="inlineStr">
        <is>
          <t>-</t>
        </is>
      </c>
      <c r="K1196" s="14" t="inlineStr">
        <is>
          <t>-</t>
        </is>
      </c>
      <c r="L1196" s="14" t="inlineStr">
        <is>
          <t>-</t>
        </is>
      </c>
      <c r="M1196" s="14" t="inlineStr">
        <is>
          <t>-</t>
        </is>
      </c>
      <c r="N1196" s="14" t="inlineStr">
        <is>
          <t>-</t>
        </is>
      </c>
      <c r="O1196" s="14" t="inlineStr">
        <is>
          <t>-</t>
        </is>
      </c>
      <c r="P1196" s="14" t="inlineStr">
        <is>
          <t>-</t>
        </is>
      </c>
      <c r="Q1196" s="15" t="inlineStr">
        <is>
          <t>-</t>
        </is>
      </c>
    </row>
    <row r="1197">
      <c r="A1197" s="47" t="n"/>
      <c r="B1197" s="16" t="inlineStr">
        <is>
          <t>-</t>
        </is>
      </c>
      <c r="C1197" s="11" t="inlineStr">
        <is>
          <t>-</t>
        </is>
      </c>
      <c r="D1197" s="11" t="inlineStr">
        <is>
          <t>-</t>
        </is>
      </c>
      <c r="E1197" s="11" t="inlineStr">
        <is>
          <t>-</t>
        </is>
      </c>
      <c r="F1197" s="11" t="inlineStr">
        <is>
          <t>-</t>
        </is>
      </c>
      <c r="G1197" s="11" t="inlineStr">
        <is>
          <t>-</t>
        </is>
      </c>
      <c r="H1197" s="11" t="inlineStr">
        <is>
          <t>-</t>
        </is>
      </c>
      <c r="I1197" s="11" t="inlineStr">
        <is>
          <t>-</t>
        </is>
      </c>
      <c r="J1197" s="11" t="inlineStr">
        <is>
          <t>-</t>
        </is>
      </c>
      <c r="K1197" s="11" t="inlineStr">
        <is>
          <t>-</t>
        </is>
      </c>
      <c r="L1197" s="11" t="inlineStr">
        <is>
          <t>-</t>
        </is>
      </c>
      <c r="M1197" s="11" t="inlineStr">
        <is>
          <t>-</t>
        </is>
      </c>
      <c r="N1197" s="11" t="inlineStr">
        <is>
          <t>-</t>
        </is>
      </c>
      <c r="O1197" s="11" t="inlineStr">
        <is>
          <t>-</t>
        </is>
      </c>
      <c r="P1197" s="11" t="inlineStr">
        <is>
          <t>-</t>
        </is>
      </c>
      <c r="Q1197" s="12" t="inlineStr">
        <is>
          <t>-</t>
        </is>
      </c>
    </row>
    <row r="1198">
      <c r="A1198" s="47" t="n"/>
      <c r="B1198" s="13" t="inlineStr">
        <is>
          <t>-</t>
        </is>
      </c>
      <c r="C1198" s="14" t="inlineStr">
        <is>
          <t>-</t>
        </is>
      </c>
      <c r="D1198" s="14" t="inlineStr">
        <is>
          <t>-</t>
        </is>
      </c>
      <c r="E1198" s="14" t="inlineStr">
        <is>
          <t>-</t>
        </is>
      </c>
      <c r="F1198" s="14" t="inlineStr">
        <is>
          <t>-</t>
        </is>
      </c>
      <c r="G1198" s="14" t="inlineStr">
        <is>
          <t>-</t>
        </is>
      </c>
      <c r="H1198" s="14" t="inlineStr">
        <is>
          <t>-</t>
        </is>
      </c>
      <c r="I1198" s="14" t="inlineStr">
        <is>
          <t>-</t>
        </is>
      </c>
      <c r="J1198" s="14" t="inlineStr">
        <is>
          <t>-</t>
        </is>
      </c>
      <c r="K1198" s="14" t="inlineStr">
        <is>
          <t>-</t>
        </is>
      </c>
      <c r="L1198" s="14" t="inlineStr">
        <is>
          <t>-</t>
        </is>
      </c>
      <c r="M1198" s="14" t="inlineStr">
        <is>
          <t>-</t>
        </is>
      </c>
      <c r="N1198" s="14" t="inlineStr">
        <is>
          <t>-</t>
        </is>
      </c>
      <c r="O1198" s="14" t="inlineStr">
        <is>
          <t>-</t>
        </is>
      </c>
      <c r="P1198" s="14" t="inlineStr">
        <is>
          <t>-</t>
        </is>
      </c>
      <c r="Q1198" s="15" t="inlineStr">
        <is>
          <t>-</t>
        </is>
      </c>
    </row>
    <row r="1199">
      <c r="A1199" s="47" t="n"/>
      <c r="B1199" s="16" t="inlineStr">
        <is>
          <t>-</t>
        </is>
      </c>
      <c r="C1199" s="11" t="inlineStr">
        <is>
          <t>-</t>
        </is>
      </c>
      <c r="D1199" s="11" t="inlineStr">
        <is>
          <t>-</t>
        </is>
      </c>
      <c r="E1199" s="11" t="inlineStr">
        <is>
          <t>-</t>
        </is>
      </c>
      <c r="F1199" s="11" t="inlineStr">
        <is>
          <t>-</t>
        </is>
      </c>
      <c r="G1199" s="11" t="inlineStr">
        <is>
          <t>-</t>
        </is>
      </c>
      <c r="H1199" s="11" t="inlineStr">
        <is>
          <t>-</t>
        </is>
      </c>
      <c r="I1199" s="11" t="inlineStr">
        <is>
          <t>-</t>
        </is>
      </c>
      <c r="J1199" s="11" t="inlineStr">
        <is>
          <t>-</t>
        </is>
      </c>
      <c r="K1199" s="11" t="inlineStr">
        <is>
          <t>-</t>
        </is>
      </c>
      <c r="L1199" s="11" t="inlineStr">
        <is>
          <t>-</t>
        </is>
      </c>
      <c r="M1199" s="11" t="inlineStr">
        <is>
          <t>-</t>
        </is>
      </c>
      <c r="N1199" s="11" t="inlineStr">
        <is>
          <t>-</t>
        </is>
      </c>
      <c r="O1199" s="11" t="inlineStr">
        <is>
          <t>-</t>
        </is>
      </c>
      <c r="P1199" s="11" t="inlineStr">
        <is>
          <t>-</t>
        </is>
      </c>
      <c r="Q1199" s="12" t="inlineStr">
        <is>
          <t>-</t>
        </is>
      </c>
    </row>
    <row r="1200">
      <c r="A1200" s="47" t="n"/>
      <c r="B1200" s="13" t="inlineStr">
        <is>
          <t>-</t>
        </is>
      </c>
      <c r="C1200" s="14" t="inlineStr">
        <is>
          <t>-</t>
        </is>
      </c>
      <c r="D1200" s="14" t="inlineStr">
        <is>
          <t>-</t>
        </is>
      </c>
      <c r="E1200" s="14" t="inlineStr">
        <is>
          <t>-</t>
        </is>
      </c>
      <c r="F1200" s="14" t="inlineStr">
        <is>
          <t>-</t>
        </is>
      </c>
      <c r="G1200" s="14" t="inlineStr">
        <is>
          <t>-</t>
        </is>
      </c>
      <c r="H1200" s="14" t="inlineStr">
        <is>
          <t>-</t>
        </is>
      </c>
      <c r="I1200" s="14" t="inlineStr">
        <is>
          <t>-</t>
        </is>
      </c>
      <c r="J1200" s="14" t="inlineStr">
        <is>
          <t>-</t>
        </is>
      </c>
      <c r="K1200" s="14" t="inlineStr">
        <is>
          <t>-</t>
        </is>
      </c>
      <c r="L1200" s="14" t="inlineStr">
        <is>
          <t>-</t>
        </is>
      </c>
      <c r="M1200" s="14" t="inlineStr">
        <is>
          <t>-</t>
        </is>
      </c>
      <c r="N1200" s="14" t="inlineStr">
        <is>
          <t>-</t>
        </is>
      </c>
      <c r="O1200" s="14" t="inlineStr">
        <is>
          <t>-</t>
        </is>
      </c>
      <c r="P1200" s="14" t="inlineStr">
        <is>
          <t>-</t>
        </is>
      </c>
      <c r="Q1200" s="15" t="inlineStr">
        <is>
          <t>-</t>
        </is>
      </c>
    </row>
    <row r="1201">
      <c r="A1201" s="47" t="n"/>
      <c r="B1201" s="16" t="inlineStr">
        <is>
          <t>-</t>
        </is>
      </c>
      <c r="C1201" s="11" t="inlineStr">
        <is>
          <t>-</t>
        </is>
      </c>
      <c r="D1201" s="11" t="inlineStr">
        <is>
          <t>-</t>
        </is>
      </c>
      <c r="E1201" s="11" t="inlineStr">
        <is>
          <t>-</t>
        </is>
      </c>
      <c r="F1201" s="11" t="inlineStr">
        <is>
          <t>-</t>
        </is>
      </c>
      <c r="G1201" s="11" t="inlineStr">
        <is>
          <t>-</t>
        </is>
      </c>
      <c r="H1201" s="11" t="inlineStr">
        <is>
          <t>-</t>
        </is>
      </c>
      <c r="I1201" s="11" t="inlineStr">
        <is>
          <t>-</t>
        </is>
      </c>
      <c r="J1201" s="11" t="inlineStr">
        <is>
          <t>-</t>
        </is>
      </c>
      <c r="K1201" s="11" t="inlineStr">
        <is>
          <t>-</t>
        </is>
      </c>
      <c r="L1201" s="11" t="inlineStr">
        <is>
          <t>-</t>
        </is>
      </c>
      <c r="M1201" s="11" t="inlineStr">
        <is>
          <t>-</t>
        </is>
      </c>
      <c r="N1201" s="11" t="inlineStr">
        <is>
          <t>-</t>
        </is>
      </c>
      <c r="O1201" s="11" t="inlineStr">
        <is>
          <t>-</t>
        </is>
      </c>
      <c r="P1201" s="11" t="inlineStr">
        <is>
          <t>-</t>
        </is>
      </c>
      <c r="Q1201" s="12" t="inlineStr">
        <is>
          <t>-</t>
        </is>
      </c>
    </row>
    <row r="1202" ht="36" customHeight="1" s="155">
      <c r="B1202" s="46" t="inlineStr">
        <is>
          <t>sfogliatella frolla</t>
        </is>
      </c>
      <c r="C1202" s="49">
        <f>_xlfn.XLOOKUP(A1203,Magazzino!$D$1:$D$1500,Magazzino!$F$1:$F$1500,"",0,1)</f>
        <v/>
      </c>
      <c r="D1202" s="50">
        <f>_xlfn.XLOOKUP(A1204,Magazzino!$D$1:$D$1500,Magazzino!$F$1:$F$1500,"",0,1)</f>
        <v/>
      </c>
      <c r="E1202" s="50">
        <f>_xlfn.XLOOKUP(A1205,Magazzino!$D$1:$D$1500,Magazzino!$F$1:$F$1500,"",0,1)</f>
        <v/>
      </c>
      <c r="F1202" s="50">
        <f>_xlfn.XLOOKUP(A1206,Magazzino!$D$1:$D$1500,Magazzino!$F$1:$F$1500,"",0,1)</f>
        <v/>
      </c>
      <c r="G1202" s="50">
        <f>_xlfn.XLOOKUP(A1207,Magazzino!$D$1:$D$1500,Magazzino!$F$1:$F$1500,"",0,1)</f>
        <v/>
      </c>
      <c r="H1202" s="50">
        <f>_xlfn.XLOOKUP(A1208,Magazzino!$D$1:$D$1500,Magazzino!$F$1:$F$1500,"",0,1)</f>
        <v/>
      </c>
      <c r="I1202" s="50">
        <f>_xlfn.XLOOKUP(A1209,Magazzino!$D$1:$D$1500,Magazzino!$F$1:$F$1500,"",0,1)</f>
        <v/>
      </c>
      <c r="J1202" s="50">
        <f>_xlfn.XLOOKUP(A1210,Magazzino!$D$1:$D$1500,Magazzino!$F$1:$F$1500,"",0,1)</f>
        <v/>
      </c>
      <c r="K1202" s="50">
        <f>_xlfn.XLOOKUP(A1211,Magazzino!$D$1:$D$1500,Magazzino!$F$1:$F$1500,"",0,1)</f>
        <v/>
      </c>
      <c r="L1202" s="50">
        <f>_xlfn.XLOOKUP(A1212,Magazzino!$D$1:$D$1500,Magazzino!$F$1:$F$1500,"",0,1)</f>
        <v/>
      </c>
      <c r="M1202" s="50">
        <f>_xlfn.XLOOKUP(A1213,Magazzino!$D$1:$D$1500,Magazzino!$F$1:$F$1500,"",0,1)</f>
        <v/>
      </c>
      <c r="N1202" s="50">
        <f>_xlfn.XLOOKUP(A1214,Magazzino!$D$1:$D$1500,Magazzino!$F$1:$F$1500,"",0,1)</f>
        <v/>
      </c>
      <c r="O1202" s="50">
        <f>_xlfn.XLOOKUP(A1215,Magazzino!$D$1:$D$1500,Magazzino!$F$1:$F$1500,"",0,1)</f>
        <v/>
      </c>
      <c r="P1202" s="50">
        <f>_xlfn.XLOOKUP(A1216,Magazzino!$D$1:$D$1500,Magazzino!$F$1:$F$1500,"",0,1)</f>
        <v/>
      </c>
      <c r="Q1202" s="51">
        <f>_xlfn.XLOOKUP(A1217,Magazzino!$D$1:$D$1500,Magazzino!$F$1:$F$1500,"",0,1)</f>
        <v/>
      </c>
    </row>
    <row r="1203">
      <c r="A1203" s="47" t="inlineStr">
        <is>
          <t xml:space="preserve">FARINA 0/MAN. CAPUTO DA KG.25  </t>
        </is>
      </c>
      <c r="B1203" s="16" t="inlineStr">
        <is>
          <t>-</t>
        </is>
      </c>
      <c r="C1203" s="11" t="inlineStr">
        <is>
          <t>-</t>
        </is>
      </c>
      <c r="D1203" s="11" t="inlineStr">
        <is>
          <t>-</t>
        </is>
      </c>
      <c r="E1203" s="11" t="inlineStr">
        <is>
          <t>-</t>
        </is>
      </c>
      <c r="F1203" s="11" t="inlineStr">
        <is>
          <t>-</t>
        </is>
      </c>
      <c r="G1203" s="11" t="inlineStr">
        <is>
          <t>-</t>
        </is>
      </c>
      <c r="H1203" s="11" t="inlineStr">
        <is>
          <t>-</t>
        </is>
      </c>
      <c r="I1203" s="11" t="inlineStr">
        <is>
          <t>-</t>
        </is>
      </c>
      <c r="J1203" s="11" t="inlineStr">
        <is>
          <t>-</t>
        </is>
      </c>
      <c r="K1203" s="11" t="inlineStr">
        <is>
          <t>-</t>
        </is>
      </c>
      <c r="L1203" s="11" t="inlineStr">
        <is>
          <t>-</t>
        </is>
      </c>
      <c r="M1203" s="11" t="inlineStr">
        <is>
          <t>-</t>
        </is>
      </c>
      <c r="N1203" s="11" t="inlineStr">
        <is>
          <t>-</t>
        </is>
      </c>
      <c r="O1203" s="11" t="inlineStr">
        <is>
          <t>-</t>
        </is>
      </c>
      <c r="P1203" s="11" t="inlineStr">
        <is>
          <t>-</t>
        </is>
      </c>
      <c r="Q1203" s="12" t="inlineStr">
        <is>
          <t>-</t>
        </is>
      </c>
    </row>
    <row r="1204">
      <c r="A1204" s="48" t="inlineStr">
        <is>
          <t xml:space="preserve">SALE SACCHI SALTECHNO KG.25  </t>
        </is>
      </c>
      <c r="B1204" s="13" t="inlineStr">
        <is>
          <t>-</t>
        </is>
      </c>
      <c r="C1204" s="14" t="inlineStr">
        <is>
          <t>-</t>
        </is>
      </c>
      <c r="D1204" s="14" t="inlineStr">
        <is>
          <t>-</t>
        </is>
      </c>
      <c r="E1204" s="14" t="inlineStr">
        <is>
          <t>-</t>
        </is>
      </c>
      <c r="F1204" s="14" t="inlineStr">
        <is>
          <t>-</t>
        </is>
      </c>
      <c r="G1204" s="14" t="inlineStr">
        <is>
          <t>-</t>
        </is>
      </c>
      <c r="H1204" s="14" t="inlineStr">
        <is>
          <t>-</t>
        </is>
      </c>
      <c r="I1204" s="14" t="inlineStr">
        <is>
          <t>-</t>
        </is>
      </c>
      <c r="J1204" s="14" t="inlineStr">
        <is>
          <t>-</t>
        </is>
      </c>
      <c r="K1204" s="14" t="inlineStr">
        <is>
          <t>-</t>
        </is>
      </c>
      <c r="L1204" s="14" t="inlineStr">
        <is>
          <t>-</t>
        </is>
      </c>
      <c r="M1204" s="14" t="inlineStr">
        <is>
          <t>-</t>
        </is>
      </c>
      <c r="N1204" s="14" t="inlineStr">
        <is>
          <t>-</t>
        </is>
      </c>
      <c r="O1204" s="14" t="inlineStr">
        <is>
          <t>-</t>
        </is>
      </c>
      <c r="P1204" s="14" t="inlineStr">
        <is>
          <t>-</t>
        </is>
      </c>
      <c r="Q1204" s="15" t="inlineStr">
        <is>
          <t>-</t>
        </is>
      </c>
    </row>
    <row r="1205">
      <c r="A1205" s="47" t="inlineStr">
        <is>
          <t>zucchero semolato</t>
        </is>
      </c>
      <c r="B1205" s="16" t="inlineStr">
        <is>
          <t>-</t>
        </is>
      </c>
      <c r="C1205" s="11" t="inlineStr">
        <is>
          <t>-</t>
        </is>
      </c>
      <c r="D1205" s="11" t="inlineStr">
        <is>
          <t>-</t>
        </is>
      </c>
      <c r="E1205" s="11" t="inlineStr">
        <is>
          <t>-</t>
        </is>
      </c>
      <c r="F1205" s="11" t="inlineStr">
        <is>
          <t>-</t>
        </is>
      </c>
      <c r="G1205" s="11" t="inlineStr">
        <is>
          <t>-</t>
        </is>
      </c>
      <c r="H1205" s="11" t="inlineStr">
        <is>
          <t>-</t>
        </is>
      </c>
      <c r="I1205" s="11" t="inlineStr">
        <is>
          <t>-</t>
        </is>
      </c>
      <c r="J1205" s="11" t="inlineStr">
        <is>
          <t>-</t>
        </is>
      </c>
      <c r="K1205" s="11" t="inlineStr">
        <is>
          <t>-</t>
        </is>
      </c>
      <c r="L1205" s="11" t="inlineStr">
        <is>
          <t>-</t>
        </is>
      </c>
      <c r="M1205" s="11" t="inlineStr">
        <is>
          <t>-</t>
        </is>
      </c>
      <c r="N1205" s="11" t="inlineStr">
        <is>
          <t>-</t>
        </is>
      </c>
      <c r="O1205" s="11" t="inlineStr">
        <is>
          <t>-</t>
        </is>
      </c>
      <c r="P1205" s="11" t="inlineStr">
        <is>
          <t>-</t>
        </is>
      </c>
      <c r="Q1205" s="12" t="inlineStr">
        <is>
          <t>-</t>
        </is>
      </c>
    </row>
    <row r="1206">
      <c r="A1206" s="47" t="inlineStr">
        <is>
          <t>uova</t>
        </is>
      </c>
      <c r="B1206" s="13" t="inlineStr">
        <is>
          <t>-</t>
        </is>
      </c>
      <c r="C1206" s="14" t="inlineStr">
        <is>
          <t>-</t>
        </is>
      </c>
      <c r="D1206" s="14" t="inlineStr">
        <is>
          <t>-</t>
        </is>
      </c>
      <c r="E1206" s="14" t="inlineStr">
        <is>
          <t>-</t>
        </is>
      </c>
      <c r="F1206" s="14" t="inlineStr">
        <is>
          <t>-</t>
        </is>
      </c>
      <c r="G1206" s="14" t="inlineStr">
        <is>
          <t>-</t>
        </is>
      </c>
      <c r="H1206" s="14" t="inlineStr">
        <is>
          <t>-</t>
        </is>
      </c>
      <c r="I1206" s="14" t="inlineStr">
        <is>
          <t>-</t>
        </is>
      </c>
      <c r="J1206" s="14" t="inlineStr">
        <is>
          <t>-</t>
        </is>
      </c>
      <c r="K1206" s="14" t="inlineStr">
        <is>
          <t>-</t>
        </is>
      </c>
      <c r="L1206" s="14" t="inlineStr">
        <is>
          <t>-</t>
        </is>
      </c>
      <c r="M1206" s="14" t="inlineStr">
        <is>
          <t>-</t>
        </is>
      </c>
      <c r="N1206" s="14" t="inlineStr">
        <is>
          <t>-</t>
        </is>
      </c>
      <c r="O1206" s="14" t="inlineStr">
        <is>
          <t>-</t>
        </is>
      </c>
      <c r="P1206" s="14" t="inlineStr">
        <is>
          <t>-</t>
        </is>
      </c>
      <c r="Q1206" s="15" t="inlineStr">
        <is>
          <t>-</t>
        </is>
      </c>
    </row>
    <row r="1207">
      <c r="A1207" s="47" t="inlineStr">
        <is>
          <t xml:space="preserve">semola </t>
        </is>
      </c>
      <c r="B1207" s="16" t="inlineStr">
        <is>
          <t>-</t>
        </is>
      </c>
      <c r="C1207" s="11" t="inlineStr">
        <is>
          <t>-</t>
        </is>
      </c>
      <c r="D1207" s="11" t="inlineStr">
        <is>
          <t>-</t>
        </is>
      </c>
      <c r="E1207" s="11" t="inlineStr">
        <is>
          <t>-</t>
        </is>
      </c>
      <c r="F1207" s="11" t="inlineStr">
        <is>
          <t>-</t>
        </is>
      </c>
      <c r="G1207" s="11" t="inlineStr">
        <is>
          <t>-</t>
        </is>
      </c>
      <c r="H1207" s="11" t="inlineStr">
        <is>
          <t>-</t>
        </is>
      </c>
      <c r="I1207" s="11" t="inlineStr">
        <is>
          <t>-</t>
        </is>
      </c>
      <c r="J1207" s="11" t="inlineStr">
        <is>
          <t>-</t>
        </is>
      </c>
      <c r="K1207" s="11" t="inlineStr">
        <is>
          <t>-</t>
        </is>
      </c>
      <c r="L1207" s="11" t="inlineStr">
        <is>
          <t>-</t>
        </is>
      </c>
      <c r="M1207" s="11" t="inlineStr">
        <is>
          <t>-</t>
        </is>
      </c>
      <c r="N1207" s="11" t="inlineStr">
        <is>
          <t>-</t>
        </is>
      </c>
      <c r="O1207" s="11" t="inlineStr">
        <is>
          <t>-</t>
        </is>
      </c>
      <c r="P1207" s="11" t="inlineStr">
        <is>
          <t>-</t>
        </is>
      </c>
      <c r="Q1207" s="12" t="inlineStr">
        <is>
          <t>-</t>
        </is>
      </c>
    </row>
    <row r="1208">
      <c r="A1208" s="47" t="inlineStr">
        <is>
          <t>gelatina neutra</t>
        </is>
      </c>
      <c r="B1208" s="13" t="inlineStr">
        <is>
          <t>-</t>
        </is>
      </c>
      <c r="C1208" s="14" t="inlineStr">
        <is>
          <t>-</t>
        </is>
      </c>
      <c r="D1208" s="14" t="inlineStr">
        <is>
          <t>-</t>
        </is>
      </c>
      <c r="E1208" s="14" t="inlineStr">
        <is>
          <t>-</t>
        </is>
      </c>
      <c r="F1208" s="14" t="inlineStr">
        <is>
          <t>-</t>
        </is>
      </c>
      <c r="G1208" s="14" t="inlineStr">
        <is>
          <t>-</t>
        </is>
      </c>
      <c r="H1208" s="14" t="inlineStr">
        <is>
          <t>-</t>
        </is>
      </c>
      <c r="I1208" s="14" t="inlineStr">
        <is>
          <t>-</t>
        </is>
      </c>
      <c r="J1208" s="14" t="inlineStr">
        <is>
          <t>-</t>
        </is>
      </c>
      <c r="K1208" s="14" t="inlineStr">
        <is>
          <t>-</t>
        </is>
      </c>
      <c r="L1208" s="14" t="inlineStr">
        <is>
          <t>-</t>
        </is>
      </c>
      <c r="M1208" s="14" t="inlineStr">
        <is>
          <t>-</t>
        </is>
      </c>
      <c r="N1208" s="14" t="inlineStr">
        <is>
          <t>-</t>
        </is>
      </c>
      <c r="O1208" s="14" t="inlineStr">
        <is>
          <t>-</t>
        </is>
      </c>
      <c r="P1208" s="14" t="inlineStr">
        <is>
          <t>-</t>
        </is>
      </c>
      <c r="Q1208" s="15" t="inlineStr">
        <is>
          <t>-</t>
        </is>
      </c>
    </row>
    <row r="1209">
      <c r="A1209" s="47" t="inlineStr">
        <is>
          <t xml:space="preserve">STRUTTO RAFFINATO I B VERDE  </t>
        </is>
      </c>
      <c r="B1209" s="16" t="inlineStr">
        <is>
          <t>-</t>
        </is>
      </c>
      <c r="C1209" s="11" t="inlineStr">
        <is>
          <t>-</t>
        </is>
      </c>
      <c r="D1209" s="11" t="inlineStr">
        <is>
          <t>-</t>
        </is>
      </c>
      <c r="E1209" s="11" t="inlineStr">
        <is>
          <t>-</t>
        </is>
      </c>
      <c r="F1209" s="11" t="inlineStr">
        <is>
          <t>-</t>
        </is>
      </c>
      <c r="G1209" s="11" t="inlineStr">
        <is>
          <t>-</t>
        </is>
      </c>
      <c r="H1209" s="11" t="inlineStr">
        <is>
          <t>-</t>
        </is>
      </c>
      <c r="I1209" s="11" t="inlineStr">
        <is>
          <t>-</t>
        </is>
      </c>
      <c r="J1209" s="11" t="inlineStr">
        <is>
          <t>-</t>
        </is>
      </c>
      <c r="K1209" s="11" t="inlineStr">
        <is>
          <t>-</t>
        </is>
      </c>
      <c r="L1209" s="11" t="inlineStr">
        <is>
          <t>-</t>
        </is>
      </c>
      <c r="M1209" s="11" t="inlineStr">
        <is>
          <t>-</t>
        </is>
      </c>
      <c r="N1209" s="11" t="inlineStr">
        <is>
          <t>-</t>
        </is>
      </c>
      <c r="O1209" s="11" t="inlineStr">
        <is>
          <t>-</t>
        </is>
      </c>
      <c r="P1209" s="11" t="inlineStr">
        <is>
          <t>-</t>
        </is>
      </c>
      <c r="Q1209" s="12" t="inlineStr">
        <is>
          <t>-</t>
        </is>
      </c>
    </row>
    <row r="1210">
      <c r="A1210" s="47" t="n"/>
      <c r="B1210" s="13" t="inlineStr">
        <is>
          <t>-</t>
        </is>
      </c>
      <c r="C1210" s="14" t="inlineStr">
        <is>
          <t>-</t>
        </is>
      </c>
      <c r="D1210" s="14" t="inlineStr">
        <is>
          <t>-</t>
        </is>
      </c>
      <c r="E1210" s="14" t="inlineStr">
        <is>
          <t>-</t>
        </is>
      </c>
      <c r="F1210" s="14" t="inlineStr">
        <is>
          <t>-</t>
        </is>
      </c>
      <c r="G1210" s="14" t="inlineStr">
        <is>
          <t>-</t>
        </is>
      </c>
      <c r="H1210" s="14" t="inlineStr">
        <is>
          <t>-</t>
        </is>
      </c>
      <c r="I1210" s="14" t="inlineStr">
        <is>
          <t>-</t>
        </is>
      </c>
      <c r="J1210" s="14" t="inlineStr">
        <is>
          <t>-</t>
        </is>
      </c>
      <c r="K1210" s="14" t="inlineStr">
        <is>
          <t>-</t>
        </is>
      </c>
      <c r="L1210" s="14" t="inlineStr">
        <is>
          <t>-</t>
        </is>
      </c>
      <c r="M1210" s="14" t="inlineStr">
        <is>
          <t>-</t>
        </is>
      </c>
      <c r="N1210" s="14" t="inlineStr">
        <is>
          <t>-</t>
        </is>
      </c>
      <c r="O1210" s="14" t="inlineStr">
        <is>
          <t>-</t>
        </is>
      </c>
      <c r="P1210" s="14" t="inlineStr">
        <is>
          <t>-</t>
        </is>
      </c>
      <c r="Q1210" s="15" t="inlineStr">
        <is>
          <t>-</t>
        </is>
      </c>
    </row>
    <row r="1211">
      <c r="A1211" s="47" t="n"/>
      <c r="B1211" s="16" t="inlineStr">
        <is>
          <t>-</t>
        </is>
      </c>
      <c r="C1211" s="11" t="inlineStr">
        <is>
          <t>-</t>
        </is>
      </c>
      <c r="D1211" s="11" t="inlineStr">
        <is>
          <t>-</t>
        </is>
      </c>
      <c r="E1211" s="11" t="inlineStr">
        <is>
          <t>-</t>
        </is>
      </c>
      <c r="F1211" s="11" t="inlineStr">
        <is>
          <t>-</t>
        </is>
      </c>
      <c r="G1211" s="11" t="inlineStr">
        <is>
          <t>-</t>
        </is>
      </c>
      <c r="H1211" s="11" t="inlineStr">
        <is>
          <t>-</t>
        </is>
      </c>
      <c r="I1211" s="11" t="inlineStr">
        <is>
          <t>-</t>
        </is>
      </c>
      <c r="J1211" s="11" t="inlineStr">
        <is>
          <t>-</t>
        </is>
      </c>
      <c r="K1211" s="11" t="inlineStr">
        <is>
          <t>-</t>
        </is>
      </c>
      <c r="L1211" s="11" t="inlineStr">
        <is>
          <t>-</t>
        </is>
      </c>
      <c r="M1211" s="11" t="inlineStr">
        <is>
          <t>-</t>
        </is>
      </c>
      <c r="N1211" s="11" t="inlineStr">
        <is>
          <t>-</t>
        </is>
      </c>
      <c r="O1211" s="11" t="inlineStr">
        <is>
          <t>-</t>
        </is>
      </c>
      <c r="P1211" s="11" t="inlineStr">
        <is>
          <t>-</t>
        </is>
      </c>
      <c r="Q1211" s="12" t="inlineStr">
        <is>
          <t>-</t>
        </is>
      </c>
    </row>
    <row r="1212">
      <c r="A1212" s="47" t="n"/>
      <c r="B1212" s="13" t="inlineStr">
        <is>
          <t>-</t>
        </is>
      </c>
      <c r="C1212" s="14" t="inlineStr">
        <is>
          <t>-</t>
        </is>
      </c>
      <c r="D1212" s="14" t="inlineStr">
        <is>
          <t>-</t>
        </is>
      </c>
      <c r="E1212" s="14" t="inlineStr">
        <is>
          <t>-</t>
        </is>
      </c>
      <c r="F1212" s="14" t="inlineStr">
        <is>
          <t>-</t>
        </is>
      </c>
      <c r="G1212" s="14" t="inlineStr">
        <is>
          <t>-</t>
        </is>
      </c>
      <c r="H1212" s="14" t="inlineStr">
        <is>
          <t>-</t>
        </is>
      </c>
      <c r="I1212" s="14" t="inlineStr">
        <is>
          <t>-</t>
        </is>
      </c>
      <c r="J1212" s="14" t="inlineStr">
        <is>
          <t>-</t>
        </is>
      </c>
      <c r="K1212" s="14" t="inlineStr">
        <is>
          <t>-</t>
        </is>
      </c>
      <c r="L1212" s="14" t="inlineStr">
        <is>
          <t>-</t>
        </is>
      </c>
      <c r="M1212" s="14" t="inlineStr">
        <is>
          <t>-</t>
        </is>
      </c>
      <c r="N1212" s="14" t="inlineStr">
        <is>
          <t>-</t>
        </is>
      </c>
      <c r="O1212" s="14" t="inlineStr">
        <is>
          <t>-</t>
        </is>
      </c>
      <c r="P1212" s="14" t="inlineStr">
        <is>
          <t>-</t>
        </is>
      </c>
      <c r="Q1212" s="15" t="inlineStr">
        <is>
          <t>-</t>
        </is>
      </c>
    </row>
    <row r="1213">
      <c r="A1213" s="47" t="n"/>
      <c r="B1213" s="16" t="inlineStr">
        <is>
          <t>-</t>
        </is>
      </c>
      <c r="C1213" s="11" t="inlineStr">
        <is>
          <t>-</t>
        </is>
      </c>
      <c r="D1213" s="11" t="inlineStr">
        <is>
          <t>-</t>
        </is>
      </c>
      <c r="E1213" s="11" t="inlineStr">
        <is>
          <t>-</t>
        </is>
      </c>
      <c r="F1213" s="11" t="inlineStr">
        <is>
          <t>-</t>
        </is>
      </c>
      <c r="G1213" s="11" t="inlineStr">
        <is>
          <t>-</t>
        </is>
      </c>
      <c r="H1213" s="11" t="inlineStr">
        <is>
          <t>-</t>
        </is>
      </c>
      <c r="I1213" s="11" t="inlineStr">
        <is>
          <t>-</t>
        </is>
      </c>
      <c r="J1213" s="11" t="inlineStr">
        <is>
          <t>-</t>
        </is>
      </c>
      <c r="K1213" s="11" t="inlineStr">
        <is>
          <t>-</t>
        </is>
      </c>
      <c r="L1213" s="11" t="inlineStr">
        <is>
          <t>-</t>
        </is>
      </c>
      <c r="M1213" s="11" t="inlineStr">
        <is>
          <t>-</t>
        </is>
      </c>
      <c r="N1213" s="11" t="inlineStr">
        <is>
          <t>-</t>
        </is>
      </c>
      <c r="O1213" s="11" t="inlineStr">
        <is>
          <t>-</t>
        </is>
      </c>
      <c r="P1213" s="11" t="inlineStr">
        <is>
          <t>-</t>
        </is>
      </c>
      <c r="Q1213" s="12" t="inlineStr">
        <is>
          <t>-</t>
        </is>
      </c>
    </row>
    <row r="1214">
      <c r="A1214" s="47" t="n"/>
      <c r="B1214" s="13" t="inlineStr">
        <is>
          <t>-</t>
        </is>
      </c>
      <c r="C1214" s="14" t="inlineStr">
        <is>
          <t>-</t>
        </is>
      </c>
      <c r="D1214" s="14" t="inlineStr">
        <is>
          <t>-</t>
        </is>
      </c>
      <c r="E1214" s="14" t="inlineStr">
        <is>
          <t>-</t>
        </is>
      </c>
      <c r="F1214" s="14" t="inlineStr">
        <is>
          <t>-</t>
        </is>
      </c>
      <c r="G1214" s="14" t="inlineStr">
        <is>
          <t>-</t>
        </is>
      </c>
      <c r="H1214" s="14" t="inlineStr">
        <is>
          <t>-</t>
        </is>
      </c>
      <c r="I1214" s="14" t="inlineStr">
        <is>
          <t>-</t>
        </is>
      </c>
      <c r="J1214" s="14" t="inlineStr">
        <is>
          <t>-</t>
        </is>
      </c>
      <c r="K1214" s="14" t="inlineStr">
        <is>
          <t>-</t>
        </is>
      </c>
      <c r="L1214" s="14" t="inlineStr">
        <is>
          <t>-</t>
        </is>
      </c>
      <c r="M1214" s="14" t="inlineStr">
        <is>
          <t>-</t>
        </is>
      </c>
      <c r="N1214" s="14" t="inlineStr">
        <is>
          <t>-</t>
        </is>
      </c>
      <c r="O1214" s="14" t="inlineStr">
        <is>
          <t>-</t>
        </is>
      </c>
      <c r="P1214" s="14" t="inlineStr">
        <is>
          <t>-</t>
        </is>
      </c>
      <c r="Q1214" s="15" t="inlineStr">
        <is>
          <t>-</t>
        </is>
      </c>
    </row>
    <row r="1215">
      <c r="A1215" s="47" t="n"/>
      <c r="B1215" s="16" t="inlineStr">
        <is>
          <t>-</t>
        </is>
      </c>
      <c r="C1215" s="11" t="inlineStr">
        <is>
          <t>-</t>
        </is>
      </c>
      <c r="D1215" s="11" t="inlineStr">
        <is>
          <t>-</t>
        </is>
      </c>
      <c r="E1215" s="11" t="inlineStr">
        <is>
          <t>-</t>
        </is>
      </c>
      <c r="F1215" s="11" t="inlineStr">
        <is>
          <t>-</t>
        </is>
      </c>
      <c r="G1215" s="11" t="inlineStr">
        <is>
          <t>-</t>
        </is>
      </c>
      <c r="H1215" s="11" t="inlineStr">
        <is>
          <t>-</t>
        </is>
      </c>
      <c r="I1215" s="11" t="inlineStr">
        <is>
          <t>-</t>
        </is>
      </c>
      <c r="J1215" s="11" t="inlineStr">
        <is>
          <t>-</t>
        </is>
      </c>
      <c r="K1215" s="11" t="inlineStr">
        <is>
          <t>-</t>
        </is>
      </c>
      <c r="L1215" s="11" t="inlineStr">
        <is>
          <t>-</t>
        </is>
      </c>
      <c r="M1215" s="11" t="inlineStr">
        <is>
          <t>-</t>
        </is>
      </c>
      <c r="N1215" s="11" t="inlineStr">
        <is>
          <t>-</t>
        </is>
      </c>
      <c r="O1215" s="11" t="inlineStr">
        <is>
          <t>-</t>
        </is>
      </c>
      <c r="P1215" s="11" t="inlineStr">
        <is>
          <t>-</t>
        </is>
      </c>
      <c r="Q1215" s="12" t="inlineStr">
        <is>
          <t>-</t>
        </is>
      </c>
    </row>
    <row r="1216">
      <c r="A1216" s="47" t="n"/>
      <c r="B1216" s="13" t="inlineStr">
        <is>
          <t>-</t>
        </is>
      </c>
      <c r="C1216" s="14" t="inlineStr">
        <is>
          <t>-</t>
        </is>
      </c>
      <c r="D1216" s="14" t="inlineStr">
        <is>
          <t>-</t>
        </is>
      </c>
      <c r="E1216" s="14" t="inlineStr">
        <is>
          <t>-</t>
        </is>
      </c>
      <c r="F1216" s="14" t="inlineStr">
        <is>
          <t>-</t>
        </is>
      </c>
      <c r="G1216" s="14" t="inlineStr">
        <is>
          <t>-</t>
        </is>
      </c>
      <c r="H1216" s="14" t="inlineStr">
        <is>
          <t>-</t>
        </is>
      </c>
      <c r="I1216" s="14" t="inlineStr">
        <is>
          <t>-</t>
        </is>
      </c>
      <c r="J1216" s="14" t="inlineStr">
        <is>
          <t>-</t>
        </is>
      </c>
      <c r="K1216" s="14" t="inlineStr">
        <is>
          <t>-</t>
        </is>
      </c>
      <c r="L1216" s="14" t="inlineStr">
        <is>
          <t>-</t>
        </is>
      </c>
      <c r="M1216" s="14" t="inlineStr">
        <is>
          <t>-</t>
        </is>
      </c>
      <c r="N1216" s="14" t="inlineStr">
        <is>
          <t>-</t>
        </is>
      </c>
      <c r="O1216" s="14" t="inlineStr">
        <is>
          <t>-</t>
        </is>
      </c>
      <c r="P1216" s="14" t="inlineStr">
        <is>
          <t>-</t>
        </is>
      </c>
      <c r="Q1216" s="15" t="inlineStr">
        <is>
          <t>-</t>
        </is>
      </c>
    </row>
    <row r="1217">
      <c r="A1217" s="47" t="n"/>
      <c r="B1217" s="16" t="inlineStr">
        <is>
          <t>-</t>
        </is>
      </c>
      <c r="C1217" s="11" t="inlineStr">
        <is>
          <t>-</t>
        </is>
      </c>
      <c r="D1217" s="11" t="inlineStr">
        <is>
          <t>-</t>
        </is>
      </c>
      <c r="E1217" s="11" t="inlineStr">
        <is>
          <t>-</t>
        </is>
      </c>
      <c r="F1217" s="11" t="inlineStr">
        <is>
          <t>-</t>
        </is>
      </c>
      <c r="G1217" s="11" t="inlineStr">
        <is>
          <t>-</t>
        </is>
      </c>
      <c r="H1217" s="11" t="inlineStr">
        <is>
          <t>-</t>
        </is>
      </c>
      <c r="I1217" s="11" t="inlineStr">
        <is>
          <t>-</t>
        </is>
      </c>
      <c r="J1217" s="11" t="inlineStr">
        <is>
          <t>-</t>
        </is>
      </c>
      <c r="K1217" s="11" t="inlineStr">
        <is>
          <t>-</t>
        </is>
      </c>
      <c r="L1217" s="11" t="inlineStr">
        <is>
          <t>-</t>
        </is>
      </c>
      <c r="M1217" s="11" t="inlineStr">
        <is>
          <t>-</t>
        </is>
      </c>
      <c r="N1217" s="11" t="inlineStr">
        <is>
          <t>-</t>
        </is>
      </c>
      <c r="O1217" s="11" t="inlineStr">
        <is>
          <t>-</t>
        </is>
      </c>
      <c r="P1217" s="11" t="inlineStr">
        <is>
          <t>-</t>
        </is>
      </c>
      <c r="Q1217" s="12" t="inlineStr">
        <is>
          <t>-</t>
        </is>
      </c>
    </row>
    <row r="1218" ht="36" customHeight="1" s="155">
      <c r="B1218" s="46" t="inlineStr">
        <is>
          <t>sfogliatella riccia</t>
        </is>
      </c>
      <c r="C1218" s="49">
        <f>_xlfn.XLOOKUP(A1219,Magazzino!$D$1:$D$1500,Magazzino!$F$1:$F$1500,"",0,1)</f>
        <v/>
      </c>
      <c r="D1218" s="50">
        <f>_xlfn.XLOOKUP(A1220,Magazzino!$D$1:$D$1500,Magazzino!$F$1:$F$1500,"",0,1)</f>
        <v/>
      </c>
      <c r="E1218" s="50">
        <f>_xlfn.XLOOKUP(A1221,Magazzino!$D$1:$D$1500,Magazzino!$F$1:$F$1500,"",0,1)</f>
        <v/>
      </c>
      <c r="F1218" s="50">
        <f>_xlfn.XLOOKUP(A1222,Magazzino!$D$1:$D$1500,Magazzino!$F$1:$F$1500,"",0,1)</f>
        <v/>
      </c>
      <c r="G1218" s="50">
        <f>_xlfn.XLOOKUP(A1223,Magazzino!$D$1:$D$1500,Magazzino!$F$1:$F$1500,"",0,1)</f>
        <v/>
      </c>
      <c r="H1218" s="50">
        <f>_xlfn.XLOOKUP(A1224,Magazzino!$D$1:$D$1500,Magazzino!$F$1:$F$1500,"",0,1)</f>
        <v/>
      </c>
      <c r="I1218" s="50">
        <f>_xlfn.XLOOKUP(A1225,Magazzino!$D$1:$D$1500,Magazzino!$F$1:$F$1500,"",0,1)</f>
        <v/>
      </c>
      <c r="J1218" s="50">
        <f>_xlfn.XLOOKUP(A1226,Magazzino!$D$1:$D$1500,Magazzino!$F$1:$F$1500,"",0,1)</f>
        <v/>
      </c>
      <c r="K1218" s="50">
        <f>_xlfn.XLOOKUP(A1227,Magazzino!$D$1:$D$1500,Magazzino!$F$1:$F$1500,"",0,1)</f>
        <v/>
      </c>
      <c r="L1218" s="50">
        <f>_xlfn.XLOOKUP(A1228,Magazzino!$D$1:$D$1500,Magazzino!$F$1:$F$1500,"",0,1)</f>
        <v/>
      </c>
      <c r="M1218" s="50">
        <f>_xlfn.XLOOKUP(A1229,Magazzino!$D$1:$D$1500,Magazzino!$F$1:$F$1500,"",0,1)</f>
        <v/>
      </c>
      <c r="N1218" s="50">
        <f>_xlfn.XLOOKUP(A1230,Magazzino!$D$1:$D$1500,Magazzino!$F$1:$F$1500,"",0,1)</f>
        <v/>
      </c>
      <c r="O1218" s="50">
        <f>_xlfn.XLOOKUP(A1231,Magazzino!$D$1:$D$1500,Magazzino!$F$1:$F$1500,"",0,1)</f>
        <v/>
      </c>
      <c r="P1218" s="50">
        <f>_xlfn.XLOOKUP(A1232,Magazzino!$D$1:$D$1500,Magazzino!$F$1:$F$1500,"",0,1)</f>
        <v/>
      </c>
      <c r="Q1218" s="51">
        <f>_xlfn.XLOOKUP(A1233,Magazzino!$D$1:$D$1500,Magazzino!$F$1:$F$1500,"",0,1)</f>
        <v/>
      </c>
    </row>
    <row r="1219" ht="24" customHeight="1" s="155">
      <c r="A1219" s="47" t="inlineStr">
        <is>
          <t xml:space="preserve">TAPPI PER RICCE GRANDI DA GR 55/60 SURGELATO  </t>
        </is>
      </c>
      <c r="B1219" s="16" t="inlineStr">
        <is>
          <t>-</t>
        </is>
      </c>
      <c r="C1219" s="11" t="inlineStr">
        <is>
          <t>-</t>
        </is>
      </c>
      <c r="D1219" s="11" t="inlineStr">
        <is>
          <t>-</t>
        </is>
      </c>
      <c r="E1219" s="11" t="inlineStr">
        <is>
          <t>-</t>
        </is>
      </c>
      <c r="F1219" s="11" t="inlineStr">
        <is>
          <t>-</t>
        </is>
      </c>
      <c r="G1219" s="11" t="inlineStr">
        <is>
          <t>-</t>
        </is>
      </c>
      <c r="H1219" s="11" t="inlineStr">
        <is>
          <t>-</t>
        </is>
      </c>
      <c r="I1219" s="11" t="inlineStr">
        <is>
          <t>-</t>
        </is>
      </c>
      <c r="J1219" s="11" t="inlineStr">
        <is>
          <t>-</t>
        </is>
      </c>
      <c r="K1219" s="11" t="inlineStr">
        <is>
          <t>-</t>
        </is>
      </c>
      <c r="L1219" s="11" t="inlineStr">
        <is>
          <t>-</t>
        </is>
      </c>
      <c r="M1219" s="11" t="inlineStr">
        <is>
          <t>-</t>
        </is>
      </c>
      <c r="N1219" s="11" t="inlineStr">
        <is>
          <t>-</t>
        </is>
      </c>
      <c r="O1219" s="11" t="inlineStr">
        <is>
          <t>-</t>
        </is>
      </c>
      <c r="P1219" s="11" t="inlineStr">
        <is>
          <t>-</t>
        </is>
      </c>
      <c r="Q1219" s="12" t="inlineStr">
        <is>
          <t>-</t>
        </is>
      </c>
    </row>
    <row r="1220">
      <c r="A1220" s="48" t="inlineStr">
        <is>
          <t xml:space="preserve">SALE SACCHI SALTECHNO KG.25  </t>
        </is>
      </c>
      <c r="B1220" s="13" t="inlineStr">
        <is>
          <t>-</t>
        </is>
      </c>
      <c r="C1220" s="14" t="inlineStr">
        <is>
          <t>-</t>
        </is>
      </c>
      <c r="D1220" s="14" t="inlineStr">
        <is>
          <t>-</t>
        </is>
      </c>
      <c r="E1220" s="14" t="inlineStr">
        <is>
          <t>-</t>
        </is>
      </c>
      <c r="F1220" s="14" t="inlineStr">
        <is>
          <t>-</t>
        </is>
      </c>
      <c r="G1220" s="14" t="inlineStr">
        <is>
          <t>-</t>
        </is>
      </c>
      <c r="H1220" s="14" t="inlineStr">
        <is>
          <t>-</t>
        </is>
      </c>
      <c r="I1220" s="14" t="inlineStr">
        <is>
          <t>-</t>
        </is>
      </c>
      <c r="J1220" s="14" t="inlineStr">
        <is>
          <t>-</t>
        </is>
      </c>
      <c r="K1220" s="14" t="inlineStr">
        <is>
          <t>-</t>
        </is>
      </c>
      <c r="L1220" s="14" t="inlineStr">
        <is>
          <t>-</t>
        </is>
      </c>
      <c r="M1220" s="14" t="inlineStr">
        <is>
          <t>-</t>
        </is>
      </c>
      <c r="N1220" s="14" t="inlineStr">
        <is>
          <t>-</t>
        </is>
      </c>
      <c r="O1220" s="14" t="inlineStr">
        <is>
          <t>-</t>
        </is>
      </c>
      <c r="P1220" s="14" t="inlineStr">
        <is>
          <t>-</t>
        </is>
      </c>
      <c r="Q1220" s="15" t="inlineStr">
        <is>
          <t>-</t>
        </is>
      </c>
    </row>
    <row r="1221">
      <c r="A1221" s="47" t="inlineStr">
        <is>
          <t>zucchero semolato</t>
        </is>
      </c>
      <c r="B1221" s="16" t="inlineStr">
        <is>
          <t>-</t>
        </is>
      </c>
      <c r="C1221" s="11" t="inlineStr">
        <is>
          <t>-</t>
        </is>
      </c>
      <c r="D1221" s="11" t="inlineStr">
        <is>
          <t>-</t>
        </is>
      </c>
      <c r="E1221" s="11" t="inlineStr">
        <is>
          <t>-</t>
        </is>
      </c>
      <c r="F1221" s="11" t="inlineStr">
        <is>
          <t>-</t>
        </is>
      </c>
      <c r="G1221" s="11" t="inlineStr">
        <is>
          <t>-</t>
        </is>
      </c>
      <c r="H1221" s="11" t="inlineStr">
        <is>
          <t>-</t>
        </is>
      </c>
      <c r="I1221" s="11" t="inlineStr">
        <is>
          <t>-</t>
        </is>
      </c>
      <c r="J1221" s="11" t="inlineStr">
        <is>
          <t>-</t>
        </is>
      </c>
      <c r="K1221" s="11" t="inlineStr">
        <is>
          <t>-</t>
        </is>
      </c>
      <c r="L1221" s="11" t="inlineStr">
        <is>
          <t>-</t>
        </is>
      </c>
      <c r="M1221" s="11" t="inlineStr">
        <is>
          <t>-</t>
        </is>
      </c>
      <c r="N1221" s="11" t="inlineStr">
        <is>
          <t>-</t>
        </is>
      </c>
      <c r="O1221" s="11" t="inlineStr">
        <is>
          <t>-</t>
        </is>
      </c>
      <c r="P1221" s="11" t="inlineStr">
        <is>
          <t>-</t>
        </is>
      </c>
      <c r="Q1221" s="12" t="inlineStr">
        <is>
          <t>-</t>
        </is>
      </c>
    </row>
    <row r="1222">
      <c r="A1222" s="47" t="inlineStr">
        <is>
          <t>uova</t>
        </is>
      </c>
      <c r="B1222" s="13" t="inlineStr">
        <is>
          <t>-</t>
        </is>
      </c>
      <c r="C1222" s="14" t="inlineStr">
        <is>
          <t>-</t>
        </is>
      </c>
      <c r="D1222" s="14" t="inlineStr">
        <is>
          <t>-</t>
        </is>
      </c>
      <c r="E1222" s="14" t="inlineStr">
        <is>
          <t>-</t>
        </is>
      </c>
      <c r="F1222" s="14" t="inlineStr">
        <is>
          <t>-</t>
        </is>
      </c>
      <c r="G1222" s="14" t="inlineStr">
        <is>
          <t>-</t>
        </is>
      </c>
      <c r="H1222" s="14" t="inlineStr">
        <is>
          <t>-</t>
        </is>
      </c>
      <c r="I1222" s="14" t="inlineStr">
        <is>
          <t>-</t>
        </is>
      </c>
      <c r="J1222" s="14" t="inlineStr">
        <is>
          <t>-</t>
        </is>
      </c>
      <c r="K1222" s="14" t="inlineStr">
        <is>
          <t>-</t>
        </is>
      </c>
      <c r="L1222" s="14" t="inlineStr">
        <is>
          <t>-</t>
        </is>
      </c>
      <c r="M1222" s="14" t="inlineStr">
        <is>
          <t>-</t>
        </is>
      </c>
      <c r="N1222" s="14" t="inlineStr">
        <is>
          <t>-</t>
        </is>
      </c>
      <c r="O1222" s="14" t="inlineStr">
        <is>
          <t>-</t>
        </is>
      </c>
      <c r="P1222" s="14" t="inlineStr">
        <is>
          <t>-</t>
        </is>
      </c>
      <c r="Q1222" s="15" t="inlineStr">
        <is>
          <t>-</t>
        </is>
      </c>
    </row>
    <row r="1223">
      <c r="A1223" s="47" t="inlineStr">
        <is>
          <t xml:space="preserve">semola </t>
        </is>
      </c>
      <c r="B1223" s="16" t="inlineStr">
        <is>
          <t>-</t>
        </is>
      </c>
      <c r="C1223" s="11" t="inlineStr">
        <is>
          <t>-</t>
        </is>
      </c>
      <c r="D1223" s="11" t="inlineStr">
        <is>
          <t>-</t>
        </is>
      </c>
      <c r="E1223" s="11" t="inlineStr">
        <is>
          <t>-</t>
        </is>
      </c>
      <c r="F1223" s="11" t="inlineStr">
        <is>
          <t>-</t>
        </is>
      </c>
      <c r="G1223" s="11" t="inlineStr">
        <is>
          <t>-</t>
        </is>
      </c>
      <c r="H1223" s="11" t="inlineStr">
        <is>
          <t>-</t>
        </is>
      </c>
      <c r="I1223" s="11" t="inlineStr">
        <is>
          <t>-</t>
        </is>
      </c>
      <c r="J1223" s="11" t="inlineStr">
        <is>
          <t>-</t>
        </is>
      </c>
      <c r="K1223" s="11" t="inlineStr">
        <is>
          <t>-</t>
        </is>
      </c>
      <c r="L1223" s="11" t="inlineStr">
        <is>
          <t>-</t>
        </is>
      </c>
      <c r="M1223" s="11" t="inlineStr">
        <is>
          <t>-</t>
        </is>
      </c>
      <c r="N1223" s="11" t="inlineStr">
        <is>
          <t>-</t>
        </is>
      </c>
      <c r="O1223" s="11" t="inlineStr">
        <is>
          <t>-</t>
        </is>
      </c>
      <c r="P1223" s="11" t="inlineStr">
        <is>
          <t>-</t>
        </is>
      </c>
      <c r="Q1223" s="12" t="inlineStr">
        <is>
          <t>-</t>
        </is>
      </c>
    </row>
    <row r="1224">
      <c r="A1224" s="47" t="inlineStr">
        <is>
          <t>canditi</t>
        </is>
      </c>
      <c r="B1224" s="13" t="inlineStr">
        <is>
          <t>-</t>
        </is>
      </c>
      <c r="C1224" s="14" t="inlineStr">
        <is>
          <t>-</t>
        </is>
      </c>
      <c r="D1224" s="14" t="inlineStr">
        <is>
          <t>-</t>
        </is>
      </c>
      <c r="E1224" s="14" t="inlineStr">
        <is>
          <t>-</t>
        </is>
      </c>
      <c r="F1224" s="14" t="inlineStr">
        <is>
          <t>-</t>
        </is>
      </c>
      <c r="G1224" s="14" t="inlineStr">
        <is>
          <t>-</t>
        </is>
      </c>
      <c r="H1224" s="14" t="inlineStr">
        <is>
          <t>-</t>
        </is>
      </c>
      <c r="I1224" s="14" t="inlineStr">
        <is>
          <t>-</t>
        </is>
      </c>
      <c r="J1224" s="14" t="inlineStr">
        <is>
          <t>-</t>
        </is>
      </c>
      <c r="K1224" s="14" t="inlineStr">
        <is>
          <t>-</t>
        </is>
      </c>
      <c r="L1224" s="14" t="inlineStr">
        <is>
          <t>-</t>
        </is>
      </c>
      <c r="M1224" s="14" t="inlineStr">
        <is>
          <t>-</t>
        </is>
      </c>
      <c r="N1224" s="14" t="inlineStr">
        <is>
          <t>-</t>
        </is>
      </c>
      <c r="O1224" s="14" t="inlineStr">
        <is>
          <t>-</t>
        </is>
      </c>
      <c r="P1224" s="14" t="inlineStr">
        <is>
          <t>-</t>
        </is>
      </c>
      <c r="Q1224" s="15" t="inlineStr">
        <is>
          <t>-</t>
        </is>
      </c>
    </row>
    <row r="1225">
      <c r="A1225" s="47" t="inlineStr">
        <is>
          <t xml:space="preserve">STRUTTO RAFFINATO I B VERDE  </t>
        </is>
      </c>
      <c r="B1225" s="16" t="inlineStr">
        <is>
          <t>-</t>
        </is>
      </c>
      <c r="C1225" s="11" t="inlineStr">
        <is>
          <t>-</t>
        </is>
      </c>
      <c r="D1225" s="11" t="inlineStr">
        <is>
          <t>-</t>
        </is>
      </c>
      <c r="E1225" s="11" t="inlineStr">
        <is>
          <t>-</t>
        </is>
      </c>
      <c r="F1225" s="11" t="inlineStr">
        <is>
          <t>-</t>
        </is>
      </c>
      <c r="G1225" s="11" t="inlineStr">
        <is>
          <t>-</t>
        </is>
      </c>
      <c r="H1225" s="11" t="inlineStr">
        <is>
          <t>-</t>
        </is>
      </c>
      <c r="I1225" s="11" t="inlineStr">
        <is>
          <t>-</t>
        </is>
      </c>
      <c r="J1225" s="11" t="inlineStr">
        <is>
          <t>-</t>
        </is>
      </c>
      <c r="K1225" s="11" t="inlineStr">
        <is>
          <t>-</t>
        </is>
      </c>
      <c r="L1225" s="11" t="inlineStr">
        <is>
          <t>-</t>
        </is>
      </c>
      <c r="M1225" s="11" t="inlineStr">
        <is>
          <t>-</t>
        </is>
      </c>
      <c r="N1225" s="11" t="inlineStr">
        <is>
          <t>-</t>
        </is>
      </c>
      <c r="O1225" s="11" t="inlineStr">
        <is>
          <t>-</t>
        </is>
      </c>
      <c r="P1225" s="11" t="inlineStr">
        <is>
          <t>-</t>
        </is>
      </c>
      <c r="Q1225" s="12" t="inlineStr">
        <is>
          <t>-</t>
        </is>
      </c>
    </row>
    <row r="1226">
      <c r="A1226" s="47" t="n"/>
      <c r="B1226" s="13" t="inlineStr">
        <is>
          <t>-</t>
        </is>
      </c>
      <c r="C1226" s="14" t="inlineStr">
        <is>
          <t>-</t>
        </is>
      </c>
      <c r="D1226" s="14" t="inlineStr">
        <is>
          <t>-</t>
        </is>
      </c>
      <c r="E1226" s="14" t="inlineStr">
        <is>
          <t>-</t>
        </is>
      </c>
      <c r="F1226" s="14" t="inlineStr">
        <is>
          <t>-</t>
        </is>
      </c>
      <c r="G1226" s="14" t="inlineStr">
        <is>
          <t>-</t>
        </is>
      </c>
      <c r="H1226" s="14" t="inlineStr">
        <is>
          <t>-</t>
        </is>
      </c>
      <c r="I1226" s="14" t="inlineStr">
        <is>
          <t>-</t>
        </is>
      </c>
      <c r="J1226" s="14" t="inlineStr">
        <is>
          <t>-</t>
        </is>
      </c>
      <c r="K1226" s="14" t="inlineStr">
        <is>
          <t>-</t>
        </is>
      </c>
      <c r="L1226" s="14" t="inlineStr">
        <is>
          <t>-</t>
        </is>
      </c>
      <c r="M1226" s="14" t="inlineStr">
        <is>
          <t>-</t>
        </is>
      </c>
      <c r="N1226" s="14" t="inlineStr">
        <is>
          <t>-</t>
        </is>
      </c>
      <c r="O1226" s="14" t="inlineStr">
        <is>
          <t>-</t>
        </is>
      </c>
      <c r="P1226" s="14" t="inlineStr">
        <is>
          <t>-</t>
        </is>
      </c>
      <c r="Q1226" s="15" t="inlineStr">
        <is>
          <t>-</t>
        </is>
      </c>
    </row>
    <row r="1227">
      <c r="A1227" s="47" t="n"/>
      <c r="B1227" s="16" t="inlineStr">
        <is>
          <t>-</t>
        </is>
      </c>
      <c r="C1227" s="11" t="inlineStr">
        <is>
          <t>-</t>
        </is>
      </c>
      <c r="D1227" s="11" t="inlineStr">
        <is>
          <t>-</t>
        </is>
      </c>
      <c r="E1227" s="11" t="inlineStr">
        <is>
          <t>-</t>
        </is>
      </c>
      <c r="F1227" s="11" t="inlineStr">
        <is>
          <t>-</t>
        </is>
      </c>
      <c r="G1227" s="11" t="inlineStr">
        <is>
          <t>-</t>
        </is>
      </c>
      <c r="H1227" s="11" t="inlineStr">
        <is>
          <t>-</t>
        </is>
      </c>
      <c r="I1227" s="11" t="inlineStr">
        <is>
          <t>-</t>
        </is>
      </c>
      <c r="J1227" s="11" t="inlineStr">
        <is>
          <t>-</t>
        </is>
      </c>
      <c r="K1227" s="11" t="inlineStr">
        <is>
          <t>-</t>
        </is>
      </c>
      <c r="L1227" s="11" t="inlineStr">
        <is>
          <t>-</t>
        </is>
      </c>
      <c r="M1227" s="11" t="inlineStr">
        <is>
          <t>-</t>
        </is>
      </c>
      <c r="N1227" s="11" t="inlineStr">
        <is>
          <t>-</t>
        </is>
      </c>
      <c r="O1227" s="11" t="inlineStr">
        <is>
          <t>-</t>
        </is>
      </c>
      <c r="P1227" s="11" t="inlineStr">
        <is>
          <t>-</t>
        </is>
      </c>
      <c r="Q1227" s="12" t="inlineStr">
        <is>
          <t>-</t>
        </is>
      </c>
    </row>
    <row r="1228">
      <c r="A1228" s="47" t="n"/>
      <c r="B1228" s="13" t="inlineStr">
        <is>
          <t>-</t>
        </is>
      </c>
      <c r="C1228" s="14" t="inlineStr">
        <is>
          <t>-</t>
        </is>
      </c>
      <c r="D1228" s="14" t="inlineStr">
        <is>
          <t>-</t>
        </is>
      </c>
      <c r="E1228" s="14" t="inlineStr">
        <is>
          <t>-</t>
        </is>
      </c>
      <c r="F1228" s="14" t="inlineStr">
        <is>
          <t>-</t>
        </is>
      </c>
      <c r="G1228" s="14" t="inlineStr">
        <is>
          <t>-</t>
        </is>
      </c>
      <c r="H1228" s="14" t="inlineStr">
        <is>
          <t>-</t>
        </is>
      </c>
      <c r="I1228" s="14" t="inlineStr">
        <is>
          <t>-</t>
        </is>
      </c>
      <c r="J1228" s="14" t="inlineStr">
        <is>
          <t>-</t>
        </is>
      </c>
      <c r="K1228" s="14" t="inlineStr">
        <is>
          <t>-</t>
        </is>
      </c>
      <c r="L1228" s="14" t="inlineStr">
        <is>
          <t>-</t>
        </is>
      </c>
      <c r="M1228" s="14" t="inlineStr">
        <is>
          <t>-</t>
        </is>
      </c>
      <c r="N1228" s="14" t="inlineStr">
        <is>
          <t>-</t>
        </is>
      </c>
      <c r="O1228" s="14" t="inlineStr">
        <is>
          <t>-</t>
        </is>
      </c>
      <c r="P1228" s="14" t="inlineStr">
        <is>
          <t>-</t>
        </is>
      </c>
      <c r="Q1228" s="15" t="inlineStr">
        <is>
          <t>-</t>
        </is>
      </c>
    </row>
    <row r="1229">
      <c r="A1229" s="47" t="n"/>
      <c r="B1229" s="16" t="inlineStr">
        <is>
          <t>-</t>
        </is>
      </c>
      <c r="C1229" s="11" t="inlineStr">
        <is>
          <t>-</t>
        </is>
      </c>
      <c r="D1229" s="11" t="inlineStr">
        <is>
          <t>-</t>
        </is>
      </c>
      <c r="E1229" s="11" t="inlineStr">
        <is>
          <t>-</t>
        </is>
      </c>
      <c r="F1229" s="11" t="inlineStr">
        <is>
          <t>-</t>
        </is>
      </c>
      <c r="G1229" s="11" t="inlineStr">
        <is>
          <t>-</t>
        </is>
      </c>
      <c r="H1229" s="11" t="inlineStr">
        <is>
          <t>-</t>
        </is>
      </c>
      <c r="I1229" s="11" t="inlineStr">
        <is>
          <t>-</t>
        </is>
      </c>
      <c r="J1229" s="11" t="inlineStr">
        <is>
          <t>-</t>
        </is>
      </c>
      <c r="K1229" s="11" t="inlineStr">
        <is>
          <t>-</t>
        </is>
      </c>
      <c r="L1229" s="11" t="inlineStr">
        <is>
          <t>-</t>
        </is>
      </c>
      <c r="M1229" s="11" t="inlineStr">
        <is>
          <t>-</t>
        </is>
      </c>
      <c r="N1229" s="11" t="inlineStr">
        <is>
          <t>-</t>
        </is>
      </c>
      <c r="O1229" s="11" t="inlineStr">
        <is>
          <t>-</t>
        </is>
      </c>
      <c r="P1229" s="11" t="inlineStr">
        <is>
          <t>-</t>
        </is>
      </c>
      <c r="Q1229" s="12" t="inlineStr">
        <is>
          <t>-</t>
        </is>
      </c>
    </row>
    <row r="1230">
      <c r="A1230" s="47" t="n"/>
      <c r="B1230" s="13" t="inlineStr">
        <is>
          <t>-</t>
        </is>
      </c>
      <c r="C1230" s="14" t="inlineStr">
        <is>
          <t>-</t>
        </is>
      </c>
      <c r="D1230" s="14" t="inlineStr">
        <is>
          <t>-</t>
        </is>
      </c>
      <c r="E1230" s="14" t="inlineStr">
        <is>
          <t>-</t>
        </is>
      </c>
      <c r="F1230" s="14" t="inlineStr">
        <is>
          <t>-</t>
        </is>
      </c>
      <c r="G1230" s="14" t="inlineStr">
        <is>
          <t>-</t>
        </is>
      </c>
      <c r="H1230" s="14" t="inlineStr">
        <is>
          <t>-</t>
        </is>
      </c>
      <c r="I1230" s="14" t="inlineStr">
        <is>
          <t>-</t>
        </is>
      </c>
      <c r="J1230" s="14" t="inlineStr">
        <is>
          <t>-</t>
        </is>
      </c>
      <c r="K1230" s="14" t="inlineStr">
        <is>
          <t>-</t>
        </is>
      </c>
      <c r="L1230" s="14" t="inlineStr">
        <is>
          <t>-</t>
        </is>
      </c>
      <c r="M1230" s="14" t="inlineStr">
        <is>
          <t>-</t>
        </is>
      </c>
      <c r="N1230" s="14" t="inlineStr">
        <is>
          <t>-</t>
        </is>
      </c>
      <c r="O1230" s="14" t="inlineStr">
        <is>
          <t>-</t>
        </is>
      </c>
      <c r="P1230" s="14" t="inlineStr">
        <is>
          <t>-</t>
        </is>
      </c>
      <c r="Q1230" s="15" t="inlineStr">
        <is>
          <t>-</t>
        </is>
      </c>
    </row>
    <row r="1231">
      <c r="A1231" s="47" t="n"/>
      <c r="B1231" s="16" t="inlineStr">
        <is>
          <t>-</t>
        </is>
      </c>
      <c r="C1231" s="11" t="inlineStr">
        <is>
          <t>-</t>
        </is>
      </c>
      <c r="D1231" s="11" t="inlineStr">
        <is>
          <t>-</t>
        </is>
      </c>
      <c r="E1231" s="11" t="inlineStr">
        <is>
          <t>-</t>
        </is>
      </c>
      <c r="F1231" s="11" t="inlineStr">
        <is>
          <t>-</t>
        </is>
      </c>
      <c r="G1231" s="11" t="inlineStr">
        <is>
          <t>-</t>
        </is>
      </c>
      <c r="H1231" s="11" t="inlineStr">
        <is>
          <t>-</t>
        </is>
      </c>
      <c r="I1231" s="11" t="inlineStr">
        <is>
          <t>-</t>
        </is>
      </c>
      <c r="J1231" s="11" t="inlineStr">
        <is>
          <t>-</t>
        </is>
      </c>
      <c r="K1231" s="11" t="inlineStr">
        <is>
          <t>-</t>
        </is>
      </c>
      <c r="L1231" s="11" t="inlineStr">
        <is>
          <t>-</t>
        </is>
      </c>
      <c r="M1231" s="11" t="inlineStr">
        <is>
          <t>-</t>
        </is>
      </c>
      <c r="N1231" s="11" t="inlineStr">
        <is>
          <t>-</t>
        </is>
      </c>
      <c r="O1231" s="11" t="inlineStr">
        <is>
          <t>-</t>
        </is>
      </c>
      <c r="P1231" s="11" t="inlineStr">
        <is>
          <t>-</t>
        </is>
      </c>
      <c r="Q1231" s="12" t="inlineStr">
        <is>
          <t>-</t>
        </is>
      </c>
    </row>
    <row r="1232">
      <c r="A1232" s="47" t="n"/>
      <c r="B1232" s="13" t="inlineStr">
        <is>
          <t>-</t>
        </is>
      </c>
      <c r="C1232" s="14" t="inlineStr">
        <is>
          <t>-</t>
        </is>
      </c>
      <c r="D1232" s="14" t="inlineStr">
        <is>
          <t>-</t>
        </is>
      </c>
      <c r="E1232" s="14" t="inlineStr">
        <is>
          <t>-</t>
        </is>
      </c>
      <c r="F1232" s="14" t="inlineStr">
        <is>
          <t>-</t>
        </is>
      </c>
      <c r="G1232" s="14" t="inlineStr">
        <is>
          <t>-</t>
        </is>
      </c>
      <c r="H1232" s="14" t="inlineStr">
        <is>
          <t>-</t>
        </is>
      </c>
      <c r="I1232" s="14" t="inlineStr">
        <is>
          <t>-</t>
        </is>
      </c>
      <c r="J1232" s="14" t="inlineStr">
        <is>
          <t>-</t>
        </is>
      </c>
      <c r="K1232" s="14" t="inlineStr">
        <is>
          <t>-</t>
        </is>
      </c>
      <c r="L1232" s="14" t="inlineStr">
        <is>
          <t>-</t>
        </is>
      </c>
      <c r="M1232" s="14" t="inlineStr">
        <is>
          <t>-</t>
        </is>
      </c>
      <c r="N1232" s="14" t="inlineStr">
        <is>
          <t>-</t>
        </is>
      </c>
      <c r="O1232" s="14" t="inlineStr">
        <is>
          <t>-</t>
        </is>
      </c>
      <c r="P1232" s="14" t="inlineStr">
        <is>
          <t>-</t>
        </is>
      </c>
      <c r="Q1232" s="15" t="inlineStr">
        <is>
          <t>-</t>
        </is>
      </c>
    </row>
    <row r="1233">
      <c r="A1233" s="47" t="n"/>
      <c r="B1233" s="16" t="inlineStr">
        <is>
          <t>-</t>
        </is>
      </c>
      <c r="C1233" s="11" t="inlineStr">
        <is>
          <t>-</t>
        </is>
      </c>
      <c r="D1233" s="11" t="inlineStr">
        <is>
          <t>-</t>
        </is>
      </c>
      <c r="E1233" s="11" t="inlineStr">
        <is>
          <t>-</t>
        </is>
      </c>
      <c r="F1233" s="11" t="inlineStr">
        <is>
          <t>-</t>
        </is>
      </c>
      <c r="G1233" s="11" t="inlineStr">
        <is>
          <t>-</t>
        </is>
      </c>
      <c r="H1233" s="11" t="inlineStr">
        <is>
          <t>-</t>
        </is>
      </c>
      <c r="I1233" s="11" t="inlineStr">
        <is>
          <t>-</t>
        </is>
      </c>
      <c r="J1233" s="11" t="inlineStr">
        <is>
          <t>-</t>
        </is>
      </c>
      <c r="K1233" s="11" t="inlineStr">
        <is>
          <t>-</t>
        </is>
      </c>
      <c r="L1233" s="11" t="inlineStr">
        <is>
          <t>-</t>
        </is>
      </c>
      <c r="M1233" s="11" t="inlineStr">
        <is>
          <t>-</t>
        </is>
      </c>
      <c r="N1233" s="11" t="inlineStr">
        <is>
          <t>-</t>
        </is>
      </c>
      <c r="O1233" s="11" t="inlineStr">
        <is>
          <t>-</t>
        </is>
      </c>
      <c r="P1233" s="11" t="inlineStr">
        <is>
          <t>-</t>
        </is>
      </c>
      <c r="Q1233" s="12" t="inlineStr">
        <is>
          <t>-</t>
        </is>
      </c>
    </row>
    <row r="1234" ht="36" customHeight="1" s="155">
      <c r="B1234" s="46" t="inlineStr">
        <is>
          <t>strudel al cioccolato</t>
        </is>
      </c>
      <c r="C1234" s="49">
        <f>_xlfn.XLOOKUP(A1235,Magazzino!$D$1:$D$1500,Magazzino!$F$1:$F$1500,"",0,1)</f>
        <v/>
      </c>
      <c r="D1234" s="50">
        <f>_xlfn.XLOOKUP(A1236,Magazzino!$D$1:$D$1500,Magazzino!$F$1:$F$1500,"",0,1)</f>
        <v/>
      </c>
      <c r="E1234" s="50">
        <f>_xlfn.XLOOKUP(A1237,Magazzino!$D$1:$D$1500,Magazzino!$F$1:$F$1500,"",0,1)</f>
        <v/>
      </c>
      <c r="F1234" s="50">
        <f>_xlfn.XLOOKUP(A1238,Magazzino!$D$1:$D$1500,Magazzino!$F$1:$F$1500,"",0,1)</f>
        <v/>
      </c>
      <c r="G1234" s="50">
        <f>_xlfn.XLOOKUP(A1239,Magazzino!$D$1:$D$1500,Magazzino!$F$1:$F$1500,"",0,1)</f>
        <v/>
      </c>
      <c r="H1234" s="50">
        <f>_xlfn.XLOOKUP(A1240,Magazzino!$D$1:$D$1500,Magazzino!$F$1:$F$1500,"",0,1)</f>
        <v/>
      </c>
      <c r="I1234" s="50">
        <f>_xlfn.XLOOKUP(A1241,Magazzino!$D$1:$D$1500,Magazzino!$F$1:$F$1500,"",0,1)</f>
        <v/>
      </c>
      <c r="J1234" s="50">
        <f>_xlfn.XLOOKUP(A1242,Magazzino!$D$1:$D$1500,Magazzino!$F$1:$F$1500,"",0,1)</f>
        <v/>
      </c>
      <c r="K1234" s="50">
        <f>_xlfn.XLOOKUP(A1243,Magazzino!$D$1:$D$1500,Magazzino!$F$1:$F$1500,"",0,1)</f>
        <v/>
      </c>
      <c r="L1234" s="50">
        <f>_xlfn.XLOOKUP(A1244,Magazzino!$D$1:$D$1500,Magazzino!$F$1:$F$1500,"",0,1)</f>
        <v/>
      </c>
      <c r="M1234" s="50">
        <f>_xlfn.XLOOKUP(A1245,Magazzino!$D$1:$D$1500,Magazzino!$F$1:$F$1500,"",0,1)</f>
        <v/>
      </c>
      <c r="N1234" s="50">
        <f>_xlfn.XLOOKUP(A1246,Magazzino!$D$1:$D$1500,Magazzino!$F$1:$F$1500,"",0,1)</f>
        <v/>
      </c>
      <c r="O1234" s="50">
        <f>_xlfn.XLOOKUP(A1247,Magazzino!$D$1:$D$1500,Magazzino!$F$1:$F$1500,"",0,1)</f>
        <v/>
      </c>
      <c r="P1234" s="50">
        <f>_xlfn.XLOOKUP(A1248,Magazzino!$D$1:$D$1500,Magazzino!$F$1:$F$1500,"",0,1)</f>
        <v/>
      </c>
      <c r="Q1234" s="51">
        <f>_xlfn.XLOOKUP(A1249,Magazzino!$D$1:$D$1500,Magazzino!$F$1:$F$1500,"",0,1)</f>
        <v/>
      </c>
    </row>
    <row r="1235">
      <c r="A1235" s="47" t="inlineStr">
        <is>
          <t xml:space="preserve">FARINA 0/MAN. CAPUTO DA KG.25  </t>
        </is>
      </c>
      <c r="B1235" s="16" t="inlineStr">
        <is>
          <t>-</t>
        </is>
      </c>
      <c r="C1235" s="11" t="inlineStr">
        <is>
          <t>-</t>
        </is>
      </c>
      <c r="D1235" s="11" t="inlineStr">
        <is>
          <t>-</t>
        </is>
      </c>
      <c r="E1235" s="11" t="inlineStr">
        <is>
          <t>-</t>
        </is>
      </c>
      <c r="F1235" s="11" t="inlineStr">
        <is>
          <t>-</t>
        </is>
      </c>
      <c r="G1235" s="11" t="inlineStr">
        <is>
          <t>-</t>
        </is>
      </c>
      <c r="H1235" s="11" t="inlineStr">
        <is>
          <t>-</t>
        </is>
      </c>
      <c r="I1235" s="11" t="inlineStr">
        <is>
          <t>-</t>
        </is>
      </c>
      <c r="J1235" s="11" t="inlineStr">
        <is>
          <t>-</t>
        </is>
      </c>
      <c r="K1235" s="11" t="inlineStr">
        <is>
          <t>-</t>
        </is>
      </c>
      <c r="L1235" s="11" t="inlineStr">
        <is>
          <t>-</t>
        </is>
      </c>
      <c r="M1235" s="11" t="inlineStr">
        <is>
          <t>-</t>
        </is>
      </c>
      <c r="N1235" s="11" t="inlineStr">
        <is>
          <t>-</t>
        </is>
      </c>
      <c r="O1235" s="11" t="inlineStr">
        <is>
          <t>-</t>
        </is>
      </c>
      <c r="P1235" s="11" t="inlineStr">
        <is>
          <t>-</t>
        </is>
      </c>
      <c r="Q1235" s="12" t="inlineStr">
        <is>
          <t>-</t>
        </is>
      </c>
    </row>
    <row r="1236">
      <c r="A1236" s="48" t="inlineStr">
        <is>
          <t xml:space="preserve">SALE SACCHI SALTECHNO KG.25  </t>
        </is>
      </c>
      <c r="B1236" s="13" t="inlineStr">
        <is>
          <t>-</t>
        </is>
      </c>
      <c r="C1236" s="14" t="inlineStr">
        <is>
          <t>-</t>
        </is>
      </c>
      <c r="D1236" s="14" t="inlineStr">
        <is>
          <t>-</t>
        </is>
      </c>
      <c r="E1236" s="14" t="inlineStr">
        <is>
          <t>-</t>
        </is>
      </c>
      <c r="F1236" s="14" t="inlineStr">
        <is>
          <t>-</t>
        </is>
      </c>
      <c r="G1236" s="14" t="inlineStr">
        <is>
          <t>-</t>
        </is>
      </c>
      <c r="H1236" s="14" t="inlineStr">
        <is>
          <t>-</t>
        </is>
      </c>
      <c r="I1236" s="14" t="inlineStr">
        <is>
          <t>-</t>
        </is>
      </c>
      <c r="J1236" s="14" t="inlineStr">
        <is>
          <t>-</t>
        </is>
      </c>
      <c r="K1236" s="14" t="inlineStr">
        <is>
          <t>-</t>
        </is>
      </c>
      <c r="L1236" s="14" t="inlineStr">
        <is>
          <t>-</t>
        </is>
      </c>
      <c r="M1236" s="14" t="inlineStr">
        <is>
          <t>-</t>
        </is>
      </c>
      <c r="N1236" s="14" t="inlineStr">
        <is>
          <t>-</t>
        </is>
      </c>
      <c r="O1236" s="14" t="inlineStr">
        <is>
          <t>-</t>
        </is>
      </c>
      <c r="P1236" s="14" t="inlineStr">
        <is>
          <t>-</t>
        </is>
      </c>
      <c r="Q1236" s="15" t="inlineStr">
        <is>
          <t>-</t>
        </is>
      </c>
    </row>
    <row r="1237">
      <c r="A1237" s="47" t="inlineStr">
        <is>
          <t>margarina crema</t>
        </is>
      </c>
      <c r="B1237" s="16" t="inlineStr">
        <is>
          <t>-</t>
        </is>
      </c>
      <c r="C1237" s="11" t="inlineStr">
        <is>
          <t>-</t>
        </is>
      </c>
      <c r="D1237" s="11" t="inlineStr">
        <is>
          <t>-</t>
        </is>
      </c>
      <c r="E1237" s="11" t="inlineStr">
        <is>
          <t>-</t>
        </is>
      </c>
      <c r="F1237" s="11" t="inlineStr">
        <is>
          <t>-</t>
        </is>
      </c>
      <c r="G1237" s="11" t="inlineStr">
        <is>
          <t>-</t>
        </is>
      </c>
      <c r="H1237" s="11" t="inlineStr">
        <is>
          <t>-</t>
        </is>
      </c>
      <c r="I1237" s="11" t="inlineStr">
        <is>
          <t>-</t>
        </is>
      </c>
      <c r="J1237" s="11" t="inlineStr">
        <is>
          <t>-</t>
        </is>
      </c>
      <c r="K1237" s="11" t="inlineStr">
        <is>
          <t>-</t>
        </is>
      </c>
      <c r="L1237" s="11" t="inlineStr">
        <is>
          <t>-</t>
        </is>
      </c>
      <c r="M1237" s="11" t="inlineStr">
        <is>
          <t>-</t>
        </is>
      </c>
      <c r="N1237" s="11" t="inlineStr">
        <is>
          <t>-</t>
        </is>
      </c>
      <c r="O1237" s="11" t="inlineStr">
        <is>
          <t>-</t>
        </is>
      </c>
      <c r="P1237" s="11" t="inlineStr">
        <is>
          <t>-</t>
        </is>
      </c>
      <c r="Q1237" s="12" t="inlineStr">
        <is>
          <t>-</t>
        </is>
      </c>
    </row>
    <row r="1238">
      <c r="A1238" s="47" t="inlineStr">
        <is>
          <t>mele</t>
        </is>
      </c>
      <c r="B1238" s="13" t="inlineStr">
        <is>
          <t>-</t>
        </is>
      </c>
      <c r="C1238" s="14" t="inlineStr">
        <is>
          <t>-</t>
        </is>
      </c>
      <c r="D1238" s="14" t="inlineStr">
        <is>
          <t>-</t>
        </is>
      </c>
      <c r="E1238" s="14" t="inlineStr">
        <is>
          <t>-</t>
        </is>
      </c>
      <c r="F1238" s="14" t="inlineStr">
        <is>
          <t>-</t>
        </is>
      </c>
      <c r="G1238" s="14" t="inlineStr">
        <is>
          <t>-</t>
        </is>
      </c>
      <c r="H1238" s="14" t="inlineStr">
        <is>
          <t>-</t>
        </is>
      </c>
      <c r="I1238" s="14" t="inlineStr">
        <is>
          <t>-</t>
        </is>
      </c>
      <c r="J1238" s="14" t="inlineStr">
        <is>
          <t>-</t>
        </is>
      </c>
      <c r="K1238" s="14" t="inlineStr">
        <is>
          <t>-</t>
        </is>
      </c>
      <c r="L1238" s="14" t="inlineStr">
        <is>
          <t>-</t>
        </is>
      </c>
      <c r="M1238" s="14" t="inlineStr">
        <is>
          <t>-</t>
        </is>
      </c>
      <c r="N1238" s="14" t="inlineStr">
        <is>
          <t>-</t>
        </is>
      </c>
      <c r="O1238" s="14" t="inlineStr">
        <is>
          <t>-</t>
        </is>
      </c>
      <c r="P1238" s="14" t="inlineStr">
        <is>
          <t>-</t>
        </is>
      </c>
      <c r="Q1238" s="15" t="inlineStr">
        <is>
          <t>-</t>
        </is>
      </c>
    </row>
    <row r="1239">
      <c r="A1239" s="47" t="inlineStr">
        <is>
          <t>latte   1500 int.uht  yma</t>
        </is>
      </c>
      <c r="B1239" s="16" t="inlineStr">
        <is>
          <t>-</t>
        </is>
      </c>
      <c r="C1239" s="11" t="inlineStr">
        <is>
          <t>-</t>
        </is>
      </c>
      <c r="D1239" s="11" t="inlineStr">
        <is>
          <t>-</t>
        </is>
      </c>
      <c r="E1239" s="11" t="inlineStr">
        <is>
          <t>-</t>
        </is>
      </c>
      <c r="F1239" s="11" t="inlineStr">
        <is>
          <t>-</t>
        </is>
      </c>
      <c r="G1239" s="11" t="inlineStr">
        <is>
          <t>-</t>
        </is>
      </c>
      <c r="H1239" s="11" t="inlineStr">
        <is>
          <t>-</t>
        </is>
      </c>
      <c r="I1239" s="11" t="inlineStr">
        <is>
          <t>-</t>
        </is>
      </c>
      <c r="J1239" s="11" t="inlineStr">
        <is>
          <t>-</t>
        </is>
      </c>
      <c r="K1239" s="11" t="inlineStr">
        <is>
          <t>-</t>
        </is>
      </c>
      <c r="L1239" s="11" t="inlineStr">
        <is>
          <t>-</t>
        </is>
      </c>
      <c r="M1239" s="11" t="inlineStr">
        <is>
          <t>-</t>
        </is>
      </c>
      <c r="N1239" s="11" t="inlineStr">
        <is>
          <t>-</t>
        </is>
      </c>
      <c r="O1239" s="11" t="inlineStr">
        <is>
          <t>-</t>
        </is>
      </c>
      <c r="P1239" s="11" t="inlineStr">
        <is>
          <t>-</t>
        </is>
      </c>
      <c r="Q1239" s="12" t="inlineStr">
        <is>
          <t>-</t>
        </is>
      </c>
    </row>
    <row r="1240">
      <c r="A1240" s="47" t="inlineStr">
        <is>
          <t>zucchero semolato</t>
        </is>
      </c>
      <c r="B1240" s="13" t="inlineStr">
        <is>
          <t>-</t>
        </is>
      </c>
      <c r="C1240" s="14" t="inlineStr">
        <is>
          <t>-</t>
        </is>
      </c>
      <c r="D1240" s="14" t="inlineStr">
        <is>
          <t>-</t>
        </is>
      </c>
      <c r="E1240" s="14" t="inlineStr">
        <is>
          <t>-</t>
        </is>
      </c>
      <c r="F1240" s="14" t="inlineStr">
        <is>
          <t>-</t>
        </is>
      </c>
      <c r="G1240" s="14" t="inlineStr">
        <is>
          <t>-</t>
        </is>
      </c>
      <c r="H1240" s="14" t="inlineStr">
        <is>
          <t>-</t>
        </is>
      </c>
      <c r="I1240" s="14" t="inlineStr">
        <is>
          <t>-</t>
        </is>
      </c>
      <c r="J1240" s="14" t="inlineStr">
        <is>
          <t>-</t>
        </is>
      </c>
      <c r="K1240" s="14" t="inlineStr">
        <is>
          <t>-</t>
        </is>
      </c>
      <c r="L1240" s="14" t="inlineStr">
        <is>
          <t>-</t>
        </is>
      </c>
      <c r="M1240" s="14" t="inlineStr">
        <is>
          <t>-</t>
        </is>
      </c>
      <c r="N1240" s="14" t="inlineStr">
        <is>
          <t>-</t>
        </is>
      </c>
      <c r="O1240" s="14" t="inlineStr">
        <is>
          <t>-</t>
        </is>
      </c>
      <c r="P1240" s="14" t="inlineStr">
        <is>
          <t>-</t>
        </is>
      </c>
      <c r="Q1240" s="15" t="inlineStr">
        <is>
          <t>-</t>
        </is>
      </c>
    </row>
    <row r="1241">
      <c r="A1241" s="47" t="inlineStr">
        <is>
          <t>amido</t>
        </is>
      </c>
      <c r="B1241" s="16" t="inlineStr">
        <is>
          <t>-</t>
        </is>
      </c>
      <c r="C1241" s="11" t="inlineStr">
        <is>
          <t>-</t>
        </is>
      </c>
      <c r="D1241" s="11" t="inlineStr">
        <is>
          <t>-</t>
        </is>
      </c>
      <c r="E1241" s="11" t="inlineStr">
        <is>
          <t>-</t>
        </is>
      </c>
      <c r="F1241" s="11" t="inlineStr">
        <is>
          <t>-</t>
        </is>
      </c>
      <c r="G1241" s="11" t="inlineStr">
        <is>
          <t>-</t>
        </is>
      </c>
      <c r="H1241" s="11" t="inlineStr">
        <is>
          <t>-</t>
        </is>
      </c>
      <c r="I1241" s="11" t="inlineStr">
        <is>
          <t>-</t>
        </is>
      </c>
      <c r="J1241" s="11" t="inlineStr">
        <is>
          <t>-</t>
        </is>
      </c>
      <c r="K1241" s="11" t="inlineStr">
        <is>
          <t>-</t>
        </is>
      </c>
      <c r="L1241" s="11" t="inlineStr">
        <is>
          <t>-</t>
        </is>
      </c>
      <c r="M1241" s="11" t="inlineStr">
        <is>
          <t>-</t>
        </is>
      </c>
      <c r="N1241" s="11" t="inlineStr">
        <is>
          <t>-</t>
        </is>
      </c>
      <c r="O1241" s="11" t="inlineStr">
        <is>
          <t>-</t>
        </is>
      </c>
      <c r="P1241" s="11" t="inlineStr">
        <is>
          <t>-</t>
        </is>
      </c>
      <c r="Q1241" s="12" t="inlineStr">
        <is>
          <t>-</t>
        </is>
      </c>
    </row>
    <row r="1242">
      <c r="A1242" s="47" t="inlineStr">
        <is>
          <t>uova</t>
        </is>
      </c>
      <c r="B1242" s="13" t="inlineStr">
        <is>
          <t>-</t>
        </is>
      </c>
      <c r="C1242" s="14" t="inlineStr">
        <is>
          <t>-</t>
        </is>
      </c>
      <c r="D1242" s="14" t="inlineStr">
        <is>
          <t>-</t>
        </is>
      </c>
      <c r="E1242" s="14" t="inlineStr">
        <is>
          <t>-</t>
        </is>
      </c>
      <c r="F1242" s="14" t="inlineStr">
        <is>
          <t>-</t>
        </is>
      </c>
      <c r="G1242" s="14" t="inlineStr">
        <is>
          <t>-</t>
        </is>
      </c>
      <c r="H1242" s="14" t="inlineStr">
        <is>
          <t>-</t>
        </is>
      </c>
      <c r="I1242" s="14" t="inlineStr">
        <is>
          <t>-</t>
        </is>
      </c>
      <c r="J1242" s="14" t="inlineStr">
        <is>
          <t>-</t>
        </is>
      </c>
      <c r="K1242" s="14" t="inlineStr">
        <is>
          <t>-</t>
        </is>
      </c>
      <c r="L1242" s="14" t="inlineStr">
        <is>
          <t>-</t>
        </is>
      </c>
      <c r="M1242" s="14" t="inlineStr">
        <is>
          <t>-</t>
        </is>
      </c>
      <c r="N1242" s="14" t="inlineStr">
        <is>
          <t>-</t>
        </is>
      </c>
      <c r="O1242" s="14" t="inlineStr">
        <is>
          <t>-</t>
        </is>
      </c>
      <c r="P1242" s="14" t="inlineStr">
        <is>
          <t>-</t>
        </is>
      </c>
      <c r="Q1242" s="15" t="inlineStr">
        <is>
          <t>-</t>
        </is>
      </c>
    </row>
    <row r="1243">
      <c r="A1243" s="47" t="inlineStr">
        <is>
          <t>cioccolato</t>
        </is>
      </c>
      <c r="B1243" s="16" t="inlineStr">
        <is>
          <t>-</t>
        </is>
      </c>
      <c r="C1243" s="11" t="inlineStr">
        <is>
          <t>-</t>
        </is>
      </c>
      <c r="D1243" s="11" t="inlineStr">
        <is>
          <t>-</t>
        </is>
      </c>
      <c r="E1243" s="11" t="inlineStr">
        <is>
          <t>-</t>
        </is>
      </c>
      <c r="F1243" s="11" t="inlineStr">
        <is>
          <t>-</t>
        </is>
      </c>
      <c r="G1243" s="11" t="inlineStr">
        <is>
          <t>-</t>
        </is>
      </c>
      <c r="H1243" s="11" t="inlineStr">
        <is>
          <t>-</t>
        </is>
      </c>
      <c r="I1243" s="11" t="inlineStr">
        <is>
          <t>-</t>
        </is>
      </c>
      <c r="J1243" s="11" t="inlineStr">
        <is>
          <t>-</t>
        </is>
      </c>
      <c r="K1243" s="11" t="inlineStr">
        <is>
          <t>-</t>
        </is>
      </c>
      <c r="L1243" s="11" t="inlineStr">
        <is>
          <t>-</t>
        </is>
      </c>
      <c r="M1243" s="11" t="inlineStr">
        <is>
          <t>-</t>
        </is>
      </c>
      <c r="N1243" s="11" t="inlineStr">
        <is>
          <t>-</t>
        </is>
      </c>
      <c r="O1243" s="11" t="inlineStr">
        <is>
          <t>-</t>
        </is>
      </c>
      <c r="P1243" s="11" t="inlineStr">
        <is>
          <t>-</t>
        </is>
      </c>
      <c r="Q1243" s="12" t="inlineStr">
        <is>
          <t>-</t>
        </is>
      </c>
    </row>
    <row r="1244">
      <c r="A1244" s="47" t="n"/>
      <c r="B1244" s="13" t="inlineStr">
        <is>
          <t>-</t>
        </is>
      </c>
      <c r="C1244" s="14" t="inlineStr">
        <is>
          <t>-</t>
        </is>
      </c>
      <c r="D1244" s="14" t="inlineStr">
        <is>
          <t>-</t>
        </is>
      </c>
      <c r="E1244" s="14" t="inlineStr">
        <is>
          <t>-</t>
        </is>
      </c>
      <c r="F1244" s="14" t="inlineStr">
        <is>
          <t>-</t>
        </is>
      </c>
      <c r="G1244" s="14" t="inlineStr">
        <is>
          <t>-</t>
        </is>
      </c>
      <c r="H1244" s="14" t="inlineStr">
        <is>
          <t>-</t>
        </is>
      </c>
      <c r="I1244" s="14" t="inlineStr">
        <is>
          <t>-</t>
        </is>
      </c>
      <c r="J1244" s="14" t="inlineStr">
        <is>
          <t>-</t>
        </is>
      </c>
      <c r="K1244" s="14" t="inlineStr">
        <is>
          <t>-</t>
        </is>
      </c>
      <c r="L1244" s="14" t="inlineStr">
        <is>
          <t>-</t>
        </is>
      </c>
      <c r="M1244" s="14" t="inlineStr">
        <is>
          <t>-</t>
        </is>
      </c>
      <c r="N1244" s="14" t="inlineStr">
        <is>
          <t>-</t>
        </is>
      </c>
      <c r="O1244" s="14" t="inlineStr">
        <is>
          <t>-</t>
        </is>
      </c>
      <c r="P1244" s="14" t="inlineStr">
        <is>
          <t>-</t>
        </is>
      </c>
      <c r="Q1244" s="15" t="inlineStr">
        <is>
          <t>-</t>
        </is>
      </c>
    </row>
    <row r="1245">
      <c r="A1245" s="47" t="n"/>
      <c r="B1245" s="16" t="inlineStr">
        <is>
          <t>-</t>
        </is>
      </c>
      <c r="C1245" s="11" t="inlineStr">
        <is>
          <t>-</t>
        </is>
      </c>
      <c r="D1245" s="11" t="inlineStr">
        <is>
          <t>-</t>
        </is>
      </c>
      <c r="E1245" s="11" t="inlineStr">
        <is>
          <t>-</t>
        </is>
      </c>
      <c r="F1245" s="11" t="inlineStr">
        <is>
          <t>-</t>
        </is>
      </c>
      <c r="G1245" s="11" t="inlineStr">
        <is>
          <t>-</t>
        </is>
      </c>
      <c r="H1245" s="11" t="inlineStr">
        <is>
          <t>-</t>
        </is>
      </c>
      <c r="I1245" s="11" t="inlineStr">
        <is>
          <t>-</t>
        </is>
      </c>
      <c r="J1245" s="11" t="inlineStr">
        <is>
          <t>-</t>
        </is>
      </c>
      <c r="K1245" s="11" t="inlineStr">
        <is>
          <t>-</t>
        </is>
      </c>
      <c r="L1245" s="11" t="inlineStr">
        <is>
          <t>-</t>
        </is>
      </c>
      <c r="M1245" s="11" t="inlineStr">
        <is>
          <t>-</t>
        </is>
      </c>
      <c r="N1245" s="11" t="inlineStr">
        <is>
          <t>-</t>
        </is>
      </c>
      <c r="O1245" s="11" t="inlineStr">
        <is>
          <t>-</t>
        </is>
      </c>
      <c r="P1245" s="11" t="inlineStr">
        <is>
          <t>-</t>
        </is>
      </c>
      <c r="Q1245" s="12" t="inlineStr">
        <is>
          <t>-</t>
        </is>
      </c>
    </row>
    <row r="1246">
      <c r="A1246" s="47" t="n"/>
      <c r="B1246" s="13" t="inlineStr">
        <is>
          <t>-</t>
        </is>
      </c>
      <c r="C1246" s="14" t="inlineStr">
        <is>
          <t>-</t>
        </is>
      </c>
      <c r="D1246" s="14" t="inlineStr">
        <is>
          <t>-</t>
        </is>
      </c>
      <c r="E1246" s="14" t="inlineStr">
        <is>
          <t>-</t>
        </is>
      </c>
      <c r="F1246" s="14" t="inlineStr">
        <is>
          <t>-</t>
        </is>
      </c>
      <c r="G1246" s="14" t="inlineStr">
        <is>
          <t>-</t>
        </is>
      </c>
      <c r="H1246" s="14" t="inlineStr">
        <is>
          <t>-</t>
        </is>
      </c>
      <c r="I1246" s="14" t="inlineStr">
        <is>
          <t>-</t>
        </is>
      </c>
      <c r="J1246" s="14" t="inlineStr">
        <is>
          <t>-</t>
        </is>
      </c>
      <c r="K1246" s="14" t="inlineStr">
        <is>
          <t>-</t>
        </is>
      </c>
      <c r="L1246" s="14" t="inlineStr">
        <is>
          <t>-</t>
        </is>
      </c>
      <c r="M1246" s="14" t="inlineStr">
        <is>
          <t>-</t>
        </is>
      </c>
      <c r="N1246" s="14" t="inlineStr">
        <is>
          <t>-</t>
        </is>
      </c>
      <c r="O1246" s="14" t="inlineStr">
        <is>
          <t>-</t>
        </is>
      </c>
      <c r="P1246" s="14" t="inlineStr">
        <is>
          <t>-</t>
        </is>
      </c>
      <c r="Q1246" s="15" t="inlineStr">
        <is>
          <t>-</t>
        </is>
      </c>
    </row>
    <row r="1247">
      <c r="A1247" s="47" t="n"/>
      <c r="B1247" s="16" t="inlineStr">
        <is>
          <t>-</t>
        </is>
      </c>
      <c r="C1247" s="11" t="inlineStr">
        <is>
          <t>-</t>
        </is>
      </c>
      <c r="D1247" s="11" t="inlineStr">
        <is>
          <t>-</t>
        </is>
      </c>
      <c r="E1247" s="11" t="inlineStr">
        <is>
          <t>-</t>
        </is>
      </c>
      <c r="F1247" s="11" t="inlineStr">
        <is>
          <t>-</t>
        </is>
      </c>
      <c r="G1247" s="11" t="inlineStr">
        <is>
          <t>-</t>
        </is>
      </c>
      <c r="H1247" s="11" t="inlineStr">
        <is>
          <t>-</t>
        </is>
      </c>
      <c r="I1247" s="11" t="inlineStr">
        <is>
          <t>-</t>
        </is>
      </c>
      <c r="J1247" s="11" t="inlineStr">
        <is>
          <t>-</t>
        </is>
      </c>
      <c r="K1247" s="11" t="inlineStr">
        <is>
          <t>-</t>
        </is>
      </c>
      <c r="L1247" s="11" t="inlineStr">
        <is>
          <t>-</t>
        </is>
      </c>
      <c r="M1247" s="11" t="inlineStr">
        <is>
          <t>-</t>
        </is>
      </c>
      <c r="N1247" s="11" t="inlineStr">
        <is>
          <t>-</t>
        </is>
      </c>
      <c r="O1247" s="11" t="inlineStr">
        <is>
          <t>-</t>
        </is>
      </c>
      <c r="P1247" s="11" t="inlineStr">
        <is>
          <t>-</t>
        </is>
      </c>
      <c r="Q1247" s="12" t="inlineStr">
        <is>
          <t>-</t>
        </is>
      </c>
    </row>
    <row r="1248">
      <c r="A1248" s="47" t="n"/>
      <c r="B1248" s="13" t="inlineStr">
        <is>
          <t>-</t>
        </is>
      </c>
      <c r="C1248" s="14" t="inlineStr">
        <is>
          <t>-</t>
        </is>
      </c>
      <c r="D1248" s="14" t="inlineStr">
        <is>
          <t>-</t>
        </is>
      </c>
      <c r="E1248" s="14" t="inlineStr">
        <is>
          <t>-</t>
        </is>
      </c>
      <c r="F1248" s="14" t="inlineStr">
        <is>
          <t>-</t>
        </is>
      </c>
      <c r="G1248" s="14" t="inlineStr">
        <is>
          <t>-</t>
        </is>
      </c>
      <c r="H1248" s="14" t="inlineStr">
        <is>
          <t>-</t>
        </is>
      </c>
      <c r="I1248" s="14" t="inlineStr">
        <is>
          <t>-</t>
        </is>
      </c>
      <c r="J1248" s="14" t="inlineStr">
        <is>
          <t>-</t>
        </is>
      </c>
      <c r="K1248" s="14" t="inlineStr">
        <is>
          <t>-</t>
        </is>
      </c>
      <c r="L1248" s="14" t="inlineStr">
        <is>
          <t>-</t>
        </is>
      </c>
      <c r="M1248" s="14" t="inlineStr">
        <is>
          <t>-</t>
        </is>
      </c>
      <c r="N1248" s="14" t="inlineStr">
        <is>
          <t>-</t>
        </is>
      </c>
      <c r="O1248" s="14" t="inlineStr">
        <is>
          <t>-</t>
        </is>
      </c>
      <c r="P1248" s="14" t="inlineStr">
        <is>
          <t>-</t>
        </is>
      </c>
      <c r="Q1248" s="15" t="inlineStr">
        <is>
          <t>-</t>
        </is>
      </c>
    </row>
    <row r="1249">
      <c r="A1249" s="47" t="n"/>
      <c r="B1249" s="16" t="inlineStr">
        <is>
          <t>-</t>
        </is>
      </c>
      <c r="C1249" s="11" t="inlineStr">
        <is>
          <t>-</t>
        </is>
      </c>
      <c r="D1249" s="11" t="inlineStr">
        <is>
          <t>-</t>
        </is>
      </c>
      <c r="E1249" s="11" t="inlineStr">
        <is>
          <t>-</t>
        </is>
      </c>
      <c r="F1249" s="11" t="inlineStr">
        <is>
          <t>-</t>
        </is>
      </c>
      <c r="G1249" s="11" t="inlineStr">
        <is>
          <t>-</t>
        </is>
      </c>
      <c r="H1249" s="11" t="inlineStr">
        <is>
          <t>-</t>
        </is>
      </c>
      <c r="I1249" s="11" t="inlineStr">
        <is>
          <t>-</t>
        </is>
      </c>
      <c r="J1249" s="11" t="inlineStr">
        <is>
          <t>-</t>
        </is>
      </c>
      <c r="K1249" s="11" t="inlineStr">
        <is>
          <t>-</t>
        </is>
      </c>
      <c r="L1249" s="11" t="inlineStr">
        <is>
          <t>-</t>
        </is>
      </c>
      <c r="M1249" s="11" t="inlineStr">
        <is>
          <t>-</t>
        </is>
      </c>
      <c r="N1249" s="11" t="inlineStr">
        <is>
          <t>-</t>
        </is>
      </c>
      <c r="O1249" s="11" t="inlineStr">
        <is>
          <t>-</t>
        </is>
      </c>
      <c r="P1249" s="11" t="inlineStr">
        <is>
          <t>-</t>
        </is>
      </c>
      <c r="Q1249" s="12" t="inlineStr">
        <is>
          <t>-</t>
        </is>
      </c>
    </row>
    <row r="1250" ht="36" customHeight="1" s="155">
      <c r="B1250" s="46" t="inlineStr">
        <is>
          <t>strudel di mele</t>
        </is>
      </c>
      <c r="C1250" s="49">
        <f>_xlfn.XLOOKUP(A1251,Magazzino!$D$1:$D$1500,Magazzino!$F$1:$F$1500,"",0,1)</f>
        <v/>
      </c>
      <c r="D1250" s="50">
        <f>_xlfn.XLOOKUP(A1252,Magazzino!$D$1:$D$1500,Magazzino!$F$1:$F$1500,"",0,1)</f>
        <v/>
      </c>
      <c r="E1250" s="50">
        <f>_xlfn.XLOOKUP(A1253,Magazzino!$D$1:$D$1500,Magazzino!$F$1:$F$1500,"",0,1)</f>
        <v/>
      </c>
      <c r="F1250" s="50">
        <f>_xlfn.XLOOKUP(A1254,Magazzino!$D$1:$D$1500,Magazzino!$F$1:$F$1500,"",0,1)</f>
        <v/>
      </c>
      <c r="G1250" s="50">
        <f>_xlfn.XLOOKUP(A1255,Magazzino!$D$1:$D$1500,Magazzino!$F$1:$F$1500,"",0,1)</f>
        <v/>
      </c>
      <c r="H1250" s="50">
        <f>_xlfn.XLOOKUP(A1256,Magazzino!$D$1:$D$1500,Magazzino!$F$1:$F$1500,"",0,1)</f>
        <v/>
      </c>
      <c r="I1250" s="50">
        <f>_xlfn.XLOOKUP(A1257,Magazzino!$D$1:$D$1500,Magazzino!$F$1:$F$1500,"",0,1)</f>
        <v/>
      </c>
      <c r="J1250" s="50">
        <f>_xlfn.XLOOKUP(A1258,Magazzino!$D$1:$D$1500,Magazzino!$F$1:$F$1500,"",0,1)</f>
        <v/>
      </c>
      <c r="K1250" s="50">
        <f>_xlfn.XLOOKUP(A1259,Magazzino!$D$1:$D$1500,Magazzino!$F$1:$F$1500,"",0,1)</f>
        <v/>
      </c>
      <c r="L1250" s="50">
        <f>_xlfn.XLOOKUP(A1260,Magazzino!$D$1:$D$1500,Magazzino!$F$1:$F$1500,"",0,1)</f>
        <v/>
      </c>
      <c r="M1250" s="50">
        <f>_xlfn.XLOOKUP(A1261,Magazzino!$D$1:$D$1500,Magazzino!$F$1:$F$1500,"",0,1)</f>
        <v/>
      </c>
      <c r="N1250" s="50">
        <f>_xlfn.XLOOKUP(A1262,Magazzino!$D$1:$D$1500,Magazzino!$F$1:$F$1500,"",0,1)</f>
        <v/>
      </c>
      <c r="O1250" s="50">
        <f>_xlfn.XLOOKUP(A1263,Magazzino!$D$1:$D$1500,Magazzino!$F$1:$F$1500,"",0,1)</f>
        <v/>
      </c>
      <c r="P1250" s="50">
        <f>_xlfn.XLOOKUP(A1264,Magazzino!$D$1:$D$1500,Magazzino!$F$1:$F$1500,"",0,1)</f>
        <v/>
      </c>
      <c r="Q1250" s="51">
        <f>_xlfn.XLOOKUP(A1265,Magazzino!$D$1:$D$1500,Magazzino!$F$1:$F$1500,"",0,1)</f>
        <v/>
      </c>
    </row>
    <row r="1251">
      <c r="A1251" s="47" t="inlineStr">
        <is>
          <t xml:space="preserve">FARINA 0/MAN. CAPUTO DA KG.25  </t>
        </is>
      </c>
      <c r="B1251" s="16" t="inlineStr">
        <is>
          <t>-</t>
        </is>
      </c>
      <c r="C1251" s="11" t="inlineStr">
        <is>
          <t>-</t>
        </is>
      </c>
      <c r="D1251" s="11" t="inlineStr">
        <is>
          <t>-</t>
        </is>
      </c>
      <c r="E1251" s="11" t="inlineStr">
        <is>
          <t>-</t>
        </is>
      </c>
      <c r="F1251" s="11" t="inlineStr">
        <is>
          <t>-</t>
        </is>
      </c>
      <c r="G1251" s="11" t="inlineStr">
        <is>
          <t>-</t>
        </is>
      </c>
      <c r="H1251" s="11" t="inlineStr">
        <is>
          <t>-</t>
        </is>
      </c>
      <c r="I1251" s="11" t="inlineStr">
        <is>
          <t>-</t>
        </is>
      </c>
      <c r="J1251" s="11" t="inlineStr">
        <is>
          <t>-</t>
        </is>
      </c>
      <c r="K1251" s="11" t="inlineStr">
        <is>
          <t>-</t>
        </is>
      </c>
      <c r="L1251" s="11" t="inlineStr">
        <is>
          <t>-</t>
        </is>
      </c>
      <c r="M1251" s="11" t="inlineStr">
        <is>
          <t>-</t>
        </is>
      </c>
      <c r="N1251" s="11" t="inlineStr">
        <is>
          <t>-</t>
        </is>
      </c>
      <c r="O1251" s="11" t="inlineStr">
        <is>
          <t>-</t>
        </is>
      </c>
      <c r="P1251" s="11" t="inlineStr">
        <is>
          <t>-</t>
        </is>
      </c>
      <c r="Q1251" s="12" t="inlineStr">
        <is>
          <t>-</t>
        </is>
      </c>
    </row>
    <row r="1252">
      <c r="A1252" s="48" t="inlineStr">
        <is>
          <t xml:space="preserve">SALE SACCHI SALTECHNO KG.25  </t>
        </is>
      </c>
      <c r="B1252" s="13" t="inlineStr">
        <is>
          <t>-</t>
        </is>
      </c>
      <c r="C1252" s="14" t="inlineStr">
        <is>
          <t>-</t>
        </is>
      </c>
      <c r="D1252" s="14" t="inlineStr">
        <is>
          <t>-</t>
        </is>
      </c>
      <c r="E1252" s="14" t="inlineStr">
        <is>
          <t>-</t>
        </is>
      </c>
      <c r="F1252" s="14" t="inlineStr">
        <is>
          <t>-</t>
        </is>
      </c>
      <c r="G1252" s="14" t="inlineStr">
        <is>
          <t>-</t>
        </is>
      </c>
      <c r="H1252" s="14" t="inlineStr">
        <is>
          <t>-</t>
        </is>
      </c>
      <c r="I1252" s="14" t="inlineStr">
        <is>
          <t>-</t>
        </is>
      </c>
      <c r="J1252" s="14" t="inlineStr">
        <is>
          <t>-</t>
        </is>
      </c>
      <c r="K1252" s="14" t="inlineStr">
        <is>
          <t>-</t>
        </is>
      </c>
      <c r="L1252" s="14" t="inlineStr">
        <is>
          <t>-</t>
        </is>
      </c>
      <c r="M1252" s="14" t="inlineStr">
        <is>
          <t>-</t>
        </is>
      </c>
      <c r="N1252" s="14" t="inlineStr">
        <is>
          <t>-</t>
        </is>
      </c>
      <c r="O1252" s="14" t="inlineStr">
        <is>
          <t>-</t>
        </is>
      </c>
      <c r="P1252" s="14" t="inlineStr">
        <is>
          <t>-</t>
        </is>
      </c>
      <c r="Q1252" s="15" t="inlineStr">
        <is>
          <t>-</t>
        </is>
      </c>
    </row>
    <row r="1253">
      <c r="A1253" s="47" t="inlineStr">
        <is>
          <t>margarina crema</t>
        </is>
      </c>
      <c r="B1253" s="16" t="inlineStr">
        <is>
          <t>-</t>
        </is>
      </c>
      <c r="C1253" s="11" t="inlineStr">
        <is>
          <t>-</t>
        </is>
      </c>
      <c r="D1253" s="11" t="inlineStr">
        <is>
          <t>-</t>
        </is>
      </c>
      <c r="E1253" s="11" t="inlineStr">
        <is>
          <t>-</t>
        </is>
      </c>
      <c r="F1253" s="11" t="inlineStr">
        <is>
          <t>-</t>
        </is>
      </c>
      <c r="G1253" s="11" t="inlineStr">
        <is>
          <t>-</t>
        </is>
      </c>
      <c r="H1253" s="11" t="inlineStr">
        <is>
          <t>-</t>
        </is>
      </c>
      <c r="I1253" s="11" t="inlineStr">
        <is>
          <t>-</t>
        </is>
      </c>
      <c r="J1253" s="11" t="inlineStr">
        <is>
          <t>-</t>
        </is>
      </c>
      <c r="K1253" s="11" t="inlineStr">
        <is>
          <t>-</t>
        </is>
      </c>
      <c r="L1253" s="11" t="inlineStr">
        <is>
          <t>-</t>
        </is>
      </c>
      <c r="M1253" s="11" t="inlineStr">
        <is>
          <t>-</t>
        </is>
      </c>
      <c r="N1253" s="11" t="inlineStr">
        <is>
          <t>-</t>
        </is>
      </c>
      <c r="O1253" s="11" t="inlineStr">
        <is>
          <t>-</t>
        </is>
      </c>
      <c r="P1253" s="11" t="inlineStr">
        <is>
          <t>-</t>
        </is>
      </c>
      <c r="Q1253" s="12" t="inlineStr">
        <is>
          <t>-</t>
        </is>
      </c>
    </row>
    <row r="1254">
      <c r="A1254" s="47" t="inlineStr">
        <is>
          <t>mele</t>
        </is>
      </c>
      <c r="B1254" s="13" t="inlineStr">
        <is>
          <t>-</t>
        </is>
      </c>
      <c r="C1254" s="14" t="inlineStr">
        <is>
          <t>-</t>
        </is>
      </c>
      <c r="D1254" s="14" t="inlineStr">
        <is>
          <t>-</t>
        </is>
      </c>
      <c r="E1254" s="14" t="inlineStr">
        <is>
          <t>-</t>
        </is>
      </c>
      <c r="F1254" s="14" t="inlineStr">
        <is>
          <t>-</t>
        </is>
      </c>
      <c r="G1254" s="14" t="inlineStr">
        <is>
          <t>-</t>
        </is>
      </c>
      <c r="H1254" s="14" t="inlineStr">
        <is>
          <t>-</t>
        </is>
      </c>
      <c r="I1254" s="14" t="inlineStr">
        <is>
          <t>-</t>
        </is>
      </c>
      <c r="J1254" s="14" t="inlineStr">
        <is>
          <t>-</t>
        </is>
      </c>
      <c r="K1254" s="14" t="inlineStr">
        <is>
          <t>-</t>
        </is>
      </c>
      <c r="L1254" s="14" t="inlineStr">
        <is>
          <t>-</t>
        </is>
      </c>
      <c r="M1254" s="14" t="inlineStr">
        <is>
          <t>-</t>
        </is>
      </c>
      <c r="N1254" s="14" t="inlineStr">
        <is>
          <t>-</t>
        </is>
      </c>
      <c r="O1254" s="14" t="inlineStr">
        <is>
          <t>-</t>
        </is>
      </c>
      <c r="P1254" s="14" t="inlineStr">
        <is>
          <t>-</t>
        </is>
      </c>
      <c r="Q1254" s="15" t="inlineStr">
        <is>
          <t>-</t>
        </is>
      </c>
    </row>
    <row r="1255">
      <c r="A1255" s="47" t="inlineStr">
        <is>
          <t>latte   1500 int.uht  yma</t>
        </is>
      </c>
      <c r="B1255" s="16" t="inlineStr">
        <is>
          <t>-</t>
        </is>
      </c>
      <c r="C1255" s="11" t="inlineStr">
        <is>
          <t>-</t>
        </is>
      </c>
      <c r="D1255" s="11" t="inlineStr">
        <is>
          <t>-</t>
        </is>
      </c>
      <c r="E1255" s="11" t="inlineStr">
        <is>
          <t>-</t>
        </is>
      </c>
      <c r="F1255" s="11" t="inlineStr">
        <is>
          <t>-</t>
        </is>
      </c>
      <c r="G1255" s="11" t="inlineStr">
        <is>
          <t>-</t>
        </is>
      </c>
      <c r="H1255" s="11" t="inlineStr">
        <is>
          <t>-</t>
        </is>
      </c>
      <c r="I1255" s="11" t="inlineStr">
        <is>
          <t>-</t>
        </is>
      </c>
      <c r="J1255" s="11" t="inlineStr">
        <is>
          <t>-</t>
        </is>
      </c>
      <c r="K1255" s="11" t="inlineStr">
        <is>
          <t>-</t>
        </is>
      </c>
      <c r="L1255" s="11" t="inlineStr">
        <is>
          <t>-</t>
        </is>
      </c>
      <c r="M1255" s="11" t="inlineStr">
        <is>
          <t>-</t>
        </is>
      </c>
      <c r="N1255" s="11" t="inlineStr">
        <is>
          <t>-</t>
        </is>
      </c>
      <c r="O1255" s="11" t="inlineStr">
        <is>
          <t>-</t>
        </is>
      </c>
      <c r="P1255" s="11" t="inlineStr">
        <is>
          <t>-</t>
        </is>
      </c>
      <c r="Q1255" s="12" t="inlineStr">
        <is>
          <t>-</t>
        </is>
      </c>
    </row>
    <row r="1256">
      <c r="A1256" s="47" t="inlineStr">
        <is>
          <t>zucchero semolato</t>
        </is>
      </c>
      <c r="B1256" s="13" t="inlineStr">
        <is>
          <t>-</t>
        </is>
      </c>
      <c r="C1256" s="14" t="inlineStr">
        <is>
          <t>-</t>
        </is>
      </c>
      <c r="D1256" s="14" t="inlineStr">
        <is>
          <t>-</t>
        </is>
      </c>
      <c r="E1256" s="14" t="inlineStr">
        <is>
          <t>-</t>
        </is>
      </c>
      <c r="F1256" s="14" t="inlineStr">
        <is>
          <t>-</t>
        </is>
      </c>
      <c r="G1256" s="14" t="inlineStr">
        <is>
          <t>-</t>
        </is>
      </c>
      <c r="H1256" s="14" t="inlineStr">
        <is>
          <t>-</t>
        </is>
      </c>
      <c r="I1256" s="14" t="inlineStr">
        <is>
          <t>-</t>
        </is>
      </c>
      <c r="J1256" s="14" t="inlineStr">
        <is>
          <t>-</t>
        </is>
      </c>
      <c r="K1256" s="14" t="inlineStr">
        <is>
          <t>-</t>
        </is>
      </c>
      <c r="L1256" s="14" t="inlineStr">
        <is>
          <t>-</t>
        </is>
      </c>
      <c r="M1256" s="14" t="inlineStr">
        <is>
          <t>-</t>
        </is>
      </c>
      <c r="N1256" s="14" t="inlineStr">
        <is>
          <t>-</t>
        </is>
      </c>
      <c r="O1256" s="14" t="inlineStr">
        <is>
          <t>-</t>
        </is>
      </c>
      <c r="P1256" s="14" t="inlineStr">
        <is>
          <t>-</t>
        </is>
      </c>
      <c r="Q1256" s="15" t="inlineStr">
        <is>
          <t>-</t>
        </is>
      </c>
    </row>
    <row r="1257">
      <c r="A1257" s="47" t="inlineStr">
        <is>
          <t>amido</t>
        </is>
      </c>
      <c r="B1257" s="16" t="inlineStr">
        <is>
          <t>-</t>
        </is>
      </c>
      <c r="C1257" s="11" t="inlineStr">
        <is>
          <t>-</t>
        </is>
      </c>
      <c r="D1257" s="11" t="inlineStr">
        <is>
          <t>-</t>
        </is>
      </c>
      <c r="E1257" s="11" t="inlineStr">
        <is>
          <t>-</t>
        </is>
      </c>
      <c r="F1257" s="11" t="inlineStr">
        <is>
          <t>-</t>
        </is>
      </c>
      <c r="G1257" s="11" t="inlineStr">
        <is>
          <t>-</t>
        </is>
      </c>
      <c r="H1257" s="11" t="inlineStr">
        <is>
          <t>-</t>
        </is>
      </c>
      <c r="I1257" s="11" t="inlineStr">
        <is>
          <t>-</t>
        </is>
      </c>
      <c r="J1257" s="11" t="inlineStr">
        <is>
          <t>-</t>
        </is>
      </c>
      <c r="K1257" s="11" t="inlineStr">
        <is>
          <t>-</t>
        </is>
      </c>
      <c r="L1257" s="11" t="inlineStr">
        <is>
          <t>-</t>
        </is>
      </c>
      <c r="M1257" s="11" t="inlineStr">
        <is>
          <t>-</t>
        </is>
      </c>
      <c r="N1257" s="11" t="inlineStr">
        <is>
          <t>-</t>
        </is>
      </c>
      <c r="O1257" s="11" t="inlineStr">
        <is>
          <t>-</t>
        </is>
      </c>
      <c r="P1257" s="11" t="inlineStr">
        <is>
          <t>-</t>
        </is>
      </c>
      <c r="Q1257" s="12" t="inlineStr">
        <is>
          <t>-</t>
        </is>
      </c>
    </row>
    <row r="1258">
      <c r="A1258" s="47" t="inlineStr">
        <is>
          <t>uova</t>
        </is>
      </c>
      <c r="B1258" s="13" t="inlineStr">
        <is>
          <t>-</t>
        </is>
      </c>
      <c r="C1258" s="14" t="inlineStr">
        <is>
          <t>-</t>
        </is>
      </c>
      <c r="D1258" s="14" t="inlineStr">
        <is>
          <t>-</t>
        </is>
      </c>
      <c r="E1258" s="14" t="inlineStr">
        <is>
          <t>-</t>
        </is>
      </c>
      <c r="F1258" s="14" t="inlineStr">
        <is>
          <t>-</t>
        </is>
      </c>
      <c r="G1258" s="14" t="inlineStr">
        <is>
          <t>-</t>
        </is>
      </c>
      <c r="H1258" s="14" t="inlineStr">
        <is>
          <t>-</t>
        </is>
      </c>
      <c r="I1258" s="14" t="inlineStr">
        <is>
          <t>-</t>
        </is>
      </c>
      <c r="J1258" s="14" t="inlineStr">
        <is>
          <t>-</t>
        </is>
      </c>
      <c r="K1258" s="14" t="inlineStr">
        <is>
          <t>-</t>
        </is>
      </c>
      <c r="L1258" s="14" t="inlineStr">
        <is>
          <t>-</t>
        </is>
      </c>
      <c r="M1258" s="14" t="inlineStr">
        <is>
          <t>-</t>
        </is>
      </c>
      <c r="N1258" s="14" t="inlineStr">
        <is>
          <t>-</t>
        </is>
      </c>
      <c r="O1258" s="14" t="inlineStr">
        <is>
          <t>-</t>
        </is>
      </c>
      <c r="P1258" s="14" t="inlineStr">
        <is>
          <t>-</t>
        </is>
      </c>
      <c r="Q1258" s="15" t="inlineStr">
        <is>
          <t>-</t>
        </is>
      </c>
    </row>
    <row r="1259">
      <c r="A1259" s="47" t="inlineStr">
        <is>
          <t>aromi</t>
        </is>
      </c>
      <c r="B1259" s="16" t="inlineStr">
        <is>
          <t>-</t>
        </is>
      </c>
      <c r="C1259" s="11" t="inlineStr">
        <is>
          <t>-</t>
        </is>
      </c>
      <c r="D1259" s="11" t="inlineStr">
        <is>
          <t>-</t>
        </is>
      </c>
      <c r="E1259" s="11" t="inlineStr">
        <is>
          <t>-</t>
        </is>
      </c>
      <c r="F1259" s="11" t="inlineStr">
        <is>
          <t>-</t>
        </is>
      </c>
      <c r="G1259" s="11" t="inlineStr">
        <is>
          <t>-</t>
        </is>
      </c>
      <c r="H1259" s="11" t="inlineStr">
        <is>
          <t>-</t>
        </is>
      </c>
      <c r="I1259" s="11" t="inlineStr">
        <is>
          <t>-</t>
        </is>
      </c>
      <c r="J1259" s="11" t="inlineStr">
        <is>
          <t>-</t>
        </is>
      </c>
      <c r="K1259" s="11" t="inlineStr">
        <is>
          <t>-</t>
        </is>
      </c>
      <c r="L1259" s="11" t="inlineStr">
        <is>
          <t>-</t>
        </is>
      </c>
      <c r="M1259" s="11" t="inlineStr">
        <is>
          <t>-</t>
        </is>
      </c>
      <c r="N1259" s="11" t="inlineStr">
        <is>
          <t>-</t>
        </is>
      </c>
      <c r="O1259" s="11" t="inlineStr">
        <is>
          <t>-</t>
        </is>
      </c>
      <c r="P1259" s="11" t="inlineStr">
        <is>
          <t>-</t>
        </is>
      </c>
      <c r="Q1259" s="12" t="inlineStr">
        <is>
          <t>-</t>
        </is>
      </c>
    </row>
    <row r="1260">
      <c r="A1260" s="47" t="n"/>
      <c r="B1260" s="13" t="inlineStr">
        <is>
          <t>-</t>
        </is>
      </c>
      <c r="C1260" s="14" t="inlineStr">
        <is>
          <t>-</t>
        </is>
      </c>
      <c r="D1260" s="14" t="inlineStr">
        <is>
          <t>-</t>
        </is>
      </c>
      <c r="E1260" s="14" t="inlineStr">
        <is>
          <t>-</t>
        </is>
      </c>
      <c r="F1260" s="14" t="inlineStr">
        <is>
          <t>-</t>
        </is>
      </c>
      <c r="G1260" s="14" t="inlineStr">
        <is>
          <t>-</t>
        </is>
      </c>
      <c r="H1260" s="14" t="inlineStr">
        <is>
          <t>-</t>
        </is>
      </c>
      <c r="I1260" s="14" t="inlineStr">
        <is>
          <t>-</t>
        </is>
      </c>
      <c r="J1260" s="14" t="inlineStr">
        <is>
          <t>-</t>
        </is>
      </c>
      <c r="K1260" s="14" t="inlineStr">
        <is>
          <t>-</t>
        </is>
      </c>
      <c r="L1260" s="14" t="inlineStr">
        <is>
          <t>-</t>
        </is>
      </c>
      <c r="M1260" s="14" t="inlineStr">
        <is>
          <t>-</t>
        </is>
      </c>
      <c r="N1260" s="14" t="inlineStr">
        <is>
          <t>-</t>
        </is>
      </c>
      <c r="O1260" s="14" t="inlineStr">
        <is>
          <t>-</t>
        </is>
      </c>
      <c r="P1260" s="14" t="inlineStr">
        <is>
          <t>-</t>
        </is>
      </c>
      <c r="Q1260" s="15" t="inlineStr">
        <is>
          <t>-</t>
        </is>
      </c>
    </row>
    <row r="1261">
      <c r="A1261" s="47" t="n"/>
      <c r="B1261" s="16" t="inlineStr">
        <is>
          <t>-</t>
        </is>
      </c>
      <c r="C1261" s="11" t="inlineStr">
        <is>
          <t>-</t>
        </is>
      </c>
      <c r="D1261" s="11" t="inlineStr">
        <is>
          <t>-</t>
        </is>
      </c>
      <c r="E1261" s="11" t="inlineStr">
        <is>
          <t>-</t>
        </is>
      </c>
      <c r="F1261" s="11" t="inlineStr">
        <is>
          <t>-</t>
        </is>
      </c>
      <c r="G1261" s="11" t="inlineStr">
        <is>
          <t>-</t>
        </is>
      </c>
      <c r="H1261" s="11" t="inlineStr">
        <is>
          <t>-</t>
        </is>
      </c>
      <c r="I1261" s="11" t="inlineStr">
        <is>
          <t>-</t>
        </is>
      </c>
      <c r="J1261" s="11" t="inlineStr">
        <is>
          <t>-</t>
        </is>
      </c>
      <c r="K1261" s="11" t="inlineStr">
        <is>
          <t>-</t>
        </is>
      </c>
      <c r="L1261" s="11" t="inlineStr">
        <is>
          <t>-</t>
        </is>
      </c>
      <c r="M1261" s="11" t="inlineStr">
        <is>
          <t>-</t>
        </is>
      </c>
      <c r="N1261" s="11" t="inlineStr">
        <is>
          <t>-</t>
        </is>
      </c>
      <c r="O1261" s="11" t="inlineStr">
        <is>
          <t>-</t>
        </is>
      </c>
      <c r="P1261" s="11" t="inlineStr">
        <is>
          <t>-</t>
        </is>
      </c>
      <c r="Q1261" s="12" t="inlineStr">
        <is>
          <t>-</t>
        </is>
      </c>
    </row>
    <row r="1262">
      <c r="A1262" s="47" t="n"/>
      <c r="B1262" s="13" t="inlineStr">
        <is>
          <t>-</t>
        </is>
      </c>
      <c r="C1262" s="14" t="inlineStr">
        <is>
          <t>-</t>
        </is>
      </c>
      <c r="D1262" s="14" t="inlineStr">
        <is>
          <t>-</t>
        </is>
      </c>
      <c r="E1262" s="14" t="inlineStr">
        <is>
          <t>-</t>
        </is>
      </c>
      <c r="F1262" s="14" t="inlineStr">
        <is>
          <t>-</t>
        </is>
      </c>
      <c r="G1262" s="14" t="inlineStr">
        <is>
          <t>-</t>
        </is>
      </c>
      <c r="H1262" s="14" t="inlineStr">
        <is>
          <t>-</t>
        </is>
      </c>
      <c r="I1262" s="14" t="inlineStr">
        <is>
          <t>-</t>
        </is>
      </c>
      <c r="J1262" s="14" t="inlineStr">
        <is>
          <t>-</t>
        </is>
      </c>
      <c r="K1262" s="14" t="inlineStr">
        <is>
          <t>-</t>
        </is>
      </c>
      <c r="L1262" s="14" t="inlineStr">
        <is>
          <t>-</t>
        </is>
      </c>
      <c r="M1262" s="14" t="inlineStr">
        <is>
          <t>-</t>
        </is>
      </c>
      <c r="N1262" s="14" t="inlineStr">
        <is>
          <t>-</t>
        </is>
      </c>
      <c r="O1262" s="14" t="inlineStr">
        <is>
          <t>-</t>
        </is>
      </c>
      <c r="P1262" s="14" t="inlineStr">
        <is>
          <t>-</t>
        </is>
      </c>
      <c r="Q1262" s="15" t="inlineStr">
        <is>
          <t>-</t>
        </is>
      </c>
    </row>
    <row r="1263">
      <c r="A1263" s="47" t="n"/>
      <c r="B1263" s="16" t="inlineStr">
        <is>
          <t>-</t>
        </is>
      </c>
      <c r="C1263" s="11" t="inlineStr">
        <is>
          <t>-</t>
        </is>
      </c>
      <c r="D1263" s="11" t="inlineStr">
        <is>
          <t>-</t>
        </is>
      </c>
      <c r="E1263" s="11" t="inlineStr">
        <is>
          <t>-</t>
        </is>
      </c>
      <c r="F1263" s="11" t="inlineStr">
        <is>
          <t>-</t>
        </is>
      </c>
      <c r="G1263" s="11" t="inlineStr">
        <is>
          <t>-</t>
        </is>
      </c>
      <c r="H1263" s="11" t="inlineStr">
        <is>
          <t>-</t>
        </is>
      </c>
      <c r="I1263" s="11" t="inlineStr">
        <is>
          <t>-</t>
        </is>
      </c>
      <c r="J1263" s="11" t="inlineStr">
        <is>
          <t>-</t>
        </is>
      </c>
      <c r="K1263" s="11" t="inlineStr">
        <is>
          <t>-</t>
        </is>
      </c>
      <c r="L1263" s="11" t="inlineStr">
        <is>
          <t>-</t>
        </is>
      </c>
      <c r="M1263" s="11" t="inlineStr">
        <is>
          <t>-</t>
        </is>
      </c>
      <c r="N1263" s="11" t="inlineStr">
        <is>
          <t>-</t>
        </is>
      </c>
      <c r="O1263" s="11" t="inlineStr">
        <is>
          <t>-</t>
        </is>
      </c>
      <c r="P1263" s="11" t="inlineStr">
        <is>
          <t>-</t>
        </is>
      </c>
      <c r="Q1263" s="12" t="inlineStr">
        <is>
          <t>-</t>
        </is>
      </c>
    </row>
    <row r="1264">
      <c r="A1264" s="47" t="n"/>
      <c r="B1264" s="13" t="inlineStr">
        <is>
          <t>-</t>
        </is>
      </c>
      <c r="C1264" s="14" t="inlineStr">
        <is>
          <t>-</t>
        </is>
      </c>
      <c r="D1264" s="14" t="inlineStr">
        <is>
          <t>-</t>
        </is>
      </c>
      <c r="E1264" s="14" t="inlineStr">
        <is>
          <t>-</t>
        </is>
      </c>
      <c r="F1264" s="14" t="inlineStr">
        <is>
          <t>-</t>
        </is>
      </c>
      <c r="G1264" s="14" t="inlineStr">
        <is>
          <t>-</t>
        </is>
      </c>
      <c r="H1264" s="14" t="inlineStr">
        <is>
          <t>-</t>
        </is>
      </c>
      <c r="I1264" s="14" t="inlineStr">
        <is>
          <t>-</t>
        </is>
      </c>
      <c r="J1264" s="14" t="inlineStr">
        <is>
          <t>-</t>
        </is>
      </c>
      <c r="K1264" s="14" t="inlineStr">
        <is>
          <t>-</t>
        </is>
      </c>
      <c r="L1264" s="14" t="inlineStr">
        <is>
          <t>-</t>
        </is>
      </c>
      <c r="M1264" s="14" t="inlineStr">
        <is>
          <t>-</t>
        </is>
      </c>
      <c r="N1264" s="14" t="inlineStr">
        <is>
          <t>-</t>
        </is>
      </c>
      <c r="O1264" s="14" t="inlineStr">
        <is>
          <t>-</t>
        </is>
      </c>
      <c r="P1264" s="14" t="inlineStr">
        <is>
          <t>-</t>
        </is>
      </c>
      <c r="Q1264" s="15" t="inlineStr">
        <is>
          <t>-</t>
        </is>
      </c>
    </row>
    <row r="1265">
      <c r="A1265" s="47" t="n"/>
      <c r="B1265" s="16" t="inlineStr">
        <is>
          <t>-</t>
        </is>
      </c>
      <c r="C1265" s="11" t="inlineStr">
        <is>
          <t>-</t>
        </is>
      </c>
      <c r="D1265" s="11" t="inlineStr">
        <is>
          <t>-</t>
        </is>
      </c>
      <c r="E1265" s="11" t="inlineStr">
        <is>
          <t>-</t>
        </is>
      </c>
      <c r="F1265" s="11" t="inlineStr">
        <is>
          <t>-</t>
        </is>
      </c>
      <c r="G1265" s="11" t="inlineStr">
        <is>
          <t>-</t>
        </is>
      </c>
      <c r="H1265" s="11" t="inlineStr">
        <is>
          <t>-</t>
        </is>
      </c>
      <c r="I1265" s="11" t="inlineStr">
        <is>
          <t>-</t>
        </is>
      </c>
      <c r="J1265" s="11" t="inlineStr">
        <is>
          <t>-</t>
        </is>
      </c>
      <c r="K1265" s="11" t="inlineStr">
        <is>
          <t>-</t>
        </is>
      </c>
      <c r="L1265" s="11" t="inlineStr">
        <is>
          <t>-</t>
        </is>
      </c>
      <c r="M1265" s="11" t="inlineStr">
        <is>
          <t>-</t>
        </is>
      </c>
      <c r="N1265" s="11" t="inlineStr">
        <is>
          <t>-</t>
        </is>
      </c>
      <c r="O1265" s="11" t="inlineStr">
        <is>
          <t>-</t>
        </is>
      </c>
      <c r="P1265" s="11" t="inlineStr">
        <is>
          <t>-</t>
        </is>
      </c>
      <c r="Q1265" s="12" t="inlineStr">
        <is>
          <t>-</t>
        </is>
      </c>
    </row>
    <row r="1266" ht="48" customHeight="1" s="155">
      <c r="B1266" s="46" t="inlineStr">
        <is>
          <t>tiramisù</t>
        </is>
      </c>
      <c r="C1266" s="49">
        <f>_xlfn.XLOOKUP(A1267,Magazzino!$D$1:$D$1500,Magazzino!$F$1:$F$1500,"",0,1)</f>
        <v/>
      </c>
      <c r="D1266" s="50">
        <f>_xlfn.XLOOKUP(A1268,Magazzino!$D$1:$D$1500,Magazzino!$F$1:$F$1500,"",0,1)</f>
        <v/>
      </c>
      <c r="E1266" s="50">
        <f>_xlfn.XLOOKUP(A1269,Magazzino!$D$1:$D$1500,Magazzino!$F$1:$F$1500,"",0,1)</f>
        <v/>
      </c>
      <c r="F1266" s="50">
        <f>_xlfn.XLOOKUP(A1270,Magazzino!$D$1:$D$1500,Magazzino!$F$1:$F$1500,"",0,1)</f>
        <v/>
      </c>
      <c r="G1266" s="50">
        <f>_xlfn.XLOOKUP(A1271,Magazzino!$D$1:$D$1500,Magazzino!$F$1:$F$1500,"",0,1)</f>
        <v/>
      </c>
      <c r="H1266" s="50">
        <f>_xlfn.XLOOKUP(A1272,Magazzino!$D$1:$D$1500,Magazzino!$F$1:$F$1500,"",0,1)</f>
        <v/>
      </c>
      <c r="I1266" s="50">
        <f>_xlfn.XLOOKUP(A1273,Magazzino!$D$1:$D$1500,Magazzino!$F$1:$F$1500,"",0,1)</f>
        <v/>
      </c>
      <c r="J1266" s="50">
        <f>_xlfn.XLOOKUP(A1274,Magazzino!$D$1:$D$1500,Magazzino!$F$1:$F$1500,"",0,1)</f>
        <v/>
      </c>
      <c r="K1266" s="50">
        <f>_xlfn.XLOOKUP(A1275,Magazzino!$D$1:$D$1500,Magazzino!$F$1:$F$1500,"",0,1)</f>
        <v/>
      </c>
      <c r="L1266" s="50">
        <f>_xlfn.XLOOKUP(A1276,Magazzino!$D$1:$D$1500,Magazzino!$F$1:$F$1500,"",0,1)</f>
        <v/>
      </c>
      <c r="M1266" s="50">
        <f>_xlfn.XLOOKUP(A1277,Magazzino!$D$1:$D$1500,Magazzino!$F$1:$F$1500,"",0,1)</f>
        <v/>
      </c>
      <c r="N1266" s="50">
        <f>_xlfn.XLOOKUP(A1278,Magazzino!$D$1:$D$1500,Magazzino!$F$1:$F$1500,"",0,1)</f>
        <v/>
      </c>
      <c r="O1266" s="50">
        <f>_xlfn.XLOOKUP(A1279,Magazzino!$D$1:$D$1500,Magazzino!$F$1:$F$1500,"",0,1)</f>
        <v/>
      </c>
      <c r="P1266" s="50">
        <f>_xlfn.XLOOKUP(A1280,Magazzino!$D$1:$D$1500,Magazzino!$F$1:$F$1500,"",0,1)</f>
        <v/>
      </c>
      <c r="Q1266" s="51">
        <f>_xlfn.XLOOKUP(A1281,Magazzino!$D$1:$D$1500,Magazzino!$F$1:$F$1500,"",0,1)</f>
        <v/>
      </c>
    </row>
    <row r="1267">
      <c r="A1267" s="47" t="inlineStr">
        <is>
          <t xml:space="preserve">FARINA 0/MAN. CAPUTO DA KG.25  </t>
        </is>
      </c>
      <c r="B1267" s="16" t="inlineStr">
        <is>
          <t>-</t>
        </is>
      </c>
      <c r="C1267" s="11" t="inlineStr">
        <is>
          <t>-</t>
        </is>
      </c>
      <c r="D1267" s="11" t="inlineStr">
        <is>
          <t>-</t>
        </is>
      </c>
      <c r="E1267" s="11" t="inlineStr">
        <is>
          <t>-</t>
        </is>
      </c>
      <c r="F1267" s="11" t="inlineStr">
        <is>
          <t>-</t>
        </is>
      </c>
      <c r="G1267" s="11" t="inlineStr">
        <is>
          <t>-</t>
        </is>
      </c>
      <c r="H1267" s="11" t="inlineStr">
        <is>
          <t>-</t>
        </is>
      </c>
      <c r="I1267" s="11" t="inlineStr">
        <is>
          <t>-</t>
        </is>
      </c>
      <c r="J1267" s="11" t="inlineStr">
        <is>
          <t>-</t>
        </is>
      </c>
      <c r="K1267" s="11" t="inlineStr">
        <is>
          <t>-</t>
        </is>
      </c>
      <c r="L1267" s="11" t="inlineStr">
        <is>
          <t>-</t>
        </is>
      </c>
      <c r="M1267" s="11" t="inlineStr">
        <is>
          <t>-</t>
        </is>
      </c>
      <c r="N1267" s="11" t="inlineStr">
        <is>
          <t>-</t>
        </is>
      </c>
      <c r="O1267" s="11" t="inlineStr">
        <is>
          <t>-</t>
        </is>
      </c>
      <c r="P1267" s="11" t="inlineStr">
        <is>
          <t>-</t>
        </is>
      </c>
      <c r="Q1267" s="12" t="inlineStr">
        <is>
          <t>-</t>
        </is>
      </c>
    </row>
    <row r="1268">
      <c r="A1268" s="48" t="inlineStr">
        <is>
          <t xml:space="preserve">SALE SACCHI SALTECHNO KG.25  </t>
        </is>
      </c>
      <c r="B1268" s="13" t="inlineStr">
        <is>
          <t>-</t>
        </is>
      </c>
      <c r="C1268" s="14" t="inlineStr">
        <is>
          <t>-</t>
        </is>
      </c>
      <c r="D1268" s="14" t="inlineStr">
        <is>
          <t>-</t>
        </is>
      </c>
      <c r="E1268" s="14" t="inlineStr">
        <is>
          <t>-</t>
        </is>
      </c>
      <c r="F1268" s="14" t="inlineStr">
        <is>
          <t>-</t>
        </is>
      </c>
      <c r="G1268" s="14" t="inlineStr">
        <is>
          <t>-</t>
        </is>
      </c>
      <c r="H1268" s="14" t="inlineStr">
        <is>
          <t>-</t>
        </is>
      </c>
      <c r="I1268" s="14" t="inlineStr">
        <is>
          <t>-</t>
        </is>
      </c>
      <c r="J1268" s="14" t="inlineStr">
        <is>
          <t>-</t>
        </is>
      </c>
      <c r="K1268" s="14" t="inlineStr">
        <is>
          <t>-</t>
        </is>
      </c>
      <c r="L1268" s="14" t="inlineStr">
        <is>
          <t>-</t>
        </is>
      </c>
      <c r="M1268" s="14" t="inlineStr">
        <is>
          <t>-</t>
        </is>
      </c>
      <c r="N1268" s="14" t="inlineStr">
        <is>
          <t>-</t>
        </is>
      </c>
      <c r="O1268" s="14" t="inlineStr">
        <is>
          <t>-</t>
        </is>
      </c>
      <c r="P1268" s="14" t="inlineStr">
        <is>
          <t>-</t>
        </is>
      </c>
      <c r="Q1268" s="15" t="inlineStr">
        <is>
          <t>-</t>
        </is>
      </c>
    </row>
    <row r="1269">
      <c r="A1269" s="47" t="inlineStr">
        <is>
          <t>zucchero semolato</t>
        </is>
      </c>
      <c r="B1269" s="16" t="inlineStr">
        <is>
          <t>-</t>
        </is>
      </c>
      <c r="C1269" s="11" t="inlineStr">
        <is>
          <t>-</t>
        </is>
      </c>
      <c r="D1269" s="11" t="inlineStr">
        <is>
          <t>-</t>
        </is>
      </c>
      <c r="E1269" s="11" t="inlineStr">
        <is>
          <t>-</t>
        </is>
      </c>
      <c r="F1269" s="11" t="inlineStr">
        <is>
          <t>-</t>
        </is>
      </c>
      <c r="G1269" s="11" t="inlineStr">
        <is>
          <t>-</t>
        </is>
      </c>
      <c r="H1269" s="11" t="inlineStr">
        <is>
          <t>-</t>
        </is>
      </c>
      <c r="I1269" s="11" t="inlineStr">
        <is>
          <t>-</t>
        </is>
      </c>
      <c r="J1269" s="11" t="inlineStr">
        <is>
          <t>-</t>
        </is>
      </c>
      <c r="K1269" s="11" t="inlineStr">
        <is>
          <t>-</t>
        </is>
      </c>
      <c r="L1269" s="11" t="inlineStr">
        <is>
          <t>-</t>
        </is>
      </c>
      <c r="M1269" s="11" t="inlineStr">
        <is>
          <t>-</t>
        </is>
      </c>
      <c r="N1269" s="11" t="inlineStr">
        <is>
          <t>-</t>
        </is>
      </c>
      <c r="O1269" s="11" t="inlineStr">
        <is>
          <t>-</t>
        </is>
      </c>
      <c r="P1269" s="11" t="inlineStr">
        <is>
          <t>-</t>
        </is>
      </c>
      <c r="Q1269" s="12" t="inlineStr">
        <is>
          <t>-</t>
        </is>
      </c>
    </row>
    <row r="1270">
      <c r="A1270" s="47" t="inlineStr">
        <is>
          <t>uova</t>
        </is>
      </c>
      <c r="B1270" s="13" t="inlineStr">
        <is>
          <t>-</t>
        </is>
      </c>
      <c r="C1270" s="14" t="inlineStr">
        <is>
          <t>-</t>
        </is>
      </c>
      <c r="D1270" s="14" t="inlineStr">
        <is>
          <t>-</t>
        </is>
      </c>
      <c r="E1270" s="14" t="inlineStr">
        <is>
          <t>-</t>
        </is>
      </c>
      <c r="F1270" s="14" t="inlineStr">
        <is>
          <t>-</t>
        </is>
      </c>
      <c r="G1270" s="14" t="inlineStr">
        <is>
          <t>-</t>
        </is>
      </c>
      <c r="H1270" s="14" t="inlineStr">
        <is>
          <t>-</t>
        </is>
      </c>
      <c r="I1270" s="14" t="inlineStr">
        <is>
          <t>-</t>
        </is>
      </c>
      <c r="J1270" s="14" t="inlineStr">
        <is>
          <t>-</t>
        </is>
      </c>
      <c r="K1270" s="14" t="inlineStr">
        <is>
          <t>-</t>
        </is>
      </c>
      <c r="L1270" s="14" t="inlineStr">
        <is>
          <t>-</t>
        </is>
      </c>
      <c r="M1270" s="14" t="inlineStr">
        <is>
          <t>-</t>
        </is>
      </c>
      <c r="N1270" s="14" t="inlineStr">
        <is>
          <t>-</t>
        </is>
      </c>
      <c r="O1270" s="14" t="inlineStr">
        <is>
          <t>-</t>
        </is>
      </c>
      <c r="P1270" s="14" t="inlineStr">
        <is>
          <t>-</t>
        </is>
      </c>
      <c r="Q1270" s="15" t="inlineStr">
        <is>
          <t>-</t>
        </is>
      </c>
    </row>
    <row r="1271">
      <c r="A1271" s="47" t="inlineStr">
        <is>
          <t>MASCARPONE G.250      YMA</t>
        </is>
      </c>
      <c r="B1271" s="16" t="inlineStr">
        <is>
          <t>-</t>
        </is>
      </c>
      <c r="C1271" s="11" t="inlineStr">
        <is>
          <t>-</t>
        </is>
      </c>
      <c r="D1271" s="11" t="inlineStr">
        <is>
          <t>-</t>
        </is>
      </c>
      <c r="E1271" s="11" t="inlineStr">
        <is>
          <t>-</t>
        </is>
      </c>
      <c r="F1271" s="11" t="inlineStr">
        <is>
          <t>-</t>
        </is>
      </c>
      <c r="G1271" s="11" t="inlineStr">
        <is>
          <t>-</t>
        </is>
      </c>
      <c r="H1271" s="11" t="inlineStr">
        <is>
          <t>-</t>
        </is>
      </c>
      <c r="I1271" s="11" t="inlineStr">
        <is>
          <t>-</t>
        </is>
      </c>
      <c r="J1271" s="11" t="inlineStr">
        <is>
          <t>-</t>
        </is>
      </c>
      <c r="K1271" s="11" t="inlineStr">
        <is>
          <t>-</t>
        </is>
      </c>
      <c r="L1271" s="11" t="inlineStr">
        <is>
          <t>-</t>
        </is>
      </c>
      <c r="M1271" s="11" t="inlineStr">
        <is>
          <t>-</t>
        </is>
      </c>
      <c r="N1271" s="11" t="inlineStr">
        <is>
          <t>-</t>
        </is>
      </c>
      <c r="O1271" s="11" t="inlineStr">
        <is>
          <t>-</t>
        </is>
      </c>
      <c r="P1271" s="11" t="inlineStr">
        <is>
          <t>-</t>
        </is>
      </c>
      <c r="Q1271" s="12" t="inlineStr">
        <is>
          <t>-</t>
        </is>
      </c>
    </row>
    <row r="1272">
      <c r="A1272" s="47" t="n"/>
      <c r="B1272" s="13" t="inlineStr">
        <is>
          <t>-</t>
        </is>
      </c>
      <c r="C1272" s="14" t="inlineStr">
        <is>
          <t>-</t>
        </is>
      </c>
      <c r="D1272" s="14" t="inlineStr">
        <is>
          <t>-</t>
        </is>
      </c>
      <c r="E1272" s="14" t="inlineStr">
        <is>
          <t>-</t>
        </is>
      </c>
      <c r="F1272" s="14" t="inlineStr">
        <is>
          <t>-</t>
        </is>
      </c>
      <c r="G1272" s="14" t="inlineStr">
        <is>
          <t>-</t>
        </is>
      </c>
      <c r="H1272" s="14" t="inlineStr">
        <is>
          <t>-</t>
        </is>
      </c>
      <c r="I1272" s="14" t="inlineStr">
        <is>
          <t>-</t>
        </is>
      </c>
      <c r="J1272" s="14" t="inlineStr">
        <is>
          <t>-</t>
        </is>
      </c>
      <c r="K1272" s="14" t="inlineStr">
        <is>
          <t>-</t>
        </is>
      </c>
      <c r="L1272" s="14" t="inlineStr">
        <is>
          <t>-</t>
        </is>
      </c>
      <c r="M1272" s="14" t="inlineStr">
        <is>
          <t>-</t>
        </is>
      </c>
      <c r="N1272" s="14" t="inlineStr">
        <is>
          <t>-</t>
        </is>
      </c>
      <c r="O1272" s="14" t="inlineStr">
        <is>
          <t>-</t>
        </is>
      </c>
      <c r="P1272" s="14" t="inlineStr">
        <is>
          <t>-</t>
        </is>
      </c>
      <c r="Q1272" s="15" t="inlineStr">
        <is>
          <t>-</t>
        </is>
      </c>
    </row>
    <row r="1273">
      <c r="A1273" s="47" t="inlineStr">
        <is>
          <t>panna</t>
        </is>
      </c>
      <c r="B1273" s="16" t="inlineStr">
        <is>
          <t>-</t>
        </is>
      </c>
      <c r="C1273" s="11" t="inlineStr">
        <is>
          <t>-</t>
        </is>
      </c>
      <c r="D1273" s="11" t="inlineStr">
        <is>
          <t>-</t>
        </is>
      </c>
      <c r="E1273" s="11" t="inlineStr">
        <is>
          <t>-</t>
        </is>
      </c>
      <c r="F1273" s="11" t="inlineStr">
        <is>
          <t>-</t>
        </is>
      </c>
      <c r="G1273" s="11" t="inlineStr">
        <is>
          <t>-</t>
        </is>
      </c>
      <c r="H1273" s="11" t="inlineStr">
        <is>
          <t>-</t>
        </is>
      </c>
      <c r="I1273" s="11" t="inlineStr">
        <is>
          <t>-</t>
        </is>
      </c>
      <c r="J1273" s="11" t="inlineStr">
        <is>
          <t>-</t>
        </is>
      </c>
      <c r="K1273" s="11" t="inlineStr">
        <is>
          <t>-</t>
        </is>
      </c>
      <c r="L1273" s="11" t="inlineStr">
        <is>
          <t>-</t>
        </is>
      </c>
      <c r="M1273" s="11" t="inlineStr">
        <is>
          <t>-</t>
        </is>
      </c>
      <c r="N1273" s="11" t="inlineStr">
        <is>
          <t>-</t>
        </is>
      </c>
      <c r="O1273" s="11" t="inlineStr">
        <is>
          <t>-</t>
        </is>
      </c>
      <c r="P1273" s="11" t="inlineStr">
        <is>
          <t>-</t>
        </is>
      </c>
      <c r="Q1273" s="12" t="inlineStr">
        <is>
          <t>-</t>
        </is>
      </c>
    </row>
    <row r="1274">
      <c r="A1274" s="47" t="n"/>
      <c r="B1274" s="13" t="inlineStr">
        <is>
          <t>-</t>
        </is>
      </c>
      <c r="C1274" s="14" t="inlineStr">
        <is>
          <t>-</t>
        </is>
      </c>
      <c r="D1274" s="14" t="inlineStr">
        <is>
          <t>-</t>
        </is>
      </c>
      <c r="E1274" s="14" t="inlineStr">
        <is>
          <t>-</t>
        </is>
      </c>
      <c r="F1274" s="14" t="inlineStr">
        <is>
          <t>-</t>
        </is>
      </c>
      <c r="G1274" s="14" t="inlineStr">
        <is>
          <t>-</t>
        </is>
      </c>
      <c r="H1274" s="14" t="inlineStr">
        <is>
          <t>-</t>
        </is>
      </c>
      <c r="I1274" s="14" t="inlineStr">
        <is>
          <t>-</t>
        </is>
      </c>
      <c r="J1274" s="14" t="inlineStr">
        <is>
          <t>-</t>
        </is>
      </c>
      <c r="K1274" s="14" t="inlineStr">
        <is>
          <t>-</t>
        </is>
      </c>
      <c r="L1274" s="14" t="inlineStr">
        <is>
          <t>-</t>
        </is>
      </c>
      <c r="M1274" s="14" t="inlineStr">
        <is>
          <t>-</t>
        </is>
      </c>
      <c r="N1274" s="14" t="inlineStr">
        <is>
          <t>-</t>
        </is>
      </c>
      <c r="O1274" s="14" t="inlineStr">
        <is>
          <t>-</t>
        </is>
      </c>
      <c r="P1274" s="14" t="inlineStr">
        <is>
          <t>-</t>
        </is>
      </c>
      <c r="Q1274" s="15" t="inlineStr">
        <is>
          <t>-</t>
        </is>
      </c>
    </row>
    <row r="1275">
      <c r="A1275" s="47" t="inlineStr">
        <is>
          <t>cioccolato</t>
        </is>
      </c>
      <c r="B1275" s="16" t="inlineStr">
        <is>
          <t>-</t>
        </is>
      </c>
      <c r="C1275" s="11" t="inlineStr">
        <is>
          <t>-</t>
        </is>
      </c>
      <c r="D1275" s="11" t="inlineStr">
        <is>
          <t>-</t>
        </is>
      </c>
      <c r="E1275" s="11" t="inlineStr">
        <is>
          <t>-</t>
        </is>
      </c>
      <c r="F1275" s="11" t="inlineStr">
        <is>
          <t>-</t>
        </is>
      </c>
      <c r="G1275" s="11" t="inlineStr">
        <is>
          <t>-</t>
        </is>
      </c>
      <c r="H1275" s="11" t="inlineStr">
        <is>
          <t>-</t>
        </is>
      </c>
      <c r="I1275" s="11" t="inlineStr">
        <is>
          <t>-</t>
        </is>
      </c>
      <c r="J1275" s="11" t="inlineStr">
        <is>
          <t>-</t>
        </is>
      </c>
      <c r="K1275" s="11" t="inlineStr">
        <is>
          <t>-</t>
        </is>
      </c>
      <c r="L1275" s="11" t="inlineStr">
        <is>
          <t>-</t>
        </is>
      </c>
      <c r="M1275" s="11" t="inlineStr">
        <is>
          <t>-</t>
        </is>
      </c>
      <c r="N1275" s="11" t="inlineStr">
        <is>
          <t>-</t>
        </is>
      </c>
      <c r="O1275" s="11" t="inlineStr">
        <is>
          <t>-</t>
        </is>
      </c>
      <c r="P1275" s="11" t="inlineStr">
        <is>
          <t>-</t>
        </is>
      </c>
      <c r="Q1275" s="12" t="inlineStr">
        <is>
          <t>-</t>
        </is>
      </c>
    </row>
    <row r="1276">
      <c r="A1276" s="47" t="n"/>
      <c r="B1276" s="13" t="inlineStr">
        <is>
          <t>-</t>
        </is>
      </c>
      <c r="C1276" s="14" t="inlineStr">
        <is>
          <t>-</t>
        </is>
      </c>
      <c r="D1276" s="14" t="inlineStr">
        <is>
          <t>-</t>
        </is>
      </c>
      <c r="E1276" s="14" t="inlineStr">
        <is>
          <t>-</t>
        </is>
      </c>
      <c r="F1276" s="14" t="inlineStr">
        <is>
          <t>-</t>
        </is>
      </c>
      <c r="G1276" s="14" t="inlineStr">
        <is>
          <t>-</t>
        </is>
      </c>
      <c r="H1276" s="14" t="inlineStr">
        <is>
          <t>-</t>
        </is>
      </c>
      <c r="I1276" s="14" t="inlineStr">
        <is>
          <t>-</t>
        </is>
      </c>
      <c r="J1276" s="14" t="inlineStr">
        <is>
          <t>-</t>
        </is>
      </c>
      <c r="K1276" s="14" t="inlineStr">
        <is>
          <t>-</t>
        </is>
      </c>
      <c r="L1276" s="14" t="inlineStr">
        <is>
          <t>-</t>
        </is>
      </c>
      <c r="M1276" s="14" t="inlineStr">
        <is>
          <t>-</t>
        </is>
      </c>
      <c r="N1276" s="14" t="inlineStr">
        <is>
          <t>-</t>
        </is>
      </c>
      <c r="O1276" s="14" t="inlineStr">
        <is>
          <t>-</t>
        </is>
      </c>
      <c r="P1276" s="14" t="inlineStr">
        <is>
          <t>-</t>
        </is>
      </c>
      <c r="Q1276" s="15" t="inlineStr">
        <is>
          <t>-</t>
        </is>
      </c>
    </row>
    <row r="1277">
      <c r="A1277" s="47" t="n"/>
      <c r="B1277" s="16" t="inlineStr">
        <is>
          <t>-</t>
        </is>
      </c>
      <c r="C1277" s="11" t="inlineStr">
        <is>
          <t>-</t>
        </is>
      </c>
      <c r="D1277" s="11" t="inlineStr">
        <is>
          <t>-</t>
        </is>
      </c>
      <c r="E1277" s="11" t="inlineStr">
        <is>
          <t>-</t>
        </is>
      </c>
      <c r="F1277" s="11" t="inlineStr">
        <is>
          <t>-</t>
        </is>
      </c>
      <c r="G1277" s="11" t="inlineStr">
        <is>
          <t>-</t>
        </is>
      </c>
      <c r="H1277" s="11" t="inlineStr">
        <is>
          <t>-</t>
        </is>
      </c>
      <c r="I1277" s="11" t="inlineStr">
        <is>
          <t>-</t>
        </is>
      </c>
      <c r="J1277" s="11" t="inlineStr">
        <is>
          <t>-</t>
        </is>
      </c>
      <c r="K1277" s="11" t="inlineStr">
        <is>
          <t>-</t>
        </is>
      </c>
      <c r="L1277" s="11" t="inlineStr">
        <is>
          <t>-</t>
        </is>
      </c>
      <c r="M1277" s="11" t="inlineStr">
        <is>
          <t>-</t>
        </is>
      </c>
      <c r="N1277" s="11" t="inlineStr">
        <is>
          <t>-</t>
        </is>
      </c>
      <c r="O1277" s="11" t="inlineStr">
        <is>
          <t>-</t>
        </is>
      </c>
      <c r="P1277" s="11" t="inlineStr">
        <is>
          <t>-</t>
        </is>
      </c>
      <c r="Q1277" s="12" t="inlineStr">
        <is>
          <t>-</t>
        </is>
      </c>
    </row>
    <row r="1278">
      <c r="A1278" s="47" t="n"/>
      <c r="B1278" s="13" t="inlineStr">
        <is>
          <t>-</t>
        </is>
      </c>
      <c r="C1278" s="14" t="inlineStr">
        <is>
          <t>-</t>
        </is>
      </c>
      <c r="D1278" s="14" t="inlineStr">
        <is>
          <t>-</t>
        </is>
      </c>
      <c r="E1278" s="14" t="inlineStr">
        <is>
          <t>-</t>
        </is>
      </c>
      <c r="F1278" s="14" t="inlineStr">
        <is>
          <t>-</t>
        </is>
      </c>
      <c r="G1278" s="14" t="inlineStr">
        <is>
          <t>-</t>
        </is>
      </c>
      <c r="H1278" s="14" t="inlineStr">
        <is>
          <t>-</t>
        </is>
      </c>
      <c r="I1278" s="14" t="inlineStr">
        <is>
          <t>-</t>
        </is>
      </c>
      <c r="J1278" s="14" t="inlineStr">
        <is>
          <t>-</t>
        </is>
      </c>
      <c r="K1278" s="14" t="inlineStr">
        <is>
          <t>-</t>
        </is>
      </c>
      <c r="L1278" s="14" t="inlineStr">
        <is>
          <t>-</t>
        </is>
      </c>
      <c r="M1278" s="14" t="inlineStr">
        <is>
          <t>-</t>
        </is>
      </c>
      <c r="N1278" s="14" t="inlineStr">
        <is>
          <t>-</t>
        </is>
      </c>
      <c r="O1278" s="14" t="inlineStr">
        <is>
          <t>-</t>
        </is>
      </c>
      <c r="P1278" s="14" t="inlineStr">
        <is>
          <t>-</t>
        </is>
      </c>
      <c r="Q1278" s="15" t="inlineStr">
        <is>
          <t>-</t>
        </is>
      </c>
    </row>
    <row r="1279">
      <c r="A1279" s="47" t="n"/>
      <c r="B1279" s="16" t="inlineStr">
        <is>
          <t>-</t>
        </is>
      </c>
      <c r="C1279" s="11" t="inlineStr">
        <is>
          <t>-</t>
        </is>
      </c>
      <c r="D1279" s="11" t="inlineStr">
        <is>
          <t>-</t>
        </is>
      </c>
      <c r="E1279" s="11" t="inlineStr">
        <is>
          <t>-</t>
        </is>
      </c>
      <c r="F1279" s="11" t="inlineStr">
        <is>
          <t>-</t>
        </is>
      </c>
      <c r="G1279" s="11" t="inlineStr">
        <is>
          <t>-</t>
        </is>
      </c>
      <c r="H1279" s="11" t="inlineStr">
        <is>
          <t>-</t>
        </is>
      </c>
      <c r="I1279" s="11" t="inlineStr">
        <is>
          <t>-</t>
        </is>
      </c>
      <c r="J1279" s="11" t="inlineStr">
        <is>
          <t>-</t>
        </is>
      </c>
      <c r="K1279" s="11" t="inlineStr">
        <is>
          <t>-</t>
        </is>
      </c>
      <c r="L1279" s="11" t="inlineStr">
        <is>
          <t>-</t>
        </is>
      </c>
      <c r="M1279" s="11" t="inlineStr">
        <is>
          <t>-</t>
        </is>
      </c>
      <c r="N1279" s="11" t="inlineStr">
        <is>
          <t>-</t>
        </is>
      </c>
      <c r="O1279" s="11" t="inlineStr">
        <is>
          <t>-</t>
        </is>
      </c>
      <c r="P1279" s="11" t="inlineStr">
        <is>
          <t>-</t>
        </is>
      </c>
      <c r="Q1279" s="12" t="inlineStr">
        <is>
          <t>-</t>
        </is>
      </c>
    </row>
    <row r="1280">
      <c r="A1280" s="47" t="n"/>
      <c r="B1280" s="13" t="inlineStr">
        <is>
          <t>-</t>
        </is>
      </c>
      <c r="C1280" s="14" t="inlineStr">
        <is>
          <t>-</t>
        </is>
      </c>
      <c r="D1280" s="14" t="inlineStr">
        <is>
          <t>-</t>
        </is>
      </c>
      <c r="E1280" s="14" t="inlineStr">
        <is>
          <t>-</t>
        </is>
      </c>
      <c r="F1280" s="14" t="inlineStr">
        <is>
          <t>-</t>
        </is>
      </c>
      <c r="G1280" s="14" t="inlineStr">
        <is>
          <t>-</t>
        </is>
      </c>
      <c r="H1280" s="14" t="inlineStr">
        <is>
          <t>-</t>
        </is>
      </c>
      <c r="I1280" s="14" t="inlineStr">
        <is>
          <t>-</t>
        </is>
      </c>
      <c r="J1280" s="14" t="inlineStr">
        <is>
          <t>-</t>
        </is>
      </c>
      <c r="K1280" s="14" t="inlineStr">
        <is>
          <t>-</t>
        </is>
      </c>
      <c r="L1280" s="14" t="inlineStr">
        <is>
          <t>-</t>
        </is>
      </c>
      <c r="M1280" s="14" t="inlineStr">
        <is>
          <t>-</t>
        </is>
      </c>
      <c r="N1280" s="14" t="inlineStr">
        <is>
          <t>-</t>
        </is>
      </c>
      <c r="O1280" s="14" t="inlineStr">
        <is>
          <t>-</t>
        </is>
      </c>
      <c r="P1280" s="14" t="inlineStr">
        <is>
          <t>-</t>
        </is>
      </c>
      <c r="Q1280" s="15" t="inlineStr">
        <is>
          <t>-</t>
        </is>
      </c>
    </row>
    <row r="1281">
      <c r="A1281" s="47" t="n"/>
      <c r="B1281" s="16" t="inlineStr">
        <is>
          <t>-</t>
        </is>
      </c>
      <c r="C1281" s="11" t="inlineStr">
        <is>
          <t>-</t>
        </is>
      </c>
      <c r="D1281" s="11" t="inlineStr">
        <is>
          <t>-</t>
        </is>
      </c>
      <c r="E1281" s="11" t="inlineStr">
        <is>
          <t>-</t>
        </is>
      </c>
      <c r="F1281" s="11" t="inlineStr">
        <is>
          <t>-</t>
        </is>
      </c>
      <c r="G1281" s="11" t="inlineStr">
        <is>
          <t>-</t>
        </is>
      </c>
      <c r="H1281" s="11" t="inlineStr">
        <is>
          <t>-</t>
        </is>
      </c>
      <c r="I1281" s="11" t="inlineStr">
        <is>
          <t>-</t>
        </is>
      </c>
      <c r="J1281" s="11" t="inlineStr">
        <is>
          <t>-</t>
        </is>
      </c>
      <c r="K1281" s="11" t="inlineStr">
        <is>
          <t>-</t>
        </is>
      </c>
      <c r="L1281" s="11" t="inlineStr">
        <is>
          <t>-</t>
        </is>
      </c>
      <c r="M1281" s="11" t="inlineStr">
        <is>
          <t>-</t>
        </is>
      </c>
      <c r="N1281" s="11" t="inlineStr">
        <is>
          <t>-</t>
        </is>
      </c>
      <c r="O1281" s="11" t="inlineStr">
        <is>
          <t>-</t>
        </is>
      </c>
      <c r="P1281" s="11" t="inlineStr">
        <is>
          <t>-</t>
        </is>
      </c>
      <c r="Q1281" s="12" t="inlineStr">
        <is>
          <t>-</t>
        </is>
      </c>
    </row>
    <row r="1282" ht="36" customHeight="1" s="155">
      <c r="B1282" s="46" t="inlineStr">
        <is>
          <t>treccia</t>
        </is>
      </c>
      <c r="C1282" s="49">
        <f>_xlfn.XLOOKUP(A1283,Magazzino!$D$1:$D$1500,Magazzino!$F$1:$F$1500,"",0,1)</f>
        <v/>
      </c>
      <c r="D1282" s="50">
        <f>_xlfn.XLOOKUP(A1284,Magazzino!$D$1:$D$1500,Magazzino!$F$1:$F$1500,"",0,1)</f>
        <v/>
      </c>
      <c r="E1282" s="50">
        <f>_xlfn.XLOOKUP(A1285,Magazzino!$D$1:$D$1500,Magazzino!$F$1:$F$1500,"",0,1)</f>
        <v/>
      </c>
      <c r="F1282" s="50">
        <f>_xlfn.XLOOKUP(A1286,Magazzino!$D$1:$D$1500,Magazzino!$F$1:$F$1500,"",0,1)</f>
        <v/>
      </c>
      <c r="G1282" s="50">
        <f>_xlfn.XLOOKUP(A1287,Magazzino!$D$1:$D$1500,Magazzino!$F$1:$F$1500,"",0,1)</f>
        <v/>
      </c>
      <c r="H1282" s="50">
        <f>_xlfn.XLOOKUP(A1288,Magazzino!$D$1:$D$1500,Magazzino!$F$1:$F$1500,"",0,1)</f>
        <v/>
      </c>
      <c r="I1282" s="50">
        <f>_xlfn.XLOOKUP(A1289,Magazzino!$D$1:$D$1500,Magazzino!$F$1:$F$1500,"",0,1)</f>
        <v/>
      </c>
      <c r="J1282" s="50">
        <f>_xlfn.XLOOKUP(A1290,Magazzino!$D$1:$D$1500,Magazzino!$F$1:$F$1500,"",0,1)</f>
        <v/>
      </c>
      <c r="K1282" s="50">
        <f>_xlfn.XLOOKUP(A1291,Magazzino!$D$1:$D$1500,Magazzino!$F$1:$F$1500,"",0,1)</f>
        <v/>
      </c>
      <c r="L1282" s="50">
        <f>_xlfn.XLOOKUP(A1292,Magazzino!$D$1:$D$1500,Magazzino!$F$1:$F$1500,"",0,1)</f>
        <v/>
      </c>
      <c r="M1282" s="50">
        <f>_xlfn.XLOOKUP(A1293,Magazzino!$D$1:$D$1500,Magazzino!$F$1:$F$1500,"",0,1)</f>
        <v/>
      </c>
      <c r="N1282" s="50">
        <f>_xlfn.XLOOKUP(A1294,Magazzino!$D$1:$D$1500,Magazzino!$F$1:$F$1500,"",0,1)</f>
        <v/>
      </c>
      <c r="O1282" s="50">
        <f>_xlfn.XLOOKUP(A1295,Magazzino!$D$1:$D$1500,Magazzino!$F$1:$F$1500,"",0,1)</f>
        <v/>
      </c>
      <c r="P1282" s="50">
        <f>_xlfn.XLOOKUP(A1296,Magazzino!$D$1:$D$1500,Magazzino!$F$1:$F$1500,"",0,1)</f>
        <v/>
      </c>
      <c r="Q1282" s="51">
        <f>_xlfn.XLOOKUP(A1297,Magazzino!$D$1:$D$1500,Magazzino!$F$1:$F$1500,"",0,1)</f>
        <v/>
      </c>
    </row>
    <row r="1283">
      <c r="A1283" s="47" t="inlineStr">
        <is>
          <t xml:space="preserve">FARINA 0/MAN. CAPUTO DA KG.25  </t>
        </is>
      </c>
      <c r="B1283" s="16" t="inlineStr">
        <is>
          <t>-</t>
        </is>
      </c>
      <c r="C1283" s="11" t="inlineStr">
        <is>
          <t>-</t>
        </is>
      </c>
      <c r="D1283" s="11" t="inlineStr">
        <is>
          <t>-</t>
        </is>
      </c>
      <c r="E1283" s="11" t="inlineStr">
        <is>
          <t>-</t>
        </is>
      </c>
      <c r="F1283" s="11" t="inlineStr">
        <is>
          <t>-</t>
        </is>
      </c>
      <c r="G1283" s="11" t="inlineStr">
        <is>
          <t>-</t>
        </is>
      </c>
      <c r="H1283" s="11" t="inlineStr">
        <is>
          <t>-</t>
        </is>
      </c>
      <c r="I1283" s="11" t="inlineStr">
        <is>
          <t>-</t>
        </is>
      </c>
      <c r="J1283" s="11" t="inlineStr">
        <is>
          <t>-</t>
        </is>
      </c>
      <c r="K1283" s="11" t="inlineStr">
        <is>
          <t>-</t>
        </is>
      </c>
      <c r="L1283" s="11" t="inlineStr">
        <is>
          <t>-</t>
        </is>
      </c>
      <c r="M1283" s="11" t="inlineStr">
        <is>
          <t>-</t>
        </is>
      </c>
      <c r="N1283" s="11" t="inlineStr">
        <is>
          <t>-</t>
        </is>
      </c>
      <c r="O1283" s="11" t="inlineStr">
        <is>
          <t>-</t>
        </is>
      </c>
      <c r="P1283" s="11" t="inlineStr">
        <is>
          <t>-</t>
        </is>
      </c>
      <c r="Q1283" s="12" t="inlineStr">
        <is>
          <t>-</t>
        </is>
      </c>
    </row>
    <row r="1284">
      <c r="A1284" s="47" t="inlineStr">
        <is>
          <t xml:space="preserve">SALE SACCHI SALTECHNO KG.25  </t>
        </is>
      </c>
      <c r="B1284" s="13" t="inlineStr">
        <is>
          <t>-</t>
        </is>
      </c>
      <c r="C1284" s="14" t="inlineStr">
        <is>
          <t>-</t>
        </is>
      </c>
      <c r="D1284" s="14" t="inlineStr">
        <is>
          <t>-</t>
        </is>
      </c>
      <c r="E1284" s="14" t="inlineStr">
        <is>
          <t>-</t>
        </is>
      </c>
      <c r="F1284" s="14" t="inlineStr">
        <is>
          <t>-</t>
        </is>
      </c>
      <c r="G1284" s="14" t="inlineStr">
        <is>
          <t>-</t>
        </is>
      </c>
      <c r="H1284" s="14" t="inlineStr">
        <is>
          <t>-</t>
        </is>
      </c>
      <c r="I1284" s="14" t="inlineStr">
        <is>
          <t>-</t>
        </is>
      </c>
      <c r="J1284" s="14" t="inlineStr">
        <is>
          <t>-</t>
        </is>
      </c>
      <c r="K1284" s="14" t="inlineStr">
        <is>
          <t>-</t>
        </is>
      </c>
      <c r="L1284" s="14" t="inlineStr">
        <is>
          <t>-</t>
        </is>
      </c>
      <c r="M1284" s="14" t="inlineStr">
        <is>
          <t>-</t>
        </is>
      </c>
      <c r="N1284" s="14" t="inlineStr">
        <is>
          <t>-</t>
        </is>
      </c>
      <c r="O1284" s="14" t="inlineStr">
        <is>
          <t>-</t>
        </is>
      </c>
      <c r="P1284" s="14" t="inlineStr">
        <is>
          <t>-</t>
        </is>
      </c>
      <c r="Q1284" s="15" t="inlineStr">
        <is>
          <t>-</t>
        </is>
      </c>
    </row>
    <row r="1285">
      <c r="A1285" s="47" t="inlineStr">
        <is>
          <t>zucchero semolato</t>
        </is>
      </c>
      <c r="B1285" s="16" t="inlineStr">
        <is>
          <t>-</t>
        </is>
      </c>
      <c r="C1285" s="11" t="inlineStr">
        <is>
          <t>-</t>
        </is>
      </c>
      <c r="D1285" s="11" t="inlineStr">
        <is>
          <t>-</t>
        </is>
      </c>
      <c r="E1285" s="11" t="inlineStr">
        <is>
          <t>-</t>
        </is>
      </c>
      <c r="F1285" s="11" t="inlineStr">
        <is>
          <t>-</t>
        </is>
      </c>
      <c r="G1285" s="11" t="inlineStr">
        <is>
          <t>-</t>
        </is>
      </c>
      <c r="H1285" s="11" t="inlineStr">
        <is>
          <t>-</t>
        </is>
      </c>
      <c r="I1285" s="11" t="inlineStr">
        <is>
          <t>-</t>
        </is>
      </c>
      <c r="J1285" s="11" t="inlineStr">
        <is>
          <t>-</t>
        </is>
      </c>
      <c r="K1285" s="11" t="inlineStr">
        <is>
          <t>-</t>
        </is>
      </c>
      <c r="L1285" s="11" t="inlineStr">
        <is>
          <t>-</t>
        </is>
      </c>
      <c r="M1285" s="11" t="inlineStr">
        <is>
          <t>-</t>
        </is>
      </c>
      <c r="N1285" s="11" t="inlineStr">
        <is>
          <t>-</t>
        </is>
      </c>
      <c r="O1285" s="11" t="inlineStr">
        <is>
          <t>-</t>
        </is>
      </c>
      <c r="P1285" s="11" t="inlineStr">
        <is>
          <t>-</t>
        </is>
      </c>
      <c r="Q1285" s="12" t="inlineStr">
        <is>
          <t>-</t>
        </is>
      </c>
    </row>
    <row r="1286">
      <c r="A1286" s="47" t="inlineStr">
        <is>
          <t>LIEVITO x 2.5kg</t>
        </is>
      </c>
      <c r="B1286" s="13" t="inlineStr">
        <is>
          <t>-</t>
        </is>
      </c>
      <c r="C1286" s="14" t="inlineStr">
        <is>
          <t>-</t>
        </is>
      </c>
      <c r="D1286" s="14" t="inlineStr">
        <is>
          <t>-</t>
        </is>
      </c>
      <c r="E1286" s="14" t="inlineStr">
        <is>
          <t>-</t>
        </is>
      </c>
      <c r="F1286" s="14" t="inlineStr">
        <is>
          <t>-</t>
        </is>
      </c>
      <c r="G1286" s="14" t="inlineStr">
        <is>
          <t>-</t>
        </is>
      </c>
      <c r="H1286" s="14" t="inlineStr">
        <is>
          <t>-</t>
        </is>
      </c>
      <c r="I1286" s="14" t="inlineStr">
        <is>
          <t>-</t>
        </is>
      </c>
      <c r="J1286" s="14" t="inlineStr">
        <is>
          <t>-</t>
        </is>
      </c>
      <c r="K1286" s="14" t="inlineStr">
        <is>
          <t>-</t>
        </is>
      </c>
      <c r="L1286" s="14" t="inlineStr">
        <is>
          <t>-</t>
        </is>
      </c>
      <c r="M1286" s="14" t="inlineStr">
        <is>
          <t>-</t>
        </is>
      </c>
      <c r="N1286" s="14" t="inlineStr">
        <is>
          <t>-</t>
        </is>
      </c>
      <c r="O1286" s="14" t="inlineStr">
        <is>
          <t>-</t>
        </is>
      </c>
      <c r="P1286" s="14" t="inlineStr">
        <is>
          <t>-</t>
        </is>
      </c>
      <c r="Q1286" s="15" t="inlineStr">
        <is>
          <t>-</t>
        </is>
      </c>
    </row>
    <row r="1287">
      <c r="A1287" s="47" t="inlineStr">
        <is>
          <t>AROMA CROISSANT</t>
        </is>
      </c>
      <c r="B1287" s="16" t="inlineStr">
        <is>
          <t>-</t>
        </is>
      </c>
      <c r="C1287" s="11" t="inlineStr">
        <is>
          <t>-</t>
        </is>
      </c>
      <c r="D1287" s="11" t="inlineStr">
        <is>
          <t>-</t>
        </is>
      </c>
      <c r="E1287" s="11" t="inlineStr">
        <is>
          <t>-</t>
        </is>
      </c>
      <c r="F1287" s="11" t="inlineStr">
        <is>
          <t>-</t>
        </is>
      </c>
      <c r="G1287" s="11" t="inlineStr">
        <is>
          <t>-</t>
        </is>
      </c>
      <c r="H1287" s="11" t="inlineStr">
        <is>
          <t>-</t>
        </is>
      </c>
      <c r="I1287" s="11" t="inlineStr">
        <is>
          <t>-</t>
        </is>
      </c>
      <c r="J1287" s="11" t="inlineStr">
        <is>
          <t>-</t>
        </is>
      </c>
      <c r="K1287" s="11" t="inlineStr">
        <is>
          <t>-</t>
        </is>
      </c>
      <c r="L1287" s="11" t="inlineStr">
        <is>
          <t>-</t>
        </is>
      </c>
      <c r="M1287" s="11" t="inlineStr">
        <is>
          <t>-</t>
        </is>
      </c>
      <c r="N1287" s="11" t="inlineStr">
        <is>
          <t>-</t>
        </is>
      </c>
      <c r="O1287" s="11" t="inlineStr">
        <is>
          <t>-</t>
        </is>
      </c>
      <c r="P1287" s="11" t="inlineStr">
        <is>
          <t>-</t>
        </is>
      </c>
      <c r="Q1287" s="12" t="inlineStr">
        <is>
          <t>-</t>
        </is>
      </c>
    </row>
    <row r="1288">
      <c r="A1288" s="47" t="inlineStr">
        <is>
          <t>latte   1500 int.uht  yma</t>
        </is>
      </c>
      <c r="B1288" s="13" t="inlineStr">
        <is>
          <t>-</t>
        </is>
      </c>
      <c r="C1288" s="14" t="inlineStr">
        <is>
          <t>-</t>
        </is>
      </c>
      <c r="D1288" s="14" t="inlineStr">
        <is>
          <t>-</t>
        </is>
      </c>
      <c r="E1288" s="14" t="inlineStr">
        <is>
          <t>-</t>
        </is>
      </c>
      <c r="F1288" s="14" t="inlineStr">
        <is>
          <t>-</t>
        </is>
      </c>
      <c r="G1288" s="14" t="inlineStr">
        <is>
          <t>-</t>
        </is>
      </c>
      <c r="H1288" s="14" t="inlineStr">
        <is>
          <t>-</t>
        </is>
      </c>
      <c r="I1288" s="14" t="inlineStr">
        <is>
          <t>-</t>
        </is>
      </c>
      <c r="J1288" s="14" t="inlineStr">
        <is>
          <t>-</t>
        </is>
      </c>
      <c r="K1288" s="14" t="inlineStr">
        <is>
          <t>-</t>
        </is>
      </c>
      <c r="L1288" s="14" t="inlineStr">
        <is>
          <t>-</t>
        </is>
      </c>
      <c r="M1288" s="14" t="inlineStr">
        <is>
          <t>-</t>
        </is>
      </c>
      <c r="N1288" s="14" t="inlineStr">
        <is>
          <t>-</t>
        </is>
      </c>
      <c r="O1288" s="14" t="inlineStr">
        <is>
          <t>-</t>
        </is>
      </c>
      <c r="P1288" s="14" t="inlineStr">
        <is>
          <t>-</t>
        </is>
      </c>
      <c r="Q1288" s="15" t="inlineStr">
        <is>
          <t>-</t>
        </is>
      </c>
    </row>
    <row r="1289">
      <c r="A1289" s="47" t="inlineStr">
        <is>
          <t>uova</t>
        </is>
      </c>
      <c r="B1289" s="16" t="inlineStr">
        <is>
          <t>-</t>
        </is>
      </c>
      <c r="C1289" s="11" t="inlineStr">
        <is>
          <t>-</t>
        </is>
      </c>
      <c r="D1289" s="11" t="inlineStr">
        <is>
          <t>-</t>
        </is>
      </c>
      <c r="E1289" s="11" t="inlineStr">
        <is>
          <t>-</t>
        </is>
      </c>
      <c r="F1289" s="11" t="inlineStr">
        <is>
          <t>-</t>
        </is>
      </c>
      <c r="G1289" s="11" t="inlineStr">
        <is>
          <t>-</t>
        </is>
      </c>
      <c r="H1289" s="11" t="inlineStr">
        <is>
          <t>-</t>
        </is>
      </c>
      <c r="I1289" s="11" t="inlineStr">
        <is>
          <t>-</t>
        </is>
      </c>
      <c r="J1289" s="11" t="inlineStr">
        <is>
          <t>-</t>
        </is>
      </c>
      <c r="K1289" s="11" t="inlineStr">
        <is>
          <t>-</t>
        </is>
      </c>
      <c r="L1289" s="11" t="inlineStr">
        <is>
          <t>-</t>
        </is>
      </c>
      <c r="M1289" s="11" t="inlineStr">
        <is>
          <t>-</t>
        </is>
      </c>
      <c r="N1289" s="11" t="inlineStr">
        <is>
          <t>-</t>
        </is>
      </c>
      <c r="O1289" s="11" t="inlineStr">
        <is>
          <t>-</t>
        </is>
      </c>
      <c r="P1289" s="11" t="inlineStr">
        <is>
          <t>-</t>
        </is>
      </c>
      <c r="Q1289" s="12" t="inlineStr">
        <is>
          <t>-</t>
        </is>
      </c>
    </row>
    <row r="1290">
      <c r="A1290" s="47" t="inlineStr">
        <is>
          <t>margarina crema</t>
        </is>
      </c>
      <c r="B1290" s="13" t="inlineStr">
        <is>
          <t>-</t>
        </is>
      </c>
      <c r="C1290" s="14" t="inlineStr">
        <is>
          <t>-</t>
        </is>
      </c>
      <c r="D1290" s="14" t="inlineStr">
        <is>
          <t>-</t>
        </is>
      </c>
      <c r="E1290" s="14" t="inlineStr">
        <is>
          <t>-</t>
        </is>
      </c>
      <c r="F1290" s="14" t="inlineStr">
        <is>
          <t>-</t>
        </is>
      </c>
      <c r="G1290" s="14" t="inlineStr">
        <is>
          <t>-</t>
        </is>
      </c>
      <c r="H1290" s="14" t="inlineStr">
        <is>
          <t>-</t>
        </is>
      </c>
      <c r="I1290" s="14" t="inlineStr">
        <is>
          <t>-</t>
        </is>
      </c>
      <c r="J1290" s="14" t="inlineStr">
        <is>
          <t>-</t>
        </is>
      </c>
      <c r="K1290" s="14" t="inlineStr">
        <is>
          <t>-</t>
        </is>
      </c>
      <c r="L1290" s="14" t="inlineStr">
        <is>
          <t>-</t>
        </is>
      </c>
      <c r="M1290" s="14" t="inlineStr">
        <is>
          <t>-</t>
        </is>
      </c>
      <c r="N1290" s="14" t="inlineStr">
        <is>
          <t>-</t>
        </is>
      </c>
      <c r="O1290" s="14" t="inlineStr">
        <is>
          <t>-</t>
        </is>
      </c>
      <c r="P1290" s="14" t="inlineStr">
        <is>
          <t>-</t>
        </is>
      </c>
      <c r="Q1290" s="15" t="inlineStr">
        <is>
          <t>-</t>
        </is>
      </c>
    </row>
    <row r="1291">
      <c r="A1291" s="47" t="n"/>
      <c r="B1291" s="16" t="inlineStr">
        <is>
          <t>-</t>
        </is>
      </c>
      <c r="C1291" s="11" t="inlineStr">
        <is>
          <t>-</t>
        </is>
      </c>
      <c r="D1291" s="11" t="inlineStr">
        <is>
          <t>-</t>
        </is>
      </c>
      <c r="E1291" s="11" t="inlineStr">
        <is>
          <t>-</t>
        </is>
      </c>
      <c r="F1291" s="11" t="inlineStr">
        <is>
          <t>-</t>
        </is>
      </c>
      <c r="G1291" s="11" t="inlineStr">
        <is>
          <t>-</t>
        </is>
      </c>
      <c r="H1291" s="11" t="inlineStr">
        <is>
          <t>-</t>
        </is>
      </c>
      <c r="I1291" s="11" t="inlineStr">
        <is>
          <t>-</t>
        </is>
      </c>
      <c r="J1291" s="11" t="inlineStr">
        <is>
          <t>-</t>
        </is>
      </c>
      <c r="K1291" s="11" t="inlineStr">
        <is>
          <t>-</t>
        </is>
      </c>
      <c r="L1291" s="11" t="inlineStr">
        <is>
          <t>-</t>
        </is>
      </c>
      <c r="M1291" s="11" t="inlineStr">
        <is>
          <t>-</t>
        </is>
      </c>
      <c r="N1291" s="11" t="inlineStr">
        <is>
          <t>-</t>
        </is>
      </c>
      <c r="O1291" s="11" t="inlineStr">
        <is>
          <t>-</t>
        </is>
      </c>
      <c r="P1291" s="11" t="inlineStr">
        <is>
          <t>-</t>
        </is>
      </c>
      <c r="Q1291" s="12" t="inlineStr">
        <is>
          <t>-</t>
        </is>
      </c>
    </row>
    <row r="1292">
      <c r="A1292" s="47" t="n"/>
      <c r="B1292" s="13" t="inlineStr">
        <is>
          <t>-</t>
        </is>
      </c>
      <c r="C1292" s="14" t="inlineStr">
        <is>
          <t>-</t>
        </is>
      </c>
      <c r="D1292" s="14" t="inlineStr">
        <is>
          <t>-</t>
        </is>
      </c>
      <c r="E1292" s="14" t="inlineStr">
        <is>
          <t>-</t>
        </is>
      </c>
      <c r="F1292" s="14" t="inlineStr">
        <is>
          <t>-</t>
        </is>
      </c>
      <c r="G1292" s="14" t="inlineStr">
        <is>
          <t>-</t>
        </is>
      </c>
      <c r="H1292" s="14" t="inlineStr">
        <is>
          <t>-</t>
        </is>
      </c>
      <c r="I1292" s="14" t="inlineStr">
        <is>
          <t>-</t>
        </is>
      </c>
      <c r="J1292" s="14" t="inlineStr">
        <is>
          <t>-</t>
        </is>
      </c>
      <c r="K1292" s="14" t="inlineStr">
        <is>
          <t>-</t>
        </is>
      </c>
      <c r="L1292" s="14" t="inlineStr">
        <is>
          <t>-</t>
        </is>
      </c>
      <c r="M1292" s="14" t="inlineStr">
        <is>
          <t>-</t>
        </is>
      </c>
      <c r="N1292" s="14" t="inlineStr">
        <is>
          <t>-</t>
        </is>
      </c>
      <c r="O1292" s="14" t="inlineStr">
        <is>
          <t>-</t>
        </is>
      </c>
      <c r="P1292" s="14" t="inlineStr">
        <is>
          <t>-</t>
        </is>
      </c>
      <c r="Q1292" s="15" t="inlineStr">
        <is>
          <t>-</t>
        </is>
      </c>
    </row>
    <row r="1293">
      <c r="A1293" s="47" t="n"/>
      <c r="B1293" s="16" t="inlineStr">
        <is>
          <t>-</t>
        </is>
      </c>
      <c r="C1293" s="11" t="inlineStr">
        <is>
          <t>-</t>
        </is>
      </c>
      <c r="D1293" s="11" t="inlineStr">
        <is>
          <t>-</t>
        </is>
      </c>
      <c r="E1293" s="11" t="inlineStr">
        <is>
          <t>-</t>
        </is>
      </c>
      <c r="F1293" s="11" t="inlineStr">
        <is>
          <t>-</t>
        </is>
      </c>
      <c r="G1293" s="11" t="inlineStr">
        <is>
          <t>-</t>
        </is>
      </c>
      <c r="H1293" s="11" t="inlineStr">
        <is>
          <t>-</t>
        </is>
      </c>
      <c r="I1293" s="11" t="inlineStr">
        <is>
          <t>-</t>
        </is>
      </c>
      <c r="J1293" s="11" t="inlineStr">
        <is>
          <t>-</t>
        </is>
      </c>
      <c r="K1293" s="11" t="inlineStr">
        <is>
          <t>-</t>
        </is>
      </c>
      <c r="L1293" s="11" t="inlineStr">
        <is>
          <t>-</t>
        </is>
      </c>
      <c r="M1293" s="11" t="inlineStr">
        <is>
          <t>-</t>
        </is>
      </c>
      <c r="N1293" s="11" t="inlineStr">
        <is>
          <t>-</t>
        </is>
      </c>
      <c r="O1293" s="11" t="inlineStr">
        <is>
          <t>-</t>
        </is>
      </c>
      <c r="P1293" s="11" t="inlineStr">
        <is>
          <t>-</t>
        </is>
      </c>
      <c r="Q1293" s="12" t="inlineStr">
        <is>
          <t>-</t>
        </is>
      </c>
    </row>
    <row r="1294">
      <c r="A1294" s="47" t="n"/>
      <c r="B1294" s="13" t="inlineStr">
        <is>
          <t>-</t>
        </is>
      </c>
      <c r="C1294" s="14" t="inlineStr">
        <is>
          <t>-</t>
        </is>
      </c>
      <c r="D1294" s="14" t="inlineStr">
        <is>
          <t>-</t>
        </is>
      </c>
      <c r="E1294" s="14" t="inlineStr">
        <is>
          <t>-</t>
        </is>
      </c>
      <c r="F1294" s="14" t="inlineStr">
        <is>
          <t>-</t>
        </is>
      </c>
      <c r="G1294" s="14" t="inlineStr">
        <is>
          <t>-</t>
        </is>
      </c>
      <c r="H1294" s="14" t="inlineStr">
        <is>
          <t>-</t>
        </is>
      </c>
      <c r="I1294" s="14" t="inlineStr">
        <is>
          <t>-</t>
        </is>
      </c>
      <c r="J1294" s="14" t="inlineStr">
        <is>
          <t>-</t>
        </is>
      </c>
      <c r="K1294" s="14" t="inlineStr">
        <is>
          <t>-</t>
        </is>
      </c>
      <c r="L1294" s="14" t="inlineStr">
        <is>
          <t>-</t>
        </is>
      </c>
      <c r="M1294" s="14" t="inlineStr">
        <is>
          <t>-</t>
        </is>
      </c>
      <c r="N1294" s="14" t="inlineStr">
        <is>
          <t>-</t>
        </is>
      </c>
      <c r="O1294" s="14" t="inlineStr">
        <is>
          <t>-</t>
        </is>
      </c>
      <c r="P1294" s="14" t="inlineStr">
        <is>
          <t>-</t>
        </is>
      </c>
      <c r="Q1294" s="15" t="inlineStr">
        <is>
          <t>-</t>
        </is>
      </c>
    </row>
    <row r="1295">
      <c r="A1295" s="47" t="n"/>
      <c r="B1295" s="16" t="inlineStr">
        <is>
          <t>-</t>
        </is>
      </c>
      <c r="C1295" s="11" t="inlineStr">
        <is>
          <t>-</t>
        </is>
      </c>
      <c r="D1295" s="11" t="inlineStr">
        <is>
          <t>-</t>
        </is>
      </c>
      <c r="E1295" s="11" t="inlineStr">
        <is>
          <t>-</t>
        </is>
      </c>
      <c r="F1295" s="11" t="inlineStr">
        <is>
          <t>-</t>
        </is>
      </c>
      <c r="G1295" s="11" t="inlineStr">
        <is>
          <t>-</t>
        </is>
      </c>
      <c r="H1295" s="11" t="inlineStr">
        <is>
          <t>-</t>
        </is>
      </c>
      <c r="I1295" s="11" t="inlineStr">
        <is>
          <t>-</t>
        </is>
      </c>
      <c r="J1295" s="11" t="inlineStr">
        <is>
          <t>-</t>
        </is>
      </c>
      <c r="K1295" s="11" t="inlineStr">
        <is>
          <t>-</t>
        </is>
      </c>
      <c r="L1295" s="11" t="inlineStr">
        <is>
          <t>-</t>
        </is>
      </c>
      <c r="M1295" s="11" t="inlineStr">
        <is>
          <t>-</t>
        </is>
      </c>
      <c r="N1295" s="11" t="inlineStr">
        <is>
          <t>-</t>
        </is>
      </c>
      <c r="O1295" s="11" t="inlineStr">
        <is>
          <t>-</t>
        </is>
      </c>
      <c r="P1295" s="11" t="inlineStr">
        <is>
          <t>-</t>
        </is>
      </c>
      <c r="Q1295" s="12" t="inlineStr">
        <is>
          <t>-</t>
        </is>
      </c>
    </row>
    <row r="1296">
      <c r="A1296" s="47" t="n"/>
      <c r="B1296" s="13" t="inlineStr">
        <is>
          <t>-</t>
        </is>
      </c>
      <c r="C1296" s="14" t="inlineStr">
        <is>
          <t>-</t>
        </is>
      </c>
      <c r="D1296" s="14" t="inlineStr">
        <is>
          <t>-</t>
        </is>
      </c>
      <c r="E1296" s="14" t="inlineStr">
        <is>
          <t>-</t>
        </is>
      </c>
      <c r="F1296" s="14" t="inlineStr">
        <is>
          <t>-</t>
        </is>
      </c>
      <c r="G1296" s="14" t="inlineStr">
        <is>
          <t>-</t>
        </is>
      </c>
      <c r="H1296" s="14" t="inlineStr">
        <is>
          <t>-</t>
        </is>
      </c>
      <c r="I1296" s="14" t="inlineStr">
        <is>
          <t>-</t>
        </is>
      </c>
      <c r="J1296" s="14" t="inlineStr">
        <is>
          <t>-</t>
        </is>
      </c>
      <c r="K1296" s="14" t="inlineStr">
        <is>
          <t>-</t>
        </is>
      </c>
      <c r="L1296" s="14" t="inlineStr">
        <is>
          <t>-</t>
        </is>
      </c>
      <c r="M1296" s="14" t="inlineStr">
        <is>
          <t>-</t>
        </is>
      </c>
      <c r="N1296" s="14" t="inlineStr">
        <is>
          <t>-</t>
        </is>
      </c>
      <c r="O1296" s="14" t="inlineStr">
        <is>
          <t>-</t>
        </is>
      </c>
      <c r="P1296" s="14" t="inlineStr">
        <is>
          <t>-</t>
        </is>
      </c>
      <c r="Q1296" s="15" t="inlineStr">
        <is>
          <t>-</t>
        </is>
      </c>
    </row>
    <row r="1297">
      <c r="A1297" s="47" t="n"/>
      <c r="B1297" s="16" t="inlineStr">
        <is>
          <t>-</t>
        </is>
      </c>
      <c r="C1297" s="11" t="inlineStr">
        <is>
          <t>-</t>
        </is>
      </c>
      <c r="D1297" s="11" t="inlineStr">
        <is>
          <t>-</t>
        </is>
      </c>
      <c r="E1297" s="11" t="inlineStr">
        <is>
          <t>-</t>
        </is>
      </c>
      <c r="F1297" s="11" t="inlineStr">
        <is>
          <t>-</t>
        </is>
      </c>
      <c r="G1297" s="11" t="inlineStr">
        <is>
          <t>-</t>
        </is>
      </c>
      <c r="H1297" s="11" t="inlineStr">
        <is>
          <t>-</t>
        </is>
      </c>
      <c r="I1297" s="11" t="inlineStr">
        <is>
          <t>-</t>
        </is>
      </c>
      <c r="J1297" s="11" t="inlineStr">
        <is>
          <t>-</t>
        </is>
      </c>
      <c r="K1297" s="11" t="inlineStr">
        <is>
          <t>-</t>
        </is>
      </c>
      <c r="L1297" s="11" t="inlineStr">
        <is>
          <t>-</t>
        </is>
      </c>
      <c r="M1297" s="11" t="inlineStr">
        <is>
          <t>-</t>
        </is>
      </c>
      <c r="N1297" s="11" t="inlineStr">
        <is>
          <t>-</t>
        </is>
      </c>
      <c r="O1297" s="11" t="inlineStr">
        <is>
          <t>-</t>
        </is>
      </c>
      <c r="P1297" s="11" t="inlineStr">
        <is>
          <t>-</t>
        </is>
      </c>
      <c r="Q1297" s="12" t="inlineStr">
        <is>
          <t>-</t>
        </is>
      </c>
    </row>
    <row r="1298" ht="36" customHeight="1" s="155">
      <c r="B1298" s="46" t="inlineStr">
        <is>
          <t>vesuvio</t>
        </is>
      </c>
      <c r="C1298" s="49">
        <f>_xlfn.XLOOKUP(A1299,Magazzino!$D$1:$D$1500,Magazzino!$F$1:$F$1500,"",0,1)</f>
        <v/>
      </c>
      <c r="D1298" s="50">
        <f>_xlfn.XLOOKUP(A1300,Magazzino!$D$1:$D$1500,Magazzino!$F$1:$F$1500,"",0,1)</f>
        <v/>
      </c>
      <c r="E1298" s="50">
        <f>_xlfn.XLOOKUP(A1301,Magazzino!$D$1:$D$1500,Magazzino!$F$1:$F$1500,"",0,1)</f>
        <v/>
      </c>
      <c r="F1298" s="50">
        <f>_xlfn.XLOOKUP(A1302,Magazzino!$D$1:$D$1500,Magazzino!$F$1:$F$1500,"",0,1)</f>
        <v/>
      </c>
      <c r="G1298" s="50">
        <f>_xlfn.XLOOKUP(A1303,Magazzino!$D$1:$D$1500,Magazzino!$F$1:$F$1500,"",0,1)</f>
        <v/>
      </c>
      <c r="H1298" s="50">
        <f>_xlfn.XLOOKUP(A1304,Magazzino!$D$1:$D$1500,Magazzino!$F$1:$F$1500,"",0,1)</f>
        <v/>
      </c>
      <c r="I1298" s="50">
        <f>_xlfn.XLOOKUP(A1305,Magazzino!$D$1:$D$1500,Magazzino!$F$1:$F$1500,"",0,1)</f>
        <v/>
      </c>
      <c r="J1298" s="50">
        <f>_xlfn.XLOOKUP(A1306,Magazzino!$D$1:$D$1500,Magazzino!$F$1:$F$1500,"",0,1)</f>
        <v/>
      </c>
      <c r="K1298" s="50">
        <f>_xlfn.XLOOKUP(A1307,Magazzino!$D$1:$D$1500,Magazzino!$F$1:$F$1500,"",0,1)</f>
        <v/>
      </c>
      <c r="L1298" s="50">
        <f>_xlfn.XLOOKUP(A1308,Magazzino!$D$1:$D$1500,Magazzino!$F$1:$F$1500,"",0,1)</f>
        <v/>
      </c>
      <c r="M1298" s="50">
        <f>_xlfn.XLOOKUP(A1309,Magazzino!$D$1:$D$1500,Magazzino!$F$1:$F$1500,"",0,1)</f>
        <v/>
      </c>
      <c r="N1298" s="50">
        <f>_xlfn.XLOOKUP(A1310,Magazzino!$D$1:$D$1500,Magazzino!$F$1:$F$1500,"",0,1)</f>
        <v/>
      </c>
      <c r="O1298" s="50">
        <f>_xlfn.XLOOKUP(A1311,Magazzino!$D$1:$D$1500,Magazzino!$F$1:$F$1500,"",0,1)</f>
        <v/>
      </c>
      <c r="P1298" s="50">
        <f>_xlfn.XLOOKUP(A1312,Magazzino!$D$1:$D$1500,Magazzino!$F$1:$F$1500,"",0,1)</f>
        <v/>
      </c>
      <c r="Q1298" s="51">
        <f>_xlfn.XLOOKUP(A1313,Magazzino!$D$1:$D$1500,Magazzino!$F$1:$F$1500,"",0,1)</f>
        <v/>
      </c>
    </row>
    <row r="1299" ht="24" customHeight="1" s="155">
      <c r="A1299" s="47" t="inlineStr">
        <is>
          <t xml:space="preserve">TAPPI PER RICCE GRANDI DA GR 55/60 SURGELATO  </t>
        </is>
      </c>
      <c r="B1299" s="16" t="inlineStr">
        <is>
          <t>-</t>
        </is>
      </c>
      <c r="C1299" s="11" t="inlineStr">
        <is>
          <t>-</t>
        </is>
      </c>
      <c r="D1299" s="11" t="inlineStr">
        <is>
          <t>-</t>
        </is>
      </c>
      <c r="E1299" s="11" t="inlineStr">
        <is>
          <t>-</t>
        </is>
      </c>
      <c r="F1299" s="11" t="inlineStr">
        <is>
          <t>-</t>
        </is>
      </c>
      <c r="G1299" s="11" t="inlineStr">
        <is>
          <t>-</t>
        </is>
      </c>
      <c r="H1299" s="11" t="inlineStr">
        <is>
          <t>-</t>
        </is>
      </c>
      <c r="I1299" s="11" t="inlineStr">
        <is>
          <t>-</t>
        </is>
      </c>
      <c r="J1299" s="11" t="inlineStr">
        <is>
          <t>-</t>
        </is>
      </c>
      <c r="K1299" s="11" t="inlineStr">
        <is>
          <t>-</t>
        </is>
      </c>
      <c r="L1299" s="11" t="inlineStr">
        <is>
          <t>-</t>
        </is>
      </c>
      <c r="M1299" s="11" t="inlineStr">
        <is>
          <t>-</t>
        </is>
      </c>
      <c r="N1299" s="11" t="inlineStr">
        <is>
          <t>-</t>
        </is>
      </c>
      <c r="O1299" s="11" t="inlineStr">
        <is>
          <t>-</t>
        </is>
      </c>
      <c r="P1299" s="11" t="inlineStr">
        <is>
          <t>-</t>
        </is>
      </c>
      <c r="Q1299" s="12" t="inlineStr">
        <is>
          <t>-</t>
        </is>
      </c>
    </row>
    <row r="1300">
      <c r="A1300" s="47" t="inlineStr">
        <is>
          <t xml:space="preserve">STRUTTO RAFFINATO I B VERDE  </t>
        </is>
      </c>
      <c r="B1300" s="13" t="inlineStr">
        <is>
          <t>-</t>
        </is>
      </c>
      <c r="C1300" s="14" t="inlineStr">
        <is>
          <t>-</t>
        </is>
      </c>
      <c r="D1300" s="14" t="inlineStr">
        <is>
          <t>-</t>
        </is>
      </c>
      <c r="E1300" s="14" t="inlineStr">
        <is>
          <t>-</t>
        </is>
      </c>
      <c r="F1300" s="14" t="inlineStr">
        <is>
          <t>-</t>
        </is>
      </c>
      <c r="G1300" s="14" t="inlineStr">
        <is>
          <t>-</t>
        </is>
      </c>
      <c r="H1300" s="14" t="inlineStr">
        <is>
          <t>-</t>
        </is>
      </c>
      <c r="I1300" s="14" t="inlineStr">
        <is>
          <t>-</t>
        </is>
      </c>
      <c r="J1300" s="14" t="inlineStr">
        <is>
          <t>-</t>
        </is>
      </c>
      <c r="K1300" s="14" t="inlineStr">
        <is>
          <t>-</t>
        </is>
      </c>
      <c r="L1300" s="14" t="inlineStr">
        <is>
          <t>-</t>
        </is>
      </c>
      <c r="M1300" s="14" t="inlineStr">
        <is>
          <t>-</t>
        </is>
      </c>
      <c r="N1300" s="14" t="inlineStr">
        <is>
          <t>-</t>
        </is>
      </c>
      <c r="O1300" s="14" t="inlineStr">
        <is>
          <t>-</t>
        </is>
      </c>
      <c r="P1300" s="14" t="inlineStr">
        <is>
          <t>-</t>
        </is>
      </c>
      <c r="Q1300" s="15" t="inlineStr">
        <is>
          <t>-</t>
        </is>
      </c>
    </row>
    <row r="1301">
      <c r="A1301" s="47" t="n"/>
      <c r="B1301" s="16" t="inlineStr">
        <is>
          <t>-</t>
        </is>
      </c>
      <c r="C1301" s="11" t="inlineStr">
        <is>
          <t>-</t>
        </is>
      </c>
      <c r="D1301" s="11" t="inlineStr">
        <is>
          <t>-</t>
        </is>
      </c>
      <c r="E1301" s="11" t="inlineStr">
        <is>
          <t>-</t>
        </is>
      </c>
      <c r="F1301" s="11" t="inlineStr">
        <is>
          <t>-</t>
        </is>
      </c>
      <c r="G1301" s="11" t="inlineStr">
        <is>
          <t>-</t>
        </is>
      </c>
      <c r="H1301" s="11" t="inlineStr">
        <is>
          <t>-</t>
        </is>
      </c>
      <c r="I1301" s="11" t="inlineStr">
        <is>
          <t>-</t>
        </is>
      </c>
      <c r="J1301" s="11" t="inlineStr">
        <is>
          <t>-</t>
        </is>
      </c>
      <c r="K1301" s="11" t="inlineStr">
        <is>
          <t>-</t>
        </is>
      </c>
      <c r="L1301" s="11" t="inlineStr">
        <is>
          <t>-</t>
        </is>
      </c>
      <c r="M1301" s="11" t="inlineStr">
        <is>
          <t>-</t>
        </is>
      </c>
      <c r="N1301" s="11" t="inlineStr">
        <is>
          <t>-</t>
        </is>
      </c>
      <c r="O1301" s="11" t="inlineStr">
        <is>
          <t>-</t>
        </is>
      </c>
      <c r="P1301" s="11" t="inlineStr">
        <is>
          <t>-</t>
        </is>
      </c>
      <c r="Q1301" s="12" t="inlineStr">
        <is>
          <t>-</t>
        </is>
      </c>
    </row>
    <row r="1302">
      <c r="A1302" s="47" t="n"/>
      <c r="B1302" s="13" t="inlineStr">
        <is>
          <t>-</t>
        </is>
      </c>
      <c r="C1302" s="14" t="inlineStr">
        <is>
          <t>-</t>
        </is>
      </c>
      <c r="D1302" s="14" t="inlineStr">
        <is>
          <t>-</t>
        </is>
      </c>
      <c r="E1302" s="14" t="inlineStr">
        <is>
          <t>-</t>
        </is>
      </c>
      <c r="F1302" s="14" t="inlineStr">
        <is>
          <t>-</t>
        </is>
      </c>
      <c r="G1302" s="14" t="inlineStr">
        <is>
          <t>-</t>
        </is>
      </c>
      <c r="H1302" s="14" t="inlineStr">
        <is>
          <t>-</t>
        </is>
      </c>
      <c r="I1302" s="14" t="inlineStr">
        <is>
          <t>-</t>
        </is>
      </c>
      <c r="J1302" s="14" t="inlineStr">
        <is>
          <t>-</t>
        </is>
      </c>
      <c r="K1302" s="14" t="inlineStr">
        <is>
          <t>-</t>
        </is>
      </c>
      <c r="L1302" s="14" t="inlineStr">
        <is>
          <t>-</t>
        </is>
      </c>
      <c r="M1302" s="14" t="inlineStr">
        <is>
          <t>-</t>
        </is>
      </c>
      <c r="N1302" s="14" t="inlineStr">
        <is>
          <t>-</t>
        </is>
      </c>
      <c r="O1302" s="14" t="inlineStr">
        <is>
          <t>-</t>
        </is>
      </c>
      <c r="P1302" s="14" t="inlineStr">
        <is>
          <t>-</t>
        </is>
      </c>
      <c r="Q1302" s="15" t="inlineStr">
        <is>
          <t>-</t>
        </is>
      </c>
    </row>
    <row r="1303">
      <c r="A1303" s="47" t="n"/>
      <c r="B1303" s="16" t="inlineStr">
        <is>
          <t>-</t>
        </is>
      </c>
      <c r="C1303" s="11" t="inlineStr">
        <is>
          <t>-</t>
        </is>
      </c>
      <c r="D1303" s="11" t="inlineStr">
        <is>
          <t>-</t>
        </is>
      </c>
      <c r="E1303" s="11" t="inlineStr">
        <is>
          <t>-</t>
        </is>
      </c>
      <c r="F1303" s="11" t="inlineStr">
        <is>
          <t>-</t>
        </is>
      </c>
      <c r="G1303" s="11" t="inlineStr">
        <is>
          <t>-</t>
        </is>
      </c>
      <c r="H1303" s="11" t="inlineStr">
        <is>
          <t>-</t>
        </is>
      </c>
      <c r="I1303" s="11" t="inlineStr">
        <is>
          <t>-</t>
        </is>
      </c>
      <c r="J1303" s="11" t="inlineStr">
        <is>
          <t>-</t>
        </is>
      </c>
      <c r="K1303" s="11" t="inlineStr">
        <is>
          <t>-</t>
        </is>
      </c>
      <c r="L1303" s="11" t="inlineStr">
        <is>
          <t>-</t>
        </is>
      </c>
      <c r="M1303" s="11" t="inlineStr">
        <is>
          <t>-</t>
        </is>
      </c>
      <c r="N1303" s="11" t="inlineStr">
        <is>
          <t>-</t>
        </is>
      </c>
      <c r="O1303" s="11" t="inlineStr">
        <is>
          <t>-</t>
        </is>
      </c>
      <c r="P1303" s="11" t="inlineStr">
        <is>
          <t>-</t>
        </is>
      </c>
      <c r="Q1303" s="12" t="inlineStr">
        <is>
          <t>-</t>
        </is>
      </c>
    </row>
    <row r="1304">
      <c r="A1304" s="47" t="n"/>
      <c r="B1304" s="13" t="inlineStr">
        <is>
          <t>-</t>
        </is>
      </c>
      <c r="C1304" s="14" t="inlineStr">
        <is>
          <t>-</t>
        </is>
      </c>
      <c r="D1304" s="14" t="inlineStr">
        <is>
          <t>-</t>
        </is>
      </c>
      <c r="E1304" s="14" t="inlineStr">
        <is>
          <t>-</t>
        </is>
      </c>
      <c r="F1304" s="14" t="inlineStr">
        <is>
          <t>-</t>
        </is>
      </c>
      <c r="G1304" s="14" t="inlineStr">
        <is>
          <t>-</t>
        </is>
      </c>
      <c r="H1304" s="14" t="inlineStr">
        <is>
          <t>-</t>
        </is>
      </c>
      <c r="I1304" s="14" t="inlineStr">
        <is>
          <t>-</t>
        </is>
      </c>
      <c r="J1304" s="14" t="inlineStr">
        <is>
          <t>-</t>
        </is>
      </c>
      <c r="K1304" s="14" t="inlineStr">
        <is>
          <t>-</t>
        </is>
      </c>
      <c r="L1304" s="14" t="inlineStr">
        <is>
          <t>-</t>
        </is>
      </c>
      <c r="M1304" s="14" t="inlineStr">
        <is>
          <t>-</t>
        </is>
      </c>
      <c r="N1304" s="14" t="inlineStr">
        <is>
          <t>-</t>
        </is>
      </c>
      <c r="O1304" s="14" t="inlineStr">
        <is>
          <t>-</t>
        </is>
      </c>
      <c r="P1304" s="14" t="inlineStr">
        <is>
          <t>-</t>
        </is>
      </c>
      <c r="Q1304" s="15" t="inlineStr">
        <is>
          <t>-</t>
        </is>
      </c>
    </row>
    <row r="1305">
      <c r="A1305" s="47" t="n"/>
      <c r="B1305" s="16" t="inlineStr">
        <is>
          <t>-</t>
        </is>
      </c>
      <c r="C1305" s="11" t="inlineStr">
        <is>
          <t>-</t>
        </is>
      </c>
      <c r="D1305" s="11" t="inlineStr">
        <is>
          <t>-</t>
        </is>
      </c>
      <c r="E1305" s="11" t="inlineStr">
        <is>
          <t>-</t>
        </is>
      </c>
      <c r="F1305" s="11" t="inlineStr">
        <is>
          <t>-</t>
        </is>
      </c>
      <c r="G1305" s="11" t="inlineStr">
        <is>
          <t>-</t>
        </is>
      </c>
      <c r="H1305" s="11" t="inlineStr">
        <is>
          <t>-</t>
        </is>
      </c>
      <c r="I1305" s="11" t="inlineStr">
        <is>
          <t>-</t>
        </is>
      </c>
      <c r="J1305" s="11" t="inlineStr">
        <is>
          <t>-</t>
        </is>
      </c>
      <c r="K1305" s="11" t="inlineStr">
        <is>
          <t>-</t>
        </is>
      </c>
      <c r="L1305" s="11" t="inlineStr">
        <is>
          <t>-</t>
        </is>
      </c>
      <c r="M1305" s="11" t="inlineStr">
        <is>
          <t>-</t>
        </is>
      </c>
      <c r="N1305" s="11" t="inlineStr">
        <is>
          <t>-</t>
        </is>
      </c>
      <c r="O1305" s="11" t="inlineStr">
        <is>
          <t>-</t>
        </is>
      </c>
      <c r="P1305" s="11" t="inlineStr">
        <is>
          <t>-</t>
        </is>
      </c>
      <c r="Q1305" s="12" t="inlineStr">
        <is>
          <t>-</t>
        </is>
      </c>
    </row>
    <row r="1306">
      <c r="A1306" s="47" t="n"/>
      <c r="B1306" s="13" t="inlineStr">
        <is>
          <t>-</t>
        </is>
      </c>
      <c r="C1306" s="14" t="inlineStr">
        <is>
          <t>-</t>
        </is>
      </c>
      <c r="D1306" s="14" t="inlineStr">
        <is>
          <t>-</t>
        </is>
      </c>
      <c r="E1306" s="14" t="inlineStr">
        <is>
          <t>-</t>
        </is>
      </c>
      <c r="F1306" s="14" t="inlineStr">
        <is>
          <t>-</t>
        </is>
      </c>
      <c r="G1306" s="14" t="inlineStr">
        <is>
          <t>-</t>
        </is>
      </c>
      <c r="H1306" s="14" t="inlineStr">
        <is>
          <t>-</t>
        </is>
      </c>
      <c r="I1306" s="14" t="inlineStr">
        <is>
          <t>-</t>
        </is>
      </c>
      <c r="J1306" s="14" t="inlineStr">
        <is>
          <t>-</t>
        </is>
      </c>
      <c r="K1306" s="14" t="inlineStr">
        <is>
          <t>-</t>
        </is>
      </c>
      <c r="L1306" s="14" t="inlineStr">
        <is>
          <t>-</t>
        </is>
      </c>
      <c r="M1306" s="14" t="inlineStr">
        <is>
          <t>-</t>
        </is>
      </c>
      <c r="N1306" s="14" t="inlineStr">
        <is>
          <t>-</t>
        </is>
      </c>
      <c r="O1306" s="14" t="inlineStr">
        <is>
          <t>-</t>
        </is>
      </c>
      <c r="P1306" s="14" t="inlineStr">
        <is>
          <t>-</t>
        </is>
      </c>
      <c r="Q1306" s="15" t="inlineStr">
        <is>
          <t>-</t>
        </is>
      </c>
    </row>
    <row r="1307">
      <c r="A1307" s="47" t="n"/>
      <c r="B1307" s="16" t="inlineStr">
        <is>
          <t>-</t>
        </is>
      </c>
      <c r="C1307" s="11" t="inlineStr">
        <is>
          <t>-</t>
        </is>
      </c>
      <c r="D1307" s="11" t="inlineStr">
        <is>
          <t>-</t>
        </is>
      </c>
      <c r="E1307" s="11" t="inlineStr">
        <is>
          <t>-</t>
        </is>
      </c>
      <c r="F1307" s="11" t="inlineStr">
        <is>
          <t>-</t>
        </is>
      </c>
      <c r="G1307" s="11" t="inlineStr">
        <is>
          <t>-</t>
        </is>
      </c>
      <c r="H1307" s="11" t="inlineStr">
        <is>
          <t>-</t>
        </is>
      </c>
      <c r="I1307" s="11" t="inlineStr">
        <is>
          <t>-</t>
        </is>
      </c>
      <c r="J1307" s="11" t="inlineStr">
        <is>
          <t>-</t>
        </is>
      </c>
      <c r="K1307" s="11" t="inlineStr">
        <is>
          <t>-</t>
        </is>
      </c>
      <c r="L1307" s="11" t="inlineStr">
        <is>
          <t>-</t>
        </is>
      </c>
      <c r="M1307" s="11" t="inlineStr">
        <is>
          <t>-</t>
        </is>
      </c>
      <c r="N1307" s="11" t="inlineStr">
        <is>
          <t>-</t>
        </is>
      </c>
      <c r="O1307" s="11" t="inlineStr">
        <is>
          <t>-</t>
        </is>
      </c>
      <c r="P1307" s="11" t="inlineStr">
        <is>
          <t>-</t>
        </is>
      </c>
      <c r="Q1307" s="12" t="inlineStr">
        <is>
          <t>-</t>
        </is>
      </c>
    </row>
    <row r="1308">
      <c r="A1308" s="47" t="n"/>
      <c r="B1308" s="13" t="inlineStr">
        <is>
          <t>-</t>
        </is>
      </c>
      <c r="C1308" s="14" t="inlineStr">
        <is>
          <t>-</t>
        </is>
      </c>
      <c r="D1308" s="14" t="inlineStr">
        <is>
          <t>-</t>
        </is>
      </c>
      <c r="E1308" s="14" t="inlineStr">
        <is>
          <t>-</t>
        </is>
      </c>
      <c r="F1308" s="14" t="inlineStr">
        <is>
          <t>-</t>
        </is>
      </c>
      <c r="G1308" s="14" t="inlineStr">
        <is>
          <t>-</t>
        </is>
      </c>
      <c r="H1308" s="14" t="inlineStr">
        <is>
          <t>-</t>
        </is>
      </c>
      <c r="I1308" s="14" t="inlineStr">
        <is>
          <t>-</t>
        </is>
      </c>
      <c r="J1308" s="14" t="inlineStr">
        <is>
          <t>-</t>
        </is>
      </c>
      <c r="K1308" s="14" t="inlineStr">
        <is>
          <t>-</t>
        </is>
      </c>
      <c r="L1308" s="14" t="inlineStr">
        <is>
          <t>-</t>
        </is>
      </c>
      <c r="M1308" s="14" t="inlineStr">
        <is>
          <t>-</t>
        </is>
      </c>
      <c r="N1308" s="14" t="inlineStr">
        <is>
          <t>-</t>
        </is>
      </c>
      <c r="O1308" s="14" t="inlineStr">
        <is>
          <t>-</t>
        </is>
      </c>
      <c r="P1308" s="14" t="inlineStr">
        <is>
          <t>-</t>
        </is>
      </c>
      <c r="Q1308" s="15" t="inlineStr">
        <is>
          <t>-</t>
        </is>
      </c>
    </row>
    <row r="1309">
      <c r="A1309" s="47" t="n"/>
      <c r="B1309" s="16" t="inlineStr">
        <is>
          <t>-</t>
        </is>
      </c>
      <c r="C1309" s="11" t="inlineStr">
        <is>
          <t>-</t>
        </is>
      </c>
      <c r="D1309" s="11" t="inlineStr">
        <is>
          <t>-</t>
        </is>
      </c>
      <c r="E1309" s="11" t="inlineStr">
        <is>
          <t>-</t>
        </is>
      </c>
      <c r="F1309" s="11" t="inlineStr">
        <is>
          <t>-</t>
        </is>
      </c>
      <c r="G1309" s="11" t="inlineStr">
        <is>
          <t>-</t>
        </is>
      </c>
      <c r="H1309" s="11" t="inlineStr">
        <is>
          <t>-</t>
        </is>
      </c>
      <c r="I1309" s="11" t="inlineStr">
        <is>
          <t>-</t>
        </is>
      </c>
      <c r="J1309" s="11" t="inlineStr">
        <is>
          <t>-</t>
        </is>
      </c>
      <c r="K1309" s="11" t="inlineStr">
        <is>
          <t>-</t>
        </is>
      </c>
      <c r="L1309" s="11" t="inlineStr">
        <is>
          <t>-</t>
        </is>
      </c>
      <c r="M1309" s="11" t="inlineStr">
        <is>
          <t>-</t>
        </is>
      </c>
      <c r="N1309" s="11" t="inlineStr">
        <is>
          <t>-</t>
        </is>
      </c>
      <c r="O1309" s="11" t="inlineStr">
        <is>
          <t>-</t>
        </is>
      </c>
      <c r="P1309" s="11" t="inlineStr">
        <is>
          <t>-</t>
        </is>
      </c>
      <c r="Q1309" s="12" t="inlineStr">
        <is>
          <t>-</t>
        </is>
      </c>
    </row>
    <row r="1310">
      <c r="A1310" s="47" t="n"/>
      <c r="B1310" s="13" t="inlineStr">
        <is>
          <t>-</t>
        </is>
      </c>
      <c r="C1310" s="14" t="inlineStr">
        <is>
          <t>-</t>
        </is>
      </c>
      <c r="D1310" s="14" t="inlineStr">
        <is>
          <t>-</t>
        </is>
      </c>
      <c r="E1310" s="14" t="inlineStr">
        <is>
          <t>-</t>
        </is>
      </c>
      <c r="F1310" s="14" t="inlineStr">
        <is>
          <t>-</t>
        </is>
      </c>
      <c r="G1310" s="14" t="inlineStr">
        <is>
          <t>-</t>
        </is>
      </c>
      <c r="H1310" s="14" t="inlineStr">
        <is>
          <t>-</t>
        </is>
      </c>
      <c r="I1310" s="14" t="inlineStr">
        <is>
          <t>-</t>
        </is>
      </c>
      <c r="J1310" s="14" t="inlineStr">
        <is>
          <t>-</t>
        </is>
      </c>
      <c r="K1310" s="14" t="inlineStr">
        <is>
          <t>-</t>
        </is>
      </c>
      <c r="L1310" s="14" t="inlineStr">
        <is>
          <t>-</t>
        </is>
      </c>
      <c r="M1310" s="14" t="inlineStr">
        <is>
          <t>-</t>
        </is>
      </c>
      <c r="N1310" s="14" t="inlineStr">
        <is>
          <t>-</t>
        </is>
      </c>
      <c r="O1310" s="14" t="inlineStr">
        <is>
          <t>-</t>
        </is>
      </c>
      <c r="P1310" s="14" t="inlineStr">
        <is>
          <t>-</t>
        </is>
      </c>
      <c r="Q1310" s="15" t="inlineStr">
        <is>
          <t>-</t>
        </is>
      </c>
    </row>
    <row r="1311">
      <c r="A1311" s="47" t="n"/>
      <c r="B1311" s="16" t="inlineStr">
        <is>
          <t>-</t>
        </is>
      </c>
      <c r="C1311" s="11" t="inlineStr">
        <is>
          <t>-</t>
        </is>
      </c>
      <c r="D1311" s="11" t="inlineStr">
        <is>
          <t>-</t>
        </is>
      </c>
      <c r="E1311" s="11" t="inlineStr">
        <is>
          <t>-</t>
        </is>
      </c>
      <c r="F1311" s="11" t="inlineStr">
        <is>
          <t>-</t>
        </is>
      </c>
      <c r="G1311" s="11" t="inlineStr">
        <is>
          <t>-</t>
        </is>
      </c>
      <c r="H1311" s="11" t="inlineStr">
        <is>
          <t>-</t>
        </is>
      </c>
      <c r="I1311" s="11" t="inlineStr">
        <is>
          <t>-</t>
        </is>
      </c>
      <c r="J1311" s="11" t="inlineStr">
        <is>
          <t>-</t>
        </is>
      </c>
      <c r="K1311" s="11" t="inlineStr">
        <is>
          <t>-</t>
        </is>
      </c>
      <c r="L1311" s="11" t="inlineStr">
        <is>
          <t>-</t>
        </is>
      </c>
      <c r="M1311" s="11" t="inlineStr">
        <is>
          <t>-</t>
        </is>
      </c>
      <c r="N1311" s="11" t="inlineStr">
        <is>
          <t>-</t>
        </is>
      </c>
      <c r="O1311" s="11" t="inlineStr">
        <is>
          <t>-</t>
        </is>
      </c>
      <c r="P1311" s="11" t="inlineStr">
        <is>
          <t>-</t>
        </is>
      </c>
      <c r="Q1311" s="12" t="inlineStr">
        <is>
          <t>-</t>
        </is>
      </c>
    </row>
    <row r="1312">
      <c r="A1312" s="47" t="n"/>
      <c r="B1312" s="13" t="inlineStr">
        <is>
          <t>-</t>
        </is>
      </c>
      <c r="C1312" s="14" t="inlineStr">
        <is>
          <t>-</t>
        </is>
      </c>
      <c r="D1312" s="14" t="inlineStr">
        <is>
          <t>-</t>
        </is>
      </c>
      <c r="E1312" s="14" t="inlineStr">
        <is>
          <t>-</t>
        </is>
      </c>
      <c r="F1312" s="14" t="inlineStr">
        <is>
          <t>-</t>
        </is>
      </c>
      <c r="G1312" s="14" t="inlineStr">
        <is>
          <t>-</t>
        </is>
      </c>
      <c r="H1312" s="14" t="inlineStr">
        <is>
          <t>-</t>
        </is>
      </c>
      <c r="I1312" s="14" t="inlineStr">
        <is>
          <t>-</t>
        </is>
      </c>
      <c r="J1312" s="14" t="inlineStr">
        <is>
          <t>-</t>
        </is>
      </c>
      <c r="K1312" s="14" t="inlineStr">
        <is>
          <t>-</t>
        </is>
      </c>
      <c r="L1312" s="14" t="inlineStr">
        <is>
          <t>-</t>
        </is>
      </c>
      <c r="M1312" s="14" t="inlineStr">
        <is>
          <t>-</t>
        </is>
      </c>
      <c r="N1312" s="14" t="inlineStr">
        <is>
          <t>-</t>
        </is>
      </c>
      <c r="O1312" s="14" t="inlineStr">
        <is>
          <t>-</t>
        </is>
      </c>
      <c r="P1312" s="14" t="inlineStr">
        <is>
          <t>-</t>
        </is>
      </c>
      <c r="Q1312" s="15" t="inlineStr">
        <is>
          <t>-</t>
        </is>
      </c>
    </row>
    <row r="1313">
      <c r="A1313" s="47" t="n"/>
      <c r="B1313" s="17" t="inlineStr">
        <is>
          <t>-</t>
        </is>
      </c>
      <c r="C1313" s="18" t="inlineStr">
        <is>
          <t>-</t>
        </is>
      </c>
      <c r="D1313" s="18" t="inlineStr">
        <is>
          <t>-</t>
        </is>
      </c>
      <c r="E1313" s="18" t="inlineStr">
        <is>
          <t>-</t>
        </is>
      </c>
      <c r="F1313" s="18" t="inlineStr">
        <is>
          <t>-</t>
        </is>
      </c>
      <c r="G1313" s="18" t="inlineStr">
        <is>
          <t>-</t>
        </is>
      </c>
      <c r="H1313" s="18" t="inlineStr">
        <is>
          <t>-</t>
        </is>
      </c>
      <c r="I1313" s="18" t="inlineStr">
        <is>
          <t>-</t>
        </is>
      </c>
      <c r="J1313" s="18" t="inlineStr">
        <is>
          <t>-</t>
        </is>
      </c>
      <c r="K1313" s="18" t="inlineStr">
        <is>
          <t>-</t>
        </is>
      </c>
      <c r="L1313" s="18" t="inlineStr">
        <is>
          <t>-</t>
        </is>
      </c>
      <c r="M1313" s="18" t="inlineStr">
        <is>
          <t>-</t>
        </is>
      </c>
      <c r="N1313" s="18" t="inlineStr">
        <is>
          <t>-</t>
        </is>
      </c>
      <c r="O1313" s="18" t="inlineStr">
        <is>
          <t>-</t>
        </is>
      </c>
      <c r="P1313" s="18" t="inlineStr">
        <is>
          <t>-</t>
        </is>
      </c>
      <c r="Q1313" s="19" t="inlineStr">
        <is>
          <t>-</t>
        </is>
      </c>
    </row>
    <row r="1314" ht="36" customHeight="1" s="155">
      <c r="B1314" s="46" t="inlineStr">
        <is>
          <t>Peperoni</t>
        </is>
      </c>
      <c r="C1314" s="49">
        <f>_xlfn.XLOOKUP(A1315,Magazzino!$D$1:$D$1500,Magazzino!$F$1:$F$1500,"",0,1)</f>
        <v/>
      </c>
      <c r="D1314" s="50">
        <f>_xlfn.XLOOKUP(A1316,Magazzino!$D$1:$D$1500,Magazzino!$F$1:$F$1500,"",0,1)</f>
        <v/>
      </c>
      <c r="E1314" s="50">
        <f>_xlfn.XLOOKUP(A1317,Magazzino!$D$1:$D$1500,Magazzino!$F$1:$F$1500,"",0,1)</f>
        <v/>
      </c>
      <c r="F1314" s="50">
        <f>_xlfn.XLOOKUP(A1318,Magazzino!$D$1:$D$1500,Magazzino!$F$1:$F$1500,"",0,1)</f>
        <v/>
      </c>
      <c r="G1314" s="50">
        <f>_xlfn.XLOOKUP(A1319,Magazzino!$D$1:$D$1500,Magazzino!$F$1:$F$1500,"",0,1)</f>
        <v/>
      </c>
      <c r="H1314" s="50">
        <f>_xlfn.XLOOKUP(A1320,Magazzino!$D$1:$D$1500,Magazzino!$F$1:$F$1500,"",0,1)</f>
        <v/>
      </c>
      <c r="I1314" s="50">
        <f>_xlfn.XLOOKUP(A1321,Magazzino!$D$1:$D$1500,Magazzino!$F$1:$F$1500,"",0,1)</f>
        <v/>
      </c>
      <c r="J1314" s="50">
        <f>_xlfn.XLOOKUP(A1322,Magazzino!$D$1:$D$1500,Magazzino!$F$1:$F$1500,"",0,1)</f>
        <v/>
      </c>
      <c r="K1314" s="50">
        <f>_xlfn.XLOOKUP(A1323,Magazzino!$D$1:$D$1500,Magazzino!$F$1:$F$1500,"",0,1)</f>
        <v/>
      </c>
      <c r="L1314" s="50">
        <f>_xlfn.XLOOKUP(A1324,Magazzino!$D$1:$D$1500,Magazzino!$F$1:$F$1500,"",0,1)</f>
        <v/>
      </c>
      <c r="M1314" s="50">
        <f>_xlfn.XLOOKUP(A1325,Magazzino!$D$1:$D$1500,Magazzino!$F$1:$F$1500,"",0,1)</f>
        <v/>
      </c>
      <c r="N1314" s="50">
        <f>_xlfn.XLOOKUP(A1326,Magazzino!$D$1:$D$1500,Magazzino!$F$1:$F$1500,"",0,1)</f>
        <v/>
      </c>
      <c r="O1314" s="50">
        <f>_xlfn.XLOOKUP(A1327,Magazzino!$D$1:$D$1500,Magazzino!$F$1:$F$1500,"",0,1)</f>
        <v/>
      </c>
      <c r="P1314" s="50">
        <f>_xlfn.XLOOKUP(A1328,Magazzino!$D$1:$D$1500,Magazzino!$F$1:$F$1500,"",0,1)</f>
        <v/>
      </c>
      <c r="Q1314" s="51">
        <f>_xlfn.XLOOKUP(A1329,Magazzino!$D$1:$D$1500,Magazzino!$F$1:$F$1500,"",0,1)</f>
        <v/>
      </c>
    </row>
    <row r="1315">
      <c r="A1315" s="47" t="inlineStr">
        <is>
          <t>Peperoni  L.031-004226-0000007</t>
        </is>
      </c>
      <c r="B1315" s="16" t="inlineStr">
        <is>
          <t>-</t>
        </is>
      </c>
      <c r="C1315" s="11" t="inlineStr">
        <is>
          <t>-</t>
        </is>
      </c>
      <c r="D1315" s="11" t="inlineStr">
        <is>
          <t>-</t>
        </is>
      </c>
      <c r="E1315" s="11" t="inlineStr">
        <is>
          <t>-</t>
        </is>
      </c>
      <c r="F1315" s="11" t="inlineStr">
        <is>
          <t>-</t>
        </is>
      </c>
      <c r="G1315" s="11" t="inlineStr">
        <is>
          <t>-</t>
        </is>
      </c>
      <c r="H1315" s="11" t="inlineStr">
        <is>
          <t>-</t>
        </is>
      </c>
      <c r="I1315" s="11" t="inlineStr">
        <is>
          <t>-</t>
        </is>
      </c>
      <c r="J1315" s="11" t="inlineStr">
        <is>
          <t>-</t>
        </is>
      </c>
      <c r="K1315" s="11" t="inlineStr">
        <is>
          <t>-</t>
        </is>
      </c>
      <c r="L1315" s="11" t="inlineStr">
        <is>
          <t>-</t>
        </is>
      </c>
      <c r="M1315" s="11" t="inlineStr">
        <is>
          <t>-</t>
        </is>
      </c>
      <c r="N1315" s="11" t="inlineStr">
        <is>
          <t>-</t>
        </is>
      </c>
      <c r="O1315" s="11" t="inlineStr">
        <is>
          <t>-</t>
        </is>
      </c>
      <c r="P1315" s="11" t="inlineStr">
        <is>
          <t>-</t>
        </is>
      </c>
      <c r="Q1315" s="12" t="inlineStr">
        <is>
          <t>-</t>
        </is>
      </c>
    </row>
    <row r="1316">
      <c r="A1316" s="47" t="n"/>
      <c r="B1316" s="13" t="inlineStr">
        <is>
          <t>-</t>
        </is>
      </c>
      <c r="C1316" s="14" t="inlineStr">
        <is>
          <t>-</t>
        </is>
      </c>
      <c r="D1316" s="14" t="inlineStr">
        <is>
          <t>-</t>
        </is>
      </c>
      <c r="E1316" s="14" t="inlineStr">
        <is>
          <t>-</t>
        </is>
      </c>
      <c r="F1316" s="14" t="inlineStr">
        <is>
          <t>-</t>
        </is>
      </c>
      <c r="G1316" s="14" t="inlineStr">
        <is>
          <t>-</t>
        </is>
      </c>
      <c r="H1316" s="14" t="inlineStr">
        <is>
          <t>-</t>
        </is>
      </c>
      <c r="I1316" s="14" t="inlineStr">
        <is>
          <t>-</t>
        </is>
      </c>
      <c r="J1316" s="14" t="inlineStr">
        <is>
          <t>-</t>
        </is>
      </c>
      <c r="K1316" s="14" t="inlineStr">
        <is>
          <t>-</t>
        </is>
      </c>
      <c r="L1316" s="14" t="inlineStr">
        <is>
          <t>-</t>
        </is>
      </c>
      <c r="M1316" s="14" t="inlineStr">
        <is>
          <t>-</t>
        </is>
      </c>
      <c r="N1316" s="14" t="inlineStr">
        <is>
          <t>-</t>
        </is>
      </c>
      <c r="O1316" s="14" t="inlineStr">
        <is>
          <t>-</t>
        </is>
      </c>
      <c r="P1316" s="14" t="inlineStr">
        <is>
          <t>-</t>
        </is>
      </c>
      <c r="Q1316" s="15" t="inlineStr">
        <is>
          <t>-</t>
        </is>
      </c>
    </row>
    <row r="1317">
      <c r="A1317" s="47" t="n"/>
      <c r="B1317" s="16" t="inlineStr">
        <is>
          <t>-</t>
        </is>
      </c>
      <c r="C1317" s="11" t="inlineStr">
        <is>
          <t>-</t>
        </is>
      </c>
      <c r="D1317" s="11" t="inlineStr">
        <is>
          <t>-</t>
        </is>
      </c>
      <c r="E1317" s="11" t="inlineStr">
        <is>
          <t>-</t>
        </is>
      </c>
      <c r="F1317" s="11" t="inlineStr">
        <is>
          <t>-</t>
        </is>
      </c>
      <c r="G1317" s="11" t="inlineStr">
        <is>
          <t>-</t>
        </is>
      </c>
      <c r="H1317" s="11" t="inlineStr">
        <is>
          <t>-</t>
        </is>
      </c>
      <c r="I1317" s="11" t="inlineStr">
        <is>
          <t>-</t>
        </is>
      </c>
      <c r="J1317" s="11" t="inlineStr">
        <is>
          <t>-</t>
        </is>
      </c>
      <c r="K1317" s="11" t="inlineStr">
        <is>
          <t>-</t>
        </is>
      </c>
      <c r="L1317" s="11" t="inlineStr">
        <is>
          <t>-</t>
        </is>
      </c>
      <c r="M1317" s="11" t="inlineStr">
        <is>
          <t>-</t>
        </is>
      </c>
      <c r="N1317" s="11" t="inlineStr">
        <is>
          <t>-</t>
        </is>
      </c>
      <c r="O1317" s="11" t="inlineStr">
        <is>
          <t>-</t>
        </is>
      </c>
      <c r="P1317" s="11" t="inlineStr">
        <is>
          <t>-</t>
        </is>
      </c>
      <c r="Q1317" s="12" t="inlineStr">
        <is>
          <t>-</t>
        </is>
      </c>
    </row>
    <row r="1318">
      <c r="A1318" s="47" t="n"/>
      <c r="B1318" s="13" t="inlineStr">
        <is>
          <t>-</t>
        </is>
      </c>
      <c r="C1318" s="14" t="inlineStr">
        <is>
          <t>-</t>
        </is>
      </c>
      <c r="D1318" s="14" t="inlineStr">
        <is>
          <t>-</t>
        </is>
      </c>
      <c r="E1318" s="14" t="inlineStr">
        <is>
          <t>-</t>
        </is>
      </c>
      <c r="F1318" s="14" t="inlineStr">
        <is>
          <t>-</t>
        </is>
      </c>
      <c r="G1318" s="14" t="inlineStr">
        <is>
          <t>-</t>
        </is>
      </c>
      <c r="H1318" s="14" t="inlineStr">
        <is>
          <t>-</t>
        </is>
      </c>
      <c r="I1318" s="14" t="inlineStr">
        <is>
          <t>-</t>
        </is>
      </c>
      <c r="J1318" s="14" t="inlineStr">
        <is>
          <t>-</t>
        </is>
      </c>
      <c r="K1318" s="14" t="inlineStr">
        <is>
          <t>-</t>
        </is>
      </c>
      <c r="L1318" s="14" t="inlineStr">
        <is>
          <t>-</t>
        </is>
      </c>
      <c r="M1318" s="14" t="inlineStr">
        <is>
          <t>-</t>
        </is>
      </c>
      <c r="N1318" s="14" t="inlineStr">
        <is>
          <t>-</t>
        </is>
      </c>
      <c r="O1318" s="14" t="inlineStr">
        <is>
          <t>-</t>
        </is>
      </c>
      <c r="P1318" s="14" t="inlineStr">
        <is>
          <t>-</t>
        </is>
      </c>
      <c r="Q1318" s="15" t="inlineStr">
        <is>
          <t>-</t>
        </is>
      </c>
    </row>
    <row r="1319">
      <c r="A1319" s="47" t="n"/>
      <c r="B1319" s="16" t="inlineStr">
        <is>
          <t>-</t>
        </is>
      </c>
      <c r="C1319" s="11" t="inlineStr">
        <is>
          <t>-</t>
        </is>
      </c>
      <c r="D1319" s="11" t="inlineStr">
        <is>
          <t>-</t>
        </is>
      </c>
      <c r="E1319" s="11" t="inlineStr">
        <is>
          <t>-</t>
        </is>
      </c>
      <c r="F1319" s="11" t="inlineStr">
        <is>
          <t>-</t>
        </is>
      </c>
      <c r="G1319" s="11" t="inlineStr">
        <is>
          <t>-</t>
        </is>
      </c>
      <c r="H1319" s="11" t="inlineStr">
        <is>
          <t>-</t>
        </is>
      </c>
      <c r="I1319" s="11" t="inlineStr">
        <is>
          <t>-</t>
        </is>
      </c>
      <c r="J1319" s="11" t="inlineStr">
        <is>
          <t>-</t>
        </is>
      </c>
      <c r="K1319" s="11" t="inlineStr">
        <is>
          <t>-</t>
        </is>
      </c>
      <c r="L1319" s="11" t="inlineStr">
        <is>
          <t>-</t>
        </is>
      </c>
      <c r="M1319" s="11" t="inlineStr">
        <is>
          <t>-</t>
        </is>
      </c>
      <c r="N1319" s="11" t="inlineStr">
        <is>
          <t>-</t>
        </is>
      </c>
      <c r="O1319" s="11" t="inlineStr">
        <is>
          <t>-</t>
        </is>
      </c>
      <c r="P1319" s="11" t="inlineStr">
        <is>
          <t>-</t>
        </is>
      </c>
      <c r="Q1319" s="12" t="inlineStr">
        <is>
          <t>-</t>
        </is>
      </c>
    </row>
    <row r="1320">
      <c r="A1320" s="47" t="n"/>
      <c r="B1320" s="13" t="inlineStr">
        <is>
          <t>-</t>
        </is>
      </c>
      <c r="C1320" s="14" t="inlineStr">
        <is>
          <t>-</t>
        </is>
      </c>
      <c r="D1320" s="14" t="inlineStr">
        <is>
          <t>-</t>
        </is>
      </c>
      <c r="E1320" s="14" t="inlineStr">
        <is>
          <t>-</t>
        </is>
      </c>
      <c r="F1320" s="14" t="inlineStr">
        <is>
          <t>-</t>
        </is>
      </c>
      <c r="G1320" s="14" t="inlineStr">
        <is>
          <t>-</t>
        </is>
      </c>
      <c r="H1320" s="14" t="inlineStr">
        <is>
          <t>-</t>
        </is>
      </c>
      <c r="I1320" s="14" t="inlineStr">
        <is>
          <t>-</t>
        </is>
      </c>
      <c r="J1320" s="14" t="inlineStr">
        <is>
          <t>-</t>
        </is>
      </c>
      <c r="K1320" s="14" t="inlineStr">
        <is>
          <t>-</t>
        </is>
      </c>
      <c r="L1320" s="14" t="inlineStr">
        <is>
          <t>-</t>
        </is>
      </c>
      <c r="M1320" s="14" t="inlineStr">
        <is>
          <t>-</t>
        </is>
      </c>
      <c r="N1320" s="14" t="inlineStr">
        <is>
          <t>-</t>
        </is>
      </c>
      <c r="O1320" s="14" t="inlineStr">
        <is>
          <t>-</t>
        </is>
      </c>
      <c r="P1320" s="14" t="inlineStr">
        <is>
          <t>-</t>
        </is>
      </c>
      <c r="Q1320" s="15" t="inlineStr">
        <is>
          <t>-</t>
        </is>
      </c>
    </row>
    <row r="1321">
      <c r="A1321" s="47" t="n"/>
      <c r="B1321" s="16" t="inlineStr">
        <is>
          <t>-</t>
        </is>
      </c>
      <c r="C1321" s="11" t="inlineStr">
        <is>
          <t>-</t>
        </is>
      </c>
      <c r="D1321" s="11" t="inlineStr">
        <is>
          <t>-</t>
        </is>
      </c>
      <c r="E1321" s="11" t="inlineStr">
        <is>
          <t>-</t>
        </is>
      </c>
      <c r="F1321" s="11" t="inlineStr">
        <is>
          <t>-</t>
        </is>
      </c>
      <c r="G1321" s="11" t="inlineStr">
        <is>
          <t>-</t>
        </is>
      </c>
      <c r="H1321" s="11" t="inlineStr">
        <is>
          <t>-</t>
        </is>
      </c>
      <c r="I1321" s="11" t="inlineStr">
        <is>
          <t>-</t>
        </is>
      </c>
      <c r="J1321" s="11" t="inlineStr">
        <is>
          <t>-</t>
        </is>
      </c>
      <c r="K1321" s="11" t="inlineStr">
        <is>
          <t>-</t>
        </is>
      </c>
      <c r="L1321" s="11" t="inlineStr">
        <is>
          <t>-</t>
        </is>
      </c>
      <c r="M1321" s="11" t="inlineStr">
        <is>
          <t>-</t>
        </is>
      </c>
      <c r="N1321" s="11" t="inlineStr">
        <is>
          <t>-</t>
        </is>
      </c>
      <c r="O1321" s="11" t="inlineStr">
        <is>
          <t>-</t>
        </is>
      </c>
      <c r="P1321" s="11" t="inlineStr">
        <is>
          <t>-</t>
        </is>
      </c>
      <c r="Q1321" s="12" t="inlineStr">
        <is>
          <t>-</t>
        </is>
      </c>
    </row>
    <row r="1322">
      <c r="A1322" s="47" t="n"/>
      <c r="B1322" s="13" t="inlineStr">
        <is>
          <t>-</t>
        </is>
      </c>
      <c r="C1322" s="14" t="inlineStr">
        <is>
          <t>-</t>
        </is>
      </c>
      <c r="D1322" s="14" t="inlineStr">
        <is>
          <t>-</t>
        </is>
      </c>
      <c r="E1322" s="14" t="inlineStr">
        <is>
          <t>-</t>
        </is>
      </c>
      <c r="F1322" s="14" t="inlineStr">
        <is>
          <t>-</t>
        </is>
      </c>
      <c r="G1322" s="14" t="inlineStr">
        <is>
          <t>-</t>
        </is>
      </c>
      <c r="H1322" s="14" t="inlineStr">
        <is>
          <t>-</t>
        </is>
      </c>
      <c r="I1322" s="14" t="inlineStr">
        <is>
          <t>-</t>
        </is>
      </c>
      <c r="J1322" s="14" t="inlineStr">
        <is>
          <t>-</t>
        </is>
      </c>
      <c r="K1322" s="14" t="inlineStr">
        <is>
          <t>-</t>
        </is>
      </c>
      <c r="L1322" s="14" t="inlineStr">
        <is>
          <t>-</t>
        </is>
      </c>
      <c r="M1322" s="14" t="inlineStr">
        <is>
          <t>-</t>
        </is>
      </c>
      <c r="N1322" s="14" t="inlineStr">
        <is>
          <t>-</t>
        </is>
      </c>
      <c r="O1322" s="14" t="inlineStr">
        <is>
          <t>-</t>
        </is>
      </c>
      <c r="P1322" s="14" t="inlineStr">
        <is>
          <t>-</t>
        </is>
      </c>
      <c r="Q1322" s="15" t="inlineStr">
        <is>
          <t>-</t>
        </is>
      </c>
    </row>
    <row r="1323">
      <c r="A1323" s="47" t="n"/>
      <c r="B1323" s="16" t="inlineStr">
        <is>
          <t>-</t>
        </is>
      </c>
      <c r="C1323" s="11" t="inlineStr">
        <is>
          <t>-</t>
        </is>
      </c>
      <c r="D1323" s="11" t="inlineStr">
        <is>
          <t>-</t>
        </is>
      </c>
      <c r="E1323" s="11" t="inlineStr">
        <is>
          <t>-</t>
        </is>
      </c>
      <c r="F1323" s="11" t="inlineStr">
        <is>
          <t>-</t>
        </is>
      </c>
      <c r="G1323" s="11" t="inlineStr">
        <is>
          <t>-</t>
        </is>
      </c>
      <c r="H1323" s="11" t="inlineStr">
        <is>
          <t>-</t>
        </is>
      </c>
      <c r="I1323" s="11" t="inlineStr">
        <is>
          <t>-</t>
        </is>
      </c>
      <c r="J1323" s="11" t="inlineStr">
        <is>
          <t>-</t>
        </is>
      </c>
      <c r="K1323" s="11" t="inlineStr">
        <is>
          <t>-</t>
        </is>
      </c>
      <c r="L1323" s="11" t="inlineStr">
        <is>
          <t>-</t>
        </is>
      </c>
      <c r="M1323" s="11" t="inlineStr">
        <is>
          <t>-</t>
        </is>
      </c>
      <c r="N1323" s="11" t="inlineStr">
        <is>
          <t>-</t>
        </is>
      </c>
      <c r="O1323" s="11" t="inlineStr">
        <is>
          <t>-</t>
        </is>
      </c>
      <c r="P1323" s="11" t="inlineStr">
        <is>
          <t>-</t>
        </is>
      </c>
      <c r="Q1323" s="12" t="inlineStr">
        <is>
          <t>-</t>
        </is>
      </c>
    </row>
    <row r="1324">
      <c r="A1324" s="47" t="n"/>
      <c r="B1324" s="13" t="inlineStr">
        <is>
          <t>-</t>
        </is>
      </c>
      <c r="C1324" s="14" t="inlineStr">
        <is>
          <t>-</t>
        </is>
      </c>
      <c r="D1324" s="14" t="inlineStr">
        <is>
          <t>-</t>
        </is>
      </c>
      <c r="E1324" s="14" t="inlineStr">
        <is>
          <t>-</t>
        </is>
      </c>
      <c r="F1324" s="14" t="inlineStr">
        <is>
          <t>-</t>
        </is>
      </c>
      <c r="G1324" s="14" t="inlineStr">
        <is>
          <t>-</t>
        </is>
      </c>
      <c r="H1324" s="14" t="inlineStr">
        <is>
          <t>-</t>
        </is>
      </c>
      <c r="I1324" s="14" t="inlineStr">
        <is>
          <t>-</t>
        </is>
      </c>
      <c r="J1324" s="14" t="inlineStr">
        <is>
          <t>-</t>
        </is>
      </c>
      <c r="K1324" s="14" t="inlineStr">
        <is>
          <t>-</t>
        </is>
      </c>
      <c r="L1324" s="14" t="inlineStr">
        <is>
          <t>-</t>
        </is>
      </c>
      <c r="M1324" s="14" t="inlineStr">
        <is>
          <t>-</t>
        </is>
      </c>
      <c r="N1324" s="14" t="inlineStr">
        <is>
          <t>-</t>
        </is>
      </c>
      <c r="O1324" s="14" t="inlineStr">
        <is>
          <t>-</t>
        </is>
      </c>
      <c r="P1324" s="14" t="inlineStr">
        <is>
          <t>-</t>
        </is>
      </c>
      <c r="Q1324" s="15" t="inlineStr">
        <is>
          <t>-</t>
        </is>
      </c>
    </row>
    <row r="1325">
      <c r="A1325" s="47" t="n"/>
      <c r="B1325" s="16" t="inlineStr">
        <is>
          <t>-</t>
        </is>
      </c>
      <c r="C1325" s="11" t="inlineStr">
        <is>
          <t>-</t>
        </is>
      </c>
      <c r="D1325" s="11" t="inlineStr">
        <is>
          <t>-</t>
        </is>
      </c>
      <c r="E1325" s="11" t="inlineStr">
        <is>
          <t>-</t>
        </is>
      </c>
      <c r="F1325" s="11" t="inlineStr">
        <is>
          <t>-</t>
        </is>
      </c>
      <c r="G1325" s="11" t="inlineStr">
        <is>
          <t>-</t>
        </is>
      </c>
      <c r="H1325" s="11" t="inlineStr">
        <is>
          <t>-</t>
        </is>
      </c>
      <c r="I1325" s="11" t="inlineStr">
        <is>
          <t>-</t>
        </is>
      </c>
      <c r="J1325" s="11" t="inlineStr">
        <is>
          <t>-</t>
        </is>
      </c>
      <c r="K1325" s="11" t="inlineStr">
        <is>
          <t>-</t>
        </is>
      </c>
      <c r="L1325" s="11" t="inlineStr">
        <is>
          <t>-</t>
        </is>
      </c>
      <c r="M1325" s="11" t="inlineStr">
        <is>
          <t>-</t>
        </is>
      </c>
      <c r="N1325" s="11" t="inlineStr">
        <is>
          <t>-</t>
        </is>
      </c>
      <c r="O1325" s="11" t="inlineStr">
        <is>
          <t>-</t>
        </is>
      </c>
      <c r="P1325" s="11" t="inlineStr">
        <is>
          <t>-</t>
        </is>
      </c>
      <c r="Q1325" s="12" t="inlineStr">
        <is>
          <t>-</t>
        </is>
      </c>
    </row>
    <row r="1326">
      <c r="A1326" s="47" t="n"/>
      <c r="B1326" s="13" t="inlineStr">
        <is>
          <t>-</t>
        </is>
      </c>
      <c r="C1326" s="14" t="inlineStr">
        <is>
          <t>-</t>
        </is>
      </c>
      <c r="D1326" s="14" t="inlineStr">
        <is>
          <t>-</t>
        </is>
      </c>
      <c r="E1326" s="14" t="inlineStr">
        <is>
          <t>-</t>
        </is>
      </c>
      <c r="F1326" s="14" t="inlineStr">
        <is>
          <t>-</t>
        </is>
      </c>
      <c r="G1326" s="14" t="inlineStr">
        <is>
          <t>-</t>
        </is>
      </c>
      <c r="H1326" s="14" t="inlineStr">
        <is>
          <t>-</t>
        </is>
      </c>
      <c r="I1326" s="14" t="inlineStr">
        <is>
          <t>-</t>
        </is>
      </c>
      <c r="J1326" s="14" t="inlineStr">
        <is>
          <t>-</t>
        </is>
      </c>
      <c r="K1326" s="14" t="inlineStr">
        <is>
          <t>-</t>
        </is>
      </c>
      <c r="L1326" s="14" t="inlineStr">
        <is>
          <t>-</t>
        </is>
      </c>
      <c r="M1326" s="14" t="inlineStr">
        <is>
          <t>-</t>
        </is>
      </c>
      <c r="N1326" s="14" t="inlineStr">
        <is>
          <t>-</t>
        </is>
      </c>
      <c r="O1326" s="14" t="inlineStr">
        <is>
          <t>-</t>
        </is>
      </c>
      <c r="P1326" s="14" t="inlineStr">
        <is>
          <t>-</t>
        </is>
      </c>
      <c r="Q1326" s="15" t="inlineStr">
        <is>
          <t>-</t>
        </is>
      </c>
    </row>
    <row r="1327">
      <c r="A1327" s="47" t="n"/>
      <c r="B1327" s="16" t="inlineStr">
        <is>
          <t>-</t>
        </is>
      </c>
      <c r="C1327" s="11" t="inlineStr">
        <is>
          <t>-</t>
        </is>
      </c>
      <c r="D1327" s="11" t="inlineStr">
        <is>
          <t>-</t>
        </is>
      </c>
      <c r="E1327" s="11" t="inlineStr">
        <is>
          <t>-</t>
        </is>
      </c>
      <c r="F1327" s="11" t="inlineStr">
        <is>
          <t>-</t>
        </is>
      </c>
      <c r="G1327" s="11" t="inlineStr">
        <is>
          <t>-</t>
        </is>
      </c>
      <c r="H1327" s="11" t="inlineStr">
        <is>
          <t>-</t>
        </is>
      </c>
      <c r="I1327" s="11" t="inlineStr">
        <is>
          <t>-</t>
        </is>
      </c>
      <c r="J1327" s="11" t="inlineStr">
        <is>
          <t>-</t>
        </is>
      </c>
      <c r="K1327" s="11" t="inlineStr">
        <is>
          <t>-</t>
        </is>
      </c>
      <c r="L1327" s="11" t="inlineStr">
        <is>
          <t>-</t>
        </is>
      </c>
      <c r="M1327" s="11" t="inlineStr">
        <is>
          <t>-</t>
        </is>
      </c>
      <c r="N1327" s="11" t="inlineStr">
        <is>
          <t>-</t>
        </is>
      </c>
      <c r="O1327" s="11" t="inlineStr">
        <is>
          <t>-</t>
        </is>
      </c>
      <c r="P1327" s="11" t="inlineStr">
        <is>
          <t>-</t>
        </is>
      </c>
      <c r="Q1327" s="12" t="inlineStr">
        <is>
          <t>-</t>
        </is>
      </c>
    </row>
    <row r="1328">
      <c r="A1328" s="47" t="n"/>
      <c r="B1328" s="13" t="inlineStr">
        <is>
          <t>-</t>
        </is>
      </c>
      <c r="C1328" s="14" t="inlineStr">
        <is>
          <t>-</t>
        </is>
      </c>
      <c r="D1328" s="14" t="inlineStr">
        <is>
          <t>-</t>
        </is>
      </c>
      <c r="E1328" s="14" t="inlineStr">
        <is>
          <t>-</t>
        </is>
      </c>
      <c r="F1328" s="14" t="inlineStr">
        <is>
          <t>-</t>
        </is>
      </c>
      <c r="G1328" s="14" t="inlineStr">
        <is>
          <t>-</t>
        </is>
      </c>
      <c r="H1328" s="14" t="inlineStr">
        <is>
          <t>-</t>
        </is>
      </c>
      <c r="I1328" s="14" t="inlineStr">
        <is>
          <t>-</t>
        </is>
      </c>
      <c r="J1328" s="14" t="inlineStr">
        <is>
          <t>-</t>
        </is>
      </c>
      <c r="K1328" s="14" t="inlineStr">
        <is>
          <t>-</t>
        </is>
      </c>
      <c r="L1328" s="14" t="inlineStr">
        <is>
          <t>-</t>
        </is>
      </c>
      <c r="M1328" s="14" t="inlineStr">
        <is>
          <t>-</t>
        </is>
      </c>
      <c r="N1328" s="14" t="inlineStr">
        <is>
          <t>-</t>
        </is>
      </c>
      <c r="O1328" s="14" t="inlineStr">
        <is>
          <t>-</t>
        </is>
      </c>
      <c r="P1328" s="14" t="inlineStr">
        <is>
          <t>-</t>
        </is>
      </c>
      <c r="Q1328" s="15" t="inlineStr">
        <is>
          <t>-</t>
        </is>
      </c>
    </row>
    <row r="1329">
      <c r="A1329" s="47" t="n"/>
      <c r="B1329" s="17" t="inlineStr">
        <is>
          <t>-</t>
        </is>
      </c>
      <c r="C1329" s="18" t="inlineStr">
        <is>
          <t>-</t>
        </is>
      </c>
      <c r="D1329" s="18" t="inlineStr">
        <is>
          <t>-</t>
        </is>
      </c>
      <c r="E1329" s="18" t="inlineStr">
        <is>
          <t>-</t>
        </is>
      </c>
      <c r="F1329" s="18" t="inlineStr">
        <is>
          <t>-</t>
        </is>
      </c>
      <c r="G1329" s="18" t="inlineStr">
        <is>
          <t>-</t>
        </is>
      </c>
      <c r="H1329" s="18" t="inlineStr">
        <is>
          <t>-</t>
        </is>
      </c>
      <c r="I1329" s="18" t="inlineStr">
        <is>
          <t>-</t>
        </is>
      </c>
      <c r="J1329" s="18" t="inlineStr">
        <is>
          <t>-</t>
        </is>
      </c>
      <c r="K1329" s="18" t="inlineStr">
        <is>
          <t>-</t>
        </is>
      </c>
      <c r="L1329" s="18" t="inlineStr">
        <is>
          <t>-</t>
        </is>
      </c>
      <c r="M1329" s="18" t="inlineStr">
        <is>
          <t>-</t>
        </is>
      </c>
      <c r="N1329" s="18" t="inlineStr">
        <is>
          <t>-</t>
        </is>
      </c>
      <c r="O1329" s="18" t="inlineStr">
        <is>
          <t>-</t>
        </is>
      </c>
      <c r="P1329" s="18" t="inlineStr">
        <is>
          <t>-</t>
        </is>
      </c>
      <c r="Q1329" s="19" t="inlineStr">
        <is>
          <t>-</t>
        </is>
      </c>
    </row>
    <row r="1330" ht="48" customHeight="1" s="155">
      <c r="B1330" s="46" t="inlineStr">
        <is>
          <t>panettone tre cioccolato</t>
        </is>
      </c>
      <c r="C1330" s="49">
        <f>_xlfn.XLOOKUP(A1331,Magazzino!$D$1:$D$1500,Magazzino!$F$1:$F$1500,"",0,1)</f>
        <v/>
      </c>
      <c r="D1330" s="50">
        <f>_xlfn.XLOOKUP(A1332,Magazzino!$D$1:$D$1500,Magazzino!$F$1:$F$1500,"",0,1)</f>
        <v/>
      </c>
      <c r="E1330" s="50">
        <f>_xlfn.XLOOKUP(A1333,Magazzino!$D$1:$D$1500,Magazzino!$F$1:$F$1500,"",0,1)</f>
        <v/>
      </c>
      <c r="F1330" s="50">
        <f>_xlfn.XLOOKUP(A1334,Magazzino!$D$1:$D$1500,Magazzino!$F$1:$F$1500,"",0,1)</f>
        <v/>
      </c>
      <c r="G1330" s="50">
        <f>_xlfn.XLOOKUP(A1335,Magazzino!$D$1:$D$1500,Magazzino!$F$1:$F$1500,"",0,1)</f>
        <v/>
      </c>
      <c r="H1330" s="50">
        <f>_xlfn.XLOOKUP(A1336,Magazzino!$D$1:$D$1500,Magazzino!$F$1:$F$1500,"",0,1)</f>
        <v/>
      </c>
      <c r="I1330" s="50">
        <f>_xlfn.XLOOKUP(A1337,Magazzino!$D$1:$D$1500,Magazzino!$F$1:$F$1500,"",0,1)</f>
        <v/>
      </c>
      <c r="J1330" s="50">
        <f>_xlfn.XLOOKUP(A1338,Magazzino!$D$1:$D$1500,Magazzino!$F$1:$F$1500,"",0,1)</f>
        <v/>
      </c>
      <c r="K1330" s="50">
        <f>_xlfn.XLOOKUP(A1339,Magazzino!$D$1:$D$1500,Magazzino!$F$1:$F$1500,"",0,1)</f>
        <v/>
      </c>
      <c r="L1330" s="50">
        <f>_xlfn.XLOOKUP(A1340,Magazzino!$D$1:$D$1500,Magazzino!$F$1:$F$1500,"",0,1)</f>
        <v/>
      </c>
      <c r="M1330" s="50">
        <f>_xlfn.XLOOKUP(A1341,Magazzino!$D$1:$D$1500,Magazzino!$F$1:$F$1500,"",0,1)</f>
        <v/>
      </c>
      <c r="N1330" s="50">
        <f>_xlfn.XLOOKUP(A1342,Magazzino!$D$1:$D$1500,Magazzino!$F$1:$F$1500,"",0,1)</f>
        <v/>
      </c>
      <c r="O1330" s="50">
        <f>_xlfn.XLOOKUP(A1343,Magazzino!$D$1:$D$1500,Magazzino!$F$1:$F$1500,"",0,1)</f>
        <v/>
      </c>
      <c r="P1330" s="50">
        <f>_xlfn.XLOOKUP(A1344,Magazzino!$D$1:$D$1500,Magazzino!$F$1:$F$1500,"",0,1)</f>
        <v/>
      </c>
      <c r="Q1330" s="51">
        <f>_xlfn.XLOOKUP(A1345,Magazzino!$D$1:$D$1500,Magazzino!$F$1:$F$1500,"",0,1)</f>
        <v/>
      </c>
    </row>
    <row r="1331">
      <c r="A1331" s="47" t="inlineStr">
        <is>
          <t xml:space="preserve">FARINA 00 CAPUTO RINFORZ.KG.25  </t>
        </is>
      </c>
      <c r="B1331" s="16" t="inlineStr">
        <is>
          <t>-</t>
        </is>
      </c>
      <c r="C1331" s="11" t="inlineStr">
        <is>
          <t>-</t>
        </is>
      </c>
      <c r="D1331" s="11" t="inlineStr">
        <is>
          <t>-</t>
        </is>
      </c>
      <c r="E1331" s="11" t="inlineStr">
        <is>
          <t>-</t>
        </is>
      </c>
      <c r="F1331" s="11" t="inlineStr">
        <is>
          <t>-</t>
        </is>
      </c>
      <c r="G1331" s="11" t="inlineStr">
        <is>
          <t>-</t>
        </is>
      </c>
      <c r="H1331" s="11" t="inlineStr">
        <is>
          <t>-</t>
        </is>
      </c>
      <c r="I1331" s="11" t="inlineStr">
        <is>
          <t>-</t>
        </is>
      </c>
      <c r="J1331" s="11" t="inlineStr">
        <is>
          <t>-</t>
        </is>
      </c>
      <c r="K1331" s="11" t="inlineStr">
        <is>
          <t>-</t>
        </is>
      </c>
      <c r="L1331" s="11" t="inlineStr">
        <is>
          <t>-</t>
        </is>
      </c>
      <c r="M1331" s="11" t="inlineStr">
        <is>
          <t>-</t>
        </is>
      </c>
      <c r="N1331" s="11" t="inlineStr">
        <is>
          <t>-</t>
        </is>
      </c>
      <c r="O1331" s="11" t="inlineStr">
        <is>
          <t>-</t>
        </is>
      </c>
      <c r="P1331" s="11" t="inlineStr">
        <is>
          <t>-</t>
        </is>
      </c>
      <c r="Q1331" s="12" t="inlineStr">
        <is>
          <t>-</t>
        </is>
      </c>
    </row>
    <row r="1332">
      <c r="A1332" s="47" t="inlineStr">
        <is>
          <t xml:space="preserve">SALE FINO ITALKALI DA KG.1X12  </t>
        </is>
      </c>
      <c r="B1332" s="13" t="inlineStr">
        <is>
          <t>-</t>
        </is>
      </c>
      <c r="C1332" s="14" t="inlineStr">
        <is>
          <t>-</t>
        </is>
      </c>
      <c r="D1332" s="14" t="inlineStr">
        <is>
          <t>-</t>
        </is>
      </c>
      <c r="E1332" s="14" t="inlineStr">
        <is>
          <t>-</t>
        </is>
      </c>
      <c r="F1332" s="14" t="inlineStr">
        <is>
          <t>-</t>
        </is>
      </c>
      <c r="G1332" s="14" t="inlineStr">
        <is>
          <t>-</t>
        </is>
      </c>
      <c r="H1332" s="14" t="inlineStr">
        <is>
          <t>-</t>
        </is>
      </c>
      <c r="I1332" s="14" t="inlineStr">
        <is>
          <t>-</t>
        </is>
      </c>
      <c r="J1332" s="14" t="inlineStr">
        <is>
          <t>-</t>
        </is>
      </c>
      <c r="K1332" s="14" t="inlineStr">
        <is>
          <t>-</t>
        </is>
      </c>
      <c r="L1332" s="14" t="inlineStr">
        <is>
          <t>-</t>
        </is>
      </c>
      <c r="M1332" s="14" t="inlineStr">
        <is>
          <t>-</t>
        </is>
      </c>
      <c r="N1332" s="14" t="inlineStr">
        <is>
          <t>-</t>
        </is>
      </c>
      <c r="O1332" s="14" t="inlineStr">
        <is>
          <t>-</t>
        </is>
      </c>
      <c r="P1332" s="14" t="inlineStr">
        <is>
          <t>-</t>
        </is>
      </c>
      <c r="Q1332" s="15" t="inlineStr">
        <is>
          <t>-</t>
        </is>
      </c>
    </row>
    <row r="1333" ht="24" customHeight="1" s="155">
      <c r="A1333" s="47" t="inlineStr">
        <is>
          <t xml:space="preserve">LIEVITO DA KG 5 NATURALE NATURVI-S (4849)  </t>
        </is>
      </c>
      <c r="B1333" s="16" t="inlineStr">
        <is>
          <t>-</t>
        </is>
      </c>
      <c r="C1333" s="11" t="inlineStr">
        <is>
          <t>-</t>
        </is>
      </c>
      <c r="D1333" s="11" t="inlineStr">
        <is>
          <t>-</t>
        </is>
      </c>
      <c r="E1333" s="11" t="inlineStr">
        <is>
          <t>-</t>
        </is>
      </c>
      <c r="F1333" s="11" t="inlineStr">
        <is>
          <t>-</t>
        </is>
      </c>
      <c r="G1333" s="11" t="inlineStr">
        <is>
          <t>-</t>
        </is>
      </c>
      <c r="H1333" s="11" t="inlineStr">
        <is>
          <t>-</t>
        </is>
      </c>
      <c r="I1333" s="11" t="inlineStr">
        <is>
          <t>-</t>
        </is>
      </c>
      <c r="J1333" s="11" t="inlineStr">
        <is>
          <t>-</t>
        </is>
      </c>
      <c r="K1333" s="11" t="inlineStr">
        <is>
          <t>-</t>
        </is>
      </c>
      <c r="L1333" s="11" t="inlineStr">
        <is>
          <t>-</t>
        </is>
      </c>
      <c r="M1333" s="11" t="inlineStr">
        <is>
          <t>-</t>
        </is>
      </c>
      <c r="N1333" s="11" t="inlineStr">
        <is>
          <t>-</t>
        </is>
      </c>
      <c r="O1333" s="11" t="inlineStr">
        <is>
          <t>-</t>
        </is>
      </c>
      <c r="P1333" s="11" t="inlineStr">
        <is>
          <t>-</t>
        </is>
      </c>
      <c r="Q1333" s="12" t="inlineStr">
        <is>
          <t>-</t>
        </is>
      </c>
    </row>
    <row r="1334">
      <c r="A1334" s="47" t="inlineStr">
        <is>
          <t>tuorlo d'uovo pastorizzato</t>
        </is>
      </c>
      <c r="B1334" s="13" t="inlineStr">
        <is>
          <t>-</t>
        </is>
      </c>
      <c r="C1334" s="14" t="inlineStr">
        <is>
          <t>-</t>
        </is>
      </c>
      <c r="D1334" s="14" t="inlineStr">
        <is>
          <t>-</t>
        </is>
      </c>
      <c r="E1334" s="14" t="inlineStr">
        <is>
          <t>-</t>
        </is>
      </c>
      <c r="F1334" s="14" t="inlineStr">
        <is>
          <t>-</t>
        </is>
      </c>
      <c r="G1334" s="14" t="inlineStr">
        <is>
          <t>-</t>
        </is>
      </c>
      <c r="H1334" s="14" t="inlineStr">
        <is>
          <t>-</t>
        </is>
      </c>
      <c r="I1334" s="14" t="inlineStr">
        <is>
          <t>-</t>
        </is>
      </c>
      <c r="J1334" s="14" t="inlineStr">
        <is>
          <t>-</t>
        </is>
      </c>
      <c r="K1334" s="14" t="inlineStr">
        <is>
          <t>-</t>
        </is>
      </c>
      <c r="L1334" s="14" t="inlineStr">
        <is>
          <t>-</t>
        </is>
      </c>
      <c r="M1334" s="14" t="inlineStr">
        <is>
          <t>-</t>
        </is>
      </c>
      <c r="N1334" s="14" t="inlineStr">
        <is>
          <t>-</t>
        </is>
      </c>
      <c r="O1334" s="14" t="inlineStr">
        <is>
          <t>-</t>
        </is>
      </c>
      <c r="P1334" s="14" t="inlineStr">
        <is>
          <t>-</t>
        </is>
      </c>
      <c r="Q1334" s="15" t="inlineStr">
        <is>
          <t>-</t>
        </is>
      </c>
    </row>
    <row r="1335" ht="24" customHeight="1" s="155">
      <c r="A1335" s="47" t="inlineStr">
        <is>
          <t xml:space="preserve">PASTA GLASSATURA LATTE PATE A GLACER DA KG 5 (Blonde)  </t>
        </is>
      </c>
      <c r="B1335" s="16" t="inlineStr">
        <is>
          <t>-</t>
        </is>
      </c>
      <c r="C1335" s="11" t="inlineStr">
        <is>
          <t>-</t>
        </is>
      </c>
      <c r="D1335" s="11" t="inlineStr">
        <is>
          <t>-</t>
        </is>
      </c>
      <c r="E1335" s="11" t="inlineStr">
        <is>
          <t>-</t>
        </is>
      </c>
      <c r="F1335" s="11" t="inlineStr">
        <is>
          <t>-</t>
        </is>
      </c>
      <c r="G1335" s="11" t="inlineStr">
        <is>
          <t>-</t>
        </is>
      </c>
      <c r="H1335" s="11" t="inlineStr">
        <is>
          <t>-</t>
        </is>
      </c>
      <c r="I1335" s="11" t="inlineStr">
        <is>
          <t>-</t>
        </is>
      </c>
      <c r="J1335" s="11" t="inlineStr">
        <is>
          <t>-</t>
        </is>
      </c>
      <c r="K1335" s="11" t="inlineStr">
        <is>
          <t>-</t>
        </is>
      </c>
      <c r="L1335" s="11" t="inlineStr">
        <is>
          <t>-</t>
        </is>
      </c>
      <c r="M1335" s="11" t="inlineStr">
        <is>
          <t>-</t>
        </is>
      </c>
      <c r="N1335" s="11" t="inlineStr">
        <is>
          <t>-</t>
        </is>
      </c>
      <c r="O1335" s="11" t="inlineStr">
        <is>
          <t>-</t>
        </is>
      </c>
      <c r="P1335" s="11" t="inlineStr">
        <is>
          <t>-</t>
        </is>
      </c>
      <c r="Q1335" s="12" t="inlineStr">
        <is>
          <t>-</t>
        </is>
      </c>
    </row>
    <row r="1336" ht="24" customHeight="1" s="155">
      <c r="A1336" s="47" t="inlineStr">
        <is>
          <t xml:space="preserve">CHUNKS - CUBETTI DI CIOCCOLATO FONDENTE DA KG 2,5  </t>
        </is>
      </c>
      <c r="B1336" s="13" t="inlineStr">
        <is>
          <t>-</t>
        </is>
      </c>
      <c r="C1336" s="14" t="inlineStr">
        <is>
          <t>-</t>
        </is>
      </c>
      <c r="D1336" s="14" t="inlineStr">
        <is>
          <t>-</t>
        </is>
      </c>
      <c r="E1336" s="14" t="inlineStr">
        <is>
          <t>-</t>
        </is>
      </c>
      <c r="F1336" s="14" t="inlineStr">
        <is>
          <t>-</t>
        </is>
      </c>
      <c r="G1336" s="14" t="inlineStr">
        <is>
          <t>-</t>
        </is>
      </c>
      <c r="H1336" s="14" t="inlineStr">
        <is>
          <t>-</t>
        </is>
      </c>
      <c r="I1336" s="14" t="inlineStr">
        <is>
          <t>-</t>
        </is>
      </c>
      <c r="J1336" s="14" t="inlineStr">
        <is>
          <t>-</t>
        </is>
      </c>
      <c r="K1336" s="14" t="inlineStr">
        <is>
          <t>-</t>
        </is>
      </c>
      <c r="L1336" s="14" t="inlineStr">
        <is>
          <t>-</t>
        </is>
      </c>
      <c r="M1336" s="14" t="inlineStr">
        <is>
          <t>-</t>
        </is>
      </c>
      <c r="N1336" s="14" t="inlineStr">
        <is>
          <t>-</t>
        </is>
      </c>
      <c r="O1336" s="14" t="inlineStr">
        <is>
          <t>-</t>
        </is>
      </c>
      <c r="P1336" s="14" t="inlineStr">
        <is>
          <t>-</t>
        </is>
      </c>
      <c r="Q1336" s="15" t="inlineStr">
        <is>
          <t>-</t>
        </is>
      </c>
    </row>
    <row r="1337">
      <c r="A1337" s="47" t="inlineStr">
        <is>
          <t xml:space="preserve">ESSENZA BURRO ML 500  </t>
        </is>
      </c>
      <c r="B1337" s="16" t="inlineStr">
        <is>
          <t>-</t>
        </is>
      </c>
      <c r="C1337" s="11" t="inlineStr">
        <is>
          <t>-</t>
        </is>
      </c>
      <c r="D1337" s="11" t="inlineStr">
        <is>
          <t>-</t>
        </is>
      </c>
      <c r="E1337" s="11" t="inlineStr">
        <is>
          <t>-</t>
        </is>
      </c>
      <c r="F1337" s="11" t="inlineStr">
        <is>
          <t>-</t>
        </is>
      </c>
      <c r="G1337" s="11" t="inlineStr">
        <is>
          <t>-</t>
        </is>
      </c>
      <c r="H1337" s="11" t="inlineStr">
        <is>
          <t>-</t>
        </is>
      </c>
      <c r="I1337" s="11" t="inlineStr">
        <is>
          <t>-</t>
        </is>
      </c>
      <c r="J1337" s="11" t="inlineStr">
        <is>
          <t>-</t>
        </is>
      </c>
      <c r="K1337" s="11" t="inlineStr">
        <is>
          <t>-</t>
        </is>
      </c>
      <c r="L1337" s="11" t="inlineStr">
        <is>
          <t>-</t>
        </is>
      </c>
      <c r="M1337" s="11" t="inlineStr">
        <is>
          <t>-</t>
        </is>
      </c>
      <c r="N1337" s="11" t="inlineStr">
        <is>
          <t>-</t>
        </is>
      </c>
      <c r="O1337" s="11" t="inlineStr">
        <is>
          <t>-</t>
        </is>
      </c>
      <c r="P1337" s="11" t="inlineStr">
        <is>
          <t>-</t>
        </is>
      </c>
      <c r="Q1337" s="12" t="inlineStr">
        <is>
          <t>-</t>
        </is>
      </c>
    </row>
    <row r="1338" ht="24" customHeight="1" s="155">
      <c r="A1338" s="47" t="inlineStr">
        <is>
          <t xml:space="preserve">CACAO DA 1 KG ROSSO BRUNO 22/24 CORPO PIENO VAN HOUTEN  </t>
        </is>
      </c>
      <c r="B1338" s="13" t="inlineStr">
        <is>
          <t>-</t>
        </is>
      </c>
      <c r="C1338" s="14" t="inlineStr">
        <is>
          <t>-</t>
        </is>
      </c>
      <c r="D1338" s="14" t="inlineStr">
        <is>
          <t>-</t>
        </is>
      </c>
      <c r="E1338" s="14" t="inlineStr">
        <is>
          <t>-</t>
        </is>
      </c>
      <c r="F1338" s="14" t="inlineStr">
        <is>
          <t>-</t>
        </is>
      </c>
      <c r="G1338" s="14" t="inlineStr">
        <is>
          <t>-</t>
        </is>
      </c>
      <c r="H1338" s="14" t="inlineStr">
        <is>
          <t>-</t>
        </is>
      </c>
      <c r="I1338" s="14" t="inlineStr">
        <is>
          <t>-</t>
        </is>
      </c>
      <c r="J1338" s="14" t="inlineStr">
        <is>
          <t>-</t>
        </is>
      </c>
      <c r="K1338" s="14" t="inlineStr">
        <is>
          <t>-</t>
        </is>
      </c>
      <c r="L1338" s="14" t="inlineStr">
        <is>
          <t>-</t>
        </is>
      </c>
      <c r="M1338" s="14" t="inlineStr">
        <is>
          <t>-</t>
        </is>
      </c>
      <c r="N1338" s="14" t="inlineStr">
        <is>
          <t>-</t>
        </is>
      </c>
      <c r="O1338" s="14" t="inlineStr">
        <is>
          <t>-</t>
        </is>
      </c>
      <c r="P1338" s="14" t="inlineStr">
        <is>
          <t>-</t>
        </is>
      </c>
      <c r="Q1338" s="15" t="inlineStr">
        <is>
          <t>-</t>
        </is>
      </c>
    </row>
    <row r="1339" ht="24" customHeight="1" s="155">
      <c r="A1339" s="47" t="inlineStr">
        <is>
          <t xml:space="preserve">BURRO TRADIZIONALE BLOCCHI M.G. 82% 20665601  </t>
        </is>
      </c>
      <c r="B1339" s="16" t="inlineStr">
        <is>
          <t>-</t>
        </is>
      </c>
      <c r="C1339" s="11" t="inlineStr">
        <is>
          <t>-</t>
        </is>
      </c>
      <c r="D1339" s="11" t="inlineStr">
        <is>
          <t>-</t>
        </is>
      </c>
      <c r="E1339" s="11" t="inlineStr">
        <is>
          <t>-</t>
        </is>
      </c>
      <c r="F1339" s="11" t="inlineStr">
        <is>
          <t>-</t>
        </is>
      </c>
      <c r="G1339" s="11" t="inlineStr">
        <is>
          <t>-</t>
        </is>
      </c>
      <c r="H1339" s="11" t="inlineStr">
        <is>
          <t>-</t>
        </is>
      </c>
      <c r="I1339" s="11" t="inlineStr">
        <is>
          <t>-</t>
        </is>
      </c>
      <c r="J1339" s="11" t="inlineStr">
        <is>
          <t>-</t>
        </is>
      </c>
      <c r="K1339" s="11" t="inlineStr">
        <is>
          <t>-</t>
        </is>
      </c>
      <c r="L1339" s="11" t="inlineStr">
        <is>
          <t>-</t>
        </is>
      </c>
      <c r="M1339" s="11" t="inlineStr">
        <is>
          <t>-</t>
        </is>
      </c>
      <c r="N1339" s="11" t="inlineStr">
        <is>
          <t>-</t>
        </is>
      </c>
      <c r="O1339" s="11" t="inlineStr">
        <is>
          <t>-</t>
        </is>
      </c>
      <c r="P1339" s="11" t="inlineStr">
        <is>
          <t>-</t>
        </is>
      </c>
      <c r="Q1339" s="12" t="inlineStr">
        <is>
          <t>-</t>
        </is>
      </c>
    </row>
    <row r="1340" ht="48" customHeight="1" s="155">
      <c r="B1340" s="46" t="inlineStr">
        <is>
          <t>panettone zuppa inglese</t>
        </is>
      </c>
      <c r="C1340" s="49">
        <f>_xlfn.XLOOKUP(A1341,Magazzino!$D$1:$D$1500,Magazzino!$F$1:$F$1500,"",0,1)</f>
        <v/>
      </c>
      <c r="D1340" s="50">
        <f>_xlfn.XLOOKUP(A1342,Magazzino!$D$1:$D$1500,Magazzino!$F$1:$F$1500,"",0,1)</f>
        <v/>
      </c>
      <c r="E1340" s="50">
        <f>_xlfn.XLOOKUP(A1343,Magazzino!$D$1:$D$1500,Magazzino!$F$1:$F$1500,"",0,1)</f>
        <v/>
      </c>
      <c r="F1340" s="50">
        <f>_xlfn.XLOOKUP(A1344,Magazzino!$D$1:$D$1500,Magazzino!$F$1:$F$1500,"",0,1)</f>
        <v/>
      </c>
      <c r="G1340" s="50">
        <f>_xlfn.XLOOKUP(A1345,Magazzino!$D$1:$D$1500,Magazzino!$F$1:$F$1500,"",0,1)</f>
        <v/>
      </c>
      <c r="H1340" s="50">
        <f>_xlfn.XLOOKUP(A1346,Magazzino!$D$1:$D$1500,Magazzino!$F$1:$F$1500,"",0,1)</f>
        <v/>
      </c>
      <c r="I1340" s="50">
        <f>_xlfn.XLOOKUP(A1347,Magazzino!$D$1:$D$1500,Magazzino!$F$1:$F$1500,"",0,1)</f>
        <v/>
      </c>
      <c r="J1340" s="50">
        <f>_xlfn.XLOOKUP(A1348,Magazzino!$D$1:$D$1500,Magazzino!$F$1:$F$1500,"",0,1)</f>
        <v/>
      </c>
      <c r="K1340" s="50">
        <f>_xlfn.XLOOKUP(A1349,Magazzino!$D$1:$D$1500,Magazzino!$F$1:$F$1500,"",0,1)</f>
        <v/>
      </c>
      <c r="L1340" s="50">
        <f>_xlfn.XLOOKUP(A1350,Magazzino!$D$1:$D$1500,Magazzino!$F$1:$F$1500,"",0,1)</f>
        <v/>
      </c>
      <c r="M1340" s="50">
        <f>_xlfn.XLOOKUP(A1351,Magazzino!$D$1:$D$1500,Magazzino!$F$1:$F$1500,"",0,1)</f>
        <v/>
      </c>
      <c r="N1340" s="50">
        <f>_xlfn.XLOOKUP(A1352,Magazzino!$D$1:$D$1500,Magazzino!$F$1:$F$1500,"",0,1)</f>
        <v/>
      </c>
      <c r="O1340" s="50">
        <f>_xlfn.XLOOKUP(A1353,Magazzino!$D$1:$D$1500,Magazzino!$F$1:$F$1500,"",0,1)</f>
        <v/>
      </c>
      <c r="P1340" s="50">
        <f>_xlfn.XLOOKUP(A1354,Magazzino!$D$1:$D$1500,Magazzino!$F$1:$F$1500,"",0,1)</f>
        <v/>
      </c>
      <c r="Q1340" s="51">
        <f>_xlfn.XLOOKUP(A1355,Magazzino!$D$1:$D$1500,Magazzino!$F$1:$F$1500,"",0,1)</f>
        <v/>
      </c>
    </row>
    <row r="1341">
      <c r="A1341" s="47" t="inlineStr">
        <is>
          <t xml:space="preserve">FARINA 00 CAPUTO RINFORZ.KG.25  </t>
        </is>
      </c>
      <c r="B1341" s="16" t="inlineStr">
        <is>
          <t>-</t>
        </is>
      </c>
      <c r="C1341" s="11" t="inlineStr">
        <is>
          <t>-</t>
        </is>
      </c>
      <c r="D1341" s="11" t="inlineStr">
        <is>
          <t>-</t>
        </is>
      </c>
      <c r="E1341" s="11" t="inlineStr">
        <is>
          <t>-</t>
        </is>
      </c>
      <c r="F1341" s="11" t="inlineStr">
        <is>
          <t>-</t>
        </is>
      </c>
      <c r="G1341" s="11" t="inlineStr">
        <is>
          <t>-</t>
        </is>
      </c>
      <c r="H1341" s="11" t="inlineStr">
        <is>
          <t>-</t>
        </is>
      </c>
      <c r="I1341" s="11" t="inlineStr">
        <is>
          <t>-</t>
        </is>
      </c>
      <c r="J1341" s="11" t="inlineStr">
        <is>
          <t>-</t>
        </is>
      </c>
      <c r="K1341" s="11" t="inlineStr">
        <is>
          <t>-</t>
        </is>
      </c>
      <c r="L1341" s="11" t="inlineStr">
        <is>
          <t>-</t>
        </is>
      </c>
      <c r="M1341" s="11" t="inlineStr">
        <is>
          <t>-</t>
        </is>
      </c>
      <c r="N1341" s="11" t="inlineStr">
        <is>
          <t>-</t>
        </is>
      </c>
      <c r="O1341" s="11" t="inlineStr">
        <is>
          <t>-</t>
        </is>
      </c>
      <c r="P1341" s="11" t="inlineStr">
        <is>
          <t>-</t>
        </is>
      </c>
      <c r="Q1341" s="12" t="inlineStr">
        <is>
          <t>-</t>
        </is>
      </c>
    </row>
    <row r="1342">
      <c r="A1342" s="47" t="inlineStr">
        <is>
          <t xml:space="preserve">SALE FINO ITALKALI DA KG.1X12  </t>
        </is>
      </c>
      <c r="B1342" s="13" t="inlineStr">
        <is>
          <t>-</t>
        </is>
      </c>
      <c r="C1342" s="14" t="inlineStr">
        <is>
          <t>-</t>
        </is>
      </c>
      <c r="D1342" s="14" t="inlineStr">
        <is>
          <t>-</t>
        </is>
      </c>
      <c r="E1342" s="14" t="inlineStr">
        <is>
          <t>-</t>
        </is>
      </c>
      <c r="F1342" s="14" t="inlineStr">
        <is>
          <t>-</t>
        </is>
      </c>
      <c r="G1342" s="14" t="inlineStr">
        <is>
          <t>-</t>
        </is>
      </c>
      <c r="H1342" s="14" t="inlineStr">
        <is>
          <t>-</t>
        </is>
      </c>
      <c r="I1342" s="14" t="inlineStr">
        <is>
          <t>-</t>
        </is>
      </c>
      <c r="J1342" s="14" t="inlineStr">
        <is>
          <t>-</t>
        </is>
      </c>
      <c r="K1342" s="14" t="inlineStr">
        <is>
          <t>-</t>
        </is>
      </c>
      <c r="L1342" s="14" t="inlineStr">
        <is>
          <t>-</t>
        </is>
      </c>
      <c r="M1342" s="14" t="inlineStr">
        <is>
          <t>-</t>
        </is>
      </c>
      <c r="N1342" s="14" t="inlineStr">
        <is>
          <t>-</t>
        </is>
      </c>
      <c r="O1342" s="14" t="inlineStr">
        <is>
          <t>-</t>
        </is>
      </c>
      <c r="P1342" s="14" t="inlineStr">
        <is>
          <t>-</t>
        </is>
      </c>
      <c r="Q1342" s="15" t="inlineStr">
        <is>
          <t>-</t>
        </is>
      </c>
    </row>
    <row r="1343" ht="24" customHeight="1" s="155">
      <c r="A1343" s="47" t="inlineStr">
        <is>
          <t xml:space="preserve">LIEVITO DA KG 5 NATURALE NATURVI-S (4849)  </t>
        </is>
      </c>
      <c r="B1343" s="16" t="inlineStr">
        <is>
          <t>-</t>
        </is>
      </c>
      <c r="C1343" s="11" t="inlineStr">
        <is>
          <t>-</t>
        </is>
      </c>
      <c r="D1343" s="11" t="inlineStr">
        <is>
          <t>-</t>
        </is>
      </c>
      <c r="E1343" s="11" t="inlineStr">
        <is>
          <t>-</t>
        </is>
      </c>
      <c r="F1343" s="11" t="inlineStr">
        <is>
          <t>-</t>
        </is>
      </c>
      <c r="G1343" s="11" t="inlineStr">
        <is>
          <t>-</t>
        </is>
      </c>
      <c r="H1343" s="11" t="inlineStr">
        <is>
          <t>-</t>
        </is>
      </c>
      <c r="I1343" s="11" t="inlineStr">
        <is>
          <t>-</t>
        </is>
      </c>
      <c r="J1343" s="11" t="inlineStr">
        <is>
          <t>-</t>
        </is>
      </c>
      <c r="K1343" s="11" t="inlineStr">
        <is>
          <t>-</t>
        </is>
      </c>
      <c r="L1343" s="11" t="inlineStr">
        <is>
          <t>-</t>
        </is>
      </c>
      <c r="M1343" s="11" t="inlineStr">
        <is>
          <t>-</t>
        </is>
      </c>
      <c r="N1343" s="11" t="inlineStr">
        <is>
          <t>-</t>
        </is>
      </c>
      <c r="O1343" s="11" t="inlineStr">
        <is>
          <t>-</t>
        </is>
      </c>
      <c r="P1343" s="11" t="inlineStr">
        <is>
          <t>-</t>
        </is>
      </c>
      <c r="Q1343" s="12" t="inlineStr">
        <is>
          <t>-</t>
        </is>
      </c>
    </row>
    <row r="1344">
      <c r="A1344" s="47" t="inlineStr">
        <is>
          <t>tuorlo d'uovo pastorizzato</t>
        </is>
      </c>
      <c r="B1344" s="13" t="inlineStr">
        <is>
          <t>-</t>
        </is>
      </c>
      <c r="C1344" s="14" t="inlineStr">
        <is>
          <t>-</t>
        </is>
      </c>
      <c r="D1344" s="14" t="inlineStr">
        <is>
          <t>-</t>
        </is>
      </c>
      <c r="E1344" s="14" t="inlineStr">
        <is>
          <t>-</t>
        </is>
      </c>
      <c r="F1344" s="14" t="inlineStr">
        <is>
          <t>-</t>
        </is>
      </c>
      <c r="G1344" s="14" t="inlineStr">
        <is>
          <t>-</t>
        </is>
      </c>
      <c r="H1344" s="14" t="inlineStr">
        <is>
          <t>-</t>
        </is>
      </c>
      <c r="I1344" s="14" t="inlineStr">
        <is>
          <t>-</t>
        </is>
      </c>
      <c r="J1344" s="14" t="inlineStr">
        <is>
          <t>-</t>
        </is>
      </c>
      <c r="K1344" s="14" t="inlineStr">
        <is>
          <t>-</t>
        </is>
      </c>
      <c r="L1344" s="14" t="inlineStr">
        <is>
          <t>-</t>
        </is>
      </c>
      <c r="M1344" s="14" t="inlineStr">
        <is>
          <t>-</t>
        </is>
      </c>
      <c r="N1344" s="14" t="inlineStr">
        <is>
          <t>-</t>
        </is>
      </c>
      <c r="O1344" s="14" t="inlineStr">
        <is>
          <t>-</t>
        </is>
      </c>
      <c r="P1344" s="14" t="inlineStr">
        <is>
          <t>-</t>
        </is>
      </c>
      <c r="Q1344" s="15" t="inlineStr">
        <is>
          <t>-</t>
        </is>
      </c>
    </row>
    <row r="1345" ht="24" customHeight="1" s="155">
      <c r="A1345" s="47" t="inlineStr">
        <is>
          <t xml:space="preserve">PASTA GLASSATURA LATTE PATE A GLACER DA KG 5 (Blonde)  </t>
        </is>
      </c>
      <c r="B1345" s="16" t="inlineStr">
        <is>
          <t>-</t>
        </is>
      </c>
      <c r="C1345" s="11" t="inlineStr">
        <is>
          <t>-</t>
        </is>
      </c>
      <c r="D1345" s="11" t="inlineStr">
        <is>
          <t>-</t>
        </is>
      </c>
      <c r="E1345" s="11" t="inlineStr">
        <is>
          <t>-</t>
        </is>
      </c>
      <c r="F1345" s="11" t="inlineStr">
        <is>
          <t>-</t>
        </is>
      </c>
      <c r="G1345" s="11" t="inlineStr">
        <is>
          <t>-</t>
        </is>
      </c>
      <c r="H1345" s="11" t="inlineStr">
        <is>
          <t>-</t>
        </is>
      </c>
      <c r="I1345" s="11" t="inlineStr">
        <is>
          <t>-</t>
        </is>
      </c>
      <c r="J1345" s="11" t="inlineStr">
        <is>
          <t>-</t>
        </is>
      </c>
      <c r="K1345" s="11" t="inlineStr">
        <is>
          <t>-</t>
        </is>
      </c>
      <c r="L1345" s="11" t="inlineStr">
        <is>
          <t>-</t>
        </is>
      </c>
      <c r="M1345" s="11" t="inlineStr">
        <is>
          <t>-</t>
        </is>
      </c>
      <c r="N1345" s="11" t="inlineStr">
        <is>
          <t>-</t>
        </is>
      </c>
      <c r="O1345" s="11" t="inlineStr">
        <is>
          <t>-</t>
        </is>
      </c>
      <c r="P1345" s="11" t="inlineStr">
        <is>
          <t>-</t>
        </is>
      </c>
      <c r="Q1345" s="12" t="inlineStr">
        <is>
          <t>-</t>
        </is>
      </c>
    </row>
    <row r="1346" ht="24" customHeight="1" s="155">
      <c r="A1346" s="47" t="inlineStr">
        <is>
          <t xml:space="preserve">AMARENA INTERA TANTOFRUTTO CAL16/18 IN SCIROPPO KG2,75(02004275)  </t>
        </is>
      </c>
      <c r="B1346" s="13" t="inlineStr">
        <is>
          <t>-</t>
        </is>
      </c>
      <c r="C1346" s="14" t="inlineStr">
        <is>
          <t>-</t>
        </is>
      </c>
      <c r="D1346" s="14" t="inlineStr">
        <is>
          <t>-</t>
        </is>
      </c>
      <c r="E1346" s="14" t="inlineStr">
        <is>
          <t>-</t>
        </is>
      </c>
      <c r="F1346" s="14" t="inlineStr">
        <is>
          <t>-</t>
        </is>
      </c>
      <c r="G1346" s="14" t="inlineStr">
        <is>
          <t>-</t>
        </is>
      </c>
      <c r="H1346" s="14" t="inlineStr">
        <is>
          <t>-</t>
        </is>
      </c>
      <c r="I1346" s="14" t="inlineStr">
        <is>
          <t>-</t>
        </is>
      </c>
      <c r="J1346" s="14" t="inlineStr">
        <is>
          <t>-</t>
        </is>
      </c>
      <c r="K1346" s="14" t="inlineStr">
        <is>
          <t>-</t>
        </is>
      </c>
      <c r="L1346" s="14" t="inlineStr">
        <is>
          <t>-</t>
        </is>
      </c>
      <c r="M1346" s="14" t="inlineStr">
        <is>
          <t>-</t>
        </is>
      </c>
      <c r="N1346" s="14" t="inlineStr">
        <is>
          <t>-</t>
        </is>
      </c>
      <c r="O1346" s="14" t="inlineStr">
        <is>
          <t>-</t>
        </is>
      </c>
      <c r="P1346" s="14" t="inlineStr">
        <is>
          <t>-</t>
        </is>
      </c>
      <c r="Q1346" s="15" t="inlineStr">
        <is>
          <t>-</t>
        </is>
      </c>
    </row>
    <row r="1347">
      <c r="A1347" s="47" t="inlineStr">
        <is>
          <t xml:space="preserve">ESSENZA BURRO ML 500  </t>
        </is>
      </c>
      <c r="B1347" s="16" t="inlineStr">
        <is>
          <t>-</t>
        </is>
      </c>
      <c r="C1347" s="11" t="inlineStr">
        <is>
          <t>-</t>
        </is>
      </c>
      <c r="D1347" s="11" t="inlineStr">
        <is>
          <t>-</t>
        </is>
      </c>
      <c r="E1347" s="11" t="inlineStr">
        <is>
          <t>-</t>
        </is>
      </c>
      <c r="F1347" s="11" t="inlineStr">
        <is>
          <t>-</t>
        </is>
      </c>
      <c r="G1347" s="11" t="inlineStr">
        <is>
          <t>-</t>
        </is>
      </c>
      <c r="H1347" s="11" t="inlineStr">
        <is>
          <t>-</t>
        </is>
      </c>
      <c r="I1347" s="11" t="inlineStr">
        <is>
          <t>-</t>
        </is>
      </c>
      <c r="J1347" s="11" t="inlineStr">
        <is>
          <t>-</t>
        </is>
      </c>
      <c r="K1347" s="11" t="inlineStr">
        <is>
          <t>-</t>
        </is>
      </c>
      <c r="L1347" s="11" t="inlineStr">
        <is>
          <t>-</t>
        </is>
      </c>
      <c r="M1347" s="11" t="inlineStr">
        <is>
          <t>-</t>
        </is>
      </c>
      <c r="N1347" s="11" t="inlineStr">
        <is>
          <t>-</t>
        </is>
      </c>
      <c r="O1347" s="11" t="inlineStr">
        <is>
          <t>-</t>
        </is>
      </c>
      <c r="P1347" s="11" t="inlineStr">
        <is>
          <t>-</t>
        </is>
      </c>
      <c r="Q1347" s="12" t="inlineStr">
        <is>
          <t>-</t>
        </is>
      </c>
    </row>
    <row r="1348">
      <c r="A1348" s="47" t="inlineStr">
        <is>
          <t>EST.ZUPPA INGLESE</t>
        </is>
      </c>
      <c r="B1348" s="13" t="inlineStr">
        <is>
          <t>-</t>
        </is>
      </c>
      <c r="C1348" s="14" t="inlineStr">
        <is>
          <t>-</t>
        </is>
      </c>
      <c r="D1348" s="14" t="inlineStr">
        <is>
          <t>-</t>
        </is>
      </c>
      <c r="E1348" s="14" t="inlineStr">
        <is>
          <t>-</t>
        </is>
      </c>
      <c r="F1348" s="14" t="inlineStr">
        <is>
          <t>-</t>
        </is>
      </c>
      <c r="G1348" s="14" t="inlineStr">
        <is>
          <t>-</t>
        </is>
      </c>
      <c r="H1348" s="14" t="inlineStr">
        <is>
          <t>-</t>
        </is>
      </c>
      <c r="I1348" s="14" t="inlineStr">
        <is>
          <t>-</t>
        </is>
      </c>
      <c r="J1348" s="14" t="inlineStr">
        <is>
          <t>-</t>
        </is>
      </c>
      <c r="K1348" s="14" t="inlineStr">
        <is>
          <t>-</t>
        </is>
      </c>
      <c r="L1348" s="14" t="inlineStr">
        <is>
          <t>-</t>
        </is>
      </c>
      <c r="M1348" s="14" t="inlineStr">
        <is>
          <t>-</t>
        </is>
      </c>
      <c r="N1348" s="14" t="inlineStr">
        <is>
          <t>-</t>
        </is>
      </c>
      <c r="O1348" s="14" t="inlineStr">
        <is>
          <t>-</t>
        </is>
      </c>
      <c r="P1348" s="14" t="inlineStr">
        <is>
          <t>-</t>
        </is>
      </c>
      <c r="Q1348" s="15" t="inlineStr">
        <is>
          <t>-</t>
        </is>
      </c>
    </row>
    <row r="1349" ht="24" customHeight="1" s="155">
      <c r="A1349" s="47" t="inlineStr">
        <is>
          <t xml:space="preserve">BURRO TRADIZIONALE BLOCCHI M.G. 82% 20665601  </t>
        </is>
      </c>
      <c r="B1349" s="16" t="inlineStr">
        <is>
          <t>-</t>
        </is>
      </c>
      <c r="C1349" s="11" t="inlineStr">
        <is>
          <t>-</t>
        </is>
      </c>
      <c r="D1349" s="11" t="inlineStr">
        <is>
          <t>-</t>
        </is>
      </c>
      <c r="E1349" s="11" t="inlineStr">
        <is>
          <t>-</t>
        </is>
      </c>
      <c r="F1349" s="11" t="inlineStr">
        <is>
          <t>-</t>
        </is>
      </c>
      <c r="G1349" s="11" t="inlineStr">
        <is>
          <t>-</t>
        </is>
      </c>
      <c r="H1349" s="11" t="inlineStr">
        <is>
          <t>-</t>
        </is>
      </c>
      <c r="I1349" s="11" t="inlineStr">
        <is>
          <t>-</t>
        </is>
      </c>
      <c r="J1349" s="11" t="inlineStr">
        <is>
          <t>-</t>
        </is>
      </c>
      <c r="K1349" s="11" t="inlineStr">
        <is>
          <t>-</t>
        </is>
      </c>
      <c r="L1349" s="11" t="inlineStr">
        <is>
          <t>-</t>
        </is>
      </c>
      <c r="M1349" s="11" t="inlineStr">
        <is>
          <t>-</t>
        </is>
      </c>
      <c r="N1349" s="11" t="inlineStr">
        <is>
          <t>-</t>
        </is>
      </c>
      <c r="O1349" s="11" t="inlineStr">
        <is>
          <t>-</t>
        </is>
      </c>
      <c r="P1349" s="11" t="inlineStr">
        <is>
          <t>-</t>
        </is>
      </c>
      <c r="Q1349" s="12" t="inlineStr">
        <is>
          <t>-</t>
        </is>
      </c>
    </row>
    <row r="1350" ht="36" customHeight="1" s="155">
      <c r="B1350" s="46" t="inlineStr">
        <is>
          <t>panettone pistacchio</t>
        </is>
      </c>
      <c r="C1350" s="49">
        <f>_xlfn.XLOOKUP(A1351,Magazzino!$D$1:$D$1500,Magazzino!$F$1:$F$1500,"",0,1)</f>
        <v/>
      </c>
      <c r="D1350" s="50">
        <f>_xlfn.XLOOKUP(A1352,Magazzino!$D$1:$D$1500,Magazzino!$F$1:$F$1500,"",0,1)</f>
        <v/>
      </c>
      <c r="E1350" s="50">
        <f>_xlfn.XLOOKUP(A1353,Magazzino!$D$1:$D$1500,Magazzino!$F$1:$F$1500,"",0,1)</f>
        <v/>
      </c>
      <c r="F1350" s="50">
        <f>_xlfn.XLOOKUP(A1354,Magazzino!$D$1:$D$1500,Magazzino!$F$1:$F$1500,"",0,1)</f>
        <v/>
      </c>
      <c r="G1350" s="50">
        <f>_xlfn.XLOOKUP(A1355,Magazzino!$D$1:$D$1500,Magazzino!$F$1:$F$1500,"",0,1)</f>
        <v/>
      </c>
      <c r="H1350" s="50">
        <f>_xlfn.XLOOKUP(A1356,Magazzino!$D$1:$D$1500,Magazzino!$F$1:$F$1500,"",0,1)</f>
        <v/>
      </c>
      <c r="I1350" s="50">
        <f>_xlfn.XLOOKUP(A1357,Magazzino!$D$1:$D$1500,Magazzino!$F$1:$F$1500,"",0,1)</f>
        <v/>
      </c>
      <c r="J1350" s="50">
        <f>_xlfn.XLOOKUP(A1358,Magazzino!$D$1:$D$1500,Magazzino!$F$1:$F$1500,"",0,1)</f>
        <v/>
      </c>
      <c r="K1350" s="50">
        <f>_xlfn.XLOOKUP(A1359,Magazzino!$D$1:$D$1500,Magazzino!$F$1:$F$1500,"",0,1)</f>
        <v/>
      </c>
      <c r="L1350" s="50">
        <f>_xlfn.XLOOKUP(A1360,Magazzino!$D$1:$D$1500,Magazzino!$F$1:$F$1500,"",0,1)</f>
        <v/>
      </c>
      <c r="M1350" s="50">
        <f>_xlfn.XLOOKUP(A1361,Magazzino!$D$1:$D$1500,Magazzino!$F$1:$F$1500,"",0,1)</f>
        <v/>
      </c>
      <c r="N1350" s="50">
        <f>_xlfn.XLOOKUP(A1362,Magazzino!$D$1:$D$1500,Magazzino!$F$1:$F$1500,"",0,1)</f>
        <v/>
      </c>
      <c r="O1350" s="50">
        <f>_xlfn.XLOOKUP(A1363,Magazzino!$D$1:$D$1500,Magazzino!$F$1:$F$1500,"",0,1)</f>
        <v/>
      </c>
      <c r="P1350" s="50">
        <f>_xlfn.XLOOKUP(A1364,Magazzino!$D$1:$D$1500,Magazzino!$F$1:$F$1500,"",0,1)</f>
        <v/>
      </c>
      <c r="Q1350" s="51">
        <f>_xlfn.XLOOKUP(A1365,Magazzino!$D$1:$D$1500,Magazzino!$F$1:$F$1500,"",0,1)</f>
        <v/>
      </c>
    </row>
    <row r="1351">
      <c r="A1351" s="47" t="inlineStr">
        <is>
          <t xml:space="preserve">FARINA 00 CAPUTO RINFORZ.KG.25  </t>
        </is>
      </c>
      <c r="B1351" s="16" t="inlineStr">
        <is>
          <t>-</t>
        </is>
      </c>
      <c r="C1351" s="11" t="inlineStr">
        <is>
          <t>-</t>
        </is>
      </c>
      <c r="D1351" s="11" t="inlineStr">
        <is>
          <t>-</t>
        </is>
      </c>
      <c r="E1351" s="11" t="inlineStr">
        <is>
          <t>-</t>
        </is>
      </c>
      <c r="F1351" s="11" t="inlineStr">
        <is>
          <t>-</t>
        </is>
      </c>
      <c r="G1351" s="11" t="inlineStr">
        <is>
          <t>-</t>
        </is>
      </c>
      <c r="H1351" s="11" t="inlineStr">
        <is>
          <t>-</t>
        </is>
      </c>
      <c r="I1351" s="11" t="inlineStr">
        <is>
          <t>-</t>
        </is>
      </c>
      <c r="J1351" s="11" t="inlineStr">
        <is>
          <t>-</t>
        </is>
      </c>
      <c r="K1351" s="11" t="inlineStr">
        <is>
          <t>-</t>
        </is>
      </c>
      <c r="L1351" s="11" t="inlineStr">
        <is>
          <t>-</t>
        </is>
      </c>
      <c r="M1351" s="11" t="inlineStr">
        <is>
          <t>-</t>
        </is>
      </c>
      <c r="N1351" s="11" t="inlineStr">
        <is>
          <t>-</t>
        </is>
      </c>
      <c r="O1351" s="11" t="inlineStr">
        <is>
          <t>-</t>
        </is>
      </c>
      <c r="P1351" s="11" t="inlineStr">
        <is>
          <t>-</t>
        </is>
      </c>
      <c r="Q1351" s="12" t="inlineStr">
        <is>
          <t>-</t>
        </is>
      </c>
    </row>
    <row r="1352">
      <c r="A1352" s="47" t="inlineStr">
        <is>
          <t xml:space="preserve">SALE FINO ITALKALI DA KG.1X12  </t>
        </is>
      </c>
      <c r="B1352" s="13" t="inlineStr">
        <is>
          <t>-</t>
        </is>
      </c>
      <c r="C1352" s="14" t="inlineStr">
        <is>
          <t>-</t>
        </is>
      </c>
      <c r="D1352" s="14" t="inlineStr">
        <is>
          <t>-</t>
        </is>
      </c>
      <c r="E1352" s="14" t="inlineStr">
        <is>
          <t>-</t>
        </is>
      </c>
      <c r="F1352" s="14" t="inlineStr">
        <is>
          <t>-</t>
        </is>
      </c>
      <c r="G1352" s="14" t="inlineStr">
        <is>
          <t>-</t>
        </is>
      </c>
      <c r="H1352" s="14" t="inlineStr">
        <is>
          <t>-</t>
        </is>
      </c>
      <c r="I1352" s="14" t="inlineStr">
        <is>
          <t>-</t>
        </is>
      </c>
      <c r="J1352" s="14" t="inlineStr">
        <is>
          <t>-</t>
        </is>
      </c>
      <c r="K1352" s="14" t="inlineStr">
        <is>
          <t>-</t>
        </is>
      </c>
      <c r="L1352" s="14" t="inlineStr">
        <is>
          <t>-</t>
        </is>
      </c>
      <c r="M1352" s="14" t="inlineStr">
        <is>
          <t>-</t>
        </is>
      </c>
      <c r="N1352" s="14" t="inlineStr">
        <is>
          <t>-</t>
        </is>
      </c>
      <c r="O1352" s="14" t="inlineStr">
        <is>
          <t>-</t>
        </is>
      </c>
      <c r="P1352" s="14" t="inlineStr">
        <is>
          <t>-</t>
        </is>
      </c>
      <c r="Q1352" s="15" t="inlineStr">
        <is>
          <t>-</t>
        </is>
      </c>
    </row>
    <row r="1353" ht="24" customHeight="1" s="155">
      <c r="A1353" s="47" t="inlineStr">
        <is>
          <t xml:space="preserve">LIEVITO DA KG 5 NATURALE NATURVI-S (4849)  </t>
        </is>
      </c>
      <c r="B1353" s="16" t="inlineStr">
        <is>
          <t>-</t>
        </is>
      </c>
      <c r="C1353" s="11" t="inlineStr">
        <is>
          <t>-</t>
        </is>
      </c>
      <c r="D1353" s="11" t="inlineStr">
        <is>
          <t>-</t>
        </is>
      </c>
      <c r="E1353" s="11" t="inlineStr">
        <is>
          <t>-</t>
        </is>
      </c>
      <c r="F1353" s="11" t="inlineStr">
        <is>
          <t>-</t>
        </is>
      </c>
      <c r="G1353" s="11" t="inlineStr">
        <is>
          <t>-</t>
        </is>
      </c>
      <c r="H1353" s="11" t="inlineStr">
        <is>
          <t>-</t>
        </is>
      </c>
      <c r="I1353" s="11" t="inlineStr">
        <is>
          <t>-</t>
        </is>
      </c>
      <c r="J1353" s="11" t="inlineStr">
        <is>
          <t>-</t>
        </is>
      </c>
      <c r="K1353" s="11" t="inlineStr">
        <is>
          <t>-</t>
        </is>
      </c>
      <c r="L1353" s="11" t="inlineStr">
        <is>
          <t>-</t>
        </is>
      </c>
      <c r="M1353" s="11" t="inlineStr">
        <is>
          <t>-</t>
        </is>
      </c>
      <c r="N1353" s="11" t="inlineStr">
        <is>
          <t>-</t>
        </is>
      </c>
      <c r="O1353" s="11" t="inlineStr">
        <is>
          <t>-</t>
        </is>
      </c>
      <c r="P1353" s="11" t="inlineStr">
        <is>
          <t>-</t>
        </is>
      </c>
      <c r="Q1353" s="12" t="inlineStr">
        <is>
          <t>-</t>
        </is>
      </c>
    </row>
    <row r="1354">
      <c r="A1354" s="47" t="inlineStr">
        <is>
          <t>tuorlo d'uovo pastorizzato</t>
        </is>
      </c>
      <c r="B1354" s="13" t="inlineStr">
        <is>
          <t>-</t>
        </is>
      </c>
      <c r="C1354" s="14" t="inlineStr">
        <is>
          <t>-</t>
        </is>
      </c>
      <c r="D1354" s="14" t="inlineStr">
        <is>
          <t>-</t>
        </is>
      </c>
      <c r="E1354" s="14" t="inlineStr">
        <is>
          <t>-</t>
        </is>
      </c>
      <c r="F1354" s="14" t="inlineStr">
        <is>
          <t>-</t>
        </is>
      </c>
      <c r="G1354" s="14" t="inlineStr">
        <is>
          <t>-</t>
        </is>
      </c>
      <c r="H1354" s="14" t="inlineStr">
        <is>
          <t>-</t>
        </is>
      </c>
      <c r="I1354" s="14" t="inlineStr">
        <is>
          <t>-</t>
        </is>
      </c>
      <c r="J1354" s="14" t="inlineStr">
        <is>
          <t>-</t>
        </is>
      </c>
      <c r="K1354" s="14" t="inlineStr">
        <is>
          <t>-</t>
        </is>
      </c>
      <c r="L1354" s="14" t="inlineStr">
        <is>
          <t>-</t>
        </is>
      </c>
      <c r="M1354" s="14" t="inlineStr">
        <is>
          <t>-</t>
        </is>
      </c>
      <c r="N1354" s="14" t="inlineStr">
        <is>
          <t>-</t>
        </is>
      </c>
      <c r="O1354" s="14" t="inlineStr">
        <is>
          <t>-</t>
        </is>
      </c>
      <c r="P1354" s="14" t="inlineStr">
        <is>
          <t>-</t>
        </is>
      </c>
      <c r="Q1354" s="15" t="inlineStr">
        <is>
          <t>-</t>
        </is>
      </c>
    </row>
    <row r="1355" ht="24" customHeight="1" s="155">
      <c r="A1355" s="47" t="inlineStr">
        <is>
          <t xml:space="preserve">PASTA GLASSATURA LATTE PATE A GLACER DA KG 5 (Blonde)  </t>
        </is>
      </c>
      <c r="B1355" s="16" t="inlineStr">
        <is>
          <t>-</t>
        </is>
      </c>
      <c r="C1355" s="11" t="inlineStr">
        <is>
          <t>-</t>
        </is>
      </c>
      <c r="D1355" s="11" t="inlineStr">
        <is>
          <t>-</t>
        </is>
      </c>
      <c r="E1355" s="11" t="inlineStr">
        <is>
          <t>-</t>
        </is>
      </c>
      <c r="F1355" s="11" t="inlineStr">
        <is>
          <t>-</t>
        </is>
      </c>
      <c r="G1355" s="11" t="inlineStr">
        <is>
          <t>-</t>
        </is>
      </c>
      <c r="H1355" s="11" t="inlineStr">
        <is>
          <t>-</t>
        </is>
      </c>
      <c r="I1355" s="11" t="inlineStr">
        <is>
          <t>-</t>
        </is>
      </c>
      <c r="J1355" s="11" t="inlineStr">
        <is>
          <t>-</t>
        </is>
      </c>
      <c r="K1355" s="11" t="inlineStr">
        <is>
          <t>-</t>
        </is>
      </c>
      <c r="L1355" s="11" t="inlineStr">
        <is>
          <t>-</t>
        </is>
      </c>
      <c r="M1355" s="11" t="inlineStr">
        <is>
          <t>-</t>
        </is>
      </c>
      <c r="N1355" s="11" t="inlineStr">
        <is>
          <t>-</t>
        </is>
      </c>
      <c r="O1355" s="11" t="inlineStr">
        <is>
          <t>-</t>
        </is>
      </c>
      <c r="P1355" s="11" t="inlineStr">
        <is>
          <t>-</t>
        </is>
      </c>
      <c r="Q1355" s="12" t="inlineStr">
        <is>
          <t>-</t>
        </is>
      </c>
    </row>
    <row r="1356">
      <c r="A1356" s="47" t="inlineStr">
        <is>
          <t xml:space="preserve">CHUNKS CUBETTI AL PISTACCHIO DA KG 2  </t>
        </is>
      </c>
      <c r="B1356" s="13" t="inlineStr">
        <is>
          <t>-</t>
        </is>
      </c>
      <c r="C1356" s="14" t="inlineStr">
        <is>
          <t>-</t>
        </is>
      </c>
      <c r="D1356" s="14" t="inlineStr">
        <is>
          <t>-</t>
        </is>
      </c>
      <c r="E1356" s="14" t="inlineStr">
        <is>
          <t>-</t>
        </is>
      </c>
      <c r="F1356" s="14" t="inlineStr">
        <is>
          <t>-</t>
        </is>
      </c>
      <c r="G1356" s="14" t="inlineStr">
        <is>
          <t>-</t>
        </is>
      </c>
      <c r="H1356" s="14" t="inlineStr">
        <is>
          <t>-</t>
        </is>
      </c>
      <c r="I1356" s="14" t="inlineStr">
        <is>
          <t>-</t>
        </is>
      </c>
      <c r="J1356" s="14" t="inlineStr">
        <is>
          <t>-</t>
        </is>
      </c>
      <c r="K1356" s="14" t="inlineStr">
        <is>
          <t>-</t>
        </is>
      </c>
      <c r="L1356" s="14" t="inlineStr">
        <is>
          <t>-</t>
        </is>
      </c>
      <c r="M1356" s="14" t="inlineStr">
        <is>
          <t>-</t>
        </is>
      </c>
      <c r="N1356" s="14" t="inlineStr">
        <is>
          <t>-</t>
        </is>
      </c>
      <c r="O1356" s="14" t="inlineStr">
        <is>
          <t>-</t>
        </is>
      </c>
      <c r="P1356" s="14" t="inlineStr">
        <is>
          <t>-</t>
        </is>
      </c>
      <c r="Q1356" s="15" t="inlineStr">
        <is>
          <t>-</t>
        </is>
      </c>
    </row>
    <row r="1357">
      <c r="A1357" s="47" t="inlineStr">
        <is>
          <t xml:space="preserve">ESSENZA BURRO ML 500  </t>
        </is>
      </c>
      <c r="B1357" s="16" t="inlineStr">
        <is>
          <t>-</t>
        </is>
      </c>
      <c r="C1357" s="11" t="inlineStr">
        <is>
          <t>-</t>
        </is>
      </c>
      <c r="D1357" s="11" t="inlineStr">
        <is>
          <t>-</t>
        </is>
      </c>
      <c r="E1357" s="11" t="inlineStr">
        <is>
          <t>-</t>
        </is>
      </c>
      <c r="F1357" s="11" t="inlineStr">
        <is>
          <t>-</t>
        </is>
      </c>
      <c r="G1357" s="11" t="inlineStr">
        <is>
          <t>-</t>
        </is>
      </c>
      <c r="H1357" s="11" t="inlineStr">
        <is>
          <t>-</t>
        </is>
      </c>
      <c r="I1357" s="11" t="inlineStr">
        <is>
          <t>-</t>
        </is>
      </c>
      <c r="J1357" s="11" t="inlineStr">
        <is>
          <t>-</t>
        </is>
      </c>
      <c r="K1357" s="11" t="inlineStr">
        <is>
          <t>-</t>
        </is>
      </c>
      <c r="L1357" s="11" t="inlineStr">
        <is>
          <t>-</t>
        </is>
      </c>
      <c r="M1357" s="11" t="inlineStr">
        <is>
          <t>-</t>
        </is>
      </c>
      <c r="N1357" s="11" t="inlineStr">
        <is>
          <t>-</t>
        </is>
      </c>
      <c r="O1357" s="11" t="inlineStr">
        <is>
          <t>-</t>
        </is>
      </c>
      <c r="P1357" s="11" t="inlineStr">
        <is>
          <t>-</t>
        </is>
      </c>
      <c r="Q1357" s="12" t="inlineStr">
        <is>
          <t>-</t>
        </is>
      </c>
    </row>
    <row r="1358">
      <c r="A1358" s="47" t="inlineStr">
        <is>
          <t>NUPPY PISTACCHIO PIU' 6Kg</t>
        </is>
      </c>
      <c r="B1358" s="13" t="inlineStr">
        <is>
          <t>-</t>
        </is>
      </c>
      <c r="C1358" s="14" t="inlineStr">
        <is>
          <t>-</t>
        </is>
      </c>
      <c r="D1358" s="14" t="inlineStr">
        <is>
          <t>-</t>
        </is>
      </c>
      <c r="E1358" s="14" t="inlineStr">
        <is>
          <t>-</t>
        </is>
      </c>
      <c r="F1358" s="14" t="inlineStr">
        <is>
          <t>-</t>
        </is>
      </c>
      <c r="G1358" s="14" t="inlineStr">
        <is>
          <t>-</t>
        </is>
      </c>
      <c r="H1358" s="14" t="inlineStr">
        <is>
          <t>-</t>
        </is>
      </c>
      <c r="I1358" s="14" t="inlineStr">
        <is>
          <t>-</t>
        </is>
      </c>
      <c r="J1358" s="14" t="inlineStr">
        <is>
          <t>-</t>
        </is>
      </c>
      <c r="K1358" s="14" t="inlineStr">
        <is>
          <t>-</t>
        </is>
      </c>
      <c r="L1358" s="14" t="inlineStr">
        <is>
          <t>-</t>
        </is>
      </c>
      <c r="M1358" s="14" t="inlineStr">
        <is>
          <t>-</t>
        </is>
      </c>
      <c r="N1358" s="14" t="inlineStr">
        <is>
          <t>-</t>
        </is>
      </c>
      <c r="O1358" s="14" t="inlineStr">
        <is>
          <t>-</t>
        </is>
      </c>
      <c r="P1358" s="14" t="inlineStr">
        <is>
          <t>-</t>
        </is>
      </c>
      <c r="Q1358" s="15" t="inlineStr">
        <is>
          <t>-</t>
        </is>
      </c>
    </row>
    <row r="1359" ht="24" customHeight="1" s="155">
      <c r="A1359" s="47" t="inlineStr">
        <is>
          <t xml:space="preserve">BURRO TRADIZIONALE BLOCCHI M.G. 82% 20665601  </t>
        </is>
      </c>
      <c r="B1359" s="16" t="inlineStr">
        <is>
          <t>-</t>
        </is>
      </c>
      <c r="C1359" s="11" t="inlineStr">
        <is>
          <t>-</t>
        </is>
      </c>
      <c r="D1359" s="11" t="inlineStr">
        <is>
          <t>-</t>
        </is>
      </c>
      <c r="E1359" s="11" t="inlineStr">
        <is>
          <t>-</t>
        </is>
      </c>
      <c r="F1359" s="11" t="inlineStr">
        <is>
          <t>-</t>
        </is>
      </c>
      <c r="G1359" s="11" t="inlineStr">
        <is>
          <t>-</t>
        </is>
      </c>
      <c r="H1359" s="11" t="inlineStr">
        <is>
          <t>-</t>
        </is>
      </c>
      <c r="I1359" s="11" t="inlineStr">
        <is>
          <t>-</t>
        </is>
      </c>
      <c r="J1359" s="11" t="inlineStr">
        <is>
          <t>-</t>
        </is>
      </c>
      <c r="K1359" s="11" t="inlineStr">
        <is>
          <t>-</t>
        </is>
      </c>
      <c r="L1359" s="11" t="inlineStr">
        <is>
          <t>-</t>
        </is>
      </c>
      <c r="M1359" s="11" t="inlineStr">
        <is>
          <t>-</t>
        </is>
      </c>
      <c r="N1359" s="11" t="inlineStr">
        <is>
          <t>-</t>
        </is>
      </c>
      <c r="O1359" s="11" t="inlineStr">
        <is>
          <t>-</t>
        </is>
      </c>
      <c r="P1359" s="11" t="inlineStr">
        <is>
          <t>-</t>
        </is>
      </c>
      <c r="Q1359" s="12" t="inlineStr">
        <is>
          <t>-</t>
        </is>
      </c>
    </row>
    <row r="1360" ht="36" customHeight="1" s="155">
      <c r="B1360" s="46" t="inlineStr">
        <is>
          <t>panettone mandorle</t>
        </is>
      </c>
      <c r="C1360" s="49">
        <f>_xlfn.XLOOKUP(A1361,Magazzino!$D$1:$D$1500,Magazzino!$F$1:$F$1500,"",0,1)</f>
        <v/>
      </c>
      <c r="D1360" s="50">
        <f>_xlfn.XLOOKUP(A1362,Magazzino!$D$1:$D$1500,Magazzino!$F$1:$F$1500,"",0,1)</f>
        <v/>
      </c>
      <c r="E1360" s="50">
        <f>_xlfn.XLOOKUP(A1363,Magazzino!$D$1:$D$1500,Magazzino!$F$1:$F$1500,"",0,1)</f>
        <v/>
      </c>
      <c r="F1360" s="50">
        <f>_xlfn.XLOOKUP(A1364,Magazzino!$D$1:$D$1500,Magazzino!$F$1:$F$1500,"",0,1)</f>
        <v/>
      </c>
      <c r="G1360" s="50">
        <f>_xlfn.XLOOKUP(A1365,Magazzino!$D$1:$D$1500,Magazzino!$F$1:$F$1500,"",0,1)</f>
        <v/>
      </c>
      <c r="H1360" s="50">
        <f>_xlfn.XLOOKUP(A1366,Magazzino!$D$1:$D$1500,Magazzino!$F$1:$F$1500,"",0,1)</f>
        <v/>
      </c>
      <c r="I1360" s="50">
        <f>_xlfn.XLOOKUP(A1367,Magazzino!$D$1:$D$1500,Magazzino!$F$1:$F$1500,"",0,1)</f>
        <v/>
      </c>
      <c r="J1360" s="50">
        <f>_xlfn.XLOOKUP(A1368,Magazzino!$D$1:$D$1500,Magazzino!$F$1:$F$1500,"",0,1)</f>
        <v/>
      </c>
      <c r="K1360" s="50">
        <f>_xlfn.XLOOKUP(A1369,Magazzino!$D$1:$D$1500,Magazzino!$F$1:$F$1500,"",0,1)</f>
        <v/>
      </c>
      <c r="L1360" s="50">
        <f>_xlfn.XLOOKUP(A1370,Magazzino!$D$1:$D$1500,Magazzino!$F$1:$F$1500,"",0,1)</f>
        <v/>
      </c>
      <c r="M1360" s="50">
        <f>_xlfn.XLOOKUP(A1371,Magazzino!$D$1:$D$1500,Magazzino!$F$1:$F$1500,"",0,1)</f>
        <v/>
      </c>
      <c r="N1360" s="50">
        <f>_xlfn.XLOOKUP(A1372,Magazzino!$D$1:$D$1500,Magazzino!$F$1:$F$1500,"",0,1)</f>
        <v/>
      </c>
      <c r="O1360" s="50">
        <f>_xlfn.XLOOKUP(A1373,Magazzino!$D$1:$D$1500,Magazzino!$F$1:$F$1500,"",0,1)</f>
        <v/>
      </c>
      <c r="P1360" s="50">
        <f>_xlfn.XLOOKUP(A1374,Magazzino!$D$1:$D$1500,Magazzino!$F$1:$F$1500,"",0,1)</f>
        <v/>
      </c>
      <c r="Q1360" s="51">
        <f>_xlfn.XLOOKUP(A1375,Magazzino!$D$1:$D$1500,Magazzino!$F$1:$F$1500,"",0,1)</f>
        <v/>
      </c>
    </row>
    <row r="1361">
      <c r="A1361" s="47" t="inlineStr">
        <is>
          <t xml:space="preserve">FARINA 00 CAPUTO RINFORZ.KG.25  </t>
        </is>
      </c>
      <c r="B1361" s="16" t="inlineStr">
        <is>
          <t>-</t>
        </is>
      </c>
      <c r="C1361" s="11" t="inlineStr">
        <is>
          <t>-</t>
        </is>
      </c>
      <c r="D1361" s="11" t="inlineStr">
        <is>
          <t>-</t>
        </is>
      </c>
      <c r="E1361" s="11" t="inlineStr">
        <is>
          <t>-</t>
        </is>
      </c>
      <c r="F1361" s="11" t="inlineStr">
        <is>
          <t>-</t>
        </is>
      </c>
      <c r="G1361" s="11" t="inlineStr">
        <is>
          <t>-</t>
        </is>
      </c>
      <c r="H1361" s="11" t="inlineStr">
        <is>
          <t>-</t>
        </is>
      </c>
      <c r="I1361" s="11" t="inlineStr">
        <is>
          <t>-</t>
        </is>
      </c>
      <c r="J1361" s="11" t="inlineStr">
        <is>
          <t>-</t>
        </is>
      </c>
      <c r="K1361" s="11" t="inlineStr">
        <is>
          <t>-</t>
        </is>
      </c>
      <c r="L1361" s="11" t="inlineStr">
        <is>
          <t>-</t>
        </is>
      </c>
      <c r="M1361" s="11" t="inlineStr">
        <is>
          <t>-</t>
        </is>
      </c>
      <c r="N1361" s="11" t="inlineStr">
        <is>
          <t>-</t>
        </is>
      </c>
      <c r="O1361" s="11" t="inlineStr">
        <is>
          <t>-</t>
        </is>
      </c>
      <c r="P1361" s="11" t="inlineStr">
        <is>
          <t>-</t>
        </is>
      </c>
      <c r="Q1361" s="12" t="inlineStr">
        <is>
          <t>-</t>
        </is>
      </c>
    </row>
    <row r="1362">
      <c r="A1362" s="47" t="inlineStr">
        <is>
          <t xml:space="preserve">SALE FINO ITALKALI DA KG.1X12  </t>
        </is>
      </c>
      <c r="B1362" s="13" t="inlineStr">
        <is>
          <t>-</t>
        </is>
      </c>
      <c r="C1362" s="14" t="inlineStr">
        <is>
          <t>-</t>
        </is>
      </c>
      <c r="D1362" s="14" t="inlineStr">
        <is>
          <t>-</t>
        </is>
      </c>
      <c r="E1362" s="14" t="inlineStr">
        <is>
          <t>-</t>
        </is>
      </c>
      <c r="F1362" s="14" t="inlineStr">
        <is>
          <t>-</t>
        </is>
      </c>
      <c r="G1362" s="14" t="inlineStr">
        <is>
          <t>-</t>
        </is>
      </c>
      <c r="H1362" s="14" t="inlineStr">
        <is>
          <t>-</t>
        </is>
      </c>
      <c r="I1362" s="14" t="inlineStr">
        <is>
          <t>-</t>
        </is>
      </c>
      <c r="J1362" s="14" t="inlineStr">
        <is>
          <t>-</t>
        </is>
      </c>
      <c r="K1362" s="14" t="inlineStr">
        <is>
          <t>-</t>
        </is>
      </c>
      <c r="L1362" s="14" t="inlineStr">
        <is>
          <t>-</t>
        </is>
      </c>
      <c r="M1362" s="14" t="inlineStr">
        <is>
          <t>-</t>
        </is>
      </c>
      <c r="N1362" s="14" t="inlineStr">
        <is>
          <t>-</t>
        </is>
      </c>
      <c r="O1362" s="14" t="inlineStr">
        <is>
          <t>-</t>
        </is>
      </c>
      <c r="P1362" s="14" t="inlineStr">
        <is>
          <t>-</t>
        </is>
      </c>
      <c r="Q1362" s="15" t="inlineStr">
        <is>
          <t>-</t>
        </is>
      </c>
    </row>
    <row r="1363" ht="24" customHeight="1" s="155">
      <c r="A1363" s="47" t="inlineStr">
        <is>
          <t xml:space="preserve">LIEVITO DA KG 5 NATURALE NATURVI-S (4849)  </t>
        </is>
      </c>
      <c r="B1363" s="16" t="inlineStr">
        <is>
          <t>-</t>
        </is>
      </c>
      <c r="C1363" s="11" t="inlineStr">
        <is>
          <t>-</t>
        </is>
      </c>
      <c r="D1363" s="11" t="inlineStr">
        <is>
          <t>-</t>
        </is>
      </c>
      <c r="E1363" s="11" t="inlineStr">
        <is>
          <t>-</t>
        </is>
      </c>
      <c r="F1363" s="11" t="inlineStr">
        <is>
          <t>-</t>
        </is>
      </c>
      <c r="G1363" s="11" t="inlineStr">
        <is>
          <t>-</t>
        </is>
      </c>
      <c r="H1363" s="11" t="inlineStr">
        <is>
          <t>-</t>
        </is>
      </c>
      <c r="I1363" s="11" t="inlineStr">
        <is>
          <t>-</t>
        </is>
      </c>
      <c r="J1363" s="11" t="inlineStr">
        <is>
          <t>-</t>
        </is>
      </c>
      <c r="K1363" s="11" t="inlineStr">
        <is>
          <t>-</t>
        </is>
      </c>
      <c r="L1363" s="11" t="inlineStr">
        <is>
          <t>-</t>
        </is>
      </c>
      <c r="M1363" s="11" t="inlineStr">
        <is>
          <t>-</t>
        </is>
      </c>
      <c r="N1363" s="11" t="inlineStr">
        <is>
          <t>-</t>
        </is>
      </c>
      <c r="O1363" s="11" t="inlineStr">
        <is>
          <t>-</t>
        </is>
      </c>
      <c r="P1363" s="11" t="inlineStr">
        <is>
          <t>-</t>
        </is>
      </c>
      <c r="Q1363" s="12" t="inlineStr">
        <is>
          <t>-</t>
        </is>
      </c>
    </row>
    <row r="1364">
      <c r="A1364" s="47" t="inlineStr">
        <is>
          <t>tuorlo d'uovo pastorizzato</t>
        </is>
      </c>
      <c r="B1364" s="13" t="inlineStr">
        <is>
          <t>-</t>
        </is>
      </c>
      <c r="C1364" s="14" t="inlineStr">
        <is>
          <t>-</t>
        </is>
      </c>
      <c r="D1364" s="14" t="inlineStr">
        <is>
          <t>-</t>
        </is>
      </c>
      <c r="E1364" s="14" t="inlineStr">
        <is>
          <t>-</t>
        </is>
      </c>
      <c r="F1364" s="14" t="inlineStr">
        <is>
          <t>-</t>
        </is>
      </c>
      <c r="G1364" s="14" t="inlineStr">
        <is>
          <t>-</t>
        </is>
      </c>
      <c r="H1364" s="14" t="inlineStr">
        <is>
          <t>-</t>
        </is>
      </c>
      <c r="I1364" s="14" t="inlineStr">
        <is>
          <t>-</t>
        </is>
      </c>
      <c r="J1364" s="14" t="inlineStr">
        <is>
          <t>-</t>
        </is>
      </c>
      <c r="K1364" s="14" t="inlineStr">
        <is>
          <t>-</t>
        </is>
      </c>
      <c r="L1364" s="14" t="inlineStr">
        <is>
          <t>-</t>
        </is>
      </c>
      <c r="M1364" s="14" t="inlineStr">
        <is>
          <t>-</t>
        </is>
      </c>
      <c r="N1364" s="14" t="inlineStr">
        <is>
          <t>-</t>
        </is>
      </c>
      <c r="O1364" s="14" t="inlineStr">
        <is>
          <t>-</t>
        </is>
      </c>
      <c r="P1364" s="14" t="inlineStr">
        <is>
          <t>-</t>
        </is>
      </c>
      <c r="Q1364" s="15" t="inlineStr">
        <is>
          <t>-</t>
        </is>
      </c>
    </row>
    <row r="1365" ht="24" customHeight="1" s="155">
      <c r="A1365" s="47" t="inlineStr">
        <is>
          <t xml:space="preserve">PASTA GLASSATURA LATTE PATE A GLACER DA KG 5 (Blonde)  </t>
        </is>
      </c>
      <c r="B1365" s="16" t="inlineStr">
        <is>
          <t>-</t>
        </is>
      </c>
      <c r="C1365" s="11" t="inlineStr">
        <is>
          <t>-</t>
        </is>
      </c>
      <c r="D1365" s="11" t="inlineStr">
        <is>
          <t>-</t>
        </is>
      </c>
      <c r="E1365" s="11" t="inlineStr">
        <is>
          <t>-</t>
        </is>
      </c>
      <c r="F1365" s="11" t="inlineStr">
        <is>
          <t>-</t>
        </is>
      </c>
      <c r="G1365" s="11" t="inlineStr">
        <is>
          <t>-</t>
        </is>
      </c>
      <c r="H1365" s="11" t="inlineStr">
        <is>
          <t>-</t>
        </is>
      </c>
      <c r="I1365" s="11" t="inlineStr">
        <is>
          <t>-</t>
        </is>
      </c>
      <c r="J1365" s="11" t="inlineStr">
        <is>
          <t>-</t>
        </is>
      </c>
      <c r="K1365" s="11" t="inlineStr">
        <is>
          <t>-</t>
        </is>
      </c>
      <c r="L1365" s="11" t="inlineStr">
        <is>
          <t>-</t>
        </is>
      </c>
      <c r="M1365" s="11" t="inlineStr">
        <is>
          <t>-</t>
        </is>
      </c>
      <c r="N1365" s="11" t="inlineStr">
        <is>
          <t>-</t>
        </is>
      </c>
      <c r="O1365" s="11" t="inlineStr">
        <is>
          <t>-</t>
        </is>
      </c>
      <c r="P1365" s="11" t="inlineStr">
        <is>
          <t>-</t>
        </is>
      </c>
      <c r="Q1365" s="12" t="inlineStr">
        <is>
          <t>-</t>
        </is>
      </c>
    </row>
    <row r="1366" ht="24" customHeight="1" s="155">
      <c r="A1366" s="47" t="inlineStr">
        <is>
          <t xml:space="preserve">BASE PASTA DI MANDORLE MO ORO CONFEZIONE DA KG 12,5  </t>
        </is>
      </c>
      <c r="B1366" s="13" t="inlineStr">
        <is>
          <t>-</t>
        </is>
      </c>
      <c r="C1366" s="14" t="inlineStr">
        <is>
          <t>-</t>
        </is>
      </c>
      <c r="D1366" s="14" t="inlineStr">
        <is>
          <t>-</t>
        </is>
      </c>
      <c r="E1366" s="14" t="inlineStr">
        <is>
          <t>-</t>
        </is>
      </c>
      <c r="F1366" s="14" t="inlineStr">
        <is>
          <t>-</t>
        </is>
      </c>
      <c r="G1366" s="14" t="inlineStr">
        <is>
          <t>-</t>
        </is>
      </c>
      <c r="H1366" s="14" t="inlineStr">
        <is>
          <t>-</t>
        </is>
      </c>
      <c r="I1366" s="14" t="inlineStr">
        <is>
          <t>-</t>
        </is>
      </c>
      <c r="J1366" s="14" t="inlineStr">
        <is>
          <t>-</t>
        </is>
      </c>
      <c r="K1366" s="14" t="inlineStr">
        <is>
          <t>-</t>
        </is>
      </c>
      <c r="L1366" s="14" t="inlineStr">
        <is>
          <t>-</t>
        </is>
      </c>
      <c r="M1366" s="14" t="inlineStr">
        <is>
          <t>-</t>
        </is>
      </c>
      <c r="N1366" s="14" t="inlineStr">
        <is>
          <t>-</t>
        </is>
      </c>
      <c r="O1366" s="14" t="inlineStr">
        <is>
          <t>-</t>
        </is>
      </c>
      <c r="P1366" s="14" t="inlineStr">
        <is>
          <t>-</t>
        </is>
      </c>
      <c r="Q1366" s="15" t="inlineStr">
        <is>
          <t>-</t>
        </is>
      </c>
    </row>
    <row r="1367">
      <c r="A1367" s="47" t="inlineStr">
        <is>
          <t xml:space="preserve">ESSENZA BURRO ML 500  </t>
        </is>
      </c>
      <c r="B1367" s="16" t="inlineStr">
        <is>
          <t>-</t>
        </is>
      </c>
      <c r="C1367" s="11" t="inlineStr">
        <is>
          <t>-</t>
        </is>
      </c>
      <c r="D1367" s="11" t="inlineStr">
        <is>
          <t>-</t>
        </is>
      </c>
      <c r="E1367" s="11" t="inlineStr">
        <is>
          <t>-</t>
        </is>
      </c>
      <c r="F1367" s="11" t="inlineStr">
        <is>
          <t>-</t>
        </is>
      </c>
      <c r="G1367" s="11" t="inlineStr">
        <is>
          <t>-</t>
        </is>
      </c>
      <c r="H1367" s="11" t="inlineStr">
        <is>
          <t>-</t>
        </is>
      </c>
      <c r="I1367" s="11" t="inlineStr">
        <is>
          <t>-</t>
        </is>
      </c>
      <c r="J1367" s="11" t="inlineStr">
        <is>
          <t>-</t>
        </is>
      </c>
      <c r="K1367" s="11" t="inlineStr">
        <is>
          <t>-</t>
        </is>
      </c>
      <c r="L1367" s="11" t="inlineStr">
        <is>
          <t>-</t>
        </is>
      </c>
      <c r="M1367" s="11" t="inlineStr">
        <is>
          <t>-</t>
        </is>
      </c>
      <c r="N1367" s="11" t="inlineStr">
        <is>
          <t>-</t>
        </is>
      </c>
      <c r="O1367" s="11" t="inlineStr">
        <is>
          <t>-</t>
        </is>
      </c>
      <c r="P1367" s="11" t="inlineStr">
        <is>
          <t>-</t>
        </is>
      </c>
      <c r="Q1367" s="12" t="inlineStr">
        <is>
          <t>-</t>
        </is>
      </c>
    </row>
    <row r="1368">
      <c r="A1368" s="47" t="inlineStr">
        <is>
          <t xml:space="preserve">MANDORLE NATURALI IN SACCHI DA KG 25  </t>
        </is>
      </c>
      <c r="B1368" s="13" t="inlineStr">
        <is>
          <t>-</t>
        </is>
      </c>
      <c r="C1368" s="14" t="inlineStr">
        <is>
          <t>-</t>
        </is>
      </c>
      <c r="D1368" s="14" t="inlineStr">
        <is>
          <t>-</t>
        </is>
      </c>
      <c r="E1368" s="14" t="inlineStr">
        <is>
          <t>-</t>
        </is>
      </c>
      <c r="F1368" s="14" t="inlineStr">
        <is>
          <t>-</t>
        </is>
      </c>
      <c r="G1368" s="14" t="inlineStr">
        <is>
          <t>-</t>
        </is>
      </c>
      <c r="H1368" s="14" t="inlineStr">
        <is>
          <t>-</t>
        </is>
      </c>
      <c r="I1368" s="14" t="inlineStr">
        <is>
          <t>-</t>
        </is>
      </c>
      <c r="J1368" s="14" t="inlineStr">
        <is>
          <t>-</t>
        </is>
      </c>
      <c r="K1368" s="14" t="inlineStr">
        <is>
          <t>-</t>
        </is>
      </c>
      <c r="L1368" s="14" t="inlineStr">
        <is>
          <t>-</t>
        </is>
      </c>
      <c r="M1368" s="14" t="inlineStr">
        <is>
          <t>-</t>
        </is>
      </c>
      <c r="N1368" s="14" t="inlineStr">
        <is>
          <t>-</t>
        </is>
      </c>
      <c r="O1368" s="14" t="inlineStr">
        <is>
          <t>-</t>
        </is>
      </c>
      <c r="P1368" s="14" t="inlineStr">
        <is>
          <t>-</t>
        </is>
      </c>
      <c r="Q1368" s="15" t="inlineStr">
        <is>
          <t>-</t>
        </is>
      </c>
    </row>
    <row r="1369" ht="24" customHeight="1" s="155">
      <c r="A1369" s="47" t="inlineStr">
        <is>
          <t xml:space="preserve">BURRO TRADIZIONALE BLOCCHI M.G. 82% 20665601  </t>
        </is>
      </c>
      <c r="B1369" s="16" t="inlineStr">
        <is>
          <t>-</t>
        </is>
      </c>
      <c r="C1369" s="11" t="inlineStr">
        <is>
          <t>-</t>
        </is>
      </c>
      <c r="D1369" s="11" t="inlineStr">
        <is>
          <t>-</t>
        </is>
      </c>
      <c r="E1369" s="11" t="inlineStr">
        <is>
          <t>-</t>
        </is>
      </c>
      <c r="F1369" s="11" t="inlineStr">
        <is>
          <t>-</t>
        </is>
      </c>
      <c r="G1369" s="11" t="inlineStr">
        <is>
          <t>-</t>
        </is>
      </c>
      <c r="H1369" s="11" t="inlineStr">
        <is>
          <t>-</t>
        </is>
      </c>
      <c r="I1369" s="11" t="inlineStr">
        <is>
          <t>-</t>
        </is>
      </c>
      <c r="J1369" s="11" t="inlineStr">
        <is>
          <t>-</t>
        </is>
      </c>
      <c r="K1369" s="11" t="inlineStr">
        <is>
          <t>-</t>
        </is>
      </c>
      <c r="L1369" s="11" t="inlineStr">
        <is>
          <t>-</t>
        </is>
      </c>
      <c r="M1369" s="11" t="inlineStr">
        <is>
          <t>-</t>
        </is>
      </c>
      <c r="N1369" s="11" t="inlineStr">
        <is>
          <t>-</t>
        </is>
      </c>
      <c r="O1369" s="11" t="inlineStr">
        <is>
          <t>-</t>
        </is>
      </c>
      <c r="P1369" s="11" t="inlineStr">
        <is>
          <t>-</t>
        </is>
      </c>
      <c r="Q1369" s="12" t="inlineStr">
        <is>
          <t>-</t>
        </is>
      </c>
    </row>
    <row r="1370" ht="48" customHeight="1" s="155">
      <c r="B1370" s="46" t="inlineStr">
        <is>
          <t>panettone tradizionale</t>
        </is>
      </c>
      <c r="C1370" s="49">
        <f>_xlfn.XLOOKUP(A1371,Magazzino!$D$1:$D$1500,Magazzino!$F$1:$F$1500,"",0,1)</f>
        <v/>
      </c>
      <c r="D1370" s="50">
        <f>_xlfn.XLOOKUP(A1372,Magazzino!$D$1:$D$1500,Magazzino!$F$1:$F$1500,"",0,1)</f>
        <v/>
      </c>
      <c r="E1370" s="50">
        <f>_xlfn.XLOOKUP(A1373,Magazzino!$D$1:$D$1500,Magazzino!$F$1:$F$1500,"",0,1)</f>
        <v/>
      </c>
      <c r="F1370" s="50">
        <f>_xlfn.XLOOKUP(A1374,Magazzino!$D$1:$D$1500,Magazzino!$F$1:$F$1500,"",0,1)</f>
        <v/>
      </c>
      <c r="G1370" s="50">
        <f>_xlfn.XLOOKUP(A1375,Magazzino!$D$1:$D$1500,Magazzino!$F$1:$F$1500,"",0,1)</f>
        <v/>
      </c>
      <c r="H1370" s="50">
        <f>_xlfn.XLOOKUP(A1376,Magazzino!$D$1:$D$1500,Magazzino!$F$1:$F$1500,"",0,1)</f>
        <v/>
      </c>
      <c r="I1370" s="50">
        <f>_xlfn.XLOOKUP(A1377,Magazzino!$D$1:$D$1500,Magazzino!$F$1:$F$1500,"",0,1)</f>
        <v/>
      </c>
      <c r="J1370" s="50">
        <f>_xlfn.XLOOKUP(A1378,Magazzino!$D$1:$D$1500,Magazzino!$F$1:$F$1500,"",0,1)</f>
        <v/>
      </c>
      <c r="K1370" s="50">
        <f>_xlfn.XLOOKUP(A1379,Magazzino!$D$1:$D$1500,Magazzino!$F$1:$F$1500,"",0,1)</f>
        <v/>
      </c>
      <c r="L1370" s="50">
        <f>_xlfn.XLOOKUP(A1380,Magazzino!$D$1:$D$1500,Magazzino!$F$1:$F$1500,"",0,1)</f>
        <v/>
      </c>
      <c r="M1370" s="50">
        <f>_xlfn.XLOOKUP(A1381,Magazzino!$D$1:$D$1500,Magazzino!$F$1:$F$1500,"",0,1)</f>
        <v/>
      </c>
      <c r="N1370" s="50">
        <f>_xlfn.XLOOKUP(A1382,Magazzino!$D$1:$D$1500,Magazzino!$F$1:$F$1500,"",0,1)</f>
        <v/>
      </c>
      <c r="O1370" s="50">
        <f>_xlfn.XLOOKUP(A1383,Magazzino!$D$1:$D$1500,Magazzino!$F$1:$F$1500,"",0,1)</f>
        <v/>
      </c>
      <c r="P1370" s="50">
        <f>_xlfn.XLOOKUP(A1384,Magazzino!$D$1:$D$1500,Magazzino!$F$1:$F$1500,"",0,1)</f>
        <v/>
      </c>
      <c r="Q1370" s="51">
        <f>_xlfn.XLOOKUP(A1385,Magazzino!$D$1:$D$1500,Magazzino!$F$1:$F$1500,"",0,1)</f>
        <v/>
      </c>
    </row>
    <row r="1371">
      <c r="A1371" s="47" t="inlineStr">
        <is>
          <t xml:space="preserve">FARINA 00 CAPUTO RINFORZ.KG.25  </t>
        </is>
      </c>
      <c r="B1371" s="16" t="inlineStr">
        <is>
          <t>-</t>
        </is>
      </c>
      <c r="C1371" s="11" t="inlineStr">
        <is>
          <t>-</t>
        </is>
      </c>
      <c r="D1371" s="11" t="inlineStr">
        <is>
          <t>-</t>
        </is>
      </c>
      <c r="E1371" s="11" t="inlineStr">
        <is>
          <t>-</t>
        </is>
      </c>
      <c r="F1371" s="11" t="inlineStr">
        <is>
          <t>-</t>
        </is>
      </c>
      <c r="G1371" s="11" t="inlineStr">
        <is>
          <t>-</t>
        </is>
      </c>
      <c r="H1371" s="11" t="inlineStr">
        <is>
          <t>-</t>
        </is>
      </c>
      <c r="I1371" s="11" t="inlineStr">
        <is>
          <t>-</t>
        </is>
      </c>
      <c r="J1371" s="11" t="inlineStr">
        <is>
          <t>-</t>
        </is>
      </c>
      <c r="K1371" s="11" t="inlineStr">
        <is>
          <t>-</t>
        </is>
      </c>
      <c r="L1371" s="11" t="inlineStr">
        <is>
          <t>-</t>
        </is>
      </c>
      <c r="M1371" s="11" t="inlineStr">
        <is>
          <t>-</t>
        </is>
      </c>
      <c r="N1371" s="11" t="inlineStr">
        <is>
          <t>-</t>
        </is>
      </c>
      <c r="O1371" s="11" t="inlineStr">
        <is>
          <t>-</t>
        </is>
      </c>
      <c r="P1371" s="11" t="inlineStr">
        <is>
          <t>-</t>
        </is>
      </c>
      <c r="Q1371" s="12" t="inlineStr">
        <is>
          <t>-</t>
        </is>
      </c>
    </row>
    <row r="1372">
      <c r="A1372" s="47" t="inlineStr">
        <is>
          <t xml:space="preserve">SALE FINO ITALKALI DA KG.1X12  </t>
        </is>
      </c>
      <c r="B1372" s="13" t="inlineStr">
        <is>
          <t>-</t>
        </is>
      </c>
      <c r="C1372" s="14" t="inlineStr">
        <is>
          <t>-</t>
        </is>
      </c>
      <c r="D1372" s="14" t="inlineStr">
        <is>
          <t>-</t>
        </is>
      </c>
      <c r="E1372" s="14" t="inlineStr">
        <is>
          <t>-</t>
        </is>
      </c>
      <c r="F1372" s="14" t="inlineStr">
        <is>
          <t>-</t>
        </is>
      </c>
      <c r="G1372" s="14" t="inlineStr">
        <is>
          <t>-</t>
        </is>
      </c>
      <c r="H1372" s="14" t="inlineStr">
        <is>
          <t>-</t>
        </is>
      </c>
      <c r="I1372" s="14" t="inlineStr">
        <is>
          <t>-</t>
        </is>
      </c>
      <c r="J1372" s="14" t="inlineStr">
        <is>
          <t>-</t>
        </is>
      </c>
      <c r="K1372" s="14" t="inlineStr">
        <is>
          <t>-</t>
        </is>
      </c>
      <c r="L1372" s="14" t="inlineStr">
        <is>
          <t>-</t>
        </is>
      </c>
      <c r="M1372" s="14" t="inlineStr">
        <is>
          <t>-</t>
        </is>
      </c>
      <c r="N1372" s="14" t="inlineStr">
        <is>
          <t>-</t>
        </is>
      </c>
      <c r="O1372" s="14" t="inlineStr">
        <is>
          <t>-</t>
        </is>
      </c>
      <c r="P1372" s="14" t="inlineStr">
        <is>
          <t>-</t>
        </is>
      </c>
      <c r="Q1372" s="15" t="inlineStr">
        <is>
          <t>-</t>
        </is>
      </c>
    </row>
    <row r="1373" ht="24" customHeight="1" s="155">
      <c r="A1373" s="47" t="inlineStr">
        <is>
          <t xml:space="preserve">LIEVITO DA KG 5 NATURALE NATURVI-S (4849)  </t>
        </is>
      </c>
      <c r="B1373" s="16" t="inlineStr">
        <is>
          <t>-</t>
        </is>
      </c>
      <c r="C1373" s="11" t="inlineStr">
        <is>
          <t>-</t>
        </is>
      </c>
      <c r="D1373" s="11" t="inlineStr">
        <is>
          <t>-</t>
        </is>
      </c>
      <c r="E1373" s="11" t="inlineStr">
        <is>
          <t>-</t>
        </is>
      </c>
      <c r="F1373" s="11" t="inlineStr">
        <is>
          <t>-</t>
        </is>
      </c>
      <c r="G1373" s="11" t="inlineStr">
        <is>
          <t>-</t>
        </is>
      </c>
      <c r="H1373" s="11" t="inlineStr">
        <is>
          <t>-</t>
        </is>
      </c>
      <c r="I1373" s="11" t="inlineStr">
        <is>
          <t>-</t>
        </is>
      </c>
      <c r="J1373" s="11" t="inlineStr">
        <is>
          <t>-</t>
        </is>
      </c>
      <c r="K1373" s="11" t="inlineStr">
        <is>
          <t>-</t>
        </is>
      </c>
      <c r="L1373" s="11" t="inlineStr">
        <is>
          <t>-</t>
        </is>
      </c>
      <c r="M1373" s="11" t="inlineStr">
        <is>
          <t>-</t>
        </is>
      </c>
      <c r="N1373" s="11" t="inlineStr">
        <is>
          <t>-</t>
        </is>
      </c>
      <c r="O1373" s="11" t="inlineStr">
        <is>
          <t>-</t>
        </is>
      </c>
      <c r="P1373" s="11" t="inlineStr">
        <is>
          <t>-</t>
        </is>
      </c>
      <c r="Q1373" s="12" t="inlineStr">
        <is>
          <t>-</t>
        </is>
      </c>
    </row>
    <row r="1374">
      <c r="A1374" s="47" t="inlineStr">
        <is>
          <t>tuorlo d'uovo pastorizzato</t>
        </is>
      </c>
      <c r="B1374" s="13" t="inlineStr">
        <is>
          <t>-</t>
        </is>
      </c>
      <c r="C1374" s="14" t="inlineStr">
        <is>
          <t>-</t>
        </is>
      </c>
      <c r="D1374" s="14" t="inlineStr">
        <is>
          <t>-</t>
        </is>
      </c>
      <c r="E1374" s="14" t="inlineStr">
        <is>
          <t>-</t>
        </is>
      </c>
      <c r="F1374" s="14" t="inlineStr">
        <is>
          <t>-</t>
        </is>
      </c>
      <c r="G1374" s="14" t="inlineStr">
        <is>
          <t>-</t>
        </is>
      </c>
      <c r="H1374" s="14" t="inlineStr">
        <is>
          <t>-</t>
        </is>
      </c>
      <c r="I1374" s="14" t="inlineStr">
        <is>
          <t>-</t>
        </is>
      </c>
      <c r="J1374" s="14" t="inlineStr">
        <is>
          <t>-</t>
        </is>
      </c>
      <c r="K1374" s="14" t="inlineStr">
        <is>
          <t>-</t>
        </is>
      </c>
      <c r="L1374" s="14" t="inlineStr">
        <is>
          <t>-</t>
        </is>
      </c>
      <c r="M1374" s="14" t="inlineStr">
        <is>
          <t>-</t>
        </is>
      </c>
      <c r="N1374" s="14" t="inlineStr">
        <is>
          <t>-</t>
        </is>
      </c>
      <c r="O1374" s="14" t="inlineStr">
        <is>
          <t>-</t>
        </is>
      </c>
      <c r="P1374" s="14" t="inlineStr">
        <is>
          <t>-</t>
        </is>
      </c>
      <c r="Q1374" s="15" t="inlineStr">
        <is>
          <t>-</t>
        </is>
      </c>
    </row>
    <row r="1375" ht="24" customHeight="1" s="155">
      <c r="A1375" s="47" t="inlineStr">
        <is>
          <t xml:space="preserve">PASTA GLASSATURA LATTE PATE A GLACER DA KG 5 (Blonde)  </t>
        </is>
      </c>
      <c r="B1375" s="16" t="inlineStr">
        <is>
          <t>-</t>
        </is>
      </c>
      <c r="C1375" s="11" t="inlineStr">
        <is>
          <t>-</t>
        </is>
      </c>
      <c r="D1375" s="11" t="inlineStr">
        <is>
          <t>-</t>
        </is>
      </c>
      <c r="E1375" s="11" t="inlineStr">
        <is>
          <t>-</t>
        </is>
      </c>
      <c r="F1375" s="11" t="inlineStr">
        <is>
          <t>-</t>
        </is>
      </c>
      <c r="G1375" s="11" t="inlineStr">
        <is>
          <t>-</t>
        </is>
      </c>
      <c r="H1375" s="11" t="inlineStr">
        <is>
          <t>-</t>
        </is>
      </c>
      <c r="I1375" s="11" t="inlineStr">
        <is>
          <t>-</t>
        </is>
      </c>
      <c r="J1375" s="11" t="inlineStr">
        <is>
          <t>-</t>
        </is>
      </c>
      <c r="K1375" s="11" t="inlineStr">
        <is>
          <t>-</t>
        </is>
      </c>
      <c r="L1375" s="11" t="inlineStr">
        <is>
          <t>-</t>
        </is>
      </c>
      <c r="M1375" s="11" t="inlineStr">
        <is>
          <t>-</t>
        </is>
      </c>
      <c r="N1375" s="11" t="inlineStr">
        <is>
          <t>-</t>
        </is>
      </c>
      <c r="O1375" s="11" t="inlineStr">
        <is>
          <t>-</t>
        </is>
      </c>
      <c r="P1375" s="11" t="inlineStr">
        <is>
          <t>-</t>
        </is>
      </c>
      <c r="Q1375" s="12" t="inlineStr">
        <is>
          <t>-</t>
        </is>
      </c>
    </row>
    <row r="1376" ht="24" customHeight="1" s="155">
      <c r="A1376" s="47" t="inlineStr">
        <is>
          <t xml:space="preserve">SCORZONE ARANCIO FRESCO PREMIUM CUBETTI 10X10 CANDITO DA KG 3  </t>
        </is>
      </c>
      <c r="B1376" s="13" t="inlineStr">
        <is>
          <t>-</t>
        </is>
      </c>
      <c r="C1376" s="14" t="inlineStr">
        <is>
          <t>-</t>
        </is>
      </c>
      <c r="D1376" s="14" t="inlineStr">
        <is>
          <t>-</t>
        </is>
      </c>
      <c r="E1376" s="14" t="inlineStr">
        <is>
          <t>-</t>
        </is>
      </c>
      <c r="F1376" s="14" t="inlineStr">
        <is>
          <t>-</t>
        </is>
      </c>
      <c r="G1376" s="14" t="inlineStr">
        <is>
          <t>-</t>
        </is>
      </c>
      <c r="H1376" s="14" t="inlineStr">
        <is>
          <t>-</t>
        </is>
      </c>
      <c r="I1376" s="14" t="inlineStr">
        <is>
          <t>-</t>
        </is>
      </c>
      <c r="J1376" s="14" t="inlineStr">
        <is>
          <t>-</t>
        </is>
      </c>
      <c r="K1376" s="14" t="inlineStr">
        <is>
          <t>-</t>
        </is>
      </c>
      <c r="L1376" s="14" t="inlineStr">
        <is>
          <t>-</t>
        </is>
      </c>
      <c r="M1376" s="14" t="inlineStr">
        <is>
          <t>-</t>
        </is>
      </c>
      <c r="N1376" s="14" t="inlineStr">
        <is>
          <t>-</t>
        </is>
      </c>
      <c r="O1376" s="14" t="inlineStr">
        <is>
          <t>-</t>
        </is>
      </c>
      <c r="P1376" s="14" t="inlineStr">
        <is>
          <t>-</t>
        </is>
      </c>
      <c r="Q1376" s="15" t="inlineStr">
        <is>
          <t>-</t>
        </is>
      </c>
    </row>
    <row r="1377">
      <c r="A1377" s="47" t="inlineStr">
        <is>
          <t xml:space="preserve">ESSENZA BURRO ML 500  </t>
        </is>
      </c>
      <c r="B1377" s="16" t="inlineStr">
        <is>
          <t>-</t>
        </is>
      </c>
      <c r="C1377" s="11" t="inlineStr">
        <is>
          <t>-</t>
        </is>
      </c>
      <c r="D1377" s="11" t="inlineStr">
        <is>
          <t>-</t>
        </is>
      </c>
      <c r="E1377" s="11" t="inlineStr">
        <is>
          <t>-</t>
        </is>
      </c>
      <c r="F1377" s="11" t="inlineStr">
        <is>
          <t>-</t>
        </is>
      </c>
      <c r="G1377" s="11" t="inlineStr">
        <is>
          <t>-</t>
        </is>
      </c>
      <c r="H1377" s="11" t="inlineStr">
        <is>
          <t>-</t>
        </is>
      </c>
      <c r="I1377" s="11" t="inlineStr">
        <is>
          <t>-</t>
        </is>
      </c>
      <c r="J1377" s="11" t="inlineStr">
        <is>
          <t>-</t>
        </is>
      </c>
      <c r="K1377" s="11" t="inlineStr">
        <is>
          <t>-</t>
        </is>
      </c>
      <c r="L1377" s="11" t="inlineStr">
        <is>
          <t>-</t>
        </is>
      </c>
      <c r="M1377" s="11" t="inlineStr">
        <is>
          <t>-</t>
        </is>
      </c>
      <c r="N1377" s="11" t="inlineStr">
        <is>
          <t>-</t>
        </is>
      </c>
      <c r="O1377" s="11" t="inlineStr">
        <is>
          <t>-</t>
        </is>
      </c>
      <c r="P1377" s="11" t="inlineStr">
        <is>
          <t>-</t>
        </is>
      </c>
      <c r="Q1377" s="12" t="inlineStr">
        <is>
          <t>-</t>
        </is>
      </c>
    </row>
    <row r="1378">
      <c r="A1378" s="47" t="inlineStr">
        <is>
          <t xml:space="preserve">AROMA EMULSIONE PANETTONE NATURALE  </t>
        </is>
      </c>
      <c r="B1378" s="13" t="inlineStr">
        <is>
          <t>-</t>
        </is>
      </c>
      <c r="C1378" s="14" t="inlineStr">
        <is>
          <t>-</t>
        </is>
      </c>
      <c r="D1378" s="14" t="inlineStr">
        <is>
          <t>-</t>
        </is>
      </c>
      <c r="E1378" s="14" t="inlineStr">
        <is>
          <t>-</t>
        </is>
      </c>
      <c r="F1378" s="14" t="inlineStr">
        <is>
          <t>-</t>
        </is>
      </c>
      <c r="G1378" s="14" t="inlineStr">
        <is>
          <t>-</t>
        </is>
      </c>
      <c r="H1378" s="14" t="inlineStr">
        <is>
          <t>-</t>
        </is>
      </c>
      <c r="I1378" s="14" t="inlineStr">
        <is>
          <t>-</t>
        </is>
      </c>
      <c r="J1378" s="14" t="inlineStr">
        <is>
          <t>-</t>
        </is>
      </c>
      <c r="K1378" s="14" t="inlineStr">
        <is>
          <t>-</t>
        </is>
      </c>
      <c r="L1378" s="14" t="inlineStr">
        <is>
          <t>-</t>
        </is>
      </c>
      <c r="M1378" s="14" t="inlineStr">
        <is>
          <t>-</t>
        </is>
      </c>
      <c r="N1378" s="14" t="inlineStr">
        <is>
          <t>-</t>
        </is>
      </c>
      <c r="O1378" s="14" t="inlineStr">
        <is>
          <t>-</t>
        </is>
      </c>
      <c r="P1378" s="14" t="inlineStr">
        <is>
          <t>-</t>
        </is>
      </c>
      <c r="Q1378" s="15" t="inlineStr">
        <is>
          <t>-</t>
        </is>
      </c>
    </row>
    <row r="1379" ht="24" customHeight="1" s="155">
      <c r="A1379" s="47" t="inlineStr">
        <is>
          <t xml:space="preserve">BURRO TRADIZIONALE BLOCCHI M.G. 82% 20665601  </t>
        </is>
      </c>
      <c r="B1379" s="16" t="inlineStr">
        <is>
          <t>-</t>
        </is>
      </c>
      <c r="C1379" s="11" t="inlineStr">
        <is>
          <t>-</t>
        </is>
      </c>
      <c r="D1379" s="11" t="inlineStr">
        <is>
          <t>-</t>
        </is>
      </c>
      <c r="E1379" s="11" t="inlineStr">
        <is>
          <t>-</t>
        </is>
      </c>
      <c r="F1379" s="11" t="inlineStr">
        <is>
          <t>-</t>
        </is>
      </c>
      <c r="G1379" s="11" t="inlineStr">
        <is>
          <t>-</t>
        </is>
      </c>
      <c r="H1379" s="11" t="inlineStr">
        <is>
          <t>-</t>
        </is>
      </c>
      <c r="I1379" s="11" t="inlineStr">
        <is>
          <t>-</t>
        </is>
      </c>
      <c r="J1379" s="11" t="inlineStr">
        <is>
          <t>-</t>
        </is>
      </c>
      <c r="K1379" s="11" t="inlineStr">
        <is>
          <t>-</t>
        </is>
      </c>
      <c r="L1379" s="11" t="inlineStr">
        <is>
          <t>-</t>
        </is>
      </c>
      <c r="M1379" s="11" t="inlineStr">
        <is>
          <t>-</t>
        </is>
      </c>
      <c r="N1379" s="11" t="inlineStr">
        <is>
          <t>-</t>
        </is>
      </c>
      <c r="O1379" s="11" t="inlineStr">
        <is>
          <t>-</t>
        </is>
      </c>
      <c r="P1379" s="11" t="inlineStr">
        <is>
          <t>-</t>
        </is>
      </c>
      <c r="Q1379" s="12" t="inlineStr">
        <is>
          <t>-</t>
        </is>
      </c>
    </row>
  </sheetData>
  <autoFilter ref="A1:R1379"/>
  <dataValidations count="1">
    <dataValidation sqref="A3:A7 A19:A33 A35:A43 A51:A65 A67:A81 A83:A97 A99:A113 A115:A129 A131:A145 A147:A177 A179:A193 A195:A209 A211:A225 A227:A241 A243:A257 A259:A273 A275:A289 A291:A305 A307:A321 A323:A337 A339:A353 A355:A369 A371:A385 A387:A401 A403:A417 A419:A433 A435:A449 A451:A465 A467:A481 A483:A497 A499:A513 A515:A529 A531:A545 A547:A561 A563:A577 A579:A593 A595:A609 A611:A625 A627:A641 A643:A657 A659:A673 A675:A689 A691:A705 A707:A721 A723:A737 A739:A753 A755:A769 A771:A785 A787:A801 A803:A817 A819:A833 A835:A849 A851:A865 A867:A881 A883:A897 A899:A913 A915:A929 A931:A945 A947:A961 A963:A977 A979:A993 A995:A1009 A1011:A1025 A1027:A1041 A1043:A1057 A1059:A1073 A1075:A1089 A1091:A1105 A1107:A1121 A1123:A1137 A1139:A1153 A1155:A1169 A1171:A1185 A1187:A1201 A1203:A1217 A1219:A1233 A1235:A1249 A1251:A1265 A1267:A1281 A1283:A1297 A1299:A1313 A1315:A1329 A1331:A1339 A1341:A1349 A1351:A1359 A1361:A1369 A1371:A1379" showDropDown="0" showInputMessage="1" showErrorMessage="1" allowBlank="1" type="list">
      <formula1>Materie</formula1>
    </dataValidation>
  </dataValidations>
  <pageMargins left="0.7" right="0.7" top="0.75" bottom="0.75" header="0.3" footer="0.3"/>
  <pageSetup orientation="portrait" paperSize="9" horizontalDpi="4294967294" verticalDpi="4294967294"/>
</worksheet>
</file>

<file path=xl/worksheets/sheet4.xml><?xml version="1.0" encoding="utf-8"?>
<worksheet xmlns="http://schemas.openxmlformats.org/spreadsheetml/2006/main">
  <sheetPr codeName="Foglio2">
    <outlinePr summaryBelow="1" summaryRight="1"/>
    <pageSetUpPr/>
  </sheetPr>
  <dimension ref="A1:B1343"/>
  <sheetViews>
    <sheetView topLeftCell="A1308" zoomScale="115" zoomScaleNormal="115" workbookViewId="0">
      <selection activeCell="A1339" sqref="A1339"/>
    </sheetView>
  </sheetViews>
  <sheetFormatPr baseColWidth="8" defaultColWidth="30.109375" defaultRowHeight="12"/>
  <cols>
    <col width="30.109375" customWidth="1" style="4" min="1" max="16384"/>
  </cols>
  <sheetData>
    <row r="1">
      <c r="A1" s="44" t="inlineStr">
        <is>
          <t>materie prime</t>
        </is>
      </c>
    </row>
    <row r="2">
      <c r="A2" s="5" t="inlineStr">
        <is>
          <t>arancini</t>
        </is>
      </c>
    </row>
    <row r="3">
      <c r="A3" s="47" t="inlineStr">
        <is>
          <t>riso</t>
        </is>
      </c>
    </row>
    <row r="4">
      <c r="A4" s="48" t="inlineStr">
        <is>
          <t xml:space="preserve">SALE SACCHI SALTECHNO KG.25  </t>
        </is>
      </c>
    </row>
    <row r="5">
      <c r="A5" s="47" t="inlineStr">
        <is>
          <t>Sedano L.F.183/A</t>
        </is>
      </c>
    </row>
    <row r="6">
      <c r="A6" s="48" t="inlineStr">
        <is>
          <t>carote</t>
        </is>
      </c>
    </row>
    <row r="7">
      <c r="A7" s="47" t="inlineStr">
        <is>
          <t>olio extravergine oliva</t>
        </is>
      </c>
    </row>
    <row r="8">
      <c r="A8" s="4" t="inlineStr">
        <is>
          <t>-</t>
        </is>
      </c>
    </row>
    <row r="9">
      <c r="A9" s="4" t="inlineStr">
        <is>
          <t>-</t>
        </is>
      </c>
    </row>
    <row r="10">
      <c r="A10" s="4" t="inlineStr">
        <is>
          <t>-</t>
        </is>
      </c>
    </row>
    <row r="11">
      <c r="A11" s="4" t="inlineStr">
        <is>
          <t>-</t>
        </is>
      </c>
    </row>
    <row r="12">
      <c r="A12" s="4" t="inlineStr">
        <is>
          <t>-</t>
        </is>
      </c>
    </row>
    <row r="13">
      <c r="A13" s="4" t="inlineStr">
        <is>
          <t>-</t>
        </is>
      </c>
    </row>
    <row r="14">
      <c r="A14" s="4" t="inlineStr">
        <is>
          <t>-</t>
        </is>
      </c>
    </row>
    <row r="15">
      <c r="A15" s="4" t="inlineStr">
        <is>
          <t>-</t>
        </is>
      </c>
    </row>
    <row r="16">
      <c r="A16" s="4" t="inlineStr">
        <is>
          <t>-</t>
        </is>
      </c>
    </row>
    <row r="17">
      <c r="A17" s="4" t="inlineStr">
        <is>
          <t>-</t>
        </is>
      </c>
    </row>
    <row r="18">
      <c r="A18" s="5" t="inlineStr">
        <is>
          <t>crocche</t>
        </is>
      </c>
    </row>
    <row r="19">
      <c r="A19" s="47" t="inlineStr">
        <is>
          <t>patata da consumo l.469/93</t>
        </is>
      </c>
    </row>
    <row r="20">
      <c r="A20" s="48" t="inlineStr">
        <is>
          <t xml:space="preserve">SALE SACCHI SALTECHNO KG.25  </t>
        </is>
      </c>
    </row>
    <row r="21">
      <c r="A21" s="47" t="inlineStr">
        <is>
          <t>olio extravergine oliva</t>
        </is>
      </c>
    </row>
    <row r="22">
      <c r="A22" s="47" t="n"/>
    </row>
    <row r="23">
      <c r="A23" s="47" t="n"/>
    </row>
    <row r="24">
      <c r="A24" s="47" t="n"/>
    </row>
    <row r="25">
      <c r="A25" s="47" t="n"/>
    </row>
    <row r="26">
      <c r="A26" s="47" t="n"/>
    </row>
    <row r="27">
      <c r="A27" s="47" t="n"/>
    </row>
    <row r="28">
      <c r="A28" s="47" t="n"/>
    </row>
    <row r="29">
      <c r="A29" s="47" t="n"/>
    </row>
    <row r="30">
      <c r="A30" s="47" t="n"/>
    </row>
    <row r="31">
      <c r="A31" s="47" t="n"/>
    </row>
    <row r="32">
      <c r="A32" s="47" t="n"/>
    </row>
    <row r="33">
      <c r="A33" s="47" t="n"/>
    </row>
    <row r="34">
      <c r="A34" s="5" t="inlineStr">
        <is>
          <t>frittatina</t>
        </is>
      </c>
    </row>
    <row r="35">
      <c r="A35" s="47" t="inlineStr">
        <is>
          <t xml:space="preserve">PASTA DE CECCO Mafaldine  </t>
        </is>
      </c>
    </row>
    <row r="36">
      <c r="A36" s="48" t="inlineStr">
        <is>
          <t xml:space="preserve">SALE SACCHI SALTECHNO KG.25  </t>
        </is>
      </c>
    </row>
    <row r="37">
      <c r="A37" s="47" t="inlineStr">
        <is>
          <t>latte   1000 int.uht  yma</t>
        </is>
      </c>
    </row>
    <row r="38">
      <c r="A38" s="47" t="inlineStr">
        <is>
          <t>margarina sfoglia</t>
        </is>
      </c>
    </row>
    <row r="39">
      <c r="A39" s="47" t="inlineStr">
        <is>
          <t xml:space="preserve">FARINA 0/MAN. CAPUTO DA KG.25  </t>
        </is>
      </c>
    </row>
    <row r="40">
      <c r="A40" s="47" t="inlineStr">
        <is>
          <t>carote</t>
        </is>
      </c>
    </row>
    <row r="41">
      <c r="A41" s="47" t="inlineStr">
        <is>
          <t xml:space="preserve">PISELLI BONDUELLE GR.580X12  </t>
        </is>
      </c>
    </row>
    <row r="42">
      <c r="A42" s="47" t="inlineStr">
        <is>
          <t>olio extravergine oliva</t>
        </is>
      </c>
    </row>
    <row r="43">
      <c r="A43" s="47" t="inlineStr">
        <is>
          <t>basilico / rosmarino /prezzemolo</t>
        </is>
      </c>
    </row>
    <row r="44">
      <c r="A44" s="4" t="inlineStr">
        <is>
          <t>-</t>
        </is>
      </c>
    </row>
    <row r="45">
      <c r="A45" s="4" t="inlineStr">
        <is>
          <t>-</t>
        </is>
      </c>
    </row>
    <row r="46">
      <c r="A46" s="4" t="inlineStr">
        <is>
          <t>-</t>
        </is>
      </c>
    </row>
    <row r="47">
      <c r="A47" s="4" t="inlineStr">
        <is>
          <t>-</t>
        </is>
      </c>
    </row>
    <row r="48">
      <c r="A48" s="4" t="inlineStr">
        <is>
          <t>-</t>
        </is>
      </c>
    </row>
    <row r="49">
      <c r="A49" s="4" t="inlineStr">
        <is>
          <t>-</t>
        </is>
      </c>
    </row>
    <row r="50">
      <c r="A50" s="5" t="inlineStr">
        <is>
          <t>friarielli in padella</t>
        </is>
      </c>
    </row>
    <row r="51">
      <c r="A51" s="47" t="inlineStr">
        <is>
          <t>Friarielli Orig.Campania L.51/F FVI/49</t>
        </is>
      </c>
    </row>
    <row r="52">
      <c r="A52" s="48" t="inlineStr">
        <is>
          <t xml:space="preserve">SALE SACCHI SALTECHNO KG.25  </t>
        </is>
      </c>
    </row>
    <row r="53">
      <c r="A53" s="47" t="inlineStr">
        <is>
          <t>olio extravergine oliva</t>
        </is>
      </c>
    </row>
    <row r="54">
      <c r="A54" s="47" t="n"/>
    </row>
    <row r="55">
      <c r="A55" s="47" t="n"/>
    </row>
    <row r="56">
      <c r="A56" s="47" t="n"/>
    </row>
    <row r="57">
      <c r="A57" s="47" t="n"/>
    </row>
    <row r="58">
      <c r="A58" s="47" t="n"/>
    </row>
    <row r="59">
      <c r="A59" s="47" t="n"/>
    </row>
    <row r="60">
      <c r="A60" s="47" t="n"/>
    </row>
    <row r="61">
      <c r="A61" s="47" t="n"/>
    </row>
    <row r="62">
      <c r="A62" s="47" t="n"/>
    </row>
    <row r="63">
      <c r="A63" s="47" t="n"/>
    </row>
    <row r="64">
      <c r="A64" s="47" t="n"/>
    </row>
    <row r="65">
      <c r="A65" s="47" t="n"/>
    </row>
    <row r="66">
      <c r="A66" s="5" t="inlineStr">
        <is>
          <t>peperoni in padella</t>
        </is>
      </c>
    </row>
    <row r="67">
      <c r="A67" s="47" t="inlineStr">
        <is>
          <t>Peperoni  L.031-004226-0000007</t>
        </is>
      </c>
    </row>
    <row r="68">
      <c r="A68" s="48" t="inlineStr">
        <is>
          <t xml:space="preserve">SALE SACCHI SALTECHNO KG.25  </t>
        </is>
      </c>
    </row>
    <row r="69" ht="13.5" customHeight="1" s="155">
      <c r="A69" s="43" t="inlineStr">
        <is>
          <t>olio extravergine oliva</t>
        </is>
      </c>
    </row>
    <row r="70">
      <c r="A70" s="47" t="n"/>
    </row>
    <row r="71">
      <c r="A71" s="47" t="n"/>
    </row>
    <row r="72">
      <c r="A72" s="47" t="n"/>
    </row>
    <row r="73">
      <c r="A73" s="47" t="n"/>
    </row>
    <row r="74">
      <c r="A74" s="47" t="n"/>
    </row>
    <row r="75">
      <c r="A75" s="47" t="n"/>
    </row>
    <row r="76">
      <c r="A76" s="47" t="n"/>
    </row>
    <row r="77">
      <c r="A77" s="47" t="n"/>
    </row>
    <row r="78">
      <c r="A78" s="47" t="n"/>
    </row>
    <row r="79">
      <c r="A79" s="47" t="n"/>
    </row>
    <row r="80">
      <c r="A80" s="47" t="n"/>
    </row>
    <row r="81">
      <c r="A81" s="47" t="n"/>
    </row>
    <row r="82">
      <c r="A82" s="5" t="inlineStr">
        <is>
          <t>melanzane in padella</t>
        </is>
      </c>
    </row>
    <row r="83">
      <c r="A83" s="47" t="inlineStr">
        <is>
          <t>melanzane</t>
        </is>
      </c>
    </row>
    <row r="84">
      <c r="A84" s="48" t="inlineStr">
        <is>
          <t xml:space="preserve">SALE SACCHI SALTECHNO KG.25  </t>
        </is>
      </c>
    </row>
    <row r="85" ht="13.5" customHeight="1" s="155">
      <c r="A85" s="43" t="inlineStr">
        <is>
          <t>olio extravergine oliva</t>
        </is>
      </c>
    </row>
    <row r="86">
      <c r="A86" s="47" t="n"/>
    </row>
    <row r="87">
      <c r="A87" s="47" t="n"/>
    </row>
    <row r="88">
      <c r="A88" s="47" t="n"/>
    </row>
    <row r="89">
      <c r="A89" s="47" t="n"/>
    </row>
    <row r="90">
      <c r="A90" s="47" t="n"/>
    </row>
    <row r="91">
      <c r="A91" s="47" t="n"/>
    </row>
    <row r="92">
      <c r="A92" s="47" t="n"/>
    </row>
    <row r="93">
      <c r="A93" s="47" t="n"/>
    </row>
    <row r="94">
      <c r="A94" s="47" t="n"/>
    </row>
    <row r="95">
      <c r="A95" s="47" t="n"/>
    </row>
    <row r="96">
      <c r="A96" s="47" t="n"/>
    </row>
    <row r="97">
      <c r="A97" s="47" t="n"/>
    </row>
    <row r="98">
      <c r="A98" s="5" t="inlineStr">
        <is>
          <t>polpettine di carne</t>
        </is>
      </c>
    </row>
    <row r="99">
      <c r="A99" s="47" t="inlineStr">
        <is>
          <t>Macinato</t>
        </is>
      </c>
    </row>
    <row r="100">
      <c r="A100" s="47" t="inlineStr">
        <is>
          <t>olio extravergine oliva</t>
        </is>
      </c>
    </row>
    <row r="101">
      <c r="A101" s="48" t="inlineStr">
        <is>
          <t xml:space="preserve">SALE SACCHI SALTECHNO KG.25  </t>
        </is>
      </c>
    </row>
    <row r="102">
      <c r="A102" s="47" t="n"/>
    </row>
    <row r="103">
      <c r="A103" s="47" t="n"/>
    </row>
    <row r="104">
      <c r="A104" s="47" t="n"/>
    </row>
    <row r="105">
      <c r="A105" s="47" t="n"/>
    </row>
    <row r="106">
      <c r="A106" s="47" t="n"/>
    </row>
    <row r="107">
      <c r="A107" s="47" t="n"/>
    </row>
    <row r="108">
      <c r="A108" s="47" t="n"/>
    </row>
    <row r="109">
      <c r="A109" s="47" t="n"/>
    </row>
    <row r="110">
      <c r="A110" s="47" t="n"/>
    </row>
    <row r="111">
      <c r="A111" s="47" t="n"/>
    </row>
    <row r="112">
      <c r="A112" s="47" t="n"/>
    </row>
    <row r="113">
      <c r="A113" s="47" t="n"/>
    </row>
    <row r="114">
      <c r="A114" s="5" t="inlineStr">
        <is>
          <t>zucchine alla scapece</t>
        </is>
      </c>
    </row>
    <row r="115">
      <c r="A115" s="47" t="inlineStr">
        <is>
          <t>Zucchine L.0950-04/21-000040IT</t>
        </is>
      </c>
    </row>
    <row r="116">
      <c r="A116" s="48" t="inlineStr">
        <is>
          <t xml:space="preserve">SALE SACCHI SALTECHNO KG.25  </t>
        </is>
      </c>
    </row>
    <row r="117">
      <c r="A117" s="47" t="inlineStr">
        <is>
          <t>olio extravergine oliva</t>
        </is>
      </c>
    </row>
    <row r="118">
      <c r="A118" s="47" t="n"/>
    </row>
    <row r="119">
      <c r="A119" s="47" t="n"/>
    </row>
    <row r="120">
      <c r="A120" s="47" t="n"/>
    </row>
    <row r="121">
      <c r="A121" s="47" t="n"/>
    </row>
    <row r="122">
      <c r="A122" s="47" t="n"/>
    </row>
    <row r="123">
      <c r="A123" s="47" t="n"/>
    </row>
    <row r="124">
      <c r="A124" s="47" t="n"/>
    </row>
    <row r="125">
      <c r="A125" s="47" t="n"/>
    </row>
    <row r="126">
      <c r="A126" s="47" t="n"/>
    </row>
    <row r="127">
      <c r="A127" s="47" t="n"/>
    </row>
    <row r="128">
      <c r="A128" s="47" t="n"/>
    </row>
    <row r="129">
      <c r="A129" s="47" t="n"/>
    </row>
    <row r="130">
      <c r="A130" s="5" t="inlineStr">
        <is>
          <t>zucchine in padella</t>
        </is>
      </c>
    </row>
    <row r="131">
      <c r="A131" s="47" t="inlineStr">
        <is>
          <t>Zucchine L.0950-04/21-000040IT</t>
        </is>
      </c>
    </row>
    <row r="132">
      <c r="A132" s="48" t="inlineStr">
        <is>
          <t xml:space="preserve">SALE SACCHI SALTECHNO KG.25  </t>
        </is>
      </c>
    </row>
    <row r="133">
      <c r="A133" s="47" t="inlineStr">
        <is>
          <t>olio extravergine oliva</t>
        </is>
      </c>
    </row>
    <row r="134">
      <c r="A134" s="47" t="n"/>
    </row>
    <row r="135">
      <c r="A135" s="47" t="n"/>
    </row>
    <row r="136">
      <c r="A136" s="47" t="n"/>
    </row>
    <row r="137">
      <c r="A137" s="47" t="n"/>
    </row>
    <row r="138">
      <c r="A138" s="47" t="n"/>
    </row>
    <row r="139">
      <c r="A139" s="47" t="n"/>
    </row>
    <row r="140">
      <c r="A140" s="47" t="n"/>
    </row>
    <row r="141">
      <c r="A141" s="47" t="n"/>
    </row>
    <row r="142">
      <c r="A142" s="47" t="n"/>
    </row>
    <row r="143">
      <c r="A143" s="47" t="n"/>
    </row>
    <row r="144">
      <c r="A144" s="47" t="n"/>
    </row>
    <row r="145">
      <c r="A145" s="47" t="n"/>
    </row>
    <row r="146">
      <c r="A146" s="5" t="inlineStr">
        <is>
          <t>scarole ripassate</t>
        </is>
      </c>
    </row>
    <row r="147">
      <c r="A147" s="47" t="inlineStr">
        <is>
          <t>Scarola Lisci L.FATT. 130</t>
        </is>
      </c>
    </row>
    <row r="148">
      <c r="A148" s="48" t="inlineStr">
        <is>
          <t xml:space="preserve">SALE SACCHI SALTECHNO KG.25  </t>
        </is>
      </c>
    </row>
    <row r="149">
      <c r="A149" s="47" t="inlineStr">
        <is>
          <t>olio extravergine oliva</t>
        </is>
      </c>
    </row>
    <row r="150">
      <c r="A150" s="47" t="inlineStr">
        <is>
          <t>basilico / rosmarino /prezzemolo</t>
        </is>
      </c>
    </row>
    <row r="151">
      <c r="A151" s="47" t="n"/>
    </row>
    <row r="152">
      <c r="A152" s="47" t="n"/>
    </row>
    <row r="153">
      <c r="A153" s="47" t="n"/>
    </row>
    <row r="154">
      <c r="A154" s="47" t="n"/>
    </row>
    <row r="155">
      <c r="A155" s="47" t="n"/>
    </row>
    <row r="156">
      <c r="A156" s="47" t="n"/>
    </row>
    <row r="157">
      <c r="A157" s="47" t="n"/>
    </row>
    <row r="158">
      <c r="A158" s="47" t="n"/>
    </row>
    <row r="159">
      <c r="A159" s="47" t="n"/>
    </row>
    <row r="160">
      <c r="A160" s="47" t="n"/>
    </row>
    <row r="161">
      <c r="A161" s="47" t="n"/>
    </row>
    <row r="162">
      <c r="A162" s="5" t="inlineStr">
        <is>
          <t>crostone di ricotta</t>
        </is>
      </c>
    </row>
    <row r="163">
      <c r="A163" s="47" t="inlineStr">
        <is>
          <t xml:space="preserve">FARINA 0/MAN. CAPUTO DA KG.25  </t>
        </is>
      </c>
    </row>
    <row r="164">
      <c r="A164" s="48" t="inlineStr">
        <is>
          <t xml:space="preserve">SALE SACCHI SALTECHNO KG.25  </t>
        </is>
      </c>
    </row>
    <row r="165">
      <c r="A165" s="47" t="inlineStr">
        <is>
          <t>ricotta omogeneizzata ii 5kg</t>
        </is>
      </c>
    </row>
    <row r="166">
      <c r="A166" s="47" t="n"/>
    </row>
    <row r="167">
      <c r="A167" s="47" t="n"/>
    </row>
    <row r="168">
      <c r="A168" s="47" t="n"/>
    </row>
    <row r="169">
      <c r="A169" s="47" t="n"/>
    </row>
    <row r="170">
      <c r="A170" s="47" t="n"/>
    </row>
    <row r="171">
      <c r="A171" s="47" t="n"/>
    </row>
    <row r="172">
      <c r="A172" s="47" t="n"/>
    </row>
    <row r="173">
      <c r="A173" s="47" t="n"/>
    </row>
    <row r="174">
      <c r="A174" s="47" t="n"/>
    </row>
    <row r="175">
      <c r="A175" s="47" t="n"/>
    </row>
    <row r="176">
      <c r="A176" s="47" t="n"/>
    </row>
    <row r="177">
      <c r="A177" s="47" t="n"/>
    </row>
    <row r="178">
      <c r="A178" s="5" t="inlineStr">
        <is>
          <t>pizza parigina</t>
        </is>
      </c>
    </row>
    <row r="179">
      <c r="A179" s="47" t="inlineStr">
        <is>
          <t xml:space="preserve">FARINA 0/MAN. CAPUTO DA KG.25  </t>
        </is>
      </c>
    </row>
    <row r="180">
      <c r="A180" s="48" t="inlineStr">
        <is>
          <t xml:space="preserve">SALE SACCHI SALTECHNO KG.25  </t>
        </is>
      </c>
    </row>
    <row r="181">
      <c r="A181" s="47" t="inlineStr">
        <is>
          <t>LIEVITO x 2.5kg</t>
        </is>
      </c>
    </row>
    <row r="182">
      <c r="A182" s="47" t="inlineStr">
        <is>
          <t xml:space="preserve">STRUTTO RAFFINATO I B VERDE  </t>
        </is>
      </c>
    </row>
    <row r="183">
      <c r="A183" s="47" t="inlineStr">
        <is>
          <t>pomodori</t>
        </is>
      </c>
    </row>
    <row r="184">
      <c r="A184" s="47" t="inlineStr">
        <is>
          <t>sottilette</t>
        </is>
      </c>
    </row>
    <row r="185">
      <c r="A185" s="47" t="inlineStr">
        <is>
          <t>margarina sfoglia</t>
        </is>
      </c>
    </row>
    <row r="186">
      <c r="A186" s="47" t="n"/>
    </row>
    <row r="187">
      <c r="A187" s="47" t="n"/>
    </row>
    <row r="188">
      <c r="A188" s="47" t="n"/>
    </row>
    <row r="189">
      <c r="A189" s="47" t="n"/>
    </row>
    <row r="190">
      <c r="A190" s="47" t="n"/>
    </row>
    <row r="191">
      <c r="A191" s="47" t="n"/>
    </row>
    <row r="192">
      <c r="A192" s="47" t="n"/>
    </row>
    <row r="193">
      <c r="A193" s="47" t="n"/>
    </row>
    <row r="194">
      <c r="A194" s="5" t="inlineStr">
        <is>
          <t>pizza margherita</t>
        </is>
      </c>
    </row>
    <row r="195">
      <c r="A195" s="47" t="inlineStr">
        <is>
          <t xml:space="preserve">FARINA 0/MAN. CAPUTO DA KG.25  </t>
        </is>
      </c>
    </row>
    <row r="196">
      <c r="A196" s="48" t="inlineStr">
        <is>
          <t xml:space="preserve">SALE SACCHI SALTECHNO KG.25  </t>
        </is>
      </c>
    </row>
    <row r="197">
      <c r="A197" s="47" t="inlineStr">
        <is>
          <t>LIEVITO x 2.5kg</t>
        </is>
      </c>
    </row>
    <row r="198">
      <c r="A198" s="47" t="inlineStr">
        <is>
          <t xml:space="preserve">STRUTTO RAFFINATO I B VERDE  </t>
        </is>
      </c>
    </row>
    <row r="199">
      <c r="A199" s="47" t="inlineStr">
        <is>
          <t xml:space="preserve">POMODORI PELATI KG.3 TORRENTE  </t>
        </is>
      </c>
    </row>
    <row r="200">
      <c r="A200" s="47" t="inlineStr">
        <is>
          <t>fiori e provola</t>
        </is>
      </c>
    </row>
    <row r="201">
      <c r="A201" s="47" t="n"/>
    </row>
    <row r="202">
      <c r="A202" s="47" t="n"/>
    </row>
    <row r="203">
      <c r="A203" s="47" t="n"/>
    </row>
    <row r="204">
      <c r="A204" s="47" t="n"/>
    </row>
    <row r="205">
      <c r="A205" s="47" t="n"/>
    </row>
    <row r="206">
      <c r="A206" s="47" t="n"/>
    </row>
    <row r="207">
      <c r="A207" s="47" t="n"/>
    </row>
    <row r="208">
      <c r="A208" s="47" t="n"/>
    </row>
    <row r="209">
      <c r="A209" s="47" t="n"/>
    </row>
    <row r="210">
      <c r="A210" s="5" t="inlineStr">
        <is>
          <t>pizza farcita friarielli</t>
        </is>
      </c>
    </row>
    <row r="211">
      <c r="A211" s="47" t="inlineStr">
        <is>
          <t xml:space="preserve">FARINA 0/MAN. CAPUTO DA KG.25  </t>
        </is>
      </c>
    </row>
    <row r="212">
      <c r="A212" s="48" t="inlineStr">
        <is>
          <t xml:space="preserve">SALE SACCHI SALTECHNO KG.25  </t>
        </is>
      </c>
    </row>
    <row r="213">
      <c r="A213" s="47" t="inlineStr">
        <is>
          <t>LIEVITO x 2.5kg</t>
        </is>
      </c>
    </row>
    <row r="214">
      <c r="A214" s="47" t="inlineStr">
        <is>
          <t xml:space="preserve">STRUTTO RAFFINATO I B VERDE  </t>
        </is>
      </c>
    </row>
    <row r="215">
      <c r="A215" s="47" t="inlineStr">
        <is>
          <t xml:space="preserve">PASSATA POMODORO G.700 TORRENTE  </t>
        </is>
      </c>
    </row>
    <row r="216">
      <c r="A216" s="47" t="inlineStr">
        <is>
          <t>fiori e provola</t>
        </is>
      </c>
    </row>
    <row r="217">
      <c r="A217" s="47" t="inlineStr">
        <is>
          <t>friarielli</t>
        </is>
      </c>
    </row>
    <row r="218">
      <c r="A218" s="47" t="n"/>
    </row>
    <row r="219">
      <c r="A219" s="47" t="n"/>
    </row>
    <row r="220">
      <c r="A220" s="47" t="n"/>
    </row>
    <row r="221">
      <c r="A221" s="47" t="n"/>
    </row>
    <row r="222">
      <c r="A222" s="47" t="n"/>
    </row>
    <row r="223">
      <c r="A223" s="47" t="n"/>
    </row>
    <row r="224">
      <c r="A224" s="47" t="n"/>
    </row>
    <row r="225">
      <c r="A225" s="47" t="n"/>
    </row>
    <row r="226">
      <c r="A226" s="5" t="inlineStr">
        <is>
          <t>focaccia bianca</t>
        </is>
      </c>
    </row>
    <row r="227">
      <c r="A227" s="47" t="inlineStr">
        <is>
          <t xml:space="preserve">FARINA 0/MAN. CAPUTO DA KG.25  </t>
        </is>
      </c>
    </row>
    <row r="228">
      <c r="A228" s="48" t="inlineStr">
        <is>
          <t xml:space="preserve">SALE SACCHI SALTECHNO KG.25  </t>
        </is>
      </c>
    </row>
    <row r="229">
      <c r="A229" s="47" t="inlineStr">
        <is>
          <t>LIEVITO x 2.5kg</t>
        </is>
      </c>
    </row>
    <row r="230">
      <c r="A230" s="47" t="inlineStr">
        <is>
          <t xml:space="preserve">STRUTTO RAFFINATO I B VERDE  </t>
        </is>
      </c>
    </row>
    <row r="231">
      <c r="A231" s="47" t="n"/>
    </row>
    <row r="232">
      <c r="A232" s="47" t="n"/>
    </row>
    <row r="233">
      <c r="A233" s="47" t="n"/>
    </row>
    <row r="234">
      <c r="A234" s="47" t="n"/>
    </row>
    <row r="235">
      <c r="A235" s="47" t="n"/>
    </row>
    <row r="236">
      <c r="A236" s="47" t="n"/>
    </row>
    <row r="237">
      <c r="A237" s="47" t="n"/>
    </row>
    <row r="238">
      <c r="A238" s="47" t="n"/>
    </row>
    <row r="239">
      <c r="A239" s="47" t="n"/>
    </row>
    <row r="240">
      <c r="A240" s="47" t="n"/>
    </row>
    <row r="241">
      <c r="A241" s="47" t="n"/>
    </row>
    <row r="242">
      <c r="A242" s="5" t="inlineStr">
        <is>
          <t>focaccia margherita</t>
        </is>
      </c>
    </row>
    <row r="243">
      <c r="A243" s="47" t="inlineStr">
        <is>
          <t xml:space="preserve">FARINA 0/MAN. CAPUTO DA KG.25  </t>
        </is>
      </c>
    </row>
    <row r="244">
      <c r="A244" s="48" t="inlineStr">
        <is>
          <t xml:space="preserve">SALE SACCHI SALTECHNO KG.25  </t>
        </is>
      </c>
    </row>
    <row r="245">
      <c r="A245" s="47" t="inlineStr">
        <is>
          <t>LIEVITO x 2.5kg</t>
        </is>
      </c>
    </row>
    <row r="246">
      <c r="A246" s="47" t="inlineStr">
        <is>
          <t xml:space="preserve">STRUTTO RAFFINATO I B VERDE  </t>
        </is>
      </c>
    </row>
    <row r="247">
      <c r="A247" s="47" t="inlineStr">
        <is>
          <t>pomodori</t>
        </is>
      </c>
    </row>
    <row r="248">
      <c r="A248" s="47" t="inlineStr">
        <is>
          <t>fiori e provola</t>
        </is>
      </c>
    </row>
    <row r="249">
      <c r="A249" s="47" t="n"/>
    </row>
    <row r="250">
      <c r="A250" s="47" t="n"/>
    </row>
    <row r="251">
      <c r="A251" s="47" t="n"/>
    </row>
    <row r="252">
      <c r="A252" s="47" t="n"/>
    </row>
    <row r="253">
      <c r="A253" s="47" t="n"/>
    </row>
    <row r="254">
      <c r="A254" s="47" t="n"/>
    </row>
    <row r="255">
      <c r="A255" s="47" t="n"/>
    </row>
    <row r="256">
      <c r="A256" s="47" t="n"/>
    </row>
    <row r="257">
      <c r="A257" s="47" t="n"/>
    </row>
    <row r="258">
      <c r="A258" s="5" t="inlineStr">
        <is>
          <t>ragù di pomodoro</t>
        </is>
      </c>
    </row>
    <row r="259">
      <c r="A259" s="47" t="inlineStr">
        <is>
          <t xml:space="preserve">POMODORI PELATI KG.3 TORRENTE  </t>
        </is>
      </c>
    </row>
    <row r="260">
      <c r="A260" s="47" t="inlineStr">
        <is>
          <t>olio extravergine oliva</t>
        </is>
      </c>
    </row>
    <row r="261">
      <c r="A261" s="48" t="inlineStr">
        <is>
          <t xml:space="preserve">SALE SACCHI SALTECHNO KG.25  </t>
        </is>
      </c>
    </row>
    <row r="262">
      <c r="A262" s="47" t="n"/>
    </row>
    <row r="263">
      <c r="A263" s="47" t="n"/>
    </row>
    <row r="264">
      <c r="A264" s="47" t="n"/>
    </row>
    <row r="265">
      <c r="A265" s="47" t="n"/>
    </row>
    <row r="266">
      <c r="A266" s="47" t="n"/>
    </row>
    <row r="267">
      <c r="A267" s="47" t="n"/>
    </row>
    <row r="268">
      <c r="A268" s="47" t="n"/>
    </row>
    <row r="269">
      <c r="A269" s="47" t="n"/>
    </row>
    <row r="270">
      <c r="A270" s="47" t="n"/>
    </row>
    <row r="271">
      <c r="A271" s="47" t="n"/>
    </row>
    <row r="272">
      <c r="A272" s="47" t="n"/>
    </row>
    <row r="273">
      <c r="A273" s="47" t="n"/>
    </row>
    <row r="274">
      <c r="A274" s="5" t="inlineStr">
        <is>
          <t>salpicon di carne</t>
        </is>
      </c>
    </row>
    <row r="275">
      <c r="A275" s="47" t="inlineStr">
        <is>
          <t>tritato misto bovino/suino</t>
        </is>
      </c>
    </row>
    <row r="276">
      <c r="A276" s="47" t="inlineStr">
        <is>
          <t>olio extravergine oliva</t>
        </is>
      </c>
    </row>
    <row r="277">
      <c r="A277" s="47" t="inlineStr">
        <is>
          <t>salame</t>
        </is>
      </c>
    </row>
    <row r="278">
      <c r="A278" s="47" t="inlineStr">
        <is>
          <t xml:space="preserve">PISELLI BONDUELLE GR.580X12  </t>
        </is>
      </c>
    </row>
    <row r="279">
      <c r="A279" s="47" t="inlineStr">
        <is>
          <t>basilico / rosmarino /prezzemolo</t>
        </is>
      </c>
    </row>
    <row r="280">
      <c r="A280" s="47" t="n"/>
    </row>
    <row r="281">
      <c r="A281" s="47" t="n"/>
    </row>
    <row r="282">
      <c r="A282" s="47" t="n"/>
    </row>
    <row r="283">
      <c r="A283" s="47" t="n"/>
    </row>
    <row r="284">
      <c r="A284" s="47" t="n"/>
    </row>
    <row r="285">
      <c r="A285" s="47" t="n"/>
    </row>
    <row r="286">
      <c r="A286" s="47" t="n"/>
    </row>
    <row r="287">
      <c r="A287" s="47" t="n"/>
    </row>
    <row r="288">
      <c r="A288" s="47" t="n"/>
    </row>
    <row r="289">
      <c r="A289" s="47" t="n"/>
    </row>
    <row r="290">
      <c r="A290" s="5" t="inlineStr">
        <is>
          <t>prosciutto cotto</t>
        </is>
      </c>
    </row>
    <row r="291">
      <c r="A291" s="47" t="inlineStr">
        <is>
          <t>p.cotto verde    rosafino</t>
        </is>
      </c>
    </row>
    <row r="292">
      <c r="A292" s="47" t="n"/>
    </row>
    <row r="293">
      <c r="A293" s="47" t="n"/>
    </row>
    <row r="294">
      <c r="A294" s="47" t="n"/>
    </row>
    <row r="295">
      <c r="A295" s="47" t="n"/>
    </row>
    <row r="296">
      <c r="A296" s="47" t="n"/>
    </row>
    <row r="297">
      <c r="A297" s="47" t="n"/>
    </row>
    <row r="298">
      <c r="A298" s="47" t="n"/>
    </row>
    <row r="299">
      <c r="A299" s="47" t="n"/>
    </row>
    <row r="300">
      <c r="A300" s="47" t="n"/>
    </row>
    <row r="301">
      <c r="A301" s="47" t="n"/>
    </row>
    <row r="302">
      <c r="A302" s="47" t="n"/>
    </row>
    <row r="303">
      <c r="A303" s="47" t="n"/>
    </row>
    <row r="304">
      <c r="A304" s="47" t="n"/>
    </row>
    <row r="305">
      <c r="A305" s="47" t="n"/>
    </row>
    <row r="306">
      <c r="A306" s="5" t="inlineStr">
        <is>
          <t>prosciutto crudo dissossato</t>
        </is>
      </c>
    </row>
    <row r="307">
      <c r="A307" s="47" t="inlineStr">
        <is>
          <t>p.crudo s/o        assisi</t>
        </is>
      </c>
    </row>
    <row r="308">
      <c r="A308" s="47" t="n"/>
    </row>
    <row r="309">
      <c r="A309" s="47" t="n"/>
    </row>
    <row r="310">
      <c r="A310" s="47" t="n"/>
    </row>
    <row r="311">
      <c r="A311" s="47" t="n"/>
    </row>
    <row r="312">
      <c r="A312" s="47" t="n"/>
    </row>
    <row r="313">
      <c r="A313" s="47" t="n"/>
    </row>
    <row r="314">
      <c r="A314" s="47" t="n"/>
    </row>
    <row r="315">
      <c r="A315" s="47" t="n"/>
    </row>
    <row r="316">
      <c r="A316" s="47" t="n"/>
    </row>
    <row r="317">
      <c r="A317" s="47" t="n"/>
    </row>
    <row r="318">
      <c r="A318" s="47" t="n"/>
    </row>
    <row r="319">
      <c r="A319" s="47" t="n"/>
    </row>
    <row r="320">
      <c r="A320" s="47" t="n"/>
    </row>
    <row r="321">
      <c r="A321" s="47" t="n"/>
    </row>
    <row r="322">
      <c r="A322" s="5" t="inlineStr">
        <is>
          <t>porchetta di ariccia</t>
        </is>
      </c>
    </row>
    <row r="323">
      <c r="A323" s="47" t="inlineStr">
        <is>
          <t>porch.montagna1/2 senfter</t>
        </is>
      </c>
    </row>
    <row r="324">
      <c r="A324" s="47" t="n"/>
    </row>
    <row r="325">
      <c r="A325" s="47" t="n"/>
    </row>
    <row r="326">
      <c r="A326" s="47" t="n"/>
    </row>
    <row r="327">
      <c r="A327" s="47" t="n"/>
    </row>
    <row r="328">
      <c r="A328" s="47" t="n"/>
    </row>
    <row r="329">
      <c r="A329" s="47" t="n"/>
    </row>
    <row r="330">
      <c r="A330" s="47" t="n"/>
    </row>
    <row r="331">
      <c r="A331" s="47" t="n"/>
    </row>
    <row r="332">
      <c r="A332" s="47" t="n"/>
    </row>
    <row r="333">
      <c r="A333" s="47" t="n"/>
    </row>
    <row r="334">
      <c r="A334" s="47" t="n"/>
    </row>
    <row r="335">
      <c r="A335" s="47" t="n"/>
    </row>
    <row r="336">
      <c r="A336" s="47" t="n"/>
    </row>
    <row r="337">
      <c r="A337" s="47" t="n"/>
    </row>
    <row r="338">
      <c r="A338" s="5" t="inlineStr">
        <is>
          <t>salame napoletano</t>
        </is>
      </c>
    </row>
    <row r="339">
      <c r="A339" s="47" t="inlineStr">
        <is>
          <t>SALAME NAPOLI SV. SENDERO</t>
        </is>
      </c>
    </row>
    <row r="340">
      <c r="A340" s="47" t="n"/>
    </row>
    <row r="341">
      <c r="A341" s="47" t="n"/>
    </row>
    <row r="342">
      <c r="A342" s="47" t="n"/>
    </row>
    <row r="343">
      <c r="A343" s="47" t="n"/>
    </row>
    <row r="344">
      <c r="A344" s="47" t="n"/>
    </row>
    <row r="345">
      <c r="A345" s="47" t="n"/>
    </row>
    <row r="346">
      <c r="A346" s="47" t="n"/>
    </row>
    <row r="347">
      <c r="A347" s="47" t="n"/>
    </row>
    <row r="348">
      <c r="A348" s="47" t="n"/>
    </row>
    <row r="349">
      <c r="A349" s="47" t="n"/>
    </row>
    <row r="350">
      <c r="A350" s="47" t="n"/>
    </row>
    <row r="351">
      <c r="A351" s="47" t="n"/>
    </row>
    <row r="352">
      <c r="A352" s="47" t="n"/>
    </row>
    <row r="353">
      <c r="A353" s="47" t="n"/>
    </row>
    <row r="356">
      <c r="A356" s="47" t="n"/>
    </row>
    <row r="357">
      <c r="A357" s="47" t="n"/>
    </row>
    <row r="358">
      <c r="A358" s="47" t="n"/>
    </row>
    <row r="359">
      <c r="A359" s="47" t="n"/>
    </row>
    <row r="360">
      <c r="A360" s="47" t="n"/>
    </row>
    <row r="361">
      <c r="A361" s="47" t="n"/>
    </row>
    <row r="362">
      <c r="A362" s="47" t="n"/>
    </row>
    <row r="363">
      <c r="A363" s="47" t="n"/>
    </row>
    <row r="364">
      <c r="A364" s="47" t="n"/>
    </row>
    <row r="365">
      <c r="A365" s="47" t="n"/>
    </row>
    <row r="366">
      <c r="A366" s="47" t="n"/>
    </row>
    <row r="367">
      <c r="A367" s="47" t="n"/>
    </row>
    <row r="368">
      <c r="A368" s="47" t="n"/>
    </row>
    <row r="369">
      <c r="A369" s="47" t="n"/>
    </row>
    <row r="370">
      <c r="A370" s="5" t="inlineStr">
        <is>
          <t>salsa cruda di pomodoro</t>
        </is>
      </c>
    </row>
    <row r="371">
      <c r="A371" s="47" t="inlineStr">
        <is>
          <t>pomodori</t>
        </is>
      </c>
    </row>
    <row r="372">
      <c r="A372" s="48" t="inlineStr">
        <is>
          <t xml:space="preserve">SALE SACCHI SALTECHNO KG.25  </t>
        </is>
      </c>
    </row>
    <row r="373">
      <c r="A373" s="47" t="inlineStr">
        <is>
          <t>olio extravergine oliva</t>
        </is>
      </c>
    </row>
    <row r="374">
      <c r="A374" s="47" t="n"/>
    </row>
    <row r="375">
      <c r="A375" s="47" t="n"/>
    </row>
    <row r="376">
      <c r="A376" s="47" t="n"/>
    </row>
    <row r="377">
      <c r="A377" s="47" t="n"/>
    </row>
    <row r="378">
      <c r="A378" s="47" t="n"/>
    </row>
    <row r="379">
      <c r="A379" s="47" t="n"/>
    </row>
    <row r="380">
      <c r="A380" s="47" t="n"/>
    </row>
    <row r="381">
      <c r="A381" s="47" t="n"/>
    </row>
    <row r="382">
      <c r="A382" s="47" t="n"/>
    </row>
    <row r="383">
      <c r="A383" s="47" t="n"/>
    </row>
    <row r="384">
      <c r="A384" s="47" t="n"/>
    </row>
    <row r="385">
      <c r="A385" s="47" t="n"/>
    </row>
    <row r="386">
      <c r="A386" s="5" t="inlineStr">
        <is>
          <t>melanzane fritta involtino</t>
        </is>
      </c>
    </row>
    <row r="387">
      <c r="A387" s="47" t="inlineStr">
        <is>
          <t>melanzane</t>
        </is>
      </c>
    </row>
    <row r="388">
      <c r="A388" s="48" t="inlineStr">
        <is>
          <t xml:space="preserve">SALE SACCHI SALTECHNO KG.25  </t>
        </is>
      </c>
    </row>
    <row r="389">
      <c r="A389" s="47" t="inlineStr">
        <is>
          <t>olio extravergine oliva</t>
        </is>
      </c>
    </row>
    <row r="390">
      <c r="A390" s="47" t="n"/>
    </row>
    <row r="391">
      <c r="A391" s="47" t="n"/>
    </row>
    <row r="392">
      <c r="A392" s="47" t="n"/>
    </row>
    <row r="393">
      <c r="A393" s="47" t="n"/>
    </row>
    <row r="394">
      <c r="A394" s="47" t="n"/>
    </row>
    <row r="395">
      <c r="A395" s="47" t="n"/>
    </row>
    <row r="396">
      <c r="A396" s="47" t="n"/>
    </row>
    <row r="397">
      <c r="A397" s="47" t="n"/>
    </row>
    <row r="398">
      <c r="A398" s="47" t="n"/>
    </row>
    <row r="399">
      <c r="A399" s="47" t="n"/>
    </row>
    <row r="400">
      <c r="A400" s="47" t="n"/>
    </row>
    <row r="401">
      <c r="A401" s="47" t="n"/>
    </row>
    <row r="402">
      <c r="A402" s="5" t="inlineStr">
        <is>
          <t>melanzana al forno</t>
        </is>
      </c>
    </row>
    <row r="403">
      <c r="A403" s="47" t="inlineStr">
        <is>
          <t>melanzane</t>
        </is>
      </c>
    </row>
    <row r="404">
      <c r="A404" s="48" t="inlineStr">
        <is>
          <t xml:space="preserve">SALE SACCHI SALTECHNO KG.25  </t>
        </is>
      </c>
    </row>
    <row r="405">
      <c r="A405" s="47" t="inlineStr">
        <is>
          <t>olio extravergine oliva</t>
        </is>
      </c>
    </row>
    <row r="406">
      <c r="A406" s="47" t="n"/>
    </row>
    <row r="407">
      <c r="A407" s="47" t="n"/>
    </row>
    <row r="408">
      <c r="A408" s="47" t="n"/>
    </row>
    <row r="409">
      <c r="A409" s="47" t="n"/>
    </row>
    <row r="410">
      <c r="A410" s="47" t="n"/>
    </row>
    <row r="411">
      <c r="A411" s="47" t="n"/>
    </row>
    <row r="412">
      <c r="A412" s="47" t="n"/>
    </row>
    <row r="413">
      <c r="A413" s="47" t="n"/>
    </row>
    <row r="414">
      <c r="A414" s="47" t="n"/>
    </row>
    <row r="415">
      <c r="A415" s="47" t="n"/>
    </row>
    <row r="416">
      <c r="A416" s="47" t="n"/>
    </row>
    <row r="417">
      <c r="A417" s="47" t="n"/>
    </row>
    <row r="418">
      <c r="A418" s="5" t="inlineStr">
        <is>
          <t>zucca al forno</t>
        </is>
      </c>
    </row>
    <row r="419">
      <c r="A419" s="47" t="inlineStr">
        <is>
          <t>Zucchine L.0950-04/21-000040IT</t>
        </is>
      </c>
    </row>
    <row r="420">
      <c r="A420" s="47" t="inlineStr">
        <is>
          <t>olio extravergine oliva</t>
        </is>
      </c>
    </row>
    <row r="421">
      <c r="A421" s="48" t="inlineStr">
        <is>
          <t xml:space="preserve">SALE SACCHI SALTECHNO KG.25  </t>
        </is>
      </c>
    </row>
    <row r="422">
      <c r="A422" s="47" t="inlineStr">
        <is>
          <t>basilico / rosmarino /prezzemolo</t>
        </is>
      </c>
    </row>
    <row r="423">
      <c r="A423" s="47" t="n"/>
    </row>
    <row r="424">
      <c r="A424" s="47" t="n"/>
    </row>
    <row r="425">
      <c r="A425" s="47" t="n"/>
    </row>
    <row r="426">
      <c r="A426" s="47" t="n"/>
    </row>
    <row r="427">
      <c r="A427" s="47" t="n"/>
    </row>
    <row r="428">
      <c r="A428" s="47" t="n"/>
    </row>
    <row r="429">
      <c r="A429" s="47" t="n"/>
    </row>
    <row r="430">
      <c r="A430" s="47" t="n"/>
    </row>
    <row r="431">
      <c r="A431" s="47" t="n"/>
    </row>
    <row r="432">
      <c r="A432" s="47" t="n"/>
    </row>
    <row r="433">
      <c r="A433" s="47" t="n"/>
    </row>
    <row r="434">
      <c r="A434" s="5" t="inlineStr">
        <is>
          <t>funghi trifolati</t>
        </is>
      </c>
    </row>
    <row r="435">
      <c r="A435" s="47" t="n"/>
    </row>
    <row r="436">
      <c r="A436" s="48" t="inlineStr">
        <is>
          <t xml:space="preserve">SALE SACCHI SALTECHNO KG.25  </t>
        </is>
      </c>
    </row>
    <row r="437">
      <c r="A437" s="47" t="inlineStr">
        <is>
          <t>olio extravergine oliva</t>
        </is>
      </c>
    </row>
    <row r="438">
      <c r="A438" s="47" t="inlineStr">
        <is>
          <t>basilico / rosmarino /prezzemolo</t>
        </is>
      </c>
    </row>
    <row r="439">
      <c r="A439" s="47" t="n"/>
    </row>
    <row r="440">
      <c r="A440" s="47" t="n"/>
    </row>
    <row r="441">
      <c r="A441" s="47" t="n"/>
    </row>
    <row r="442">
      <c r="A442" s="47" t="n"/>
    </row>
    <row r="443">
      <c r="A443" s="47" t="n"/>
    </row>
    <row r="444">
      <c r="A444" s="47" t="n"/>
    </row>
    <row r="445">
      <c r="A445" s="47" t="n"/>
    </row>
    <row r="446">
      <c r="A446" s="47" t="n"/>
    </row>
    <row r="447">
      <c r="A447" s="47" t="n"/>
    </row>
    <row r="448">
      <c r="A448" s="47" t="n"/>
    </row>
    <row r="449">
      <c r="A449" s="47" t="n"/>
    </row>
    <row r="450">
      <c r="A450" s="5" t="inlineStr">
        <is>
          <t>wrustel di suino</t>
        </is>
      </c>
    </row>
    <row r="451">
      <c r="A451" s="47" t="inlineStr">
        <is>
          <t>wrustel</t>
        </is>
      </c>
    </row>
    <row r="452">
      <c r="A452" s="47" t="n"/>
    </row>
    <row r="453">
      <c r="A453" s="47" t="n"/>
    </row>
    <row r="454">
      <c r="A454" s="47" t="n"/>
    </row>
    <row r="455">
      <c r="A455" s="47" t="n"/>
    </row>
    <row r="456">
      <c r="A456" s="47" t="n"/>
    </row>
    <row r="457">
      <c r="A457" s="47" t="n"/>
    </row>
    <row r="458">
      <c r="A458" s="47" t="n"/>
    </row>
    <row r="459">
      <c r="A459" s="47" t="n"/>
    </row>
    <row r="460">
      <c r="A460" s="47" t="n"/>
    </row>
    <row r="461">
      <c r="A461" s="47" t="n"/>
    </row>
    <row r="462">
      <c r="A462" s="47" t="n"/>
    </row>
    <row r="463">
      <c r="A463" s="47" t="n"/>
    </row>
    <row r="464">
      <c r="A464" s="47" t="n"/>
    </row>
    <row r="465">
      <c r="A465" s="47" t="n"/>
    </row>
    <row r="466">
      <c r="A466" s="5" t="inlineStr">
        <is>
          <t>crema pasticciera</t>
        </is>
      </c>
    </row>
    <row r="467">
      <c r="A467" s="47" t="inlineStr">
        <is>
          <t>amido</t>
        </is>
      </c>
    </row>
    <row r="468">
      <c r="A468" s="47" t="inlineStr">
        <is>
          <t>zucchero semolato</t>
        </is>
      </c>
    </row>
    <row r="469">
      <c r="A469" s="47" t="inlineStr">
        <is>
          <t>tuorlo d'uovo pastorizzato</t>
        </is>
      </c>
    </row>
    <row r="470">
      <c r="A470" s="47" t="inlineStr">
        <is>
          <t>latte   1000 int.uht  yma</t>
        </is>
      </c>
    </row>
    <row r="471">
      <c r="A471" s="47" t="n"/>
    </row>
    <row r="472">
      <c r="A472" s="47" t="n"/>
    </row>
    <row r="473">
      <c r="A473" s="47" t="n"/>
    </row>
    <row r="474">
      <c r="A474" s="47" t="n"/>
    </row>
    <row r="475">
      <c r="A475" s="47" t="n"/>
    </row>
    <row r="476">
      <c r="A476" s="47" t="n"/>
    </row>
    <row r="477">
      <c r="A477" s="47" t="n"/>
    </row>
    <row r="478">
      <c r="A478" s="47" t="n"/>
    </row>
    <row r="479">
      <c r="A479" s="47" t="n"/>
    </row>
    <row r="480">
      <c r="A480" s="47" t="n"/>
    </row>
    <row r="481">
      <c r="A481" s="47" t="n"/>
    </row>
    <row r="482">
      <c r="A482" s="5" t="inlineStr">
        <is>
          <t>babà</t>
        </is>
      </c>
    </row>
    <row r="483">
      <c r="A483" s="47" t="inlineStr">
        <is>
          <t xml:space="preserve">FARINA 0/MAN. CAPUTO DA KG.25  </t>
        </is>
      </c>
    </row>
    <row r="484">
      <c r="A484" s="48" t="inlineStr">
        <is>
          <t xml:space="preserve">SALE SACCHI SALTECHNO KG.25  </t>
        </is>
      </c>
    </row>
    <row r="485">
      <c r="A485" s="47" t="inlineStr">
        <is>
          <t>margarina crema</t>
        </is>
      </c>
    </row>
    <row r="486">
      <c r="A486" s="47" t="inlineStr">
        <is>
          <t>tuorlo d'uovo pastorizzato</t>
        </is>
      </c>
    </row>
    <row r="487">
      <c r="A487" s="47" t="inlineStr">
        <is>
          <t>LIEVITO x 2.5kg</t>
        </is>
      </c>
    </row>
    <row r="488">
      <c r="A488" s="47" t="n"/>
    </row>
    <row r="489">
      <c r="A489" s="47" t="n"/>
    </row>
    <row r="490">
      <c r="A490" s="47" t="n"/>
    </row>
    <row r="491">
      <c r="A491" s="47" t="n"/>
    </row>
    <row r="492">
      <c r="A492" s="47" t="n"/>
    </row>
    <row r="493">
      <c r="A493" s="47" t="n"/>
    </row>
    <row r="494">
      <c r="A494" s="47" t="n"/>
    </row>
    <row r="495">
      <c r="A495" s="47" t="n"/>
    </row>
    <row r="496">
      <c r="A496" s="47" t="n"/>
    </row>
    <row r="497">
      <c r="A497" s="47" t="n"/>
    </row>
    <row r="498">
      <c r="A498" s="5" t="inlineStr">
        <is>
          <t>babà misù</t>
        </is>
      </c>
    </row>
    <row r="499">
      <c r="A499" s="47" t="inlineStr">
        <is>
          <t xml:space="preserve">FARINA 0/MAN. CAPUTO DA KG.25  </t>
        </is>
      </c>
    </row>
    <row r="500">
      <c r="A500" s="48" t="inlineStr">
        <is>
          <t xml:space="preserve">SALE SACCHI SALTECHNO KG.25  </t>
        </is>
      </c>
    </row>
    <row r="501">
      <c r="A501" s="47" t="inlineStr">
        <is>
          <t>margarina crema</t>
        </is>
      </c>
    </row>
    <row r="502">
      <c r="A502" s="47" t="inlineStr">
        <is>
          <t>tuorlo d'uovo pastorizzato</t>
        </is>
      </c>
    </row>
    <row r="503">
      <c r="A503" s="47" t="inlineStr">
        <is>
          <t>LIEVITO x 2.5kg</t>
        </is>
      </c>
    </row>
    <row r="504">
      <c r="A504" s="47" t="inlineStr">
        <is>
          <t>MASCARPONE G.250      YMA</t>
        </is>
      </c>
    </row>
    <row r="505">
      <c r="A505" s="47" t="inlineStr">
        <is>
          <t>latte   1000 int.uht  yma</t>
        </is>
      </c>
    </row>
    <row r="506">
      <c r="A506" s="47" t="inlineStr">
        <is>
          <t>amido</t>
        </is>
      </c>
    </row>
    <row r="507">
      <c r="A507" s="47" t="inlineStr">
        <is>
          <t>cioccolato</t>
        </is>
      </c>
    </row>
    <row r="508">
      <c r="A508" s="47" t="inlineStr">
        <is>
          <t>panna</t>
        </is>
      </c>
    </row>
    <row r="509">
      <c r="A509" s="47" t="n"/>
    </row>
    <row r="510">
      <c r="A510" s="47" t="n"/>
    </row>
    <row r="511">
      <c r="A511" s="47" t="n"/>
    </row>
    <row r="512">
      <c r="A512" s="47" t="n"/>
    </row>
    <row r="513">
      <c r="A513" s="47" t="n"/>
    </row>
    <row r="514">
      <c r="A514" s="5" t="inlineStr">
        <is>
          <t>biscotto di pasta frolla al cioccolato</t>
        </is>
      </c>
    </row>
    <row r="515">
      <c r="A515" s="47" t="inlineStr">
        <is>
          <t xml:space="preserve">FARINA 0/MAN. CAPUTO DA KG.25  </t>
        </is>
      </c>
    </row>
    <row r="516">
      <c r="A516" s="47" t="inlineStr">
        <is>
          <t xml:space="preserve">STRUTTO RAFFINATO I B VERDE  </t>
        </is>
      </c>
    </row>
    <row r="517">
      <c r="A517" s="48" t="inlineStr">
        <is>
          <t xml:space="preserve">SALE SACCHI SALTECHNO KG.25  </t>
        </is>
      </c>
    </row>
    <row r="518">
      <c r="A518" s="47" t="inlineStr">
        <is>
          <t>zucchero semolato</t>
        </is>
      </c>
    </row>
    <row r="519">
      <c r="A519" s="47" t="inlineStr">
        <is>
          <t>cacao amaro</t>
        </is>
      </c>
    </row>
    <row r="520">
      <c r="A520" s="47" t="n"/>
    </row>
    <row r="521">
      <c r="A521" s="47" t="n"/>
    </row>
    <row r="522">
      <c r="A522" s="47" t="n"/>
    </row>
    <row r="523">
      <c r="A523" s="47" t="n"/>
    </row>
    <row r="524">
      <c r="A524" s="47" t="n"/>
    </row>
    <row r="525">
      <c r="A525" s="47" t="n"/>
    </row>
    <row r="526">
      <c r="A526" s="47" t="n"/>
    </row>
    <row r="527">
      <c r="A527" s="47" t="n"/>
    </row>
    <row r="528">
      <c r="A528" s="47" t="n"/>
    </row>
    <row r="529">
      <c r="A529" s="47" t="n"/>
    </row>
    <row r="530">
      <c r="A530" s="5" t="inlineStr">
        <is>
          <t>brioche</t>
        </is>
      </c>
    </row>
    <row r="531">
      <c r="A531" s="47" t="inlineStr">
        <is>
          <t xml:space="preserve">FARINA 0/MAN. CAPUTO DA KG.25  </t>
        </is>
      </c>
    </row>
    <row r="532">
      <c r="A532" s="47" t="inlineStr">
        <is>
          <t>margarina crema</t>
        </is>
      </c>
    </row>
    <row r="533">
      <c r="A533" s="47" t="inlineStr">
        <is>
          <t>LIEVITO x 2.5kg</t>
        </is>
      </c>
    </row>
    <row r="534">
      <c r="A534" s="47" t="inlineStr">
        <is>
          <t>tuorlo d'uovo pastorizzato</t>
        </is>
      </c>
    </row>
    <row r="535">
      <c r="A535" s="47" t="inlineStr">
        <is>
          <t>AROMA CROISSANT</t>
        </is>
      </c>
    </row>
    <row r="536">
      <c r="A536" s="47" t="inlineStr">
        <is>
          <t>latte   1000 int.uht  yma</t>
        </is>
      </c>
    </row>
    <row r="537">
      <c r="A537" s="48" t="inlineStr">
        <is>
          <t xml:space="preserve">SALE SACCHI SALTECHNO KG.25  </t>
        </is>
      </c>
    </row>
    <row r="538">
      <c r="A538" s="47" t="n"/>
    </row>
    <row r="539">
      <c r="A539" s="47" t="n"/>
    </row>
    <row r="540">
      <c r="A540" s="47" t="n"/>
    </row>
    <row r="541">
      <c r="A541" s="47" t="n"/>
    </row>
    <row r="542">
      <c r="A542" s="47" t="n"/>
    </row>
    <row r="543">
      <c r="A543" s="47" t="n"/>
    </row>
    <row r="544">
      <c r="A544" s="47" t="n"/>
    </row>
    <row r="545">
      <c r="A545" s="47" t="n"/>
    </row>
    <row r="546">
      <c r="A546" s="5" t="inlineStr">
        <is>
          <t>brioche mignon</t>
        </is>
      </c>
    </row>
    <row r="547">
      <c r="A547" s="47" t="inlineStr">
        <is>
          <t xml:space="preserve">FARINA 0/MAN. CAPUTO DA KG.25  </t>
        </is>
      </c>
    </row>
    <row r="548">
      <c r="A548" s="47" t="inlineStr">
        <is>
          <t>margarina crema</t>
        </is>
      </c>
    </row>
    <row r="549">
      <c r="A549" s="47" t="inlineStr">
        <is>
          <t>LIEVITO x 2.5kg</t>
        </is>
      </c>
    </row>
    <row r="550">
      <c r="A550" s="47" t="inlineStr">
        <is>
          <t>tuorlo d'uovo pastorizzato</t>
        </is>
      </c>
    </row>
    <row r="551">
      <c r="A551" s="47" t="inlineStr">
        <is>
          <t>AROMA CROISSANT</t>
        </is>
      </c>
    </row>
    <row r="552">
      <c r="A552" s="47" t="inlineStr">
        <is>
          <t>latte   1000 int.uht  yma</t>
        </is>
      </c>
    </row>
    <row r="553">
      <c r="A553" s="48" t="inlineStr">
        <is>
          <t xml:space="preserve">SALE SACCHI SALTECHNO KG.25  </t>
        </is>
      </c>
    </row>
    <row r="554">
      <c r="A554" s="47" t="n"/>
    </row>
    <row r="555">
      <c r="A555" s="47" t="n"/>
    </row>
    <row r="556">
      <c r="A556" s="47" t="n"/>
    </row>
    <row r="557">
      <c r="A557" s="47" t="n"/>
    </row>
    <row r="558">
      <c r="A558" s="47" t="n"/>
    </row>
    <row r="559">
      <c r="A559" s="47" t="n"/>
    </row>
    <row r="560">
      <c r="A560" s="47" t="n"/>
    </row>
    <row r="561">
      <c r="A561" s="47" t="n"/>
    </row>
    <row r="562">
      <c r="A562" s="5" t="inlineStr">
        <is>
          <t>cannolo siciliano</t>
        </is>
      </c>
    </row>
    <row r="563">
      <c r="A563" s="47" t="inlineStr">
        <is>
          <t>CANNOLI MAX SCURI x 100pz</t>
        </is>
      </c>
    </row>
    <row r="564">
      <c r="A564" s="47" t="inlineStr">
        <is>
          <t>ricotta omogeneizzata ii 5kg</t>
        </is>
      </c>
    </row>
    <row r="565">
      <c r="A565" s="47" t="n"/>
    </row>
    <row r="566">
      <c r="A566" s="47" t="n"/>
    </row>
    <row r="567">
      <c r="A567" s="47" t="n"/>
    </row>
    <row r="568">
      <c r="A568" s="47" t="n"/>
    </row>
    <row r="569">
      <c r="A569" s="47" t="n"/>
    </row>
    <row r="570">
      <c r="A570" s="47" t="n"/>
    </row>
    <row r="571">
      <c r="A571" s="47" t="n"/>
    </row>
    <row r="572">
      <c r="A572" s="47" t="n"/>
    </row>
    <row r="573">
      <c r="A573" s="47" t="n"/>
    </row>
    <row r="574">
      <c r="A574" s="47" t="n"/>
    </row>
    <row r="575">
      <c r="A575" s="47" t="n"/>
    </row>
    <row r="576">
      <c r="A576" s="47" t="n"/>
    </row>
    <row r="577">
      <c r="A577" s="47" t="n"/>
    </row>
    <row r="579">
      <c r="A579" s="47" t="inlineStr">
        <is>
          <t>cioccolato</t>
        </is>
      </c>
    </row>
    <row r="580">
      <c r="A580" s="47" t="inlineStr">
        <is>
          <t>NUPPY NOCCIOLA 12KG</t>
        </is>
      </c>
    </row>
    <row r="581" ht="24" customHeight="1" s="155">
      <c r="A581" s="47" t="inlineStr">
        <is>
          <t xml:space="preserve">GOCCINE MIGNON DI SURROGATO FONDENTE 1000/HG DA KG 12  </t>
        </is>
      </c>
    </row>
    <row r="582">
      <c r="A582" s="47" t="inlineStr">
        <is>
          <t>zucchero semolato</t>
        </is>
      </c>
    </row>
    <row r="583">
      <c r="A583" s="47" t="inlineStr">
        <is>
          <t>cioccolato</t>
        </is>
      </c>
    </row>
    <row r="584">
      <c r="A584" s="47" t="inlineStr">
        <is>
          <t>margarina sfoglia</t>
        </is>
      </c>
    </row>
    <row r="585">
      <c r="A585" s="47" t="inlineStr">
        <is>
          <t xml:space="preserve">mix cake nature da kg 10 (4830)  </t>
        </is>
      </c>
    </row>
    <row r="586">
      <c r="A586" s="47" t="n"/>
    </row>
    <row r="587">
      <c r="A587" s="47" t="n"/>
    </row>
    <row r="588">
      <c r="A588" s="47" t="n"/>
    </row>
    <row r="589">
      <c r="A589" s="47" t="n"/>
    </row>
    <row r="590">
      <c r="A590" s="47" t="n"/>
    </row>
    <row r="591">
      <c r="A591" s="47" t="n"/>
    </row>
    <row r="592">
      <c r="A592" s="47" t="n"/>
    </row>
    <row r="593">
      <c r="A593" s="47" t="n"/>
    </row>
    <row r="594">
      <c r="A594" s="5" t="inlineStr">
        <is>
          <t>caprese limone</t>
        </is>
      </c>
    </row>
    <row r="595">
      <c r="A595" s="47" t="inlineStr">
        <is>
          <t>NUPPY NOCCIOLA 12KG</t>
        </is>
      </c>
    </row>
    <row r="596">
      <c r="A596" s="47" t="inlineStr">
        <is>
          <t>cioccolato</t>
        </is>
      </c>
    </row>
    <row r="597">
      <c r="A597" s="47" t="inlineStr">
        <is>
          <t>zucchero semolato</t>
        </is>
      </c>
    </row>
    <row r="598">
      <c r="A598" s="47" t="n"/>
    </row>
    <row r="599">
      <c r="A599" s="47" t="inlineStr">
        <is>
          <t>margarina sfoglia</t>
        </is>
      </c>
    </row>
    <row r="600">
      <c r="A600" s="47" t="inlineStr">
        <is>
          <t xml:space="preserve">mix cake nature da kg 10 (4830)  </t>
        </is>
      </c>
    </row>
    <row r="601">
      <c r="A601" s="47" t="inlineStr">
        <is>
          <t xml:space="preserve">Limoni </t>
        </is>
      </c>
    </row>
    <row r="602">
      <c r="A602" s="47" t="n"/>
    </row>
    <row r="603">
      <c r="A603" s="47" t="n"/>
    </row>
    <row r="604">
      <c r="A604" s="47" t="n"/>
    </row>
    <row r="605">
      <c r="A605" s="47" t="n"/>
    </row>
    <row r="606">
      <c r="A606" s="47" t="n"/>
    </row>
    <row r="607">
      <c r="A607" s="47" t="n"/>
    </row>
    <row r="608">
      <c r="A608" s="47" t="n"/>
    </row>
    <row r="609">
      <c r="A609" s="47" t="n"/>
    </row>
    <row r="610">
      <c r="A610" s="5" t="inlineStr">
        <is>
          <t>cassatina</t>
        </is>
      </c>
    </row>
    <row r="611">
      <c r="A611" s="47" t="inlineStr">
        <is>
          <t xml:space="preserve">FARINA 0/MAN. CAPUTO DA KG.25  </t>
        </is>
      </c>
    </row>
    <row r="612">
      <c r="A612" s="47" t="inlineStr">
        <is>
          <t>zucchero semolato</t>
        </is>
      </c>
    </row>
    <row r="613">
      <c r="A613" s="47" t="inlineStr">
        <is>
          <t>LIEVITO x 2.5kg</t>
        </is>
      </c>
    </row>
    <row r="614">
      <c r="A614" s="47" t="inlineStr">
        <is>
          <t xml:space="preserve">mix cake nature da kg 10 (4830)  </t>
        </is>
      </c>
    </row>
    <row r="615">
      <c r="A615" s="47" t="inlineStr">
        <is>
          <t>tuorlo d'uovo pastorizzato</t>
        </is>
      </c>
    </row>
    <row r="616">
      <c r="A616" s="47" t="inlineStr">
        <is>
          <t>ricotta tipo roma</t>
        </is>
      </c>
    </row>
    <row r="617">
      <c r="A617" s="47" t="inlineStr">
        <is>
          <t>naspro</t>
        </is>
      </c>
    </row>
    <row r="618" ht="24" customHeight="1" s="155">
      <c r="A618" s="47" t="inlineStr">
        <is>
          <t xml:space="preserve">PASSATA VISCIOLA LABO GARDEN FRUIT DA KG 12,5  </t>
        </is>
      </c>
    </row>
    <row r="619">
      <c r="A619" s="47" t="inlineStr">
        <is>
          <t>cioccolato</t>
        </is>
      </c>
    </row>
    <row r="620">
      <c r="A620" s="47" t="n"/>
    </row>
    <row r="621">
      <c r="A621" s="47" t="n"/>
    </row>
    <row r="622">
      <c r="A622" s="47" t="n"/>
    </row>
    <row r="623">
      <c r="A623" s="47" t="n"/>
    </row>
    <row r="624">
      <c r="A624" s="47" t="n"/>
    </row>
    <row r="625">
      <c r="A625" s="47" t="n"/>
    </row>
    <row r="626">
      <c r="A626" s="5" t="inlineStr">
        <is>
          <t>cervellatine</t>
        </is>
      </c>
    </row>
    <row r="627">
      <c r="A627" s="47" t="inlineStr">
        <is>
          <t>salame</t>
        </is>
      </c>
    </row>
    <row r="628">
      <c r="A628" s="48" t="inlineStr">
        <is>
          <t xml:space="preserve">SALE SACCHI SALTECHNO KG.25  </t>
        </is>
      </c>
    </row>
    <row r="629">
      <c r="A629" s="47" t="inlineStr">
        <is>
          <t>olio extravergine oliva</t>
        </is>
      </c>
    </row>
    <row r="630">
      <c r="A630" s="47" t="n"/>
    </row>
    <row r="631">
      <c r="A631" s="47" t="n"/>
    </row>
    <row r="632">
      <c r="A632" s="47" t="n"/>
    </row>
    <row r="633">
      <c r="A633" s="47" t="n"/>
    </row>
    <row r="634">
      <c r="A634" s="47" t="n"/>
    </row>
    <row r="635">
      <c r="A635" s="47" t="n"/>
    </row>
    <row r="636">
      <c r="A636" s="47" t="n"/>
    </row>
    <row r="637">
      <c r="A637" s="47" t="n"/>
    </row>
    <row r="638">
      <c r="A638" s="47" t="n"/>
    </row>
    <row r="639">
      <c r="A639" s="47" t="n"/>
    </row>
    <row r="640">
      <c r="A640" s="47" t="n"/>
    </row>
    <row r="641">
      <c r="A641" s="47" t="n"/>
    </row>
    <row r="642">
      <c r="A642" s="5" t="inlineStr">
        <is>
          <t>cheesecake</t>
        </is>
      </c>
    </row>
    <row r="643">
      <c r="A643" s="47" t="inlineStr">
        <is>
          <t xml:space="preserve">FARINA 0/MAN. CAPUTO DA KG.25  </t>
        </is>
      </c>
    </row>
    <row r="644">
      <c r="A644" s="47" t="inlineStr">
        <is>
          <t xml:space="preserve">STRUTTO RAFFINATO I B VERDE  </t>
        </is>
      </c>
    </row>
    <row r="645">
      <c r="A645" s="48" t="inlineStr">
        <is>
          <t xml:space="preserve">SALE SACCHI SALTECHNO KG.25  </t>
        </is>
      </c>
    </row>
    <row r="646">
      <c r="A646" s="47" t="inlineStr">
        <is>
          <t>zucchero semolato</t>
        </is>
      </c>
    </row>
    <row r="647">
      <c r="A647" s="47" t="inlineStr">
        <is>
          <t>tuorlo d'uovo pastorizzato</t>
        </is>
      </c>
    </row>
    <row r="648">
      <c r="A648" s="47" t="inlineStr">
        <is>
          <t>panna hoplà</t>
        </is>
      </c>
    </row>
    <row r="649">
      <c r="A649" s="47" t="n"/>
    </row>
    <row r="650">
      <c r="A650" s="47" t="n"/>
    </row>
    <row r="651">
      <c r="A651" s="47" t="n"/>
    </row>
    <row r="652">
      <c r="A652" s="47" t="n"/>
    </row>
    <row r="653">
      <c r="A653" s="47" t="n"/>
    </row>
    <row r="654">
      <c r="A654" s="47" t="n"/>
    </row>
    <row r="655">
      <c r="A655" s="47" t="n"/>
    </row>
    <row r="656">
      <c r="A656" s="47" t="n"/>
    </row>
    <row r="657">
      <c r="A657" s="47" t="n"/>
    </row>
    <row r="658">
      <c r="A658" s="5" t="inlineStr">
        <is>
          <t>coda di aragosta</t>
        </is>
      </c>
    </row>
    <row r="659">
      <c r="A659" s="47" t="inlineStr">
        <is>
          <t>coda d'aragosta</t>
        </is>
      </c>
    </row>
    <row r="660">
      <c r="A660" s="47" t="n"/>
    </row>
    <row r="661">
      <c r="A661" s="47" t="n"/>
    </row>
    <row r="662">
      <c r="A662" s="47" t="n"/>
    </row>
    <row r="663">
      <c r="A663" s="47" t="n"/>
    </row>
    <row r="664">
      <c r="A664" s="47" t="n"/>
    </row>
    <row r="665">
      <c r="A665" s="47" t="n"/>
    </row>
    <row r="666">
      <c r="A666" s="47" t="n"/>
    </row>
    <row r="667">
      <c r="A667" s="47" t="n"/>
    </row>
    <row r="668">
      <c r="A668" s="47" t="n"/>
    </row>
    <row r="669">
      <c r="A669" s="47" t="n"/>
    </row>
    <row r="670">
      <c r="A670" s="47" t="n"/>
    </row>
    <row r="671">
      <c r="A671" s="47" t="n"/>
    </row>
    <row r="672">
      <c r="A672" s="47" t="n"/>
    </row>
    <row r="673">
      <c r="A673" s="47" t="n"/>
    </row>
    <row r="674">
      <c r="A674" s="5" t="inlineStr">
        <is>
          <t>cornetto alla crema</t>
        </is>
      </c>
    </row>
    <row r="675">
      <c r="A675" s="47" t="inlineStr">
        <is>
          <t xml:space="preserve">FARINA 0/MAN. CAPUTO DA KG.25  </t>
        </is>
      </c>
    </row>
    <row r="676">
      <c r="A676" s="47" t="inlineStr">
        <is>
          <t>margarina crema</t>
        </is>
      </c>
    </row>
    <row r="677">
      <c r="A677" s="47" t="inlineStr">
        <is>
          <t>LIEVITO x 2.5kg</t>
        </is>
      </c>
    </row>
    <row r="678">
      <c r="A678" s="47" t="inlineStr">
        <is>
          <t>tuorlo d'uovo pastorizzato</t>
        </is>
      </c>
    </row>
    <row r="679">
      <c r="A679" s="47" t="inlineStr">
        <is>
          <t>AROMA CROISSANT</t>
        </is>
      </c>
    </row>
    <row r="680">
      <c r="A680" s="47" t="inlineStr">
        <is>
          <t>latte   1000 int.uht  yma</t>
        </is>
      </c>
    </row>
    <row r="681">
      <c r="A681" s="48" t="inlineStr">
        <is>
          <t xml:space="preserve">SALE SACCHI SALTECHNO KG.25  </t>
        </is>
      </c>
    </row>
    <row r="682">
      <c r="A682" s="47" t="n"/>
    </row>
    <row r="683">
      <c r="A683" s="47" t="n"/>
    </row>
    <row r="684">
      <c r="A684" s="47" t="n"/>
    </row>
    <row r="685">
      <c r="A685" s="47" t="n"/>
    </row>
    <row r="686">
      <c r="A686" s="47" t="n"/>
    </row>
    <row r="687">
      <c r="A687" s="47" t="n"/>
    </row>
    <row r="688">
      <c r="A688" s="47" t="n"/>
    </row>
    <row r="689">
      <c r="A689" s="47" t="n"/>
    </row>
    <row r="690">
      <c r="A690" s="5" t="inlineStr">
        <is>
          <t>cornetto alla crema amarena</t>
        </is>
      </c>
    </row>
    <row r="691">
      <c r="A691" s="47" t="inlineStr">
        <is>
          <t xml:space="preserve">FARINA 0/MAN. CAPUTO DA KG.25  </t>
        </is>
      </c>
    </row>
    <row r="692">
      <c r="A692" s="47" t="inlineStr">
        <is>
          <t>margarina crema</t>
        </is>
      </c>
    </row>
    <row r="693">
      <c r="A693" s="47" t="inlineStr">
        <is>
          <t>LIEVITO x 2.5kg</t>
        </is>
      </c>
    </row>
    <row r="694">
      <c r="A694" s="47" t="inlineStr">
        <is>
          <t>uova</t>
        </is>
      </c>
    </row>
    <row r="695">
      <c r="A695" s="47" t="inlineStr">
        <is>
          <t>AROMA CROISSANT</t>
        </is>
      </c>
    </row>
    <row r="696">
      <c r="A696" s="47" t="inlineStr">
        <is>
          <t>latte   1000 int.uht  yma</t>
        </is>
      </c>
    </row>
    <row r="697">
      <c r="A697" s="48" t="inlineStr">
        <is>
          <t xml:space="preserve">SALE SACCHI SALTECHNO KG.25  </t>
        </is>
      </c>
    </row>
    <row r="698">
      <c r="A698" s="47" t="inlineStr">
        <is>
          <t>amido</t>
        </is>
      </c>
    </row>
    <row r="699" ht="24" customHeight="1" s="155">
      <c r="A699" s="47" t="inlineStr">
        <is>
          <t xml:space="preserve">AMARENA NATURALE INTERA IN SCIROPPO DA KG 3  </t>
        </is>
      </c>
    </row>
    <row r="700">
      <c r="A700" s="47" t="n"/>
    </row>
    <row r="701">
      <c r="A701" s="47" t="n"/>
    </row>
    <row r="702">
      <c r="A702" s="47" t="n"/>
    </row>
    <row r="703">
      <c r="A703" s="47" t="n"/>
    </row>
    <row r="704">
      <c r="A704" s="47" t="n"/>
    </row>
    <row r="705">
      <c r="A705" s="47" t="n"/>
    </row>
    <row r="706">
      <c r="A706" s="5" t="inlineStr">
        <is>
          <t>cornetto brioche</t>
        </is>
      </c>
    </row>
    <row r="707">
      <c r="A707" s="47" t="inlineStr">
        <is>
          <t xml:space="preserve">FARINA 0/MAN. CAPUTO DA KG.25  </t>
        </is>
      </c>
    </row>
    <row r="708">
      <c r="A708" s="47" t="inlineStr">
        <is>
          <t>margarina crema</t>
        </is>
      </c>
    </row>
    <row r="709">
      <c r="A709" s="47" t="inlineStr">
        <is>
          <t>LIEVITO x 2.5kg</t>
        </is>
      </c>
    </row>
    <row r="710">
      <c r="A710" s="47" t="inlineStr">
        <is>
          <t>uova</t>
        </is>
      </c>
    </row>
    <row r="711">
      <c r="A711" s="47" t="inlineStr">
        <is>
          <t>AROMA CROISSANT</t>
        </is>
      </c>
    </row>
    <row r="712">
      <c r="A712" s="47" t="inlineStr">
        <is>
          <t>latte   1000 int.uht  yma</t>
        </is>
      </c>
    </row>
    <row r="713">
      <c r="A713" s="48" t="inlineStr">
        <is>
          <t xml:space="preserve">SALE SACCHI SALTECHNO KG.25  </t>
        </is>
      </c>
    </row>
    <row r="714">
      <c r="A714" s="47" t="n"/>
    </row>
    <row r="715">
      <c r="A715" s="47" t="n"/>
    </row>
    <row r="716">
      <c r="A716" s="47" t="n"/>
    </row>
    <row r="717">
      <c r="A717" s="47" t="n"/>
    </row>
    <row r="718">
      <c r="A718" s="47" t="n"/>
    </row>
    <row r="719">
      <c r="A719" s="47" t="n"/>
    </row>
    <row r="720">
      <c r="A720" s="47" t="n"/>
    </row>
    <row r="721">
      <c r="A721" s="47" t="n"/>
    </row>
    <row r="722">
      <c r="A722" s="5" t="inlineStr">
        <is>
          <t>cornetto ischitano</t>
        </is>
      </c>
    </row>
    <row r="723">
      <c r="A723" s="47" t="inlineStr">
        <is>
          <t xml:space="preserve">FARINA 0/MAN. CAPUTO DA KG.25  </t>
        </is>
      </c>
    </row>
    <row r="724">
      <c r="A724" s="47" t="inlineStr">
        <is>
          <t>margarina crema</t>
        </is>
      </c>
    </row>
    <row r="725">
      <c r="A725" s="47" t="inlineStr">
        <is>
          <t>LIEVITO x 2.5kg</t>
        </is>
      </c>
    </row>
    <row r="726">
      <c r="A726" s="47" t="inlineStr">
        <is>
          <t>uova</t>
        </is>
      </c>
    </row>
    <row r="727">
      <c r="A727" s="47" t="inlineStr">
        <is>
          <t>AROMA CROISSANT</t>
        </is>
      </c>
    </row>
    <row r="728">
      <c r="A728" s="47" t="inlineStr">
        <is>
          <t>latte   1000 int.uht  yma</t>
        </is>
      </c>
    </row>
    <row r="729">
      <c r="A729" s="48" t="inlineStr">
        <is>
          <t xml:space="preserve">SALE SACCHI SALTECHNO KG.25  </t>
        </is>
      </c>
    </row>
    <row r="730">
      <c r="A730" s="47" t="inlineStr">
        <is>
          <t>margarina sfoglia</t>
        </is>
      </c>
    </row>
    <row r="731">
      <c r="A731" s="47" t="inlineStr">
        <is>
          <t>amido</t>
        </is>
      </c>
    </row>
    <row r="732" ht="24" customHeight="1" s="155">
      <c r="A732" s="47" t="inlineStr">
        <is>
          <t xml:space="preserve">AMARENA INTERA TANTOFRUTTO CAL16/18 IN SCIROPPO KG2,75(02004275)  </t>
        </is>
      </c>
    </row>
    <row r="733">
      <c r="A733" s="47" t="n"/>
    </row>
    <row r="734">
      <c r="A734" s="47" t="n"/>
    </row>
    <row r="735">
      <c r="A735" s="47" t="n"/>
    </row>
    <row r="736">
      <c r="A736" s="47" t="n"/>
    </row>
    <row r="737">
      <c r="A737" s="47" t="n"/>
    </row>
    <row r="738">
      <c r="A738" s="5" t="inlineStr">
        <is>
          <t>cornetto mignon</t>
        </is>
      </c>
    </row>
    <row r="739">
      <c r="A739" s="47" t="inlineStr">
        <is>
          <t xml:space="preserve">FARINA 0/MAN. CAPUTO DA KG.25  </t>
        </is>
      </c>
    </row>
    <row r="740">
      <c r="A740" s="47" t="inlineStr">
        <is>
          <t>margarina sfoglia</t>
        </is>
      </c>
    </row>
    <row r="741">
      <c r="A741" s="47" t="inlineStr">
        <is>
          <t>LIEVITO x 2.5kg</t>
        </is>
      </c>
    </row>
    <row r="742">
      <c r="A742" s="47" t="inlineStr">
        <is>
          <t>tuorlo d'uovo pastorizzato</t>
        </is>
      </c>
    </row>
    <row r="743">
      <c r="A743" s="47" t="inlineStr">
        <is>
          <t>AROMA CROISSANT</t>
        </is>
      </c>
    </row>
    <row r="744">
      <c r="A744" s="47" t="inlineStr">
        <is>
          <t>latte   1000 int.uht  yma</t>
        </is>
      </c>
    </row>
    <row r="745">
      <c r="A745" s="48" t="inlineStr">
        <is>
          <t xml:space="preserve">SALE SACCHI SALTECHNO KG.25  </t>
        </is>
      </c>
    </row>
    <row r="746">
      <c r="A746" s="47" t="n"/>
    </row>
    <row r="747">
      <c r="A747" s="47" t="n"/>
    </row>
    <row r="748">
      <c r="A748" s="47" t="n"/>
    </row>
    <row r="749">
      <c r="A749" s="47" t="n"/>
    </row>
    <row r="750">
      <c r="A750" s="47" t="n"/>
    </row>
    <row r="751">
      <c r="A751" s="47" t="n"/>
    </row>
    <row r="752">
      <c r="A752" s="47" t="n"/>
    </row>
    <row r="753">
      <c r="A753" s="47" t="n"/>
    </row>
    <row r="754">
      <c r="A754" s="5" t="inlineStr">
        <is>
          <t>cornetto sfoglia</t>
        </is>
      </c>
    </row>
    <row r="755">
      <c r="A755" s="47" t="inlineStr">
        <is>
          <t xml:space="preserve">FARINA 0/MAN. CAPUTO DA KG.25  </t>
        </is>
      </c>
    </row>
    <row r="756">
      <c r="A756" s="47" t="inlineStr">
        <is>
          <t>margarina sfoglia</t>
        </is>
      </c>
    </row>
    <row r="757">
      <c r="A757" s="47" t="inlineStr">
        <is>
          <t>LIEVITO x 2.5kg</t>
        </is>
      </c>
    </row>
    <row r="758">
      <c r="A758" s="47" t="inlineStr">
        <is>
          <t>uova</t>
        </is>
      </c>
    </row>
    <row r="759">
      <c r="A759" s="47" t="inlineStr">
        <is>
          <t>AROMA CROISSANT</t>
        </is>
      </c>
    </row>
    <row r="760">
      <c r="A760" s="47" t="inlineStr">
        <is>
          <t>latte   1000 int.uht  yma</t>
        </is>
      </c>
    </row>
    <row r="761">
      <c r="A761" s="48" t="inlineStr">
        <is>
          <t xml:space="preserve">SALE SACCHI SALTECHNO KG.25  </t>
        </is>
      </c>
    </row>
    <row r="762">
      <c r="A762" s="47" t="inlineStr">
        <is>
          <t>margarina sfoglia</t>
        </is>
      </c>
    </row>
    <row r="763">
      <c r="A763" s="47" t="n"/>
    </row>
    <row r="764">
      <c r="A764" s="47" t="n"/>
    </row>
    <row r="765">
      <c r="A765" s="47" t="n"/>
    </row>
    <row r="766">
      <c r="A766" s="47" t="n"/>
    </row>
    <row r="767">
      <c r="A767" s="47" t="n"/>
    </row>
    <row r="768">
      <c r="A768" s="47" t="n"/>
    </row>
    <row r="769">
      <c r="A769" s="47" t="n"/>
    </row>
    <row r="770">
      <c r="A770" s="5" t="inlineStr">
        <is>
          <t>crema chantilly</t>
        </is>
      </c>
    </row>
    <row r="771">
      <c r="A771" s="47" t="inlineStr">
        <is>
          <t>amido</t>
        </is>
      </c>
    </row>
    <row r="772">
      <c r="A772" s="47" t="inlineStr">
        <is>
          <t>latte   1000 int.uht  yma</t>
        </is>
      </c>
    </row>
    <row r="773">
      <c r="A773" s="47" t="inlineStr">
        <is>
          <t>zucchero semolato</t>
        </is>
      </c>
    </row>
    <row r="774">
      <c r="A774" s="47" t="inlineStr">
        <is>
          <t>tuorlo d'uovo pastorizzato</t>
        </is>
      </c>
    </row>
    <row r="775">
      <c r="A775" s="47" t="inlineStr">
        <is>
          <t>panna hoplà</t>
        </is>
      </c>
    </row>
    <row r="776">
      <c r="A776" s="47" t="n"/>
    </row>
    <row r="777">
      <c r="A777" s="47" t="n"/>
    </row>
    <row r="778">
      <c r="A778" s="47" t="n"/>
    </row>
    <row r="779">
      <c r="A779" s="47" t="n"/>
    </row>
    <row r="780">
      <c r="A780" s="47" t="n"/>
    </row>
    <row r="781">
      <c r="A781" s="47" t="n"/>
    </row>
    <row r="782">
      <c r="A782" s="47" t="n"/>
    </row>
    <row r="783">
      <c r="A783" s="47" t="n"/>
    </row>
    <row r="784">
      <c r="A784" s="47" t="n"/>
    </row>
    <row r="785">
      <c r="A785" s="47" t="n"/>
    </row>
    <row r="786">
      <c r="A786" s="5" t="inlineStr">
        <is>
          <t>crostatina albicocca</t>
        </is>
      </c>
    </row>
    <row r="787">
      <c r="A787" s="47" t="inlineStr">
        <is>
          <t xml:space="preserve">FARINA 0/MAN. CAPUTO DA KG.25  </t>
        </is>
      </c>
    </row>
    <row r="788">
      <c r="A788" s="47" t="inlineStr">
        <is>
          <t xml:space="preserve">STRUTTO RAFFINATO I B VERDE  </t>
        </is>
      </c>
    </row>
    <row r="789">
      <c r="A789" s="47" t="inlineStr">
        <is>
          <t>PASSATA ALBICOCCA x 10kg</t>
        </is>
      </c>
    </row>
    <row r="790">
      <c r="A790" s="47" t="inlineStr">
        <is>
          <t>zucchero semolato</t>
        </is>
      </c>
    </row>
    <row r="791">
      <c r="A791" s="47" t="n"/>
    </row>
    <row r="792">
      <c r="A792" s="47" t="n"/>
    </row>
    <row r="793">
      <c r="A793" s="47" t="n"/>
    </row>
    <row r="794">
      <c r="A794" s="47" t="n"/>
    </row>
    <row r="795">
      <c r="A795" s="47" t="n"/>
    </row>
    <row r="796">
      <c r="A796" s="47" t="n"/>
    </row>
    <row r="797">
      <c r="A797" s="47" t="n"/>
    </row>
    <row r="798">
      <c r="A798" s="47" t="n"/>
    </row>
    <row r="799">
      <c r="A799" s="47" t="n"/>
    </row>
    <row r="800">
      <c r="A800" s="47" t="n"/>
    </row>
    <row r="801">
      <c r="A801" s="47" t="n"/>
    </row>
    <row r="802">
      <c r="A802" s="5" t="inlineStr">
        <is>
          <t>crostatina cioccolato</t>
        </is>
      </c>
    </row>
    <row r="803">
      <c r="A803" s="47" t="inlineStr">
        <is>
          <t xml:space="preserve">FARINA 0/MAN. CAPUTO DA KG.25  </t>
        </is>
      </c>
    </row>
    <row r="804">
      <c r="A804" s="47" t="inlineStr">
        <is>
          <t xml:space="preserve">STRUTTO RAFFINATO I B VERDE  </t>
        </is>
      </c>
    </row>
    <row r="805">
      <c r="A805" s="47" t="inlineStr">
        <is>
          <t>zucchero semolato</t>
        </is>
      </c>
    </row>
    <row r="806">
      <c r="A806" s="48" t="inlineStr">
        <is>
          <t xml:space="preserve">SALE SACCHI SALTECHNO KG.25  </t>
        </is>
      </c>
    </row>
    <row r="807">
      <c r="A807" s="47" t="inlineStr">
        <is>
          <t>nocciola</t>
        </is>
      </c>
    </row>
    <row r="808">
      <c r="A808" s="47" t="n"/>
    </row>
    <row r="809">
      <c r="A809" s="47" t="n"/>
    </row>
    <row r="810">
      <c r="A810" s="47" t="n"/>
    </row>
    <row r="811">
      <c r="A811" s="47" t="n"/>
    </row>
    <row r="812">
      <c r="A812" s="47" t="n"/>
    </row>
    <row r="813">
      <c r="A813" s="47" t="n"/>
    </row>
    <row r="814">
      <c r="A814" s="47" t="n"/>
    </row>
    <row r="815">
      <c r="A815" s="47" t="n"/>
    </row>
    <row r="816">
      <c r="A816" s="47" t="n"/>
    </row>
    <row r="817">
      <c r="A817" s="47" t="n"/>
    </row>
    <row r="818">
      <c r="A818" s="5" t="inlineStr">
        <is>
          <t>delizia al limone</t>
        </is>
      </c>
    </row>
    <row r="819">
      <c r="A819" s="47" t="inlineStr">
        <is>
          <t xml:space="preserve">FARINA 0/MAN. CAPUTO DA KG.25  </t>
        </is>
      </c>
    </row>
    <row r="820">
      <c r="A820" s="48" t="inlineStr">
        <is>
          <t xml:space="preserve">SALE SACCHI SALTECHNO KG.25  </t>
        </is>
      </c>
    </row>
    <row r="821">
      <c r="A821" s="47" t="inlineStr">
        <is>
          <t>amido</t>
        </is>
      </c>
    </row>
    <row r="822">
      <c r="A822" s="47" t="inlineStr">
        <is>
          <t xml:space="preserve">Limoni </t>
        </is>
      </c>
    </row>
    <row r="823">
      <c r="A823" s="47" t="inlineStr">
        <is>
          <t>tuorlo d'uovo pastorizzato</t>
        </is>
      </c>
    </row>
    <row r="824">
      <c r="A824" s="47" t="inlineStr">
        <is>
          <t>zucchero semolato</t>
        </is>
      </c>
    </row>
    <row r="825">
      <c r="A825" s="47" t="inlineStr">
        <is>
          <t>panna</t>
        </is>
      </c>
    </row>
    <row r="826">
      <c r="A826" s="47" t="n"/>
    </row>
    <row r="827">
      <c r="A827" s="47" t="n"/>
    </row>
    <row r="828">
      <c r="A828" s="47" t="n"/>
    </row>
    <row r="829">
      <c r="A829" s="47" t="n"/>
    </row>
    <row r="830">
      <c r="A830" s="47" t="n"/>
    </row>
    <row r="831">
      <c r="A831" s="47" t="n"/>
    </row>
    <row r="832">
      <c r="A832" s="47" t="n"/>
    </row>
    <row r="833">
      <c r="A833" s="47" t="n"/>
    </row>
    <row r="834">
      <c r="A834" s="5" t="inlineStr">
        <is>
          <t>fagioli uccelletto</t>
        </is>
      </c>
    </row>
    <row r="835">
      <c r="A835" s="47" t="inlineStr">
        <is>
          <t xml:space="preserve">FAGIOLI BORLOTTI da KG.3X6  </t>
        </is>
      </c>
    </row>
    <row r="836">
      <c r="A836" s="48" t="inlineStr">
        <is>
          <t xml:space="preserve">SALE SACCHI SALTECHNO KG.25  </t>
        </is>
      </c>
    </row>
    <row r="837">
      <c r="A837" s="47" t="inlineStr">
        <is>
          <t>olio extravergine oliva</t>
        </is>
      </c>
    </row>
    <row r="838">
      <c r="A838" s="47" t="inlineStr">
        <is>
          <t>SALAME NAPOLI SV. SENDERO</t>
        </is>
      </c>
    </row>
    <row r="839">
      <c r="A839" s="47" t="inlineStr">
        <is>
          <t>pomod ciliegine l.197-004081-0002379</t>
        </is>
      </c>
    </row>
    <row r="840">
      <c r="A840" s="47" t="n"/>
    </row>
    <row r="841">
      <c r="A841" s="47" t="n"/>
    </row>
    <row r="842">
      <c r="A842" s="47" t="n"/>
    </row>
    <row r="843">
      <c r="A843" s="47" t="n"/>
    </row>
    <row r="844">
      <c r="A844" s="47" t="n"/>
    </row>
    <row r="845">
      <c r="A845" s="47" t="n"/>
    </row>
    <row r="846">
      <c r="A846" s="47" t="n"/>
    </row>
    <row r="847">
      <c r="A847" s="47" t="n"/>
    </row>
    <row r="848">
      <c r="A848" s="47" t="n"/>
    </row>
    <row r="849">
      <c r="A849" s="47" t="n"/>
    </row>
    <row r="850">
      <c r="A850" s="5" t="inlineStr">
        <is>
          <t>fiocco di neve</t>
        </is>
      </c>
    </row>
    <row r="851">
      <c r="A851" s="47" t="inlineStr">
        <is>
          <t xml:space="preserve">FARINA 0/MAN. CAPUTO DA KG.25  </t>
        </is>
      </c>
    </row>
    <row r="852">
      <c r="A852" s="47" t="inlineStr">
        <is>
          <t>margarina sfoglia</t>
        </is>
      </c>
    </row>
    <row r="853">
      <c r="A853" s="47" t="inlineStr">
        <is>
          <t>LIEVITO x 2.5kg</t>
        </is>
      </c>
    </row>
    <row r="854">
      <c r="A854" s="47" t="inlineStr">
        <is>
          <t>uova</t>
        </is>
      </c>
    </row>
    <row r="855">
      <c r="A855" s="47" t="inlineStr">
        <is>
          <t>AROMA CROISSANT</t>
        </is>
      </c>
    </row>
    <row r="856">
      <c r="A856" s="47" t="inlineStr">
        <is>
          <t>latte   1000 int.uht  yma</t>
        </is>
      </c>
    </row>
    <row r="857">
      <c r="A857" s="48" t="inlineStr">
        <is>
          <t xml:space="preserve">SALE SACCHI SALTECHNO KG.25  </t>
        </is>
      </c>
    </row>
    <row r="858">
      <c r="A858" s="47" t="inlineStr">
        <is>
          <t>panna</t>
        </is>
      </c>
    </row>
    <row r="859">
      <c r="A859" s="47" t="inlineStr">
        <is>
          <t>ricotta omogeneizzata ii 5kg</t>
        </is>
      </c>
    </row>
    <row r="860">
      <c r="A860" s="47" t="n"/>
    </row>
    <row r="861">
      <c r="A861" s="47" t="n"/>
    </row>
    <row r="862">
      <c r="A862" s="47" t="n"/>
    </row>
    <row r="863">
      <c r="A863" s="47" t="n"/>
    </row>
    <row r="864">
      <c r="A864" s="47" t="n"/>
    </row>
    <row r="865">
      <c r="A865" s="47" t="n"/>
    </row>
    <row r="866">
      <c r="A866" s="5" t="inlineStr">
        <is>
          <t>francesina cioccolato</t>
        </is>
      </c>
    </row>
    <row r="867">
      <c r="A867" s="47" t="inlineStr">
        <is>
          <t xml:space="preserve">FARINA 0/MAN. CAPUTO DA KG.25  </t>
        </is>
      </c>
    </row>
    <row r="868">
      <c r="A868" s="47" t="inlineStr">
        <is>
          <t>margarina sfoglia</t>
        </is>
      </c>
    </row>
    <row r="869">
      <c r="A869" s="47" t="inlineStr">
        <is>
          <t>zucchero semolato</t>
        </is>
      </c>
    </row>
    <row r="870">
      <c r="A870" s="47" t="inlineStr">
        <is>
          <t>amido</t>
        </is>
      </c>
    </row>
    <row r="871">
      <c r="A871" s="47" t="inlineStr">
        <is>
          <t>latte   1000 int.uht  yma</t>
        </is>
      </c>
    </row>
    <row r="872">
      <c r="A872" s="47" t="inlineStr">
        <is>
          <t>cioccolato</t>
        </is>
      </c>
    </row>
    <row r="873">
      <c r="A873" s="47" t="inlineStr">
        <is>
          <t>tuorlo d'uovo pastorizzato</t>
        </is>
      </c>
    </row>
    <row r="874">
      <c r="A874" s="47" t="inlineStr">
        <is>
          <t>nocciola</t>
        </is>
      </c>
    </row>
    <row r="875">
      <c r="A875" s="47" t="n"/>
    </row>
    <row r="876">
      <c r="A876" s="47" t="n"/>
    </row>
    <row r="877">
      <c r="A877" s="47" t="n"/>
    </row>
    <row r="878">
      <c r="A878" s="47" t="n"/>
    </row>
    <row r="879">
      <c r="A879" s="47" t="n"/>
    </row>
    <row r="880">
      <c r="A880" s="47" t="n"/>
    </row>
    <row r="881">
      <c r="A881" s="47" t="n"/>
    </row>
    <row r="882">
      <c r="A882" s="5" t="inlineStr">
        <is>
          <t>francesina crema</t>
        </is>
      </c>
    </row>
    <row r="883">
      <c r="A883" s="47" t="inlineStr">
        <is>
          <t xml:space="preserve">FARINA 0/MAN. CAPUTO DA KG.25  </t>
        </is>
      </c>
    </row>
    <row r="884">
      <c r="A884" s="47" t="inlineStr">
        <is>
          <t>margarina sfoglia</t>
        </is>
      </c>
    </row>
    <row r="885">
      <c r="A885" s="47" t="inlineStr">
        <is>
          <t>zucchero semolato</t>
        </is>
      </c>
    </row>
    <row r="886">
      <c r="A886" s="47" t="inlineStr">
        <is>
          <t>amido</t>
        </is>
      </c>
    </row>
    <row r="887">
      <c r="A887" s="47" t="inlineStr">
        <is>
          <t>latte   1000 int.uht  yma</t>
        </is>
      </c>
    </row>
    <row r="888">
      <c r="A888" s="47" t="inlineStr">
        <is>
          <t>tuorlo d'uovo pastorizzato</t>
        </is>
      </c>
    </row>
    <row r="889">
      <c r="A889" s="47" t="n"/>
    </row>
    <row r="890">
      <c r="A890" s="47" t="n"/>
    </row>
    <row r="891">
      <c r="A891" s="47" t="n"/>
    </row>
    <row r="892">
      <c r="A892" s="47" t="n"/>
    </row>
    <row r="893">
      <c r="A893" s="47" t="n"/>
    </row>
    <row r="894">
      <c r="A894" s="47" t="n"/>
    </row>
    <row r="895">
      <c r="A895" s="47" t="n"/>
    </row>
    <row r="896">
      <c r="A896" s="47" t="n"/>
    </row>
    <row r="897">
      <c r="A897" s="47" t="n"/>
    </row>
    <row r="898">
      <c r="A898" s="5" t="inlineStr">
        <is>
          <t>krans cioccolato</t>
        </is>
      </c>
    </row>
    <row r="899">
      <c r="A899" s="47" t="inlineStr">
        <is>
          <t xml:space="preserve">FARINA 0/MAN. CAPUTO DA KG.25  </t>
        </is>
      </c>
    </row>
    <row r="900">
      <c r="A900" s="47" t="inlineStr">
        <is>
          <t>margarina crema</t>
        </is>
      </c>
    </row>
    <row r="901">
      <c r="A901" s="47" t="inlineStr">
        <is>
          <t>LIEVITO x 2.5kg</t>
        </is>
      </c>
    </row>
    <row r="902">
      <c r="A902" s="47" t="inlineStr">
        <is>
          <t>uova</t>
        </is>
      </c>
    </row>
    <row r="903">
      <c r="A903" s="47" t="inlineStr">
        <is>
          <t>AROMA CROISSANT</t>
        </is>
      </c>
    </row>
    <row r="904">
      <c r="A904" s="47" t="inlineStr">
        <is>
          <t>latte   1000 int.uht  yma</t>
        </is>
      </c>
    </row>
    <row r="905">
      <c r="A905" s="48" t="inlineStr">
        <is>
          <t xml:space="preserve">SALE SACCHI SALTECHNO KG.25  </t>
        </is>
      </c>
    </row>
    <row r="906" ht="24" customHeight="1" s="155">
      <c r="A906" s="47" t="inlineStr">
        <is>
          <t xml:space="preserve">gocce cori di cioccolato fondente (900/hg) da kg 5  </t>
        </is>
      </c>
    </row>
    <row r="907">
      <c r="A907" s="47" t="n"/>
    </row>
    <row r="908">
      <c r="A908" s="47" t="n"/>
    </row>
    <row r="909">
      <c r="A909" s="47" t="n"/>
    </row>
    <row r="910">
      <c r="A910" s="47" t="n"/>
    </row>
    <row r="911">
      <c r="A911" s="47" t="n"/>
    </row>
    <row r="912">
      <c r="A912" s="47" t="n"/>
    </row>
    <row r="913">
      <c r="A913" s="47" t="n"/>
    </row>
    <row r="914">
      <c r="A914" s="5" t="inlineStr">
        <is>
          <t>krans uvetta</t>
        </is>
      </c>
    </row>
    <row r="915">
      <c r="A915" s="47" t="inlineStr">
        <is>
          <t xml:space="preserve">FARINA 0/MAN. CAPUTO DA KG.25  </t>
        </is>
      </c>
    </row>
    <row r="916">
      <c r="A916" s="47" t="inlineStr">
        <is>
          <t>margarina crema</t>
        </is>
      </c>
    </row>
    <row r="917">
      <c r="A917" s="47" t="inlineStr">
        <is>
          <t>LIEVITO x 2.5kg</t>
        </is>
      </c>
    </row>
    <row r="918">
      <c r="A918" s="47" t="inlineStr">
        <is>
          <t>uova</t>
        </is>
      </c>
    </row>
    <row r="919">
      <c r="A919" s="47" t="inlineStr">
        <is>
          <t>AROMA CROISSANT</t>
        </is>
      </c>
    </row>
    <row r="920">
      <c r="A920" s="47" t="inlineStr">
        <is>
          <t>latte   1000 int.uht  yma</t>
        </is>
      </c>
    </row>
    <row r="921">
      <c r="A921" s="48" t="inlineStr">
        <is>
          <t xml:space="preserve">SALE SACCHI SALTECHNO KG.25  </t>
        </is>
      </c>
    </row>
    <row r="922">
      <c r="A922" s="47" t="inlineStr">
        <is>
          <t xml:space="preserve">uva da kg 1 sultanina australiana vintage  </t>
        </is>
      </c>
    </row>
    <row r="923">
      <c r="A923" s="47" t="n"/>
    </row>
    <row r="924">
      <c r="A924" s="47" t="n"/>
    </row>
    <row r="925">
      <c r="A925" s="47" t="n"/>
    </row>
    <row r="926">
      <c r="A926" s="47" t="n"/>
    </row>
    <row r="927">
      <c r="A927" s="47" t="n"/>
    </row>
    <row r="928">
      <c r="A928" s="47" t="n"/>
    </row>
    <row r="929">
      <c r="A929" s="47" t="n"/>
    </row>
    <row r="930">
      <c r="A930" s="5" t="inlineStr">
        <is>
          <t>pan di spagna</t>
        </is>
      </c>
    </row>
    <row r="931">
      <c r="A931" s="47" t="inlineStr">
        <is>
          <t xml:space="preserve">FARINA 0/MAN. CAPUTO DA KG.25  </t>
        </is>
      </c>
    </row>
    <row r="932">
      <c r="A932" s="48" t="inlineStr">
        <is>
          <t xml:space="preserve">SALE SACCHI SALTECHNO KG.25  </t>
        </is>
      </c>
    </row>
    <row r="933">
      <c r="A933" s="47" t="inlineStr">
        <is>
          <t>zucchero semolato</t>
        </is>
      </c>
    </row>
    <row r="934">
      <c r="A934" s="47" t="inlineStr">
        <is>
          <t>tuorlo d'uovo pastorizzato</t>
        </is>
      </c>
    </row>
    <row r="935">
      <c r="A935" s="47" t="inlineStr">
        <is>
          <t>margarina crema</t>
        </is>
      </c>
    </row>
    <row r="936">
      <c r="A936" s="47" t="n"/>
    </row>
    <row r="937">
      <c r="A937" s="47" t="n"/>
    </row>
    <row r="938">
      <c r="A938" s="47" t="n"/>
    </row>
    <row r="939">
      <c r="A939" s="47" t="n"/>
    </row>
    <row r="940">
      <c r="A940" s="47" t="n"/>
    </row>
    <row r="941">
      <c r="A941" s="47" t="n"/>
    </row>
    <row r="942">
      <c r="A942" s="47" t="n"/>
    </row>
    <row r="943">
      <c r="A943" s="47" t="n"/>
    </row>
    <row r="944">
      <c r="A944" s="47" t="n"/>
    </row>
    <row r="945">
      <c r="A945" s="47" t="n"/>
    </row>
    <row r="946">
      <c r="A946" s="5" t="inlineStr">
        <is>
          <t>panna</t>
        </is>
      </c>
    </row>
    <row r="947">
      <c r="A947" s="47" t="inlineStr">
        <is>
          <t>panna</t>
        </is>
      </c>
    </row>
    <row r="948">
      <c r="A948" s="48" t="inlineStr">
        <is>
          <t xml:space="preserve">SALE SACCHI SALTECHNO KG.25  </t>
        </is>
      </c>
    </row>
    <row r="949">
      <c r="A949" s="47" t="n"/>
    </row>
    <row r="950">
      <c r="A950" s="47" t="n"/>
    </row>
    <row r="951">
      <c r="A951" s="47" t="n"/>
    </row>
    <row r="952">
      <c r="A952" s="47" t="n"/>
    </row>
    <row r="953">
      <c r="A953" s="47" t="n"/>
    </row>
    <row r="954">
      <c r="A954" s="47" t="n"/>
    </row>
    <row r="955">
      <c r="A955" s="47" t="n"/>
    </row>
    <row r="956">
      <c r="A956" s="47" t="n"/>
    </row>
    <row r="957">
      <c r="A957" s="47" t="n"/>
    </row>
    <row r="958">
      <c r="A958" s="47" t="n"/>
    </row>
    <row r="959">
      <c r="A959" s="47" t="n"/>
    </row>
    <row r="960">
      <c r="A960" s="47" t="n"/>
    </row>
    <row r="961">
      <c r="A961" s="47" t="n"/>
    </row>
    <row r="962">
      <c r="A962" s="5" t="inlineStr">
        <is>
          <t>pasta choux</t>
        </is>
      </c>
    </row>
    <row r="963">
      <c r="A963" s="47" t="inlineStr">
        <is>
          <t xml:space="preserve">FARINA 0/MAN. CAPUTO DA KG.25  </t>
        </is>
      </c>
    </row>
    <row r="964">
      <c r="A964" s="47" t="inlineStr">
        <is>
          <t>uova</t>
        </is>
      </c>
    </row>
    <row r="965">
      <c r="A965" s="48" t="inlineStr">
        <is>
          <t xml:space="preserve">SALE SACCHI SALTECHNO KG.25  </t>
        </is>
      </c>
    </row>
    <row r="966">
      <c r="A966" s="47" t="inlineStr">
        <is>
          <t>margarina crema</t>
        </is>
      </c>
    </row>
    <row r="967">
      <c r="A967" s="47" t="n"/>
    </row>
    <row r="968">
      <c r="A968" s="47" t="n"/>
    </row>
    <row r="969">
      <c r="A969" s="47" t="n"/>
    </row>
    <row r="970">
      <c r="A970" s="47" t="n"/>
    </row>
    <row r="971">
      <c r="A971" s="47" t="n"/>
    </row>
    <row r="972">
      <c r="A972" s="47" t="n"/>
    </row>
    <row r="973">
      <c r="A973" s="47" t="n"/>
    </row>
    <row r="974">
      <c r="A974" s="47" t="n"/>
    </row>
    <row r="975">
      <c r="A975" s="47" t="n"/>
    </row>
    <row r="976">
      <c r="A976" s="47" t="n"/>
    </row>
    <row r="977">
      <c r="A977" s="47" t="n"/>
    </row>
    <row r="978">
      <c r="A978" s="5" t="inlineStr">
        <is>
          <t>pasta di mandorle</t>
        </is>
      </c>
    </row>
    <row r="979">
      <c r="A979" s="47" t="inlineStr">
        <is>
          <t>pasta di mandorle</t>
        </is>
      </c>
    </row>
    <row r="980">
      <c r="A980" s="47" t="n"/>
    </row>
    <row r="981">
      <c r="A981" s="47" t="n"/>
    </row>
    <row r="982">
      <c r="A982" s="47" t="n"/>
    </row>
    <row r="983">
      <c r="A983" s="47" t="n"/>
    </row>
    <row r="984">
      <c r="A984" s="47" t="n"/>
    </row>
    <row r="985">
      <c r="A985" s="47" t="n"/>
    </row>
    <row r="986">
      <c r="A986" s="47" t="n"/>
    </row>
    <row r="987">
      <c r="A987" s="47" t="n"/>
    </row>
    <row r="988">
      <c r="A988" s="47" t="n"/>
    </row>
    <row r="989">
      <c r="A989" s="47" t="n"/>
    </row>
    <row r="990">
      <c r="A990" s="47" t="n"/>
    </row>
    <row r="991">
      <c r="A991" s="47" t="n"/>
    </row>
    <row r="992">
      <c r="A992" s="47" t="n"/>
    </row>
    <row r="993">
      <c r="A993" s="47" t="n"/>
    </row>
    <row r="994">
      <c r="A994" s="5" t="inlineStr">
        <is>
          <t>pasta frolla basi abbattute</t>
        </is>
      </c>
    </row>
    <row r="995">
      <c r="A995" s="47" t="inlineStr">
        <is>
          <t xml:space="preserve">FARINA 0/MAN. CAPUTO DA KG.25  </t>
        </is>
      </c>
    </row>
    <row r="996">
      <c r="A996" s="47" t="inlineStr">
        <is>
          <t xml:space="preserve">STRUTTO RAFFINATO I B VERDE  </t>
        </is>
      </c>
    </row>
    <row r="997">
      <c r="A997" s="47" t="inlineStr">
        <is>
          <t>zucchero semolato</t>
        </is>
      </c>
    </row>
    <row r="998">
      <c r="A998" s="48" t="inlineStr">
        <is>
          <t xml:space="preserve">SALE SACCHI SALTECHNO KG.25  </t>
        </is>
      </c>
    </row>
    <row r="999">
      <c r="A999" s="47" t="n"/>
    </row>
    <row r="1000">
      <c r="A1000" s="47" t="n"/>
    </row>
    <row r="1001">
      <c r="A1001" s="47" t="n"/>
    </row>
    <row r="1002">
      <c r="A1002" s="47" t="n"/>
    </row>
    <row r="1003">
      <c r="A1003" s="47" t="n"/>
    </row>
    <row r="1004">
      <c r="A1004" s="47" t="n"/>
    </row>
    <row r="1005">
      <c r="A1005" s="47" t="n"/>
    </row>
    <row r="1006">
      <c r="A1006" s="47" t="n"/>
    </row>
    <row r="1007">
      <c r="A1007" s="47" t="n"/>
    </row>
    <row r="1008">
      <c r="A1008" s="47" t="n"/>
    </row>
    <row r="1009">
      <c r="A1009" s="47" t="n"/>
    </row>
    <row r="1010">
      <c r="A1010" s="5" t="inlineStr">
        <is>
          <t>pasta frolla fresca</t>
        </is>
      </c>
    </row>
    <row r="1011">
      <c r="A1011" s="47" t="inlineStr">
        <is>
          <t xml:space="preserve">FARINA 0/MAN. CAPUTO DA KG.25  </t>
        </is>
      </c>
    </row>
    <row r="1012">
      <c r="A1012" s="47" t="inlineStr">
        <is>
          <t xml:space="preserve">STRUTTO RAFFINATO I B VERDE  </t>
        </is>
      </c>
    </row>
    <row r="1013">
      <c r="A1013" s="47" t="inlineStr">
        <is>
          <t>zucchero semolato</t>
        </is>
      </c>
    </row>
    <row r="1014">
      <c r="A1014" s="48" t="inlineStr">
        <is>
          <t xml:space="preserve">SALE SACCHI SALTECHNO KG.25  </t>
        </is>
      </c>
    </row>
    <row r="1015">
      <c r="A1015" s="47" t="n"/>
    </row>
    <row r="1016">
      <c r="A1016" s="47" t="n"/>
    </row>
    <row r="1017">
      <c r="A1017" s="47" t="n"/>
    </row>
    <row r="1018">
      <c r="A1018" s="47" t="n"/>
    </row>
    <row r="1019">
      <c r="A1019" s="47" t="n"/>
    </row>
    <row r="1020">
      <c r="A1020" s="47" t="n"/>
    </row>
    <row r="1021">
      <c r="A1021" s="47" t="n"/>
    </row>
    <row r="1022">
      <c r="A1022" s="47" t="n"/>
    </row>
    <row r="1023">
      <c r="A1023" s="47" t="n"/>
    </row>
    <row r="1024">
      <c r="A1024" s="47" t="n"/>
    </row>
    <row r="1025">
      <c r="A1025" s="47" t="n"/>
    </row>
    <row r="1026">
      <c r="A1026" s="5" t="inlineStr">
        <is>
          <t>Peperoni</t>
        </is>
      </c>
    </row>
    <row r="1027">
      <c r="A1027" s="47" t="inlineStr">
        <is>
          <t>Peperoni  L.031-004226-0000007</t>
        </is>
      </c>
    </row>
    <row r="1028">
      <c r="A1028" s="47" t="n"/>
    </row>
    <row r="1029">
      <c r="A1029" s="47" t="n"/>
    </row>
    <row r="1030">
      <c r="A1030" s="47" t="n"/>
    </row>
    <row r="1031">
      <c r="A1031" s="47" t="n"/>
    </row>
    <row r="1032">
      <c r="A1032" s="47" t="n"/>
    </row>
    <row r="1033">
      <c r="A1033" s="47" t="n"/>
    </row>
    <row r="1034">
      <c r="A1034" s="47" t="n"/>
    </row>
    <row r="1035">
      <c r="A1035" s="47" t="n"/>
    </row>
    <row r="1036">
      <c r="A1036" s="47" t="n"/>
    </row>
    <row r="1037">
      <c r="A1037" s="47" t="n"/>
    </row>
    <row r="1038">
      <c r="A1038" s="47" t="n"/>
    </row>
    <row r="1039">
      <c r="A1039" s="47" t="n"/>
    </row>
    <row r="1040">
      <c r="A1040" s="47" t="n"/>
    </row>
    <row r="1041">
      <c r="A1041" s="47" t="n"/>
    </row>
    <row r="1042">
      <c r="A1042" s="5" t="inlineStr">
        <is>
          <t>pasta sfoglia</t>
        </is>
      </c>
    </row>
    <row r="1043">
      <c r="A1043" s="47" t="inlineStr">
        <is>
          <t xml:space="preserve">FARINA 0/MAN. CAPUTO DA KG.25  </t>
        </is>
      </c>
    </row>
    <row r="1044">
      <c r="A1044" s="48" t="inlineStr">
        <is>
          <t xml:space="preserve">SALE SACCHI SALTECHNO KG.25  </t>
        </is>
      </c>
    </row>
    <row r="1045">
      <c r="A1045" s="47" t="inlineStr">
        <is>
          <t>margarina crema</t>
        </is>
      </c>
    </row>
    <row r="1046">
      <c r="A1046" s="47" t="n"/>
    </row>
    <row r="1047">
      <c r="A1047" s="47" t="n"/>
    </row>
    <row r="1048">
      <c r="A1048" s="47" t="n"/>
    </row>
    <row r="1049">
      <c r="A1049" s="47" t="n"/>
    </row>
    <row r="1050">
      <c r="A1050" s="47" t="n"/>
    </row>
    <row r="1051">
      <c r="A1051" s="47" t="n"/>
    </row>
    <row r="1052">
      <c r="A1052" s="47" t="n"/>
    </row>
    <row r="1053">
      <c r="A1053" s="47" t="n"/>
    </row>
    <row r="1054">
      <c r="A1054" s="47" t="n"/>
    </row>
    <row r="1055">
      <c r="A1055" s="47" t="n"/>
    </row>
    <row r="1056">
      <c r="A1056" s="47" t="n"/>
    </row>
    <row r="1057">
      <c r="A1057" s="47" t="n"/>
    </row>
    <row r="1058">
      <c r="A1058" s="5" t="inlineStr">
        <is>
          <t>pasticcino crema</t>
        </is>
      </c>
    </row>
    <row r="1059">
      <c r="A1059" s="47" t="inlineStr">
        <is>
          <t xml:space="preserve">FARINA 0/MAN. CAPUTO DA KG.25  </t>
        </is>
      </c>
    </row>
    <row r="1060">
      <c r="A1060" s="47" t="inlineStr">
        <is>
          <t xml:space="preserve">STRUTTO RAFFINATO I B VERDE  </t>
        </is>
      </c>
    </row>
    <row r="1061">
      <c r="A1061" s="47" t="inlineStr">
        <is>
          <t>zucchero semolato</t>
        </is>
      </c>
    </row>
    <row r="1062">
      <c r="A1062" s="48" t="inlineStr">
        <is>
          <t xml:space="preserve">SALE SACCHI SALTECHNO KG.25  </t>
        </is>
      </c>
    </row>
    <row r="1063">
      <c r="A1063" s="47" t="inlineStr">
        <is>
          <t>latte   1000 int.uht  yma</t>
        </is>
      </c>
    </row>
    <row r="1064">
      <c r="A1064" s="47" t="inlineStr">
        <is>
          <t>amido</t>
        </is>
      </c>
    </row>
    <row r="1065">
      <c r="A1065" s="47" t="inlineStr">
        <is>
          <t>tuorlo d'uovo pastorizzato</t>
        </is>
      </c>
    </row>
    <row r="1066">
      <c r="A1066" s="47" t="n"/>
    </row>
    <row r="1067">
      <c r="A1067" s="47" t="n"/>
    </row>
    <row r="1068">
      <c r="A1068" s="47" t="n"/>
    </row>
    <row r="1069">
      <c r="A1069" s="47" t="n"/>
    </row>
    <row r="1070">
      <c r="A1070" s="47" t="n"/>
    </row>
    <row r="1071">
      <c r="A1071" s="47" t="n"/>
    </row>
    <row r="1072">
      <c r="A1072" s="47" t="n"/>
    </row>
    <row r="1073">
      <c r="A1073" s="47" t="n"/>
    </row>
    <row r="1074">
      <c r="A1074" s="5" t="inlineStr">
        <is>
          <t>pasticcino limone</t>
        </is>
      </c>
    </row>
    <row r="1075">
      <c r="A1075" s="47" t="inlineStr">
        <is>
          <t xml:space="preserve">FARINA 0/MAN. CAPUTO DA KG.25  </t>
        </is>
      </c>
    </row>
    <row r="1076">
      <c r="A1076" s="47" t="inlineStr">
        <is>
          <t xml:space="preserve">STRUTTO RAFFINATO I B VERDE  </t>
        </is>
      </c>
    </row>
    <row r="1077">
      <c r="A1077" s="47" t="inlineStr">
        <is>
          <t>zucchero semolato</t>
        </is>
      </c>
    </row>
    <row r="1078">
      <c r="A1078" s="48" t="inlineStr">
        <is>
          <t xml:space="preserve">SALE SACCHI SALTECHNO KG.25  </t>
        </is>
      </c>
    </row>
    <row r="1079">
      <c r="A1079" s="47" t="inlineStr">
        <is>
          <t>limoni</t>
        </is>
      </c>
    </row>
    <row r="1080">
      <c r="A1080" s="47" t="n"/>
    </row>
    <row r="1081">
      <c r="A1081" s="47" t="n"/>
    </row>
    <row r="1082">
      <c r="A1082" s="47" t="n"/>
    </row>
    <row r="1083">
      <c r="A1083" s="47" t="n"/>
    </row>
    <row r="1084">
      <c r="A1084" s="47" t="n"/>
    </row>
    <row r="1085">
      <c r="A1085" s="47" t="n"/>
    </row>
    <row r="1086">
      <c r="A1086" s="47" t="n"/>
    </row>
    <row r="1087">
      <c r="A1087" s="47" t="n"/>
    </row>
    <row r="1088">
      <c r="A1088" s="47" t="n"/>
    </row>
    <row r="1089">
      <c r="A1089" s="47" t="n"/>
    </row>
    <row r="1090">
      <c r="A1090" s="5" t="inlineStr">
        <is>
          <t>pasticcino pistacchio</t>
        </is>
      </c>
    </row>
    <row r="1091">
      <c r="A1091" s="47" t="inlineStr">
        <is>
          <t xml:space="preserve">FARINA 0/MAN. CAPUTO DA KG.25  </t>
        </is>
      </c>
    </row>
    <row r="1092">
      <c r="A1092" s="47" t="inlineStr">
        <is>
          <t xml:space="preserve">STRUTTO RAFFINATO I B VERDE  </t>
        </is>
      </c>
    </row>
    <row r="1093">
      <c r="A1093" s="47" t="inlineStr">
        <is>
          <t>zucchero semolato</t>
        </is>
      </c>
    </row>
    <row r="1094">
      <c r="A1094" s="48" t="inlineStr">
        <is>
          <t xml:space="preserve">SALE SACCHI SALTECHNO KG.25  </t>
        </is>
      </c>
    </row>
    <row r="1095">
      <c r="A1095" s="47" t="inlineStr">
        <is>
          <t>NUPPY PISTACCHIO PIU' 6Kg</t>
        </is>
      </c>
    </row>
    <row r="1096">
      <c r="A1096" s="47" t="n"/>
    </row>
    <row r="1097">
      <c r="A1097" s="47" t="n"/>
    </row>
    <row r="1098">
      <c r="A1098" s="47" t="n"/>
    </row>
    <row r="1099">
      <c r="A1099" s="47" t="n"/>
    </row>
    <row r="1100">
      <c r="A1100" s="47" t="n"/>
    </row>
    <row r="1101">
      <c r="A1101" s="47" t="n"/>
    </row>
    <row r="1102">
      <c r="A1102" s="47" t="n"/>
    </row>
    <row r="1103">
      <c r="A1103" s="47" t="n"/>
    </row>
    <row r="1104">
      <c r="A1104" s="47" t="n"/>
    </row>
    <row r="1105">
      <c r="A1105" s="47" t="n"/>
    </row>
    <row r="1106">
      <c r="A1106" s="5" t="inlineStr">
        <is>
          <t>pastiera</t>
        </is>
      </c>
    </row>
    <row r="1107">
      <c r="A1107" s="47" t="inlineStr">
        <is>
          <t xml:space="preserve">FARINA 0/MAN. CAPUTO DA KG.25  </t>
        </is>
      </c>
    </row>
    <row r="1108">
      <c r="A1108" s="47" t="inlineStr">
        <is>
          <t xml:space="preserve">STRUTTO RAFFINATO I B VERDE  </t>
        </is>
      </c>
    </row>
    <row r="1109">
      <c r="A1109" s="47" t="inlineStr">
        <is>
          <t>zucchero a velo</t>
        </is>
      </c>
    </row>
    <row r="1110">
      <c r="A1110" s="48" t="inlineStr">
        <is>
          <t xml:space="preserve">SALE SACCHI SALTECHNO KG.25  </t>
        </is>
      </c>
    </row>
    <row r="1111">
      <c r="A1111" s="47" t="inlineStr">
        <is>
          <t>granno</t>
        </is>
      </c>
    </row>
    <row r="1112">
      <c r="A1112" s="47" t="inlineStr">
        <is>
          <t>latte   1000 int.uht  yma</t>
        </is>
      </c>
    </row>
    <row r="1113">
      <c r="A1113" s="47" t="inlineStr">
        <is>
          <t>uova</t>
        </is>
      </c>
    </row>
    <row r="1114">
      <c r="A1114" s="47" t="n"/>
    </row>
    <row r="1115">
      <c r="A1115" s="47" t="n"/>
    </row>
    <row r="1116">
      <c r="A1116" s="47" t="n"/>
    </row>
    <row r="1117">
      <c r="A1117" s="47" t="n"/>
    </row>
    <row r="1118">
      <c r="A1118" s="47" t="n"/>
    </row>
    <row r="1119">
      <c r="A1119" s="47" t="n"/>
    </row>
    <row r="1120">
      <c r="A1120" s="47" t="n"/>
    </row>
    <row r="1121">
      <c r="A1121" s="47" t="n"/>
    </row>
    <row r="1122">
      <c r="A1122" s="5" t="inlineStr">
        <is>
          <t>prussiana</t>
        </is>
      </c>
    </row>
    <row r="1123">
      <c r="A1123" s="47" t="inlineStr">
        <is>
          <t xml:space="preserve">FARINA 00 CAPUTO RINFORZ.KG.25  </t>
        </is>
      </c>
    </row>
    <row r="1124">
      <c r="A1124" s="48" t="inlineStr">
        <is>
          <t xml:space="preserve">SALE SACCHI SALTECHNO KG.25  </t>
        </is>
      </c>
    </row>
    <row r="1125">
      <c r="A1125" s="47" t="inlineStr">
        <is>
          <t>zucchero semolato</t>
        </is>
      </c>
    </row>
    <row r="1126">
      <c r="A1126" s="47" t="inlineStr">
        <is>
          <t>margarina crema</t>
        </is>
      </c>
    </row>
    <row r="1127">
      <c r="A1127" s="47" t="n"/>
    </row>
    <row r="1128">
      <c r="A1128" s="47" t="n"/>
    </row>
    <row r="1129">
      <c r="A1129" s="47" t="n"/>
    </row>
    <row r="1130">
      <c r="A1130" s="47" t="n"/>
    </row>
    <row r="1131">
      <c r="A1131" s="47" t="n"/>
    </row>
    <row r="1132">
      <c r="A1132" s="47" t="n"/>
    </row>
    <row r="1133">
      <c r="A1133" s="47" t="n"/>
    </row>
    <row r="1134">
      <c r="A1134" s="47" t="n"/>
    </row>
    <row r="1135">
      <c r="A1135" s="47" t="n"/>
    </row>
    <row r="1136">
      <c r="A1136" s="47" t="n"/>
    </row>
    <row r="1137">
      <c r="A1137" s="47" t="n"/>
    </row>
    <row r="1138">
      <c r="A1138" s="5" t="inlineStr">
        <is>
          <t>ricotta zuccherata</t>
        </is>
      </c>
    </row>
    <row r="1139">
      <c r="A1139" s="47" t="inlineStr">
        <is>
          <t>ricotta zuccherata congelata</t>
        </is>
      </c>
    </row>
    <row r="1140">
      <c r="A1140" s="47" t="n"/>
    </row>
    <row r="1141">
      <c r="A1141" s="47" t="n"/>
    </row>
    <row r="1142">
      <c r="A1142" s="47" t="n"/>
    </row>
    <row r="1143">
      <c r="A1143" s="47" t="n"/>
    </row>
    <row r="1144">
      <c r="A1144" s="47" t="n"/>
    </row>
    <row r="1145">
      <c r="A1145" s="47" t="n"/>
    </row>
    <row r="1146">
      <c r="A1146" s="47" t="n"/>
    </row>
    <row r="1147">
      <c r="A1147" s="47" t="n"/>
    </row>
    <row r="1148">
      <c r="A1148" s="47" t="n"/>
    </row>
    <row r="1149">
      <c r="A1149" s="47" t="n"/>
    </row>
    <row r="1150">
      <c r="A1150" s="47" t="n"/>
    </row>
    <row r="1151">
      <c r="A1151" s="47" t="n"/>
    </row>
    <row r="1152">
      <c r="A1152" s="47" t="n"/>
    </row>
    <row r="1153">
      <c r="A1153" s="47" t="n"/>
    </row>
    <row r="1154">
      <c r="A1154" s="5" t="inlineStr">
        <is>
          <t>rustico</t>
        </is>
      </c>
    </row>
    <row r="1155">
      <c r="A1155" s="47" t="inlineStr">
        <is>
          <t xml:space="preserve">FARINA 0/MAN. CAPUTO DA KG.25  </t>
        </is>
      </c>
    </row>
    <row r="1156">
      <c r="A1156" s="47" t="inlineStr">
        <is>
          <t>RICOTTA TIPO ROMA</t>
        </is>
      </c>
    </row>
    <row r="1157">
      <c r="A1157" s="48" t="inlineStr">
        <is>
          <t xml:space="preserve">SALE SACCHI SALTECHNO KG.25  </t>
        </is>
      </c>
    </row>
    <row r="1158">
      <c r="A1158" s="47" t="inlineStr">
        <is>
          <t>wrustel</t>
        </is>
      </c>
    </row>
    <row r="1159">
      <c r="A1159" s="47" t="inlineStr">
        <is>
          <t>salame</t>
        </is>
      </c>
    </row>
    <row r="1160">
      <c r="A1160" s="47" t="inlineStr">
        <is>
          <t xml:space="preserve">STRUTTO RAFFINATO I B VERDE  </t>
        </is>
      </c>
    </row>
    <row r="1161">
      <c r="A1161" s="47" t="inlineStr">
        <is>
          <t>zucchero semolato</t>
        </is>
      </c>
    </row>
    <row r="1162">
      <c r="A1162" s="47" t="n"/>
    </row>
    <row r="1163">
      <c r="A1163" s="47" t="n"/>
    </row>
    <row r="1164">
      <c r="A1164" s="47" t="n"/>
    </row>
    <row r="1165">
      <c r="A1165" s="47" t="n"/>
    </row>
    <row r="1166">
      <c r="A1166" s="47" t="n"/>
    </row>
    <row r="1167">
      <c r="A1167" s="47" t="n"/>
    </row>
    <row r="1168">
      <c r="A1168" s="47" t="n"/>
    </row>
    <row r="1169">
      <c r="A1169" s="47" t="n"/>
    </row>
    <row r="1170">
      <c r="A1170" s="5" t="inlineStr">
        <is>
          <t>salsiccia di tacchino</t>
        </is>
      </c>
    </row>
    <row r="1171">
      <c r="A1171" s="47" t="inlineStr">
        <is>
          <t>basilico / rosmarino /prezzemolo</t>
        </is>
      </c>
    </row>
    <row r="1172">
      <c r="A1172" s="47" t="inlineStr">
        <is>
          <t>salsiccia puro suino</t>
        </is>
      </c>
    </row>
    <row r="1173">
      <c r="A1173" s="47" t="inlineStr">
        <is>
          <t>olio extravergine oliva</t>
        </is>
      </c>
    </row>
    <row r="1174">
      <c r="A1174" s="48" t="inlineStr">
        <is>
          <t xml:space="preserve">SALE SACCHI SALTECHNO KG.25  </t>
        </is>
      </c>
    </row>
    <row r="1175">
      <c r="A1175" s="47" t="n"/>
    </row>
    <row r="1176">
      <c r="A1176" s="47" t="n"/>
    </row>
    <row r="1177">
      <c r="A1177" s="47" t="n"/>
    </row>
    <row r="1178">
      <c r="A1178" s="47" t="n"/>
    </row>
    <row r="1179">
      <c r="A1179" s="47" t="n"/>
    </row>
    <row r="1180">
      <c r="A1180" s="47" t="n"/>
    </row>
    <row r="1181">
      <c r="A1181" s="47" t="n"/>
    </row>
    <row r="1182">
      <c r="A1182" s="47" t="n"/>
    </row>
    <row r="1183">
      <c r="A1183" s="47" t="n"/>
    </row>
    <row r="1184">
      <c r="A1184" s="47" t="n"/>
    </row>
    <row r="1185">
      <c r="A1185" s="47" t="n"/>
    </row>
    <row r="1186">
      <c r="A1186" s="5" t="inlineStr">
        <is>
          <t>salumi misti</t>
        </is>
      </c>
    </row>
    <row r="1187">
      <c r="A1187" s="47" t="inlineStr">
        <is>
          <t>porch.montagna1/2 senfter</t>
        </is>
      </c>
    </row>
    <row r="1188">
      <c r="A1188" s="47" t="inlineStr">
        <is>
          <t>wrustel</t>
        </is>
      </c>
    </row>
    <row r="1189">
      <c r="A1189" s="47" t="inlineStr">
        <is>
          <t>salame</t>
        </is>
      </c>
    </row>
    <row r="1190">
      <c r="A1190" s="47" t="inlineStr">
        <is>
          <t>granapadano</t>
        </is>
      </c>
    </row>
    <row r="1191">
      <c r="A1191" s="47" t="n"/>
    </row>
    <row r="1192">
      <c r="A1192" s="47" t="n"/>
    </row>
    <row r="1193">
      <c r="A1193" s="47" t="n"/>
    </row>
    <row r="1194">
      <c r="A1194" s="47" t="n"/>
    </row>
    <row r="1195">
      <c r="A1195" s="47" t="n"/>
    </row>
    <row r="1196">
      <c r="A1196" s="47" t="n"/>
    </row>
    <row r="1197">
      <c r="A1197" s="47" t="n"/>
    </row>
    <row r="1198">
      <c r="A1198" s="47" t="n"/>
    </row>
    <row r="1199">
      <c r="A1199" s="47" t="n"/>
    </row>
    <row r="1200">
      <c r="A1200" s="47" t="n"/>
    </row>
    <row r="1201">
      <c r="A1201" s="47" t="n"/>
    </row>
    <row r="1202">
      <c r="A1202" s="5" t="inlineStr">
        <is>
          <t>sfogliatella frolla</t>
        </is>
      </c>
    </row>
    <row r="1203">
      <c r="A1203" s="47" t="inlineStr">
        <is>
          <t xml:space="preserve">FARINA 0/MAN. CAPUTO DA KG.25  </t>
        </is>
      </c>
    </row>
    <row r="1204">
      <c r="A1204" s="48" t="inlineStr">
        <is>
          <t xml:space="preserve">SALE SACCHI SALTECHNO KG.25  </t>
        </is>
      </c>
    </row>
    <row r="1205">
      <c r="A1205" s="47" t="inlineStr">
        <is>
          <t>zucchero semolato</t>
        </is>
      </c>
    </row>
    <row r="1206">
      <c r="A1206" s="47" t="inlineStr">
        <is>
          <t>uova</t>
        </is>
      </c>
    </row>
    <row r="1207">
      <c r="A1207" s="47" t="inlineStr">
        <is>
          <t xml:space="preserve">semola </t>
        </is>
      </c>
    </row>
    <row r="1208">
      <c r="A1208" s="47" t="inlineStr">
        <is>
          <t>gelatina neutra</t>
        </is>
      </c>
    </row>
    <row r="1209">
      <c r="A1209" s="47" t="inlineStr">
        <is>
          <t xml:space="preserve">STRUTTO RAFFINATO I B VERDE  </t>
        </is>
      </c>
    </row>
    <row r="1210">
      <c r="A1210" s="47" t="n"/>
    </row>
    <row r="1211">
      <c r="A1211" s="47" t="n"/>
    </row>
    <row r="1212">
      <c r="A1212" s="47" t="n"/>
    </row>
    <row r="1213">
      <c r="A1213" s="47" t="n"/>
    </row>
    <row r="1214">
      <c r="A1214" s="47" t="n"/>
    </row>
    <row r="1215">
      <c r="A1215" s="47" t="n"/>
    </row>
    <row r="1216">
      <c r="A1216" s="47" t="n"/>
    </row>
    <row r="1217">
      <c r="A1217" s="47" t="n"/>
    </row>
    <row r="1218">
      <c r="A1218" s="5" t="inlineStr">
        <is>
          <t>sfogliatella riccia</t>
        </is>
      </c>
    </row>
    <row r="1219" ht="24" customHeight="1" s="155">
      <c r="A1219" s="47" t="inlineStr">
        <is>
          <t xml:space="preserve">TAPPI PER RICCE GRANDI DA GR 55/60 SURGELATO  </t>
        </is>
      </c>
    </row>
    <row r="1220">
      <c r="A1220" s="48" t="inlineStr">
        <is>
          <t xml:space="preserve">SALE SACCHI SALTECHNO KG.25  </t>
        </is>
      </c>
    </row>
    <row r="1221">
      <c r="A1221" s="47" t="inlineStr">
        <is>
          <t>zucchero semolato</t>
        </is>
      </c>
    </row>
    <row r="1222">
      <c r="A1222" s="47" t="inlineStr">
        <is>
          <t>uova</t>
        </is>
      </c>
    </row>
    <row r="1223">
      <c r="A1223" s="47" t="inlineStr">
        <is>
          <t xml:space="preserve">semola </t>
        </is>
      </c>
    </row>
    <row r="1224">
      <c r="A1224" s="47" t="inlineStr">
        <is>
          <t>canditi</t>
        </is>
      </c>
    </row>
    <row r="1225">
      <c r="A1225" s="47" t="inlineStr">
        <is>
          <t xml:space="preserve">STRUTTO RAFFINATO I B VERDE  </t>
        </is>
      </c>
    </row>
    <row r="1226">
      <c r="A1226" s="47" t="n"/>
    </row>
    <row r="1227">
      <c r="A1227" s="47" t="n"/>
    </row>
    <row r="1228">
      <c r="A1228" s="47" t="n"/>
    </row>
    <row r="1229">
      <c r="A1229" s="47" t="n"/>
    </row>
    <row r="1230">
      <c r="A1230" s="47" t="n"/>
    </row>
    <row r="1231">
      <c r="A1231" s="47" t="n"/>
    </row>
    <row r="1232">
      <c r="A1232" s="47" t="n"/>
    </row>
    <row r="1233">
      <c r="A1233" s="47" t="n"/>
    </row>
    <row r="1234">
      <c r="A1234" s="5" t="inlineStr">
        <is>
          <t>strudel al cioccolato</t>
        </is>
      </c>
    </row>
    <row r="1235">
      <c r="A1235" s="47" t="inlineStr">
        <is>
          <t xml:space="preserve">FARINA 0/MAN. CAPUTO DA KG.25  </t>
        </is>
      </c>
    </row>
    <row r="1236">
      <c r="A1236" s="48" t="inlineStr">
        <is>
          <t xml:space="preserve">SALE SACCHI SALTECHNO KG.25  </t>
        </is>
      </c>
    </row>
    <row r="1237">
      <c r="A1237" s="47" t="inlineStr">
        <is>
          <t>margarina crema</t>
        </is>
      </c>
    </row>
    <row r="1238">
      <c r="A1238" s="47" t="inlineStr">
        <is>
          <t>mele</t>
        </is>
      </c>
    </row>
    <row r="1239">
      <c r="A1239" s="47" t="inlineStr">
        <is>
          <t>latte   1000 int.uht  yma</t>
        </is>
      </c>
    </row>
    <row r="1240">
      <c r="A1240" s="47" t="inlineStr">
        <is>
          <t>zucchero semolato</t>
        </is>
      </c>
    </row>
    <row r="1241">
      <c r="A1241" s="47" t="inlineStr">
        <is>
          <t>amido</t>
        </is>
      </c>
    </row>
    <row r="1242">
      <c r="A1242" s="47" t="inlineStr">
        <is>
          <t>uova</t>
        </is>
      </c>
    </row>
    <row r="1243">
      <c r="A1243" s="47" t="inlineStr">
        <is>
          <t>cioccolato</t>
        </is>
      </c>
    </row>
    <row r="1244">
      <c r="A1244" s="47" t="n"/>
    </row>
    <row r="1245">
      <c r="A1245" s="47" t="n"/>
    </row>
    <row r="1246">
      <c r="A1246" s="47" t="n"/>
    </row>
    <row r="1247">
      <c r="A1247" s="47" t="n"/>
    </row>
    <row r="1248">
      <c r="A1248" s="47" t="n"/>
    </row>
    <row r="1249">
      <c r="A1249" s="47" t="n"/>
    </row>
    <row r="1250">
      <c r="A1250" s="5" t="inlineStr">
        <is>
          <t>strudel di mele</t>
        </is>
      </c>
    </row>
    <row r="1251">
      <c r="A1251" s="47" t="inlineStr">
        <is>
          <t xml:space="preserve">FARINA 0/MAN. CAPUTO DA KG.25  </t>
        </is>
      </c>
    </row>
    <row r="1252">
      <c r="A1252" s="48" t="inlineStr">
        <is>
          <t xml:space="preserve">SALE SACCHI SALTECHNO KG.25  </t>
        </is>
      </c>
    </row>
    <row r="1253">
      <c r="A1253" s="47" t="inlineStr">
        <is>
          <t>margarina crema</t>
        </is>
      </c>
    </row>
    <row r="1254">
      <c r="A1254" s="47" t="inlineStr">
        <is>
          <t>mele</t>
        </is>
      </c>
    </row>
    <row r="1255">
      <c r="A1255" s="47" t="inlineStr">
        <is>
          <t>latte   1000 int.uht  yma</t>
        </is>
      </c>
    </row>
    <row r="1256">
      <c r="A1256" s="47" t="inlineStr">
        <is>
          <t>zucchero semolato</t>
        </is>
      </c>
    </row>
    <row r="1257">
      <c r="A1257" s="47" t="inlineStr">
        <is>
          <t>amido</t>
        </is>
      </c>
    </row>
    <row r="1258">
      <c r="A1258" s="47" t="inlineStr">
        <is>
          <t>uova</t>
        </is>
      </c>
    </row>
    <row r="1259">
      <c r="A1259" s="47" t="inlineStr">
        <is>
          <t>aromi</t>
        </is>
      </c>
    </row>
    <row r="1260">
      <c r="A1260" s="47" t="n"/>
    </row>
    <row r="1261">
      <c r="A1261" s="47" t="n"/>
    </row>
    <row r="1262">
      <c r="A1262" s="47" t="n"/>
    </row>
    <row r="1263">
      <c r="A1263" s="47" t="n"/>
    </row>
    <row r="1264">
      <c r="A1264" s="47" t="n"/>
    </row>
    <row r="1265">
      <c r="A1265" s="47" t="n"/>
    </row>
    <row r="1266">
      <c r="A1266" s="5" t="inlineStr">
        <is>
          <t>tiramisù</t>
        </is>
      </c>
    </row>
    <row r="1267">
      <c r="A1267" s="47" t="inlineStr">
        <is>
          <t xml:space="preserve">FARINA 0/MAN. CAPUTO DA KG.25  </t>
        </is>
      </c>
    </row>
    <row r="1268">
      <c r="A1268" s="48" t="inlineStr">
        <is>
          <t xml:space="preserve">SALE SACCHI SALTECHNO KG.25  </t>
        </is>
      </c>
    </row>
    <row r="1269">
      <c r="A1269" s="47" t="inlineStr">
        <is>
          <t>zucchero semolato</t>
        </is>
      </c>
    </row>
    <row r="1270">
      <c r="A1270" s="47" t="inlineStr">
        <is>
          <t>uova</t>
        </is>
      </c>
    </row>
    <row r="1271">
      <c r="A1271" s="47" t="inlineStr">
        <is>
          <t>MASCARPONE G.250      YMA</t>
        </is>
      </c>
    </row>
    <row r="1272">
      <c r="A1272" s="47" t="n"/>
    </row>
    <row r="1273">
      <c r="A1273" s="47" t="inlineStr">
        <is>
          <t>panna</t>
        </is>
      </c>
    </row>
    <row r="1274">
      <c r="A1274" s="47" t="n"/>
    </row>
    <row r="1275">
      <c r="A1275" s="47" t="inlineStr">
        <is>
          <t>cioccolato</t>
        </is>
      </c>
    </row>
    <row r="1276">
      <c r="A1276" s="47" t="n"/>
    </row>
    <row r="1277">
      <c r="A1277" s="47" t="n"/>
    </row>
    <row r="1278">
      <c r="A1278" s="47" t="n"/>
    </row>
    <row r="1279">
      <c r="A1279" s="47" t="n"/>
    </row>
    <row r="1280">
      <c r="A1280" s="47" t="n"/>
    </row>
    <row r="1281">
      <c r="A1281" s="47" t="n"/>
    </row>
    <row r="1282">
      <c r="A1282" s="5" t="inlineStr">
        <is>
          <t>treccia</t>
        </is>
      </c>
    </row>
    <row r="1283">
      <c r="A1283" s="47" t="inlineStr">
        <is>
          <t xml:space="preserve">FARINA 0/MAN. CAPUTO DA KG.25  </t>
        </is>
      </c>
    </row>
    <row r="1284">
      <c r="A1284" s="47" t="inlineStr">
        <is>
          <t xml:space="preserve">SALE SACCHI SALTECHNO KG.25  </t>
        </is>
      </c>
    </row>
    <row r="1285">
      <c r="A1285" s="47" t="inlineStr">
        <is>
          <t>zucchero semolato</t>
        </is>
      </c>
    </row>
    <row r="1286">
      <c r="A1286" s="47" t="inlineStr">
        <is>
          <t>LIEVITO x 2.5kg</t>
        </is>
      </c>
    </row>
    <row r="1287">
      <c r="A1287" s="47" t="inlineStr">
        <is>
          <t>AROMA CROISSANT</t>
        </is>
      </c>
    </row>
    <row r="1288">
      <c r="A1288" s="47" t="inlineStr">
        <is>
          <t>latte   1000 int.uht  yma</t>
        </is>
      </c>
    </row>
    <row r="1289">
      <c r="A1289" s="47" t="inlineStr">
        <is>
          <t>uova</t>
        </is>
      </c>
    </row>
    <row r="1290">
      <c r="A1290" s="47" t="inlineStr">
        <is>
          <t>margarina crema</t>
        </is>
      </c>
    </row>
    <row r="1291">
      <c r="A1291" s="47" t="n"/>
    </row>
    <row r="1292">
      <c r="A1292" s="47" t="n"/>
    </row>
    <row r="1293">
      <c r="A1293" s="47" t="n"/>
    </row>
    <row r="1294">
      <c r="A1294" s="47" t="n"/>
    </row>
    <row r="1295">
      <c r="A1295" s="47" t="n"/>
    </row>
    <row r="1296">
      <c r="A1296" s="47" t="n"/>
    </row>
    <row r="1297">
      <c r="A1297" s="47" t="n"/>
    </row>
    <row r="1298">
      <c r="A1298" s="5" t="inlineStr">
        <is>
          <t>vesuvio</t>
        </is>
      </c>
    </row>
    <row r="1299" ht="24" customHeight="1" s="155">
      <c r="A1299" s="47" t="inlineStr">
        <is>
          <t xml:space="preserve">TAPPI PER RICCE GRANDI DA GR 55/60 SURGELATO  </t>
        </is>
      </c>
    </row>
    <row r="1300">
      <c r="A1300" s="47" t="inlineStr">
        <is>
          <t xml:space="preserve">STRUTTO RAFFINATO I B VERDE  </t>
        </is>
      </c>
    </row>
    <row r="1301">
      <c r="A1301" s="47" t="n"/>
    </row>
    <row r="1302">
      <c r="A1302" s="47" t="n"/>
    </row>
    <row r="1303">
      <c r="A1303" s="47" t="n"/>
    </row>
    <row r="1304">
      <c r="A1304" s="47" t="n"/>
    </row>
    <row r="1305">
      <c r="A1305" s="47" t="n"/>
    </row>
    <row r="1306">
      <c r="A1306" s="47" t="n"/>
    </row>
    <row r="1307">
      <c r="A1307" s="47" t="n"/>
    </row>
    <row r="1308">
      <c r="A1308" s="47" t="n"/>
    </row>
    <row r="1309">
      <c r="A1309" s="47" t="n"/>
    </row>
    <row r="1310">
      <c r="A1310" s="47" t="n"/>
    </row>
    <row r="1311">
      <c r="A1311" s="47" t="n"/>
    </row>
    <row r="1312">
      <c r="A1312" s="47" t="n"/>
    </row>
    <row r="1313">
      <c r="A1313" s="47" t="n"/>
    </row>
    <row r="1314">
      <c r="A1314" s="5" t="inlineStr">
        <is>
          <t>Peperoni in padella</t>
        </is>
      </c>
    </row>
    <row r="1315">
      <c r="A1315" s="47" t="inlineStr">
        <is>
          <t>Peperoni  L.031-004226-0000007</t>
        </is>
      </c>
    </row>
    <row r="1316">
      <c r="A1316" s="47" t="inlineStr">
        <is>
          <t xml:space="preserve">SALE FINO ITALKALI DA KG.1X12  </t>
        </is>
      </c>
    </row>
    <row r="1317">
      <c r="A1317" s="47" t="inlineStr">
        <is>
          <t>basilico / rosmarino /prezzemolo</t>
        </is>
      </c>
    </row>
    <row r="1318">
      <c r="A1318" s="47" t="inlineStr">
        <is>
          <t>olio extravergine oliva</t>
        </is>
      </c>
    </row>
    <row r="1319">
      <c r="A1319" s="47" t="n"/>
    </row>
    <row r="1320">
      <c r="A1320" s="47" t="n"/>
    </row>
    <row r="1321">
      <c r="A1321" s="47" t="n"/>
    </row>
    <row r="1322">
      <c r="A1322" s="47" t="n"/>
    </row>
    <row r="1323">
      <c r="A1323" s="47" t="n"/>
    </row>
    <row r="1324">
      <c r="A1324" s="47" t="n"/>
    </row>
    <row r="1325">
      <c r="A1325" s="47" t="n"/>
    </row>
    <row r="1326">
      <c r="A1326" s="47" t="n"/>
    </row>
    <row r="1327">
      <c r="A1327" s="47" t="n"/>
    </row>
    <row r="1328">
      <c r="A1328" s="47" t="n"/>
    </row>
    <row r="1329">
      <c r="A1329" s="47" t="n"/>
    </row>
    <row r="1330">
      <c r="A1330" s="5" t="inlineStr">
        <is>
          <t>vesuvio ai frutti di bosco</t>
        </is>
      </c>
    </row>
    <row r="1331" ht="24" customHeight="1" s="155">
      <c r="A1331" s="47" t="inlineStr">
        <is>
          <t xml:space="preserve">TAPPI PER RICCE GRANDI DA GR 55/60 SURGELATO  </t>
        </is>
      </c>
    </row>
    <row r="1332">
      <c r="A1332" s="47" t="inlineStr">
        <is>
          <t xml:space="preserve">STRUTTO RAFFINATO I B VERDE  </t>
        </is>
      </c>
    </row>
    <row r="1333">
      <c r="A1333" s="47" t="inlineStr">
        <is>
          <t>panna</t>
        </is>
      </c>
    </row>
    <row r="1334">
      <c r="A1334" s="4" t="inlineStr">
        <is>
          <t>crema pasticciera</t>
        </is>
      </c>
      <c r="B1334" s="4" t="inlineStr">
        <is>
          <t>vedi ingredienti</t>
        </is>
      </c>
    </row>
    <row r="1335">
      <c r="A1335" s="4" t="inlineStr">
        <is>
          <t>frutti di bosco</t>
        </is>
      </c>
    </row>
    <row r="1338">
      <c r="A1338" s="5" t="inlineStr">
        <is>
          <t>vesuvio al cioccolato</t>
        </is>
      </c>
    </row>
    <row r="1339" ht="24" customHeight="1" s="155">
      <c r="A1339" s="47" t="inlineStr">
        <is>
          <t xml:space="preserve">TAPPI PER RICCE GRANDI DA GR 55/60 SURGELATO  </t>
        </is>
      </c>
    </row>
    <row r="1340">
      <c r="A1340" s="47" t="inlineStr">
        <is>
          <t xml:space="preserve">STRUTTO RAFFINATO I B VERDE  </t>
        </is>
      </c>
    </row>
    <row r="1341">
      <c r="A1341" s="47" t="inlineStr">
        <is>
          <t>panna</t>
        </is>
      </c>
    </row>
    <row r="1342">
      <c r="A1342" s="4" t="inlineStr">
        <is>
          <t>crema pasticciera</t>
        </is>
      </c>
    </row>
    <row r="1343">
      <c r="A1343" s="4" t="inlineStr">
        <is>
          <t>frutti di bosco</t>
        </is>
      </c>
    </row>
  </sheetData>
  <dataValidations count="1">
    <dataValidation sqref="A3:A7 A19:A33 A35:A43 A51:A65 A67:A81 A83:A97 A99:A113 A115:A129 A131:A145 A147:A161 A163:A177 A179:A193 A195:A209 A211:A225 A227:A241 A243:A257 A259:A273 A275:A289 A291:A305 A307:A321 A323:A337 A339:A353 A355:A369 A371:A385 A387:A401 A403:A417 A419:A433 A435:A449 A451:A465 A467:A481 A483:A497 A499:A513 A515:A529 A531:A545 A547:A561 A563:A577 A579:A593 A595:A609 A611:A625 A627:A641 A643:A657 A659:A673 A675:A689 A691:A705 A707:A721 A723:A737 A739:A753 A755:A769 A771:A785 A787:A801 A803:A817 A819:A833 A835:A849 A851:A865 A867:A881 A883:A897 A899:A913 A915:A929 A931:A945 A947:A961 A963:A977 A979:A993 A995:A1009 A1011:A1025 A1027:A1041 A1043:A1057 A1059:A1073 A1075:A1089 A1091:A1105 A1107:A1121 A1123:A1137 A1139:A1153 A1155:A1169 A1171:A1185 A1187:A1201 A1203:A1217 A1219:A1233 A1235:A1249 A1251:A1265 A1267:A1281 A1283:A1297 A1299:A1313 A1315:A1329 A1331:A1333 A1339:A1341" showDropDown="0" showInputMessage="1" showErrorMessage="1" allowBlank="1" type="list">
      <formula1>Materie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Foglio3">
    <outlinePr summaryBelow="1" summaryRight="1"/>
    <pageSetUpPr fitToPage="1"/>
  </sheetPr>
  <dimension ref="A1:U248"/>
  <sheetViews>
    <sheetView topLeftCell="A230" zoomScale="70" zoomScaleNormal="70" workbookViewId="0">
      <pane ySplit="1" topLeftCell="A2" activePane="bottomLeft" state="frozen"/>
      <selection pane="bottomLeft" activeCell="A235" sqref="A235:XFD235"/>
    </sheetView>
  </sheetViews>
  <sheetFormatPr baseColWidth="8" defaultColWidth="9.77734375" defaultRowHeight="15.75"/>
  <cols>
    <col width="5" bestFit="1" customWidth="1" style="169" min="1" max="1"/>
    <col width="20" bestFit="1" customWidth="1" style="42" min="2" max="2"/>
    <col width="12" bestFit="1" customWidth="1" style="21" min="3" max="3"/>
    <col width="12" bestFit="1" customWidth="1" style="21" min="4" max="4"/>
    <col width="12" bestFit="1" customWidth="1" style="21" min="5" max="5"/>
    <col width="12" bestFit="1" customWidth="1" style="21" min="6" max="6"/>
    <col width="12" bestFit="1" customWidth="1" style="21" min="7" max="7"/>
    <col width="12" bestFit="1" customWidth="1" style="21" min="8" max="8"/>
    <col width="12" bestFit="1" customWidth="1" style="21" min="9" max="9"/>
    <col width="12" bestFit="1" customWidth="1" style="21" min="10" max="10"/>
    <col width="12" bestFit="1" customWidth="1" style="21" min="11" max="11"/>
    <col width="12" bestFit="1" customWidth="1" style="21" min="12" max="12"/>
    <col width="12" bestFit="1" customWidth="1" style="21" min="13" max="15"/>
    <col width="12" customWidth="1" style="155" min="14" max="14"/>
    <col width="12" customWidth="1" style="155" min="15" max="15"/>
    <col width="12" bestFit="1" customWidth="1" style="42" min="16" max="16"/>
    <col width="12" bestFit="1" customWidth="1" style="21" min="17" max="17"/>
    <col width="12" bestFit="1" customWidth="1" style="170" min="18" max="18"/>
    <col width="12" bestFit="1" customWidth="1" style="171" min="19" max="19"/>
    <col width="12" bestFit="1" customWidth="1" style="171" min="20" max="20"/>
    <col width="40" bestFit="1" customWidth="1" style="21" min="21" max="21"/>
    <col width="9.77734375" customWidth="1" style="21" min="22" max="16384"/>
  </cols>
  <sheetData>
    <row r="1">
      <c r="A1" s="172" t="inlineStr">
        <is>
          <t>N°</t>
        </is>
      </c>
      <c r="B1" s="172" t="inlineStr">
        <is>
          <t>Prodotto</t>
        </is>
      </c>
      <c r="C1" s="172" t="inlineStr">
        <is>
          <t>Ing.1</t>
        </is>
      </c>
      <c r="D1" s="172" t="inlineStr">
        <is>
          <t>Ing.2</t>
        </is>
      </c>
      <c r="E1" s="172" t="inlineStr">
        <is>
          <t>Ing.3</t>
        </is>
      </c>
      <c r="F1" s="172" t="inlineStr">
        <is>
          <t>Ing.4</t>
        </is>
      </c>
      <c r="G1" s="172" t="inlineStr">
        <is>
          <t>Ing.5</t>
        </is>
      </c>
      <c r="H1" s="172" t="inlineStr">
        <is>
          <t>Ing.6</t>
        </is>
      </c>
      <c r="I1" s="172" t="inlineStr">
        <is>
          <t>Ing.7</t>
        </is>
      </c>
      <c r="J1" s="172" t="inlineStr">
        <is>
          <t>Ing.8</t>
        </is>
      </c>
      <c r="K1" s="172" t="inlineStr">
        <is>
          <t>Ing.9</t>
        </is>
      </c>
      <c r="L1" s="172" t="inlineStr">
        <is>
          <t>Ing.10</t>
        </is>
      </c>
      <c r="M1" s="172" t="inlineStr">
        <is>
          <t>Ing.11</t>
        </is>
      </c>
      <c r="N1" s="172" t="inlineStr">
        <is>
          <t>Ing.12</t>
        </is>
      </c>
      <c r="O1" s="172" t="inlineStr">
        <is>
          <t>Ing.13</t>
        </is>
      </c>
      <c r="P1" s="172" t="inlineStr">
        <is>
          <t>Ing.14</t>
        </is>
      </c>
      <c r="Q1" s="173" t="inlineStr">
        <is>
          <t>Ing.15</t>
        </is>
      </c>
      <c r="R1" s="173" t="inlineStr">
        <is>
          <t>Data Prod.</t>
        </is>
      </c>
      <c r="S1" s="173" t="inlineStr">
        <is>
          <t>Scadenza</t>
        </is>
      </c>
      <c r="T1" s="173" t="inlineStr">
        <is>
          <t>N° Lotto</t>
        </is>
      </c>
      <c r="U1" s="173" t="inlineStr">
        <is>
          <t>Etichetta</t>
        </is>
      </c>
    </row>
    <row r="2">
      <c r="A2" s="174" t="inlineStr">
        <is>
          <t>Prodotto</t>
        </is>
      </c>
      <c r="B2" s="25" t="inlineStr">
        <is>
          <t>Prodotto2</t>
        </is>
      </c>
      <c r="C2" s="26" t="inlineStr">
        <is>
          <t>Ingrediente1</t>
        </is>
      </c>
      <c r="D2" s="26" t="inlineStr">
        <is>
          <t>Ingrediente2</t>
        </is>
      </c>
      <c r="E2" s="26" t="inlineStr">
        <is>
          <t>Ingrediente3</t>
        </is>
      </c>
      <c r="F2" s="26" t="inlineStr">
        <is>
          <t>Ingrediente4</t>
        </is>
      </c>
      <c r="G2" s="26" t="inlineStr">
        <is>
          <t>Ingrediente5</t>
        </is>
      </c>
      <c r="H2" s="26" t="inlineStr">
        <is>
          <t>Ingrediente6</t>
        </is>
      </c>
      <c r="I2" s="26" t="inlineStr">
        <is>
          <t>Ingrediente7</t>
        </is>
      </c>
      <c r="J2" s="26" t="inlineStr">
        <is>
          <t>Ingrediente8</t>
        </is>
      </c>
      <c r="K2" s="26" t="inlineStr">
        <is>
          <t>Ingrediente9</t>
        </is>
      </c>
      <c r="L2" s="26" t="inlineStr">
        <is>
          <t>Ingrediente10</t>
        </is>
      </c>
      <c r="M2" s="26" t="inlineStr">
        <is>
          <t>Ingrediente11</t>
        </is>
      </c>
      <c r="N2" s="26" t="inlineStr">
        <is>
          <t>Ingrediente12</t>
        </is>
      </c>
      <c r="O2" s="26" t="inlineStr">
        <is>
          <t>Ingrediente13</t>
        </is>
      </c>
      <c r="P2" s="25" t="inlineStr">
        <is>
          <t>Ingrediente14</t>
        </is>
      </c>
      <c r="Q2" s="26" t="inlineStr">
        <is>
          <t>Ingrediente15</t>
        </is>
      </c>
      <c r="R2" s="175" t="inlineStr">
        <is>
          <t>produzione</t>
        </is>
      </c>
      <c r="S2" s="175" t="inlineStr">
        <is>
          <t>scadenza</t>
        </is>
      </c>
      <c r="T2" s="175" t="inlineStr">
        <is>
          <t xml:space="preserve">Lotto </t>
        </is>
      </c>
      <c r="U2" s="26" t="inlineStr">
        <is>
          <t>etichetta</t>
        </is>
      </c>
    </row>
    <row r="3" ht="94.5" customHeight="1" s="155">
      <c r="A3" s="28">
        <f>1</f>
        <v/>
      </c>
      <c r="B3" s="29" t="inlineStr">
        <is>
          <t>Francesina crema</t>
        </is>
      </c>
      <c r="C3" s="29" t="inlineStr">
        <is>
          <t>Farina americana - f.lli fiorentino srl n° fatt 1/1028 - 25/01/2024</t>
        </is>
      </c>
      <c r="D3" s="29" t="inlineStr">
        <is>
          <t>Farina americana - f.lli fiorentino srl n° fatt 1/1028 - 25/01/2024</t>
        </is>
      </c>
      <c r="E3" s="29" t="inlineStr">
        <is>
          <t>Zucchero  - granzuccheri srl n° fatt 90 - 18/01/2024</t>
        </is>
      </c>
      <c r="F3" s="29" t="inlineStr">
        <is>
          <t>MARG.GREEN VALLEY CREMA - "RONDINELLA MARKET S.R.L." n° fatt 1808 - 24/11/2023</t>
        </is>
      </c>
      <c r="G3" s="29" t="inlineStr">
        <is>
          <t>AMIDO DI RISO - "RONDINELLA MARKET S.R.L." n° fatt 1687 - 03/11/2023</t>
        </is>
      </c>
      <c r="H3" s="29" t="inlineStr">
        <is>
          <t>SALE  - F.lli Fiorentino Srl n° fatt 1/1028 - 25/01/2024</t>
        </is>
      </c>
      <c r="I3" s="29" t="inlineStr">
        <is>
          <t>UOVA FRESCHE L DA 180 - DF BALDASSARRE SRL n° fatt 412 - 31/01/2024</t>
        </is>
      </c>
      <c r="J3" s="29" t="inlineStr">
        <is>
          <t>ZUPPA INGLESE - "RONDINELLA MARKET S.R.L." n° fatt 48 - 12/01/2024</t>
        </is>
      </c>
      <c r="K3" s="29" t="n"/>
      <c r="L3" s="29" t="inlineStr">
        <is>
          <t>AMARENA VISCIOLA - "RONDINELLA MARKET S.R.L." n° fatt 1956 - 12/12/2023</t>
        </is>
      </c>
      <c r="M3" s="29" t="n"/>
      <c r="N3" s="29" t="n"/>
      <c r="O3" s="29" t="n"/>
      <c r="P3" s="29" t="n"/>
      <c r="Q3" s="29" t="n"/>
      <c r="R3" s="176" t="n"/>
      <c r="S3" s="176" t="n"/>
      <c r="T3" s="176" t="n"/>
      <c r="U3" s="29" t="n"/>
    </row>
    <row r="4" ht="94.5" customHeight="1" s="155">
      <c r="A4" s="28">
        <f>A3+1</f>
        <v/>
      </c>
      <c r="B4" s="29" t="inlineStr">
        <is>
          <t>Krans cioccolato</t>
        </is>
      </c>
      <c r="C4" s="29" t="inlineStr">
        <is>
          <t>Farina americana - f.lli fiorentino srl n° fatt 1/1028 - 25/01/2024</t>
        </is>
      </c>
      <c r="D4" s="29" t="inlineStr">
        <is>
          <t>Farina americana - f.lli fiorentino srl n° fatt 1/1028 - 25/01/2024</t>
        </is>
      </c>
      <c r="E4" s="29" t="inlineStr">
        <is>
          <t>Zucchero  - granzuccheri srl n° fatt 90 - 18/01/2024</t>
        </is>
      </c>
      <c r="F4" s="29" t="inlineStr">
        <is>
          <t>MARG.GREEN VALLEY CREMA - "RONDINELLA MARKET S.R.L." n° fatt 1808 - 24/11/2023</t>
        </is>
      </c>
      <c r="G4" s="29" t="inlineStr">
        <is>
          <t>AMIDO DI RISO - "RONDINELLA MARKET S.R.L." n° fatt 1687 - 03/11/2023</t>
        </is>
      </c>
      <c r="H4" s="29" t="inlineStr">
        <is>
          <t>SALE  - F.lli Fiorentino Srl n° fatt 1/1028 - 25/01/2024</t>
        </is>
      </c>
      <c r="I4" s="29" t="inlineStr">
        <is>
          <t>UOVA FRESCHE L DA 180 - DF BALDASSARRE SRL n° fatt 412 - 31/01/2024</t>
        </is>
      </c>
      <c r="J4" s="29" t="inlineStr">
        <is>
          <t>ZUPPA INGLESE - "RONDINELLA MARKET S.R.L." n° fatt 48 - 12/01/2024</t>
        </is>
      </c>
      <c r="K4" s="29" t="n"/>
      <c r="L4" s="29" t="inlineStr">
        <is>
          <t>AMARENA VISCIOLA - "RONDINELLA MARKET S.R.L." n° fatt 1956 - 12/12/2023</t>
        </is>
      </c>
      <c r="M4" s="29" t="n"/>
      <c r="N4" s="29" t="n"/>
      <c r="O4" s="29" t="n"/>
      <c r="P4" s="29" t="n"/>
      <c r="Q4" s="29" t="n"/>
      <c r="R4" s="176" t="n"/>
      <c r="S4" s="176" t="n"/>
      <c r="T4" s="176" t="n"/>
      <c r="U4" s="29" t="n"/>
    </row>
    <row r="5" ht="94.5" customHeight="1" s="155">
      <c r="A5" s="28">
        <f>A4+1</f>
        <v/>
      </c>
      <c r="B5" s="29" t="inlineStr">
        <is>
          <t>Krans cioccolato</t>
        </is>
      </c>
      <c r="C5" s="29" t="inlineStr">
        <is>
          <t>Farina americana - f.lli fiorentino srl n° fatt 1/1028 - 25/01/2024</t>
        </is>
      </c>
      <c r="D5" s="29" t="inlineStr">
        <is>
          <t>Farina americana - f.lli fiorentino srl n° fatt 1/1028 - 25/01/2024</t>
        </is>
      </c>
      <c r="E5" s="29" t="inlineStr">
        <is>
          <t>Zucchero  - granzuccheri srl n° fatt 90 - 18/01/2024</t>
        </is>
      </c>
      <c r="F5" s="29" t="inlineStr">
        <is>
          <t>MARG.GREEN VALLEY CREMA - "RONDINELLA MARKET S.R.L." n° fatt 1808 - 24/11/2023</t>
        </is>
      </c>
      <c r="G5" s="29" t="n"/>
      <c r="H5" s="29" t="inlineStr">
        <is>
          <t>SALE  - F.lli Fiorentino Srl n° fatt 1/1028 - 25/01/2024</t>
        </is>
      </c>
      <c r="I5" s="29" t="inlineStr">
        <is>
          <t>UOVA FRESCHE L DA 180 - DF BALDASSARRE SRL n° fatt 412 - 31/01/2024</t>
        </is>
      </c>
      <c r="J5" s="29" t="n"/>
      <c r="K5" s="29" t="n"/>
      <c r="L5" s="29" t="inlineStr">
        <is>
          <t>UVA SULTANINA - "RONDINELLA MARKET S.R.L." n° fatt 1862 - 01/12/2023</t>
        </is>
      </c>
      <c r="M5" s="29" t="n"/>
      <c r="N5" s="29" t="n"/>
      <c r="O5" s="29" t="n"/>
      <c r="P5" s="29" t="n"/>
      <c r="Q5" s="29" t="n"/>
      <c r="R5" s="176" t="n"/>
      <c r="S5" s="176" t="n"/>
      <c r="T5" s="176" t="n"/>
      <c r="U5" s="29" t="n"/>
    </row>
    <row r="6" ht="78.75" customHeight="1" s="155">
      <c r="A6" s="28">
        <f>A5+1</f>
        <v/>
      </c>
      <c r="B6" s="29" t="inlineStr">
        <is>
          <t>Pasta frolla BASI ABBATTUTE</t>
        </is>
      </c>
      <c r="C6" s="29" t="inlineStr">
        <is>
          <t>Farina italiana - f.lli fiorentino srl n° fatt 1/1028 - 25/01/2024</t>
        </is>
      </c>
      <c r="D6" s="29" t="inlineStr">
        <is>
          <t>FUNGHI CHAMPIGNONS KG.3X6   - F.lli Fiorentino Srl n° fatt 1/158 - 04/01/2024</t>
        </is>
      </c>
      <c r="E6" s="29" t="inlineStr">
        <is>
          <t>Aglio L.372 - I COZZOLINO SRL n° fatt D168 - 31/01/2024</t>
        </is>
      </c>
      <c r="F6" s="29" t="inlineStr">
        <is>
          <t>SALE  - F.lli Fiorentino Srl n° fatt 1/158 - 04/01/2024</t>
        </is>
      </c>
      <c r="G6" s="29" t="n"/>
      <c r="H6" s="29" t="n"/>
      <c r="I6" s="29" t="n"/>
      <c r="J6" s="29" t="n"/>
      <c r="K6" s="29" t="n"/>
      <c r="L6" s="29" t="n"/>
      <c r="M6" s="29" t="n"/>
      <c r="N6" s="29" t="n"/>
      <c r="O6" s="29" t="n"/>
      <c r="P6" s="29" t="n"/>
      <c r="Q6" s="29" t="n"/>
      <c r="R6" s="176" t="n"/>
      <c r="S6" s="176" t="n"/>
      <c r="T6" s="176" t="n"/>
      <c r="U6" s="29" t="n"/>
    </row>
    <row r="7" ht="78.75" customHeight="1" s="155">
      <c r="A7" s="28">
        <f>A6+1</f>
        <v/>
      </c>
      <c r="B7" s="29" t="inlineStr">
        <is>
          <t>Zeppola di San Giuseppe</t>
        </is>
      </c>
      <c r="C7" s="29" t="inlineStr">
        <is>
          <t>Farina Italiana - F.lli Fiorentino Srl n° fatt 1/1028 - 25/01/2024</t>
        </is>
      </c>
      <c r="D7" s="29" t="inlineStr">
        <is>
          <t>Farina americana - f.lli fiorentino srl n° fatt 1/1028 - 25/01/2024</t>
        </is>
      </c>
      <c r="E7" s="29" t="inlineStr">
        <is>
          <t>Zucchero  - granzuccheri srl n° fatt 90 - 18/01/2024</t>
        </is>
      </c>
      <c r="F7" s="29" t="inlineStr">
        <is>
          <t>Burro Crema Olva - RONDINELLA MARKET S.R.L. n° fatt 48 - 12/01/2024</t>
        </is>
      </c>
      <c r="G7" s="29" t="n"/>
      <c r="H7" s="29" t="inlineStr">
        <is>
          <t>SALE  - F.lli Fiorentino Srl n° fatt 1/1028 - 25/01/2024</t>
        </is>
      </c>
      <c r="I7" s="29" t="inlineStr">
        <is>
          <t>UOVA FRESCHE L DA 180 - DF BALDASSARRE SRL n° fatt 412 - 31/01/2024</t>
        </is>
      </c>
      <c r="J7" s="29" t="n"/>
      <c r="K7" s="29" t="n"/>
      <c r="L7" s="29" t="inlineStr">
        <is>
          <t>Cacao - "RONDINELLA MARKET S.R.L." n° fatt 1862 - 01/12/2023</t>
        </is>
      </c>
      <c r="M7" s="29" t="n"/>
      <c r="N7" s="29" t="n"/>
      <c r="O7" s="29" t="n"/>
      <c r="P7" s="29" t="n"/>
      <c r="Q7" s="29" t="n"/>
      <c r="R7" s="176" t="n"/>
      <c r="S7" s="176" t="n"/>
      <c r="T7" s="176" t="n"/>
      <c r="U7" s="29" t="n"/>
    </row>
    <row r="8" ht="78.75" customHeight="1" s="155">
      <c r="A8" s="28">
        <f>A7+1</f>
        <v/>
      </c>
      <c r="B8" s="29" t="inlineStr">
        <is>
          <t>Pasta frolla BASI ABBATTUTE</t>
        </is>
      </c>
      <c r="C8" s="29" t="inlineStr">
        <is>
          <t>Farina italiana - f.lli fiorentino srl n° fatt 1/1028 - 25/01/2024</t>
        </is>
      </c>
      <c r="D8" s="29" t="inlineStr">
        <is>
          <t>Zucchero  - granzuccheri srl n° fatt 90 - 18/01/2024</t>
        </is>
      </c>
      <c r="E8" s="29" t="inlineStr">
        <is>
          <t>Burro Crema Olva - RONDINELLA MARKET S.R.L. n° fatt 48 - 12/01/2024</t>
        </is>
      </c>
      <c r="F8" s="29" t="inlineStr">
        <is>
          <t>Strutto - f.lli fiorentino srl n° fatt 1/1028 - 25/01/2024</t>
        </is>
      </c>
      <c r="G8" s="29" t="inlineStr">
        <is>
          <t>SALE  - F.lli Fiorentino Srl n° fatt 1/1028 - 25/01/2024</t>
        </is>
      </c>
      <c r="H8" s="29" t="inlineStr">
        <is>
          <t>UOVA FRESCHE L DA 180 - DF BALDASSARRE SRL n° fatt 412 - 31/01/2024</t>
        </is>
      </c>
      <c r="I8" s="29" t="n"/>
      <c r="J8" s="29" t="n"/>
      <c r="K8" s="29" t="n"/>
      <c r="L8" s="29" t="n"/>
      <c r="M8" s="29" t="n"/>
      <c r="N8" s="29" t="n"/>
      <c r="O8" s="29" t="n"/>
      <c r="P8" s="29" t="n"/>
      <c r="Q8" s="29" t="n"/>
      <c r="R8" s="176" t="n"/>
      <c r="S8" s="176" t="n"/>
      <c r="T8" s="176" t="n"/>
      <c r="U8" s="29" t="n"/>
    </row>
    <row r="9" ht="78.75" customHeight="1" s="155">
      <c r="A9" s="28">
        <f>A8+1</f>
        <v/>
      </c>
      <c r="B9" s="29" t="inlineStr">
        <is>
          <t>Zeppola di San Giuseppe</t>
        </is>
      </c>
      <c r="C9" s="29" t="inlineStr">
        <is>
          <t>Farina Italiana - F.lli Fiorentino Srl n° fatt 1/1028 - 25/01/2024</t>
        </is>
      </c>
      <c r="D9" s="29" t="inlineStr">
        <is>
          <t>Zucchero  - granzuccheri srl n° fatt 90 - 18/01/2024</t>
        </is>
      </c>
      <c r="E9" s="29" t="inlineStr">
        <is>
          <t>Burro Crema Olva - RONDINELLA MARKET S.R.L. n° fatt 48 - 12/01/2024</t>
        </is>
      </c>
      <c r="F9" s="29" t="inlineStr">
        <is>
          <t>Strutto - f.lli fiorentino srl n° fatt 1/1028 - 25/01/2024</t>
        </is>
      </c>
      <c r="G9" s="29" t="inlineStr">
        <is>
          <t>SALE  - F.lli Fiorentino Srl n° fatt 1/1028 - 25/01/2024</t>
        </is>
      </c>
      <c r="H9" s="29" t="inlineStr">
        <is>
          <t>UOVA FRESCHE L DA 180 - DF BALDASSARRE SRL n° fatt 412 - 31/01/2024</t>
        </is>
      </c>
      <c r="I9" s="29" t="n"/>
      <c r="J9" s="29" t="n"/>
      <c r="K9" s="29" t="n"/>
      <c r="L9" s="29" t="n"/>
      <c r="M9" s="29" t="n"/>
      <c r="N9" s="29" t="n"/>
      <c r="O9" s="29" t="n"/>
      <c r="P9" s="29" t="n"/>
      <c r="Q9" s="29" t="n"/>
      <c r="R9" s="176" t="n"/>
      <c r="S9" s="176" t="n"/>
      <c r="T9" s="176" t="n"/>
      <c r="U9" s="29" t="n"/>
    </row>
    <row r="10" ht="78.75" customHeight="1" s="155">
      <c r="A10" s="28">
        <f>A9+1</f>
        <v/>
      </c>
      <c r="B10" s="29" t="inlineStr">
        <is>
          <t>Zeppola di San Giuseppe</t>
        </is>
      </c>
      <c r="C10" s="29" t="inlineStr">
        <is>
          <t>Farina Italiana - F.lli Fiorentino Srl n° fatt 1/1028 - 25/01/2024</t>
        </is>
      </c>
      <c r="D10" s="29" t="inlineStr">
        <is>
          <t>Zucchero  - granzuccheri srl n° fatt 90 - 18/01/2024</t>
        </is>
      </c>
      <c r="E10" s="29" t="inlineStr">
        <is>
          <t>Burro Crema Olva - RONDINELLA MARKET S.R.L. n° fatt 48 - 12/01/2024</t>
        </is>
      </c>
      <c r="F10" s="29" t="inlineStr">
        <is>
          <t>Strutto - f.lli fiorentino srl n° fatt 1/1028 - 25/01/2024</t>
        </is>
      </c>
      <c r="G10" s="29" t="inlineStr">
        <is>
          <t>SALE  - F.lli Fiorentino Srl n° fatt 1/1028 - 25/01/2024</t>
        </is>
      </c>
      <c r="H10" s="29" t="inlineStr">
        <is>
          <t>UOVA FRESCHE L DA 180 - DF BALDASSARRE SRL n° fatt 412 - 31/01/2024</t>
        </is>
      </c>
      <c r="I10" s="29" t="n"/>
      <c r="J10" s="29" t="n"/>
      <c r="K10" s="29" t="n"/>
      <c r="L10" s="29" t="n"/>
      <c r="M10" s="29" t="n"/>
      <c r="N10" s="29" t="n"/>
      <c r="O10" s="29" t="n"/>
      <c r="P10" s="29" t="n"/>
      <c r="Q10" s="29" t="n"/>
      <c r="R10" s="176" t="n"/>
      <c r="S10" s="176" t="n"/>
      <c r="T10" s="176" t="n"/>
      <c r="U10" s="29" t="n"/>
    </row>
    <row r="11" ht="78.75" customHeight="1" s="155">
      <c r="A11" s="28">
        <f>A10+1</f>
        <v/>
      </c>
      <c r="B11" s="29" t="inlineStr">
        <is>
          <t>Zeppola di San Giuseppe</t>
        </is>
      </c>
      <c r="C11" s="29" t="inlineStr">
        <is>
          <t>Farina Italiana - F.lli Fiorentino Srl n° fatt 1/1028 - 25/01/2024</t>
        </is>
      </c>
      <c r="D11" s="29" t="inlineStr">
        <is>
          <t>Zucchero  - granzuccheri srl n° fatt 90 - 18/01/2024</t>
        </is>
      </c>
      <c r="E11" s="29" t="inlineStr">
        <is>
          <t>Burro Crema Olva - RONDINELLA MARKET S.R.L. n° fatt 48 - 12/01/2024</t>
        </is>
      </c>
      <c r="F11" s="29" t="inlineStr">
        <is>
          <t>Strutto - f.lli fiorentino srl n° fatt 1/1028 - 25/01/2024</t>
        </is>
      </c>
      <c r="G11" s="29" t="inlineStr">
        <is>
          <t>SALE  - F.lli Fiorentino Srl n° fatt 1/1028 - 25/01/2024</t>
        </is>
      </c>
      <c r="H11" s="29" t="inlineStr">
        <is>
          <t>UOVA FRESCHE L DA 180 - DF BALDASSARRE SRL n° fatt 412 - 31/01/2024</t>
        </is>
      </c>
      <c r="I11" s="29" t="n"/>
      <c r="J11" s="29" t="n"/>
      <c r="K11" s="29" t="n"/>
      <c r="L11" s="29" t="n"/>
      <c r="M11" s="29" t="n"/>
      <c r="N11" s="29" t="n"/>
      <c r="O11" s="29" t="n"/>
      <c r="P11" s="29" t="n"/>
      <c r="Q11" s="29" t="n"/>
      <c r="R11" s="176" t="n"/>
      <c r="S11" s="176" t="n"/>
      <c r="T11" s="176" t="n"/>
      <c r="U11" s="29" t="n"/>
    </row>
    <row r="12" ht="78.75" customHeight="1" s="155">
      <c r="A12" s="28">
        <f>A11+1</f>
        <v/>
      </c>
      <c r="B12" s="29" t="inlineStr">
        <is>
          <t>Pasta frolla BASI ABBATTUTE</t>
        </is>
      </c>
      <c r="C12" s="29" t="inlineStr">
        <is>
          <t>Farina italiana - f.lli fiorentino srl n° fatt 1/1028 - 25/01/2024</t>
        </is>
      </c>
      <c r="D12" s="29" t="inlineStr">
        <is>
          <t>Zucchero  - granzuccheri srl n° fatt 90 - 18/01/2024</t>
        </is>
      </c>
      <c r="E12" s="29" t="inlineStr">
        <is>
          <t>Burro Crema Olva - RONDINELLA MARKET S.R.L. n° fatt 48 - 12/01/2024</t>
        </is>
      </c>
      <c r="F12" s="29" t="inlineStr">
        <is>
          <t>Strutto - f.lli fiorentino srl n° fatt 1/1028 - 25/01/2024</t>
        </is>
      </c>
      <c r="G12" s="29" t="inlineStr">
        <is>
          <t>SALE  - F.lli Fiorentino Srl n° fatt 1/1028 - 25/01/2024</t>
        </is>
      </c>
      <c r="H12" s="29" t="inlineStr">
        <is>
          <t>UOVA FRESCHE L DA 180 - DF BALDASSARRE SRL n° fatt 412 - 31/01/2024</t>
        </is>
      </c>
      <c r="I12" s="29" t="n"/>
      <c r="J12" s="29" t="n"/>
      <c r="K12" s="29" t="n"/>
      <c r="L12" s="29" t="n"/>
      <c r="M12" s="29" t="n"/>
      <c r="N12" s="29" t="n"/>
      <c r="O12" s="29" t="n"/>
      <c r="P12" s="29" t="n"/>
      <c r="Q12" s="29" t="n"/>
      <c r="R12" s="176" t="n"/>
      <c r="S12" s="176" t="n"/>
      <c r="T12" s="176" t="n"/>
      <c r="U12" s="29" t="n"/>
    </row>
    <row r="13" ht="78.75" customHeight="1" s="155">
      <c r="A13" s="28">
        <f>A12+1</f>
        <v/>
      </c>
      <c r="B13" s="29" t="inlineStr">
        <is>
          <t>Zeppola di San Giuseppe</t>
        </is>
      </c>
      <c r="C13" s="29" t="inlineStr">
        <is>
          <t>Farina Italiana - F.lli Fiorentino Srl n° fatt 1/1028 - 25/01/2024</t>
        </is>
      </c>
      <c r="D13" s="29" t="inlineStr">
        <is>
          <t>Zucchero  - granzuccheri srl n° fatt 90 - 18/01/2024</t>
        </is>
      </c>
      <c r="E13" s="29" t="inlineStr">
        <is>
          <t>Burro Crema Olva - RONDINELLA MARKET S.R.L. n° fatt 48 - 12/01/2024</t>
        </is>
      </c>
      <c r="F13" s="29" t="inlineStr">
        <is>
          <t>Strutto - f.lli fiorentino srl n° fatt 1/1028 - 25/01/2024</t>
        </is>
      </c>
      <c r="G13" s="29" t="inlineStr">
        <is>
          <t>SALE  - F.lli Fiorentino Srl n° fatt 1/1028 - 25/01/2024</t>
        </is>
      </c>
      <c r="H13" s="29" t="inlineStr">
        <is>
          <t>UOVA FRESCHE L DA 180 - DF BALDASSARRE SRL n° fatt 412 - 31/01/2024</t>
        </is>
      </c>
      <c r="I13" s="29" t="n"/>
      <c r="J13" s="29" t="n"/>
      <c r="K13" s="29" t="n"/>
      <c r="L13" s="29" t="n"/>
      <c r="M13" s="29" t="n"/>
      <c r="N13" s="29" t="n"/>
      <c r="O13" s="29" t="n"/>
      <c r="P13" s="29" t="n"/>
      <c r="Q13" s="29" t="n"/>
      <c r="R13" s="176" t="n"/>
      <c r="S13" s="176" t="n"/>
      <c r="T13" s="176" t="n"/>
      <c r="U13" s="29" t="n"/>
    </row>
    <row r="14" ht="78.75" customHeight="1" s="155">
      <c r="A14" s="28">
        <f>A13+1</f>
        <v/>
      </c>
      <c r="B14" s="29" t="inlineStr">
        <is>
          <t>Tiramisù</t>
        </is>
      </c>
      <c r="C14" s="29" t="inlineStr">
        <is>
          <t>Farina americana - f.lli fiorentino srl n° fatt 1/1028 - 25/01/2024</t>
        </is>
      </c>
      <c r="D14" s="29" t="inlineStr">
        <is>
          <t>Zucchero  - granzuccheri srl n° fatt 90 - 18/01/2024</t>
        </is>
      </c>
      <c r="E14" s="29" t="inlineStr">
        <is>
          <t>Burro Crema Olva - RONDINELLA MARKET S.R.L. n° fatt 48 - 12/01/2024</t>
        </is>
      </c>
      <c r="F14" s="29" t="n"/>
      <c r="G14" s="29" t="inlineStr">
        <is>
          <t>SALE  - F.lli Fiorentino Srl n° fatt 1/1028 - 25/01/2024</t>
        </is>
      </c>
      <c r="H14" s="29" t="inlineStr">
        <is>
          <t>UOVA FRESCHE L DA 180 - DF BALDASSARRE SRL n° fatt 412 - 31/01/2024</t>
        </is>
      </c>
      <c r="I14" s="29" t="n"/>
      <c r="J14" s="29" t="n"/>
      <c r="K14" s="29" t="n"/>
      <c r="L14" s="29" t="n"/>
      <c r="M14" s="29" t="n"/>
      <c r="N14" s="29" t="n"/>
      <c r="O14" s="29" t="n"/>
      <c r="P14" s="29" t="n"/>
      <c r="Q14" s="29" t="n"/>
      <c r="R14" s="176" t="n"/>
      <c r="S14" s="176" t="n"/>
      <c r="T14" s="176" t="n"/>
      <c r="U14" s="29" t="n"/>
    </row>
    <row r="15" ht="78.75" customHeight="1" s="155">
      <c r="A15" s="28">
        <f>A14+1</f>
        <v/>
      </c>
      <c r="B15" s="29" t="inlineStr">
        <is>
          <t>Treccia</t>
        </is>
      </c>
      <c r="C15" s="29" t="inlineStr">
        <is>
          <t>Farina americana - f.lli fiorentino srl n° fatt 1/1028 - 25/01/2024</t>
        </is>
      </c>
      <c r="D15" s="29" t="inlineStr">
        <is>
          <t>Zucchero  - granzuccheri srl n° fatt 90 - 18/01/2024</t>
        </is>
      </c>
      <c r="E15" s="29" t="inlineStr">
        <is>
          <t>Burro Crema Olva - RONDINELLA MARKET S.R.L. n° fatt 48 - 12/01/2024</t>
        </is>
      </c>
      <c r="F15" s="29" t="n"/>
      <c r="G15" s="29" t="inlineStr">
        <is>
          <t>SALE  - F.lli Fiorentino Srl n° fatt 1/1028 - 25/01/2024</t>
        </is>
      </c>
      <c r="H15" s="29" t="inlineStr">
        <is>
          <t>UOVA FRESCHE L DA 180 - DF BALDASSARRE SRL n° fatt 412 - 31/01/2024</t>
        </is>
      </c>
      <c r="I15" s="29" t="inlineStr">
        <is>
          <t>ZUPPA INGLESE - "RONDINELLA MARKET S.R.L." n° fatt 48 - 12/01/2024</t>
        </is>
      </c>
      <c r="J15" s="29" t="n"/>
      <c r="K15" s="29" t="n"/>
      <c r="L15" s="29" t="n"/>
      <c r="M15" s="29" t="n"/>
      <c r="N15" s="29" t="n"/>
      <c r="O15" s="29" t="n"/>
      <c r="P15" s="29" t="n"/>
      <c r="Q15" s="29" t="n"/>
      <c r="R15" s="176" t="n"/>
      <c r="S15" s="176" t="n"/>
      <c r="T15" s="176" t="n"/>
      <c r="U15" s="29" t="n"/>
    </row>
    <row r="16" ht="78.75" customHeight="1" s="155">
      <c r="A16" s="28">
        <f>A15+1</f>
        <v/>
      </c>
      <c r="B16" s="29" t="inlineStr">
        <is>
          <t>Treccia</t>
        </is>
      </c>
      <c r="C16" s="29" t="inlineStr">
        <is>
          <t>Farina americana - f.lli fiorentino srl n° fatt 1/1028 - 25/01/2024</t>
        </is>
      </c>
      <c r="D16" s="29" t="inlineStr">
        <is>
          <t>Zucchero  - granzuccheri srl n° fatt 90 - 18/01/2024</t>
        </is>
      </c>
      <c r="E16" s="29" t="inlineStr">
        <is>
          <t>Burro Crema Olva - RONDINELLA MARKET S.R.L. n° fatt 48 - 12/01/2024</t>
        </is>
      </c>
      <c r="F16" s="29" t="n"/>
      <c r="G16" s="29" t="inlineStr">
        <is>
          <t>SALE  - F.lli Fiorentino Srl n° fatt 1/1028 - 25/01/2024</t>
        </is>
      </c>
      <c r="H16" s="29" t="inlineStr">
        <is>
          <t>UOVA FRESCHE L DA 180 - DF BALDASSARRE SRL n° fatt 412 - 31/01/2024</t>
        </is>
      </c>
      <c r="I16" s="29" t="inlineStr">
        <is>
          <t>ZUPPA INGLESE - "RONDINELLA MARKET S.R.L." n° fatt 48 - 12/01/2024</t>
        </is>
      </c>
      <c r="J16" s="29" t="n"/>
      <c r="K16" s="29" t="n"/>
      <c r="L16" s="29" t="n"/>
      <c r="M16" s="29" t="n"/>
      <c r="N16" s="29" t="n"/>
      <c r="O16" s="29" t="n"/>
      <c r="P16" s="29" t="n"/>
      <c r="Q16" s="29" t="n"/>
      <c r="R16" s="176" t="n"/>
      <c r="S16" s="176" t="n"/>
      <c r="T16" s="176" t="n"/>
      <c r="U16" s="29" t="n"/>
    </row>
    <row r="17" ht="94.5" customHeight="1" s="155">
      <c r="A17" s="28">
        <f>A16+1</f>
        <v/>
      </c>
      <c r="B17" s="29" t="inlineStr">
        <is>
          <t>Cannolo Siciliano</t>
        </is>
      </c>
      <c r="C17" s="29" t="inlineStr">
        <is>
          <t>CANNOLO GRANDE - "RONDINELLA MARKET S.R.L." n° fatt 2094 - 30/12/2023</t>
        </is>
      </c>
      <c r="D17" s="29" t="inlineStr">
        <is>
          <t>RICOTTA ZUCCHERATA CONGELATA ARATA - SAIMA S.p.A. n° fatt 1/13054 - 30/01/2024</t>
        </is>
      </c>
      <c r="E17" s="29" t="inlineStr">
        <is>
          <t>Cacao - "RONDINELLA MARKET S.R.L." n° fatt 1956 - 12/12/2023</t>
        </is>
      </c>
      <c r="F17" s="29" t="n"/>
      <c r="G17" s="29" t="n"/>
      <c r="H17" s="29" t="n"/>
      <c r="I17" s="29" t="n"/>
      <c r="J17" s="29" t="n"/>
      <c r="K17" s="29" t="n"/>
      <c r="L17" s="29" t="n"/>
      <c r="M17" s="29" t="n"/>
      <c r="N17" s="29" t="n"/>
      <c r="O17" s="29" t="n"/>
      <c r="P17" s="29" t="n"/>
      <c r="Q17" s="29" t="n"/>
      <c r="R17" s="176" t="n"/>
      <c r="S17" s="176" t="n"/>
      <c r="T17" s="176" t="n"/>
      <c r="U17" s="29" t="n"/>
    </row>
    <row r="18" ht="78.75" customHeight="1" s="155">
      <c r="A18" s="28">
        <f>A17+1</f>
        <v/>
      </c>
      <c r="B18" s="29" t="inlineStr">
        <is>
          <t>Strudel di Mele</t>
        </is>
      </c>
      <c r="C18" s="29" t="inlineStr">
        <is>
          <t>Farina Italiana - F.lli Fiorentino Srl n° fatt 1/1028 - 25/01/2024</t>
        </is>
      </c>
      <c r="D18" s="29" t="inlineStr">
        <is>
          <t>Zucchero  - granzuccheri srl n° fatt 90 - 18/01/2024</t>
        </is>
      </c>
      <c r="E18" s="29" t="inlineStr">
        <is>
          <t>MARG.GREEN VALLEY CREMA - "RONDINELLA MARKET S.R.L." n° fatt 1808 - 24/11/2023</t>
        </is>
      </c>
      <c r="F18" s="29" t="n"/>
      <c r="G18" s="29" t="inlineStr">
        <is>
          <t>SALE  - F.lli Fiorentino Srl n° fatt 1/1028 - 25/01/2024</t>
        </is>
      </c>
      <c r="H18" s="29" t="inlineStr">
        <is>
          <t>UOVA FRESCHE L DA 180 - DF BALDASSARRE SRL n° fatt 412 - 31/01/2024</t>
        </is>
      </c>
      <c r="I18" s="29" t="inlineStr">
        <is>
          <t>AMARENA VISCIOLA - "RONDINELLA MARKET S.R.L." n° fatt 1956 - 12/12/2023</t>
        </is>
      </c>
      <c r="J18" s="29" t="inlineStr">
        <is>
          <t>Cannella - SAIMA S.p.A. n° fatt 1/935 - 04/01/2024</t>
        </is>
      </c>
      <c r="K18" s="29" t="n"/>
      <c r="L18" s="29" t="inlineStr">
        <is>
          <t>UVA SULTANINA - "RONDINELLA MARKET S.R.L." n° fatt 1862 - 01/12/2023</t>
        </is>
      </c>
      <c r="M18" s="29" t="n"/>
      <c r="N18" s="29" t="n"/>
      <c r="O18" s="29" t="n"/>
      <c r="P18" s="29" t="n"/>
      <c r="Q18" s="29" t="n"/>
      <c r="R18" s="176" t="n"/>
      <c r="S18" s="176" t="n"/>
      <c r="T18" s="176" t="n"/>
      <c r="U18" s="29" t="n"/>
    </row>
    <row r="19" ht="78.75" customHeight="1" s="155">
      <c r="A19" s="28">
        <f>A18+1</f>
        <v/>
      </c>
      <c r="B19" s="29" t="inlineStr">
        <is>
          <t>Strudel di Mele</t>
        </is>
      </c>
      <c r="C19" s="29" t="inlineStr">
        <is>
          <t>Farina Italiana - F.lli Fiorentino Srl n° fatt 1/1028 - 25/01/2024</t>
        </is>
      </c>
      <c r="D19" s="29" t="inlineStr">
        <is>
          <t>Zucchero  - granzuccheri srl n° fatt 90 - 18/01/2024</t>
        </is>
      </c>
      <c r="E19" s="29" t="inlineStr">
        <is>
          <t>MARG.GREEN VALLEY CREMA - "RONDINELLA MARKET S.R.L." n° fatt 1808 - 24/11/2023</t>
        </is>
      </c>
      <c r="F19" s="29" t="n"/>
      <c r="G19" s="29" t="inlineStr">
        <is>
          <t>SALE  - F.lli Fiorentino Srl n° fatt 1/1028 - 25/01/2024</t>
        </is>
      </c>
      <c r="H19" s="29" t="inlineStr">
        <is>
          <t>UOVA FRESCHE L DA 180 - DF BALDASSARRE SRL n° fatt 412 - 31/01/2024</t>
        </is>
      </c>
      <c r="I19" s="29" t="inlineStr">
        <is>
          <t>AMARENA VISCIOLA - "RONDINELLA MARKET S.R.L." n° fatt 1956 - 12/12/2023</t>
        </is>
      </c>
      <c r="J19" s="29" t="inlineStr">
        <is>
          <t>Cannella - SAIMA S.p.A. n° fatt 1/935 - 04/01/2024</t>
        </is>
      </c>
      <c r="K19" s="29" t="n"/>
      <c r="L19" s="29" t="inlineStr">
        <is>
          <t>UVA SULTANINA - "RONDINELLA MARKET S.R.L." n° fatt 1862 - 01/12/2023</t>
        </is>
      </c>
      <c r="M19" s="29" t="n"/>
      <c r="N19" s="29" t="n"/>
      <c r="O19" s="29" t="n"/>
      <c r="P19" s="29" t="n"/>
      <c r="Q19" s="29" t="n"/>
      <c r="R19" s="176" t="n"/>
      <c r="S19" s="176" t="n"/>
      <c r="T19" s="176" t="n"/>
      <c r="U19" s="29" t="n"/>
    </row>
    <row r="20" ht="78.75" customHeight="1" s="155">
      <c r="A20" s="28">
        <f>A19+1</f>
        <v/>
      </c>
      <c r="B20" s="29" t="inlineStr">
        <is>
          <t>Tiramisù</t>
        </is>
      </c>
      <c r="C20" s="29" t="inlineStr">
        <is>
          <t>Farina americana - f.lli fiorentino srl n° fatt 1/1028 - 25/01/2024</t>
        </is>
      </c>
      <c r="D20" s="29" t="inlineStr">
        <is>
          <t>Zucchero  - granzuccheri srl n° fatt 90 - 18/01/2024</t>
        </is>
      </c>
      <c r="E20" s="29" t="inlineStr">
        <is>
          <t>MARG.GREEN VALLEY CREMA - "RONDINELLA MARKET S.R.L." n° fatt 1808 - 24/11/2023</t>
        </is>
      </c>
      <c r="F20" s="29" t="n"/>
      <c r="G20" s="29" t="inlineStr">
        <is>
          <t>SALE  - F.lli Fiorentino Srl n° fatt 1/1028 - 25/01/2024</t>
        </is>
      </c>
      <c r="H20" s="29" t="inlineStr">
        <is>
          <t>UOVA FRESCHE L DA 180 - DF BALDASSARRE SRL n° fatt 412 - 31/01/2024</t>
        </is>
      </c>
      <c r="I20" s="29" t="n"/>
      <c r="J20" s="29" t="n"/>
      <c r="K20" s="29" t="n"/>
      <c r="L20" s="29" t="n"/>
      <c r="M20" s="29" t="n"/>
      <c r="N20" s="29" t="n"/>
      <c r="O20" s="29" t="n"/>
      <c r="P20" s="29" t="n"/>
      <c r="Q20" s="29" t="n"/>
      <c r="R20" s="176" t="n"/>
      <c r="S20" s="176" t="n"/>
      <c r="T20" s="176" t="n"/>
      <c r="U20" s="29" t="n"/>
    </row>
    <row r="21" ht="78.75" customHeight="1" s="155">
      <c r="A21" s="28">
        <f>A20+1</f>
        <v/>
      </c>
      <c r="B21" s="29" t="inlineStr">
        <is>
          <t>Pan di spagna</t>
        </is>
      </c>
      <c r="C21" s="29" t="inlineStr">
        <is>
          <t>Farina americana - f.lli fiorentino srl n° fatt 1/1028 - 25/01/2024</t>
        </is>
      </c>
      <c r="D21" s="29" t="inlineStr">
        <is>
          <t>Zucchero  - granzuccheri srl n° fatt 90 - 18/01/2024</t>
        </is>
      </c>
      <c r="E21" s="29" t="inlineStr">
        <is>
          <t>MARG.GREEN VALLEY CREMA - "RONDINELLA MARKET S.R.L." n° fatt 1808 - 24/11/2023</t>
        </is>
      </c>
      <c r="F21" s="29" t="n"/>
      <c r="G21" s="29" t="inlineStr">
        <is>
          <t>SALE  - F.lli Fiorentino Srl n° fatt 1/1028 - 25/01/2024</t>
        </is>
      </c>
      <c r="H21" s="29" t="inlineStr">
        <is>
          <t>UOVA FRESCHE L DA 180 - DF BALDASSARRE SRL n° fatt 412 - 31/01/2024</t>
        </is>
      </c>
      <c r="I21" s="29" t="n"/>
      <c r="J21" s="29" t="n"/>
      <c r="K21" s="29" t="n"/>
      <c r="L21" s="29" t="n"/>
      <c r="M21" s="29" t="n"/>
      <c r="N21" s="29" t="n"/>
      <c r="O21" s="29" t="n"/>
      <c r="P21" s="29" t="n"/>
      <c r="Q21" s="29" t="n"/>
      <c r="R21" s="176" t="n"/>
      <c r="S21" s="176" t="n"/>
      <c r="T21" s="176" t="n"/>
      <c r="U21" s="29" t="n"/>
    </row>
    <row r="22" ht="110.25" customHeight="1" s="155">
      <c r="A22" s="28">
        <f>A21+1</f>
        <v/>
      </c>
      <c r="B22" s="29" t="inlineStr">
        <is>
          <t>Pan di spagna</t>
        </is>
      </c>
      <c r="C22" s="29" t="inlineStr">
        <is>
          <t>FARINA 00 CAPUTO RINFORZ.KG.25    CONTIENE ALLERGENI - F.lli Fiorentino Srl n° fatt 47484 - 16/02/2024</t>
        </is>
      </c>
      <c r="D22" s="29" t="inlineStr">
        <is>
          <t>ZUCCHERO RAFF.SEM.  NON CONTIENE ALLERGENI - F.lli Fiorentino Srl n° fatt 47484 - 16/02/2024</t>
        </is>
      </c>
      <c r="E22" s="29" t="inlineStr">
        <is>
          <t>MARGAR WIENER ZIEH PLAT KG.2X5    CONTIENE ALLERGENI - F.lli Fiorentino Srl n° fatt 47484 - 16/02/2024</t>
        </is>
      </c>
      <c r="F22" s="29" t="n"/>
      <c r="G22" s="29" t="inlineStr">
        <is>
          <t>SALE  - F.lli Fiorentino Srl n° fatt 1/1028 - 25/01/2024</t>
        </is>
      </c>
      <c r="H22" s="29" t="inlineStr">
        <is>
          <t>UOVA CAT.PESO  069 L, 18.03.2024  CONTIENE ALLERGENI - EUROUOVA SRL n° fatt 424 - 22/02/2024</t>
        </is>
      </c>
      <c r="I22" s="29" t="n"/>
      <c r="J22" s="29" t="n"/>
      <c r="K22" s="29" t="n"/>
      <c r="L22" s="29" t="n"/>
      <c r="M22" s="29" t="n"/>
      <c r="N22" s="29" t="n"/>
      <c r="O22" s="29" t="n"/>
      <c r="P22" s="29" t="n"/>
      <c r="Q22" s="29" t="n"/>
      <c r="R22" s="176" t="n"/>
      <c r="S22" s="176" t="n"/>
      <c r="T22" s="176" t="n"/>
      <c r="U22" s="29" t="n"/>
    </row>
    <row r="23" ht="110.25" customHeight="1" s="155">
      <c r="A23" s="28">
        <f>A22+1</f>
        <v/>
      </c>
      <c r="B23" s="29" t="inlineStr">
        <is>
          <t>Pastiera</t>
        </is>
      </c>
      <c r="C23" s="29" t="inlineStr">
        <is>
          <t>FARINA 0/MAN. CAPUTO DA KG.25    CONTIENE ALLERGENI - F.lli Fiorentino Srl n° fatt 47484 - 16/02/2024</t>
        </is>
      </c>
      <c r="D23" s="29" t="inlineStr">
        <is>
          <t>ZUCCHERO RAFF.SEM.  NON CONTIENE ALLERGENI - F.lli Fiorentino Srl n° fatt 47484 - 16/02/2024</t>
        </is>
      </c>
      <c r="E23" s="29" t="inlineStr">
        <is>
          <t>MARGAR WIENER ZIEH PLAT KG.2X5    CONTIENE ALLERGENI - F.lli Fiorentino Srl n° fatt 47484 - 16/02/2024</t>
        </is>
      </c>
      <c r="F23" s="29" t="inlineStr">
        <is>
          <t>STRUTTO RAFFINATO I B VERDE    NON CONTIENE ALLERGENI - F.lli Fiorentino Srl n° fatt 47484 - 16/02/2024</t>
        </is>
      </c>
      <c r="G23" s="29" t="inlineStr">
        <is>
          <t>Ricotta Tipo Roma  CONTIENE ALLERGENI - GARGIULO GIUSEPPE n° fatt FPR 74/24 - 29/02/2024</t>
        </is>
      </c>
      <c r="H23" s="29" t="inlineStr">
        <is>
          <t>UOVA CAT.PESO  069 L, 18.03.2024  CONTIENE ALLERGENI - EUROUOVA SRL n° fatt 424 - 22/02/2024</t>
        </is>
      </c>
      <c r="I23" s="29" t="inlineStr">
        <is>
          <t>GRANO COTTO - F.lli Fiorentino Srl n° fatt 1/158 - 04/01/2024</t>
        </is>
      </c>
      <c r="J23" s="29" t="inlineStr">
        <is>
          <t>CUBETTI MISTI - "RONDINELLA MARKET S.R.L." n° fatt 1486 - 02/10/2023</t>
        </is>
      </c>
      <c r="K23" s="29" t="n"/>
      <c r="L23" s="29" t="inlineStr">
        <is>
          <t>LATTE FR.P.S.4/4 PET YMA  CONTIENE ALLERGENI - G.I.A.L.  n° fatt V1-4396 - 29/02/2024</t>
        </is>
      </c>
      <c r="M23" s="29" t="n"/>
      <c r="N23" s="29" t="n"/>
      <c r="O23" s="29" t="n"/>
      <c r="P23" s="29" t="n"/>
      <c r="Q23" s="29" t="n"/>
      <c r="R23" s="176" t="n"/>
      <c r="S23" s="176" t="n"/>
      <c r="T23" s="176" t="n"/>
      <c r="U23" s="29" t="n"/>
    </row>
    <row r="24" ht="110.25" customHeight="1" s="155">
      <c r="A24" s="28">
        <f>A23+1</f>
        <v/>
      </c>
      <c r="B24" s="29" t="inlineStr">
        <is>
          <t>Krans uvetta</t>
        </is>
      </c>
      <c r="C24" s="29" t="inlineStr">
        <is>
          <t>FARINA 00 CAPUTO RINFORZ.KG.25    CONTIENE ALLERGENI - F.lli Fiorentino Srl n° fatt 47484 - 16/02/2024</t>
        </is>
      </c>
      <c r="D24" s="29" t="inlineStr">
        <is>
          <t>ZUCCHERO RAFF.SEM.  NON CONTIENE ALLERGENI - F.lli Fiorentino Srl n° fatt 47484 - 16/02/2024</t>
        </is>
      </c>
      <c r="E24" s="29" t="inlineStr">
        <is>
          <t>MARGAR WIENER ZIEH PLAT KG.2X5    CONTIENE ALLERGENI - F.lli Fiorentino Srl n° fatt 47484 - 16/02/2024</t>
        </is>
      </c>
      <c r="F24" s="29" t="inlineStr">
        <is>
          <t>AMIDO DI RISO - "RONDINELLA MARKET S.R.L." n° fatt 1687 - 03/11/2023</t>
        </is>
      </c>
      <c r="G24" s="29" t="inlineStr">
        <is>
          <t>SALE  - F.lli Fiorentino Srl n° fatt 1/1028 - 25/01/2024</t>
        </is>
      </c>
      <c r="H24" s="29" t="inlineStr">
        <is>
          <t>UOVA CAT.PESO  069 L, 18.03.2024  CONTIENE ALLERGENI - EUROUOVA SRL n° fatt 424 - 22/02/2024</t>
        </is>
      </c>
      <c r="I24" s="29" t="n"/>
      <c r="J24" s="29" t="inlineStr">
        <is>
          <t>UVA SULTANINA - "RONDINELLA MARKET S.R.L." n° fatt 1862 - 01/12/2023</t>
        </is>
      </c>
      <c r="K24" s="29" t="n"/>
      <c r="L24" s="29" t="inlineStr">
        <is>
          <t>LIEVITO  NON CONTIENE ALLERGENI - F.lli Fiorentino Srl n° fatt 47484 - 16/02/2024</t>
        </is>
      </c>
      <c r="M24" s="29" t="n"/>
      <c r="N24" s="29" t="n"/>
      <c r="O24" s="29" t="n"/>
      <c r="P24" s="29" t="n"/>
      <c r="Q24" s="29" t="n"/>
      <c r="R24" s="176" t="n"/>
      <c r="S24" s="176" t="n"/>
      <c r="T24" s="176" t="n"/>
      <c r="U24" s="29" t="n"/>
    </row>
    <row r="25" ht="110.25" customHeight="1" s="155">
      <c r="A25" s="28">
        <f>A24+1</f>
        <v/>
      </c>
      <c r="B25" s="29" t="inlineStr">
        <is>
          <t>Cornetto vuoto</t>
        </is>
      </c>
      <c r="C25" s="29" t="inlineStr">
        <is>
          <t>FARINA 00 CAPUTO RINFORZ.KG.25    CONTIENE ALLERGENI - F.lli Fiorentino Srl n° fatt 47484 - 16/02/2024</t>
        </is>
      </c>
      <c r="D25" s="29" t="inlineStr">
        <is>
          <t>ZUCCHERO RAFF.SEM.  NON CONTIENE ALLERGENI - F.lli Fiorentino Srl n° fatt 47484 - 16/02/2024</t>
        </is>
      </c>
      <c r="E25" s="29" t="inlineStr">
        <is>
          <t>MARGAR WIENER ZIEH PLAT KG.2X5    CONTIENE ALLERGENI - F.lli Fiorentino Srl n° fatt 47484 - 16/02/2024</t>
        </is>
      </c>
      <c r="F25" s="29" t="n"/>
      <c r="G25" s="29" t="inlineStr">
        <is>
          <t>SALE  - F.lli Fiorentino Srl n° fatt 1/1028 - 25/01/2024</t>
        </is>
      </c>
      <c r="H25" s="29" t="inlineStr">
        <is>
          <t>UOVA CAT.PESO  069 L, 18.03.2024  CONTIENE ALLERGENI - EUROUOVA SRL n° fatt 424 - 22/02/2024</t>
        </is>
      </c>
      <c r="I25" s="29" t="n"/>
      <c r="J25" s="29" t="n"/>
      <c r="K25" s="29" t="n"/>
      <c r="L25" s="29" t="inlineStr">
        <is>
          <t>LIEVITO  NON CONTIENE ALLERGENI - F.lli Fiorentino Srl n° fatt 47484 - 16/02/2024</t>
        </is>
      </c>
      <c r="M25" s="29" t="n"/>
      <c r="N25" s="29" t="n"/>
      <c r="O25" s="29" t="n"/>
      <c r="P25" s="29" t="n"/>
      <c r="Q25" s="29" t="n"/>
      <c r="R25" s="176" t="n"/>
      <c r="S25" s="176" t="n"/>
      <c r="T25" s="176" t="n"/>
      <c r="U25" s="29" t="n"/>
    </row>
    <row r="26" ht="110.25" customHeight="1" s="155">
      <c r="A26" s="28">
        <f>A25+1</f>
        <v/>
      </c>
      <c r="B26" s="29" t="inlineStr">
        <is>
          <t>Sfogliatella frolla</t>
        </is>
      </c>
      <c r="C26" s="29" t="inlineStr">
        <is>
          <t>FARINA 0/MAN. CAPUTO DA KG.25    CONTIENE ALLERGENI - F.lli Fiorentino Srl n° fatt 47484 - 16/02/2024</t>
        </is>
      </c>
      <c r="D26" s="29" t="inlineStr">
        <is>
          <t>ZUCCHERO RAFF.SEM.  NON CONTIENE ALLERGENI - F.lli Fiorentino Srl n° fatt 47484 - 16/02/2024</t>
        </is>
      </c>
      <c r="E26" s="29" t="inlineStr">
        <is>
          <t>MARGAR WIENER ZIEH PLAT KG.2X5    CONTIENE ALLERGENI - F.lli Fiorentino Srl n° fatt 47484 - 16/02/2024</t>
        </is>
      </c>
      <c r="F26" s="29" t="inlineStr">
        <is>
          <t>STRUTTO RAFFINATO I B VERDE    NON CONTIENE ALLERGENI - F.lli Fiorentino Srl n° fatt 47484 - 16/02/2024</t>
        </is>
      </c>
      <c r="G26" s="29" t="inlineStr">
        <is>
          <t>SALE  - F.lli Fiorentino Srl n° fatt 1/1028 - 25/01/2024</t>
        </is>
      </c>
      <c r="H26" s="29" t="inlineStr">
        <is>
          <t>UOVA CAT.PESO  069 L, 18.03.2024  CONTIENE ALLERGENI - EUROUOVA SRL n° fatt 424 - 22/02/2024</t>
        </is>
      </c>
      <c r="I26" s="29" t="inlineStr">
        <is>
          <t>Ricotta Tipo Roma  CONTIENE ALLERGENI - GARGIULO GIUSEPPE n° fatt FPR 74/24 - 29/02/2024</t>
        </is>
      </c>
      <c r="J26" s="29" t="inlineStr">
        <is>
          <t>CUBETTI MISTI - RONDINELLA MARKET S.R.L. n° fatt 1900 - 05/12/2023</t>
        </is>
      </c>
      <c r="K26" s="29" t="n"/>
      <c r="L26" s="29" t="inlineStr">
        <is>
          <t>Cannella - SAIMA S.p.A. n° fatt 1/935 - 04/01/2024</t>
        </is>
      </c>
      <c r="M26" s="29" t="n"/>
      <c r="N26" s="29" t="n"/>
      <c r="O26" s="29" t="n"/>
      <c r="P26" s="29" t="n"/>
      <c r="Q26" s="29" t="n"/>
      <c r="R26" s="176" t="n"/>
      <c r="S26" s="176" t="n"/>
      <c r="T26" s="176" t="n"/>
      <c r="U26" s="29" t="n"/>
    </row>
    <row r="27" ht="110.25" customHeight="1" s="155">
      <c r="A27" s="28">
        <f>A26+1</f>
        <v/>
      </c>
      <c r="B27" s="29" t="inlineStr">
        <is>
          <t>Sfogliatella frolla</t>
        </is>
      </c>
      <c r="C27" s="29" t="inlineStr">
        <is>
          <t>FARINA 0/MAN. CAPUTO DA KG.25    CONTIENE ALLERGENI - F.lli Fiorentino Srl n° fatt 47484 - 16/02/2024</t>
        </is>
      </c>
      <c r="D27" s="29" t="inlineStr">
        <is>
          <t>ZUCCHERO RAFF.SEM.  NON CONTIENE ALLERGENI - F.lli Fiorentino Srl n° fatt 47484 - 16/02/2024</t>
        </is>
      </c>
      <c r="E27" s="29" t="inlineStr">
        <is>
          <t>MARGAR WIENER ZIEH PLAT KG.2X5    CONTIENE ALLERGENI - F.lli Fiorentino Srl n° fatt 47484 - 16/02/2024</t>
        </is>
      </c>
      <c r="F27" s="29" t="inlineStr">
        <is>
          <t>STRUTTO RAFFINATO I B VERDE    NON CONTIENE ALLERGENI - F.lli Fiorentino Srl n° fatt 47484 - 16/02/2024</t>
        </is>
      </c>
      <c r="G27" s="29" t="inlineStr">
        <is>
          <t>SALE  - F.lli Fiorentino Srl n° fatt 1/1028 - 25/01/2024</t>
        </is>
      </c>
      <c r="H27" s="29" t="inlineStr">
        <is>
          <t>UOVA CAT.PESO  069 L, 18.03.2024  CONTIENE ALLERGENI - EUROUOVA SRL n° fatt 424 - 22/02/2024</t>
        </is>
      </c>
      <c r="I27" s="29" t="inlineStr">
        <is>
          <t>Ricotta Tipo Roma  CONTIENE ALLERGENI - GARGIULO GIUSEPPE n° fatt FPR 74/24 - 29/02/2024</t>
        </is>
      </c>
      <c r="J27" s="29" t="inlineStr">
        <is>
          <t>CUBETTI MISTI - RONDINELLA MARKET S.R.L. n° fatt 1900 - 05/12/2023</t>
        </is>
      </c>
      <c r="K27" s="29" t="n"/>
      <c r="L27" s="29" t="inlineStr">
        <is>
          <t>Cannella - SAIMA S.p.A. n° fatt 1/935 - 04/01/2024</t>
        </is>
      </c>
      <c r="M27" s="29" t="n"/>
      <c r="N27" s="29" t="n"/>
      <c r="O27" s="29" t="n"/>
      <c r="P27" s="29" t="n"/>
      <c r="Q27" s="29" t="n"/>
      <c r="R27" s="176" t="n"/>
      <c r="S27" s="176" t="n"/>
      <c r="T27" s="176" t="n"/>
      <c r="U27" s="29" t="n"/>
    </row>
    <row r="28" ht="110.25" customHeight="1" s="155">
      <c r="A28" s="28">
        <f>A27+1</f>
        <v/>
      </c>
      <c r="B28" s="29" t="inlineStr">
        <is>
          <t>Sfogliatella riccia</t>
        </is>
      </c>
      <c r="C28" s="29" t="inlineStr">
        <is>
          <t>FARINA 0/MAN. CAPUTO DA KG.25    CONTIENE ALLERGENI - F.lli Fiorentino Srl n° fatt 47484 - 16/02/2024</t>
        </is>
      </c>
      <c r="D28" s="29" t="inlineStr">
        <is>
          <t>ZUCCHERO RAFF.SEM.  NON CONTIENE ALLERGENI - F.lli Fiorentino Srl n° fatt 47484 - 16/02/2024</t>
        </is>
      </c>
      <c r="E28" s="29" t="inlineStr">
        <is>
          <t>MARGAR WIENER ZIEH PLAT KG.2X5    CONTIENE ALLERGENI - F.lli Fiorentino Srl n° fatt 47484 - 16/02/2024</t>
        </is>
      </c>
      <c r="F28" s="29" t="inlineStr">
        <is>
          <t>STRUTTO RAFFINATO I B VERDE    NON CONTIENE ALLERGENI - F.lli Fiorentino Srl n° fatt 47484 - 16/02/2024</t>
        </is>
      </c>
      <c r="G28" s="29" t="inlineStr">
        <is>
          <t>SALE  - F.lli Fiorentino Srl n° fatt 1/1028 - 25/01/2024</t>
        </is>
      </c>
      <c r="H28" s="29" t="inlineStr">
        <is>
          <t>UOVA CAT.PESO  069 L, 18.03.2024  CONTIENE ALLERGENI - EUROUOVA SRL n° fatt 424 - 22/02/2024</t>
        </is>
      </c>
      <c r="I28" s="29" t="inlineStr">
        <is>
          <t>Ricotta Tipo Roma  CONTIENE ALLERGENI - GARGIULO GIUSEPPE n° fatt FPR 74/24 - 29/02/2024</t>
        </is>
      </c>
      <c r="J28" s="29" t="inlineStr">
        <is>
          <t>CUBETTI MISTI - RONDINELLA MARKET S.R.L. n° fatt 1900 - 05/12/2023</t>
        </is>
      </c>
      <c r="K28" s="29" t="n"/>
      <c r="L28" s="29" t="inlineStr">
        <is>
          <t>Cannella - SAIMA S.p.A. n° fatt 1/935 - 04/01/2024</t>
        </is>
      </c>
      <c r="M28" s="29" t="n"/>
      <c r="N28" s="29" t="n"/>
      <c r="O28" s="29" t="n"/>
      <c r="P28" s="29" t="n"/>
      <c r="Q28" s="29" t="n"/>
      <c r="R28" s="176" t="n"/>
      <c r="S28" s="176" t="n"/>
      <c r="T28" s="176" t="n"/>
      <c r="U28" s="29" t="n"/>
    </row>
    <row r="29" ht="110.25" customHeight="1" s="155">
      <c r="A29" s="28">
        <f>A28+1</f>
        <v/>
      </c>
      <c r="B29" s="29" t="inlineStr">
        <is>
          <t>Sfogliatella frolla</t>
        </is>
      </c>
      <c r="C29" s="29" t="inlineStr">
        <is>
          <t>FARINA 0/MAN. CAPUTO DA KG.25    CONTIENE ALLERGENI - F.lli Fiorentino Srl n° fatt 47484 - 16/02/2024</t>
        </is>
      </c>
      <c r="D29" s="29" t="inlineStr">
        <is>
          <t>ZUCCHERO RAFF.SEM.  NON CONTIENE ALLERGENI - F.lli Fiorentino Srl n° fatt 47484 - 16/02/2024</t>
        </is>
      </c>
      <c r="E29" s="29" t="inlineStr">
        <is>
          <t>MARGAR WIENER ZIEH PLAT KG.2X5    CONTIENE ALLERGENI - F.lli Fiorentino Srl n° fatt 47484 - 16/02/2024</t>
        </is>
      </c>
      <c r="F29" s="29" t="inlineStr">
        <is>
          <t>STRUTTO RAFFINATO I B VERDE    NON CONTIENE ALLERGENI - F.lli Fiorentino Srl n° fatt 47484 - 16/02/2024</t>
        </is>
      </c>
      <c r="G29" s="29" t="inlineStr">
        <is>
          <t>SALE  - F.lli Fiorentino Srl n° fatt 1/1028 - 25/01/2024</t>
        </is>
      </c>
      <c r="H29" s="29" t="inlineStr">
        <is>
          <t>UOVA CAT.PESO  069 L, 18.03.2024  CONTIENE ALLERGENI - EUROUOVA SRL n° fatt 424 - 22/02/2024</t>
        </is>
      </c>
      <c r="I29" s="29" t="inlineStr">
        <is>
          <t>Ricotta Tipo Roma  CONTIENE ALLERGENI - GARGIULO GIUSEPPE n° fatt FPR 74/24 - 29/02/2024</t>
        </is>
      </c>
      <c r="J29" s="29" t="inlineStr">
        <is>
          <t>CUBETTI MISTI - RONDINELLA MARKET S.R.L. n° fatt 1900 - 05/12/2023</t>
        </is>
      </c>
      <c r="K29" s="29" t="n"/>
      <c r="L29" s="29" t="inlineStr">
        <is>
          <t>Cannella - SAIMA S.p.A. n° fatt 1/935 - 04/01/2024</t>
        </is>
      </c>
      <c r="M29" s="29" t="n"/>
      <c r="N29" s="29" t="n"/>
      <c r="O29" s="29" t="n"/>
      <c r="P29" s="29" t="n"/>
      <c r="Q29" s="29" t="n"/>
      <c r="R29" s="176" t="n"/>
      <c r="S29" s="176" t="n"/>
      <c r="T29" s="176" t="n"/>
      <c r="U29" s="29" t="n"/>
    </row>
    <row r="30" ht="110.25" customHeight="1" s="155">
      <c r="A30" s="28">
        <f>A29+1</f>
        <v/>
      </c>
      <c r="B30" s="29" t="inlineStr">
        <is>
          <t>Sfogliatella riccia</t>
        </is>
      </c>
      <c r="C30" s="29" t="inlineStr">
        <is>
          <t>FARINA 0/MAN. CAPUTO DA KG.25    CONTIENE ALLERGENI - F.lli Fiorentino Srl n° fatt 47484 - 16/02/2024</t>
        </is>
      </c>
      <c r="D30" s="29" t="inlineStr">
        <is>
          <t>ZUCCHERO RAFF.SEM.  NON CONTIENE ALLERGENI - F.lli Fiorentino Srl n° fatt 47484 - 16/02/2024</t>
        </is>
      </c>
      <c r="E30" s="29" t="inlineStr">
        <is>
          <t>MARGAR WIENER ZIEH PLAT KG.2X5    CONTIENE ALLERGENI - F.lli Fiorentino Srl n° fatt 47484 - 16/02/2024</t>
        </is>
      </c>
      <c r="F30" s="29" t="inlineStr">
        <is>
          <t>STRUTTO RAFFINATO I B VERDE    NON CONTIENE ALLERGENI - F.lli Fiorentino Srl n° fatt 47484 - 16/02/2024</t>
        </is>
      </c>
      <c r="G30" s="29" t="inlineStr">
        <is>
          <t>SALE  - F.lli Fiorentino Srl n° fatt 1/1028 - 25/01/2024</t>
        </is>
      </c>
      <c r="H30" s="29" t="inlineStr">
        <is>
          <t>UOVA CAT.PESO  069 L, 18.03.2024  CONTIENE ALLERGENI - EUROUOVA SRL n° fatt 424 - 22/02/2024</t>
        </is>
      </c>
      <c r="I30" s="29" t="inlineStr">
        <is>
          <t>Ricotta Tipo Roma  CONTIENE ALLERGENI - GARGIULO GIUSEPPE n° fatt FPR 74/24 - 29/02/2024</t>
        </is>
      </c>
      <c r="J30" s="29" t="inlineStr">
        <is>
          <t>CUBETTI MISTI - RONDINELLA MARKET S.R.L. n° fatt 1900 - 05/12/2023</t>
        </is>
      </c>
      <c r="K30" s="29" t="n"/>
      <c r="L30" s="29" t="inlineStr">
        <is>
          <t>Cannella - SAIMA S.p.A. n° fatt 1/935 - 04/01/2024</t>
        </is>
      </c>
      <c r="M30" s="29" t="n"/>
      <c r="N30" s="29" t="n"/>
      <c r="O30" s="29" t="n"/>
      <c r="P30" s="29" t="n"/>
      <c r="Q30" s="29" t="n"/>
      <c r="R30" s="176" t="n"/>
      <c r="S30" s="176" t="n"/>
      <c r="T30" s="176" t="n"/>
      <c r="U30" s="29" t="n"/>
    </row>
    <row r="31" ht="110.25" customHeight="1" s="155">
      <c r="A31" s="28">
        <f>A30+1</f>
        <v/>
      </c>
      <c r="B31" s="29" t="inlineStr">
        <is>
          <t>Sfogliatella riccia</t>
        </is>
      </c>
      <c r="C31" s="29" t="inlineStr">
        <is>
          <t>FARINA 0/MAN. CAPUTO DA KG.25    CONTIENE ALLERGENI - F.lli Fiorentino Srl n° fatt 47484 - 16/02/2024</t>
        </is>
      </c>
      <c r="D31" s="29" t="inlineStr">
        <is>
          <t>ZUCCHERO RAFF.SEM.  NON CONTIENE ALLERGENI - F.lli Fiorentino Srl n° fatt 47484 - 16/02/2024</t>
        </is>
      </c>
      <c r="E31" s="29" t="inlineStr">
        <is>
          <t>MARGAR WIENER ZIEH PLAT KG.2X5    CONTIENE ALLERGENI - F.lli Fiorentino Srl n° fatt 47484 - 16/02/2024</t>
        </is>
      </c>
      <c r="F31" s="29" t="inlineStr">
        <is>
          <t>STRUTTO RAFFINATO I B VERDE    NON CONTIENE ALLERGENI - F.lli Fiorentino Srl n° fatt 47484 - 16/02/2024</t>
        </is>
      </c>
      <c r="G31" s="29" t="inlineStr">
        <is>
          <t>SALE  - F.lli Fiorentino Srl n° fatt 1/1028 - 25/01/2024</t>
        </is>
      </c>
      <c r="H31" s="29" t="inlineStr">
        <is>
          <t>UOVA CAT.PESO  069 L, 18.03.2024  CONTIENE ALLERGENI - EUROUOVA SRL n° fatt 424 - 22/02/2024</t>
        </is>
      </c>
      <c r="I31" s="29" t="inlineStr">
        <is>
          <t>Ricotta Tipo Roma  CONTIENE ALLERGENI - GARGIULO GIUSEPPE n° fatt FPR 74/24 - 29/02/2024</t>
        </is>
      </c>
      <c r="J31" s="29" t="inlineStr">
        <is>
          <t>CUBETTI MISTI - RONDINELLA MARKET S.R.L. n° fatt 1900 - 05/12/2023</t>
        </is>
      </c>
      <c r="K31" s="29" t="n"/>
      <c r="L31" s="29" t="inlineStr">
        <is>
          <t>Cannella - SAIMA S.p.A. n° fatt 1/935 - 04/01/2024</t>
        </is>
      </c>
      <c r="M31" s="29" t="n"/>
      <c r="N31" s="29" t="n"/>
      <c r="O31" s="29" t="n"/>
      <c r="P31" s="29" t="n"/>
      <c r="Q31" s="29" t="n"/>
      <c r="R31" s="176" t="n"/>
      <c r="S31" s="176" t="n"/>
      <c r="T31" s="176" t="n"/>
      <c r="U31" s="29" t="n"/>
    </row>
    <row r="32" ht="110.25" customHeight="1" s="155">
      <c r="A32" s="28">
        <f>A31+1</f>
        <v/>
      </c>
      <c r="B32" s="29" t="inlineStr">
        <is>
          <t>Sfogliatella riccia</t>
        </is>
      </c>
      <c r="C32" s="29" t="inlineStr">
        <is>
          <t>FARINA 0/MAN. CAPUTO DA KG.25    CONTIENE ALLERGENI - F.lli Fiorentino Srl n° fatt 47484 - 16/02/2024</t>
        </is>
      </c>
      <c r="D32" s="29" t="inlineStr">
        <is>
          <t>ZUCCHERO RAFF.SEM.  NON CONTIENE ALLERGENI - F.lli Fiorentino Srl n° fatt 47484 - 16/02/2024</t>
        </is>
      </c>
      <c r="E32" s="29" t="inlineStr">
        <is>
          <t>MARGAR WIENER ZIEH PLAT KG.2X5    CONTIENE ALLERGENI - F.lli Fiorentino Srl n° fatt 47484 - 16/02/2024</t>
        </is>
      </c>
      <c r="F32" s="29" t="inlineStr">
        <is>
          <t>STRUTTO RAFFINATO I B VERDE    NON CONTIENE ALLERGENI - F.lli Fiorentino Srl n° fatt 47484 - 16/02/2024</t>
        </is>
      </c>
      <c r="G32" s="29" t="inlineStr">
        <is>
          <t>SALE  - F.lli Fiorentino Srl n° fatt 1/1028 - 25/01/2024</t>
        </is>
      </c>
      <c r="H32" s="29" t="inlineStr">
        <is>
          <t>UOVA CAT.PESO  069 L, 18.03.2024  CONTIENE ALLERGENI - EUROUOVA SRL n° fatt 424 - 22/02/2024</t>
        </is>
      </c>
      <c r="I32" s="29" t="inlineStr">
        <is>
          <t>Ricotta Tipo Roma  CONTIENE ALLERGENI - GARGIULO GIUSEPPE n° fatt FPR 74/24 - 29/02/2024</t>
        </is>
      </c>
      <c r="J32" s="29" t="inlineStr">
        <is>
          <t>CUBETTI MISTI - RONDINELLA MARKET S.R.L. n° fatt 1900 - 05/12/2023</t>
        </is>
      </c>
      <c r="K32" s="29" t="n"/>
      <c r="L32" s="29" t="inlineStr">
        <is>
          <t>Cannella - SAIMA S.p.A. n° fatt 1/935 - 04/01/2024</t>
        </is>
      </c>
      <c r="M32" s="29" t="n"/>
      <c r="N32" s="29" t="n"/>
      <c r="O32" s="29" t="n"/>
      <c r="P32" s="29" t="n"/>
      <c r="Q32" s="29" t="n"/>
      <c r="R32" s="176" t="n"/>
      <c r="S32" s="176" t="n"/>
      <c r="T32" s="176" t="n"/>
      <c r="U32" s="29" t="n"/>
    </row>
    <row r="33" ht="110.25" customHeight="1" s="155">
      <c r="A33" s="28">
        <f>A32+1</f>
        <v/>
      </c>
      <c r="B33" s="29" t="inlineStr">
        <is>
          <t>Sfogliatella riccia</t>
        </is>
      </c>
      <c r="C33" s="29" t="inlineStr">
        <is>
          <t>FARINA 0/MAN. CAPUTO DA KG.25    CONTIENE ALLERGENI - F.lli Fiorentino Srl n° fatt 47484 - 16/02/2024</t>
        </is>
      </c>
      <c r="D33" s="29" t="inlineStr">
        <is>
          <t>ZUCCHERO RAFF.SEM.  NON CONTIENE ALLERGENI - F.lli Fiorentino Srl n° fatt 47484 - 16/02/2024</t>
        </is>
      </c>
      <c r="E33" s="29" t="inlineStr">
        <is>
          <t>MARGAR WIENER ZIEH PLAT KG.2X5    CONTIENE ALLERGENI - F.lli Fiorentino Srl n° fatt 47484 - 16/02/2024</t>
        </is>
      </c>
      <c r="F33" s="29" t="inlineStr">
        <is>
          <t>STRUTTO RAFFINATO I B VERDE    NON CONTIENE ALLERGENI - F.lli Fiorentino Srl n° fatt 47484 - 16/02/2024</t>
        </is>
      </c>
      <c r="G33" s="29" t="inlineStr">
        <is>
          <t>SALE  - F.lli Fiorentino Srl n° fatt 1/1028 - 25/01/2024</t>
        </is>
      </c>
      <c r="H33" s="29" t="inlineStr">
        <is>
          <t>UOVA CAT.PESO  069 L, 18.03.2024  CONTIENE ALLERGENI - EUROUOVA SRL n° fatt 424 - 22/02/2024</t>
        </is>
      </c>
      <c r="I33" s="29" t="inlineStr">
        <is>
          <t>Ricotta Tipo Roma  CONTIENE ALLERGENI - GARGIULO GIUSEPPE n° fatt FPR 74/24 - 29/02/2024</t>
        </is>
      </c>
      <c r="J33" s="29" t="inlineStr">
        <is>
          <t>CUBETTI MISTI - RONDINELLA MARKET S.R.L. n° fatt 1900 - 05/12/2023</t>
        </is>
      </c>
      <c r="K33" s="29" t="n"/>
      <c r="L33" s="29" t="inlineStr">
        <is>
          <t>Cannella - SAIMA S.p.A. n° fatt 1/935 - 04/01/2024</t>
        </is>
      </c>
      <c r="M33" s="29" t="n"/>
      <c r="N33" s="29" t="n"/>
      <c r="O33" s="29" t="n"/>
      <c r="P33" s="29" t="n"/>
      <c r="Q33" s="29" t="n"/>
      <c r="R33" s="176" t="n"/>
      <c r="S33" s="176" t="n"/>
      <c r="T33" s="176" t="n"/>
      <c r="U33" s="29" t="n"/>
    </row>
    <row r="34" ht="110.25" customHeight="1" s="155">
      <c r="A34" s="28">
        <f>A33+1</f>
        <v/>
      </c>
      <c r="B34" s="29" t="inlineStr">
        <is>
          <t>Tiramisù</t>
        </is>
      </c>
      <c r="C34" s="29" t="inlineStr">
        <is>
          <t>FARINA 0/MAN. CAPUTO DA KG.25    CONTIENE ALLERGENI - F.lli Fiorentino Srl n° fatt 47484 - 16/02/2024</t>
        </is>
      </c>
      <c r="D34" s="29" t="inlineStr">
        <is>
          <t>ZUCCHERO RAFF.SEM.  NON CONTIENE ALLERGENI - F.lli Fiorentino Srl n° fatt 47484 - 16/02/2024</t>
        </is>
      </c>
      <c r="E34" s="29" t="inlineStr">
        <is>
          <t>MARGAR WIENER ZIEH PLAT KG.2X5    CONTIENE ALLERGENI - F.lli Fiorentino Srl n° fatt 47484 - 16/02/2024</t>
        </is>
      </c>
      <c r="F34" s="29" t="n"/>
      <c r="G34" s="29" t="inlineStr">
        <is>
          <t>SALE  - F.lli Fiorentino Srl n° fatt 1/1028 - 25/01/2024</t>
        </is>
      </c>
      <c r="H34" s="29" t="inlineStr">
        <is>
          <t>UOVA CAT.PESO  069 L, 18.03.2024  CONTIENE ALLERGENI - EUROUOVA SRL n° fatt 424 - 22/02/2024</t>
        </is>
      </c>
      <c r="I34" s="29" t="n"/>
      <c r="J34" s="29" t="n"/>
      <c r="K34" s="29" t="n"/>
      <c r="L34" s="29" t="n"/>
      <c r="M34" s="29" t="n"/>
      <c r="N34" s="29" t="n"/>
      <c r="O34" s="29" t="n"/>
      <c r="P34" s="29" t="n"/>
      <c r="Q34" s="29" t="n"/>
      <c r="R34" s="176" t="n"/>
      <c r="S34" s="176" t="n"/>
      <c r="T34" s="176" t="n"/>
      <c r="U34" s="29" t="n"/>
    </row>
    <row r="35" ht="110.25" customHeight="1" s="155">
      <c r="A35" s="28">
        <f>A34+1</f>
        <v/>
      </c>
      <c r="B35" s="29" t="inlineStr">
        <is>
          <t>Prussiana</t>
        </is>
      </c>
      <c r="C35" s="29" t="inlineStr">
        <is>
          <t>FARINA 0/MAN. CAPUTO DA KG.25    CONTIENE ALLERGENI - F.lli Fiorentino Srl n° fatt 47484 - 16/02/2024</t>
        </is>
      </c>
      <c r="D35" s="29" t="inlineStr">
        <is>
          <t>ZUCCHERO RAFF.SEM.  NON CONTIENE ALLERGENI - F.lli Fiorentino Srl n° fatt 47484 - 16/02/2024</t>
        </is>
      </c>
      <c r="E35" s="29" t="inlineStr">
        <is>
          <t>MARGAR WIENER ZIEH PLAT KG.2X5    CONTIENE ALLERGENI - F.lli Fiorentino Srl n° fatt 47484 - 16/02/2024</t>
        </is>
      </c>
      <c r="F35" s="29" t="inlineStr">
        <is>
          <t>STRUTTO RAFFINATO I B VERDE    NON CONTIENE ALLERGENI - F.lli Fiorentino Srl n° fatt 47484 - 16/02/2024</t>
        </is>
      </c>
      <c r="G35" s="29" t="inlineStr">
        <is>
          <t>SALE  - F.lli Fiorentino Srl n° fatt 1/1028 - 25/01/2024</t>
        </is>
      </c>
      <c r="H35" s="29" t="n"/>
      <c r="I35" s="29" t="n"/>
      <c r="J35" s="29" t="n"/>
      <c r="K35" s="29" t="n"/>
      <c r="L35" s="29" t="n"/>
      <c r="M35" s="29" t="n"/>
      <c r="N35" s="29" t="n"/>
      <c r="O35" s="29" t="n"/>
      <c r="P35" s="29" t="n"/>
      <c r="Q35" s="29" t="n"/>
      <c r="R35" s="176" t="n"/>
      <c r="S35" s="176" t="n"/>
      <c r="T35" s="176" t="n"/>
      <c r="U35" s="29" t="n"/>
    </row>
    <row r="36" ht="110.25" customHeight="1" s="155">
      <c r="A36" s="28">
        <f>A35+1</f>
        <v/>
      </c>
      <c r="B36" s="29" t="inlineStr">
        <is>
          <t>Pasta choux</t>
        </is>
      </c>
      <c r="C36" s="29" t="inlineStr">
        <is>
          <t>FARINA 0/MAN. CAPUTO DA KG.25    CONTIENE ALLERGENI - F.lli Fiorentino Srl n° fatt 47484 - 16/02/2024</t>
        </is>
      </c>
      <c r="D36" s="29" t="n"/>
      <c r="E36" s="29" t="inlineStr">
        <is>
          <t>MARGAR WIENER ZIEH PLAT KG.2X5    CONTIENE ALLERGENI - F.lli Fiorentino Srl n° fatt 47484 - 16/02/2024</t>
        </is>
      </c>
      <c r="F36" s="29" t="n"/>
      <c r="G36" s="29" t="inlineStr">
        <is>
          <t>SALE  - F.lli Fiorentino Srl n° fatt 1/1028 - 25/01/2024</t>
        </is>
      </c>
      <c r="H36" s="29" t="n"/>
      <c r="I36" s="29" t="n"/>
      <c r="J36" s="29" t="n"/>
      <c r="K36" s="29" t="n"/>
      <c r="L36" s="29" t="n"/>
      <c r="M36" s="29" t="n"/>
      <c r="N36" s="29" t="n"/>
      <c r="O36" s="29" t="n"/>
      <c r="P36" s="29" t="n"/>
      <c r="Q36" s="29" t="n"/>
      <c r="R36" s="176" t="n"/>
      <c r="S36" s="176" t="n"/>
      <c r="T36" s="176" t="n"/>
      <c r="U36" s="29" t="n"/>
    </row>
    <row r="37" ht="110.25" customHeight="1" s="155">
      <c r="A37" s="28">
        <f>A36+1</f>
        <v/>
      </c>
      <c r="B37" s="29" t="inlineStr">
        <is>
          <t>Pasta choux</t>
        </is>
      </c>
      <c r="C37" s="29" t="inlineStr">
        <is>
          <t>FARINA 0/MAN. CAPUTO DA KG.25    CONTIENE ALLERGENI - F.lli Fiorentino Srl n° fatt 47484 - 16/02/2024</t>
        </is>
      </c>
      <c r="D37" s="29" t="n"/>
      <c r="E37" s="29" t="inlineStr">
        <is>
          <t>MARGAR WIENER ZIEH PLAT KG.2X5    CONTIENE ALLERGENI - F.lli Fiorentino Srl n° fatt 47484 - 16/02/2024</t>
        </is>
      </c>
      <c r="F37" s="29" t="n"/>
      <c r="G37" s="29" t="inlineStr">
        <is>
          <t>SALE  - F.lli Fiorentino Srl n° fatt 1/1028 - 25/01/2024</t>
        </is>
      </c>
      <c r="H37" s="29" t="n"/>
      <c r="I37" s="29" t="n"/>
      <c r="J37" s="29" t="n"/>
      <c r="K37" s="29" t="n"/>
      <c r="L37" s="29" t="n"/>
      <c r="M37" s="29" t="n"/>
      <c r="N37" s="29" t="n"/>
      <c r="O37" s="29" t="n"/>
      <c r="P37" s="29" t="n"/>
      <c r="Q37" s="29" t="n"/>
      <c r="R37" s="176" t="n"/>
      <c r="S37" s="176" t="n"/>
      <c r="T37" s="176" t="n"/>
      <c r="U37" s="29" t="n"/>
    </row>
    <row r="38" ht="110.25" customHeight="1" s="155">
      <c r="A38" s="28">
        <f>A37+1</f>
        <v/>
      </c>
      <c r="B38" s="29" t="inlineStr">
        <is>
          <t>Cornetto ischitano</t>
        </is>
      </c>
      <c r="C38" s="29" t="inlineStr">
        <is>
          <t>FARINA 00 CAPUTO RINFORZ.KG.25    CONTIENE ALLERGENI - F.lli Fiorentino Srl n° fatt 47484 - 16/02/2024</t>
        </is>
      </c>
      <c r="D38" s="29" t="inlineStr">
        <is>
          <t>ZUCCHERO RAFF.SEM.  NON CONTIENE ALLERGENI - F.lli Fiorentino Srl n° fatt 47484 - 16/02/2024</t>
        </is>
      </c>
      <c r="E38" s="29" t="inlineStr">
        <is>
          <t>MARGAR WIENER ZIEH PLAT KG.2X5    CONTIENE ALLERGENI - F.lli Fiorentino Srl n° fatt 47484 - 16/02/2024</t>
        </is>
      </c>
      <c r="F38" s="29" t="n"/>
      <c r="G38" s="29" t="inlineStr">
        <is>
          <t>SALE  - F.lli Fiorentino Srl n° fatt 1/1028 - 25/01/2024</t>
        </is>
      </c>
      <c r="H38" s="29" t="inlineStr">
        <is>
          <t>UOVA CAT.PESO  069 L, 18.03.2024  CONTIENE ALLERGENI - EUROUOVA SRL n° fatt 424 - 22/02/2024</t>
        </is>
      </c>
      <c r="I38" s="29" t="inlineStr">
        <is>
          <t>AMARENA VISCIOLA - "RONDINELLA MARKET S.R.L." n° fatt 1956 - 12/12/2023</t>
        </is>
      </c>
      <c r="J38" s="29" t="inlineStr">
        <is>
          <t>ZUPPA INGLESE - "RONDINELLA MARKET S.R.L." n° fatt 48 - 12/01/2024</t>
        </is>
      </c>
      <c r="K38" s="29" t="n"/>
      <c r="L38" s="29" t="inlineStr">
        <is>
          <t>LIEVITO  NON CONTIENE ALLERGENI - F.lli Fiorentino Srl n° fatt 47484 - 16/02/2024</t>
        </is>
      </c>
      <c r="M38" s="29" t="n"/>
      <c r="N38" s="29" t="n"/>
      <c r="O38" s="29" t="n"/>
      <c r="P38" s="29" t="n"/>
      <c r="Q38" s="29" t="n"/>
      <c r="R38" s="176" t="n"/>
      <c r="S38" s="176" t="n"/>
      <c r="T38" s="176" t="n"/>
      <c r="U38" s="29" t="n"/>
    </row>
    <row r="39" ht="110.25" customHeight="1" s="155">
      <c r="A39" s="28">
        <f>A38+1</f>
        <v/>
      </c>
      <c r="B39" s="29" t="inlineStr">
        <is>
          <t>Sfogliatella riccia</t>
        </is>
      </c>
      <c r="C39" s="29" t="inlineStr">
        <is>
          <t>FARINA 0/MAN. CAPUTO DA KG.25    CONTIENE ALLERGENI - F.lli Fiorentino Srl n° fatt 47484 - 16/02/2024</t>
        </is>
      </c>
      <c r="D39" s="29" t="inlineStr">
        <is>
          <t>ZUCCHERO RAFF.SEM.  NON CONTIENE ALLERGENI - F.lli Fiorentino Srl n° fatt 47484 - 16/02/2024</t>
        </is>
      </c>
      <c r="E39" s="29" t="inlineStr">
        <is>
          <t>MARGAR WIENER ZIEH PLAT KG.2X5    CONTIENE ALLERGENI - F.lli Fiorentino Srl n° fatt 47484 - 16/02/2024</t>
        </is>
      </c>
      <c r="F39" s="29" t="inlineStr">
        <is>
          <t>STRUTTO RAFFINATO I B VERDE    NON CONTIENE ALLERGENI - F.lli Fiorentino Srl n° fatt 47484 - 16/02/2024</t>
        </is>
      </c>
      <c r="G39" s="29" t="inlineStr">
        <is>
          <t>SALE  - F.lli Fiorentino Srl n° fatt 1/1028 - 25/01/2024</t>
        </is>
      </c>
      <c r="H39" s="29" t="inlineStr">
        <is>
          <t>UOVA CAT.PESO  069 L, 18.03.2024  CONTIENE ALLERGENI - EUROUOVA SRL n° fatt 424 - 22/02/2024</t>
        </is>
      </c>
      <c r="I39" s="29" t="inlineStr">
        <is>
          <t>Ricotta Tipo Roma  CONTIENE ALLERGENI - GARGIULO GIUSEPPE n° fatt FPR 74/24 - 29/02/2024</t>
        </is>
      </c>
      <c r="J39" s="29" t="inlineStr">
        <is>
          <t>CUBETTI MISTI - RONDINELLA MARKET S.R.L. n° fatt 1900 - 05/12/2023</t>
        </is>
      </c>
      <c r="K39" s="29" t="n"/>
      <c r="L39" s="29" t="inlineStr">
        <is>
          <t>Cannella - SAIMA S.p.A. n° fatt 1/935 - 04/01/2024</t>
        </is>
      </c>
      <c r="M39" s="29" t="n"/>
      <c r="N39" s="29" t="n"/>
      <c r="O39" s="29" t="n"/>
      <c r="P39" s="29" t="n"/>
      <c r="Q39" s="29" t="n"/>
      <c r="R39" s="176" t="n"/>
      <c r="S39" s="176" t="n"/>
      <c r="T39" s="176" t="n"/>
      <c r="U39" s="29" t="n"/>
    </row>
    <row r="40" ht="110.25" customHeight="1" s="155">
      <c r="A40" s="28">
        <f>A39+1</f>
        <v/>
      </c>
      <c r="B40" s="29" t="inlineStr">
        <is>
          <t>Prussiana</t>
        </is>
      </c>
      <c r="C40" s="29" t="inlineStr">
        <is>
          <t>FARINA 0/MAN. CAPUTO DA KG.25    CONTIENE ALLERGENI - F.lli Fiorentino Srl n° fatt 47484 - 16/02/2024</t>
        </is>
      </c>
      <c r="D40" s="29" t="inlineStr">
        <is>
          <t>ZUCCHERO RAFF.SEM.  NON CONTIENE ALLERGENI - F.lli Fiorentino Srl n° fatt 47484 - 16/02/2024</t>
        </is>
      </c>
      <c r="E40" s="29" t="inlineStr">
        <is>
          <t>MARGAR WIENER ZIEH PLAT KG.2X5    CONTIENE ALLERGENI - F.lli Fiorentino Srl n° fatt 47484 - 16/02/2024</t>
        </is>
      </c>
      <c r="F40" s="29" t="inlineStr">
        <is>
          <t>STRUTTO RAFFINATO I B VERDE    NON CONTIENE ALLERGENI - F.lli Fiorentino Srl n° fatt 47484 - 16/02/2024</t>
        </is>
      </c>
      <c r="G40" s="29" t="inlineStr">
        <is>
          <t>SALE  - F.lli Fiorentino Srl n° fatt 1/1028 - 25/01/2024</t>
        </is>
      </c>
      <c r="H40" s="29" t="n"/>
      <c r="I40" s="29" t="n"/>
      <c r="J40" s="29" t="n"/>
      <c r="K40" s="29" t="n"/>
      <c r="L40" s="29" t="n"/>
      <c r="M40" s="29" t="n"/>
      <c r="N40" s="29" t="n"/>
      <c r="O40" s="29" t="n"/>
      <c r="P40" s="29" t="n"/>
      <c r="Q40" s="29" t="n"/>
      <c r="R40" s="176" t="n"/>
      <c r="S40" s="176" t="n"/>
      <c r="T40" s="176" t="n"/>
      <c r="U40" s="29" t="n"/>
    </row>
    <row r="41" ht="110.25" customHeight="1" s="155">
      <c r="A41" s="28">
        <f>A40+1</f>
        <v/>
      </c>
      <c r="B41" s="29" t="inlineStr">
        <is>
          <t>Francesina crema</t>
        </is>
      </c>
      <c r="C41" s="29" t="inlineStr">
        <is>
          <t>FARINA 00 CAPUTO RINFORZ.KG.25    CONTIENE ALLERGENI - F.lli Fiorentino Srl n° fatt 47484 - 16/02/2024</t>
        </is>
      </c>
      <c r="D41" s="29" t="inlineStr">
        <is>
          <t>ZUCCHERO RAFF.SEM.  NON CONTIENE ALLERGENI - F.lli Fiorentino Srl n° fatt 47484 - 16/02/2024</t>
        </is>
      </c>
      <c r="E41" s="29" t="inlineStr">
        <is>
          <t>MARGAR WIENER ZIEH PLAT KG.2X5    CONTIENE ALLERGENI - F.lli Fiorentino Srl n° fatt 47484 - 16/02/2024</t>
        </is>
      </c>
      <c r="F41" s="29" t="inlineStr">
        <is>
          <t>AMIDO DI RISO - "RONDINELLA MARKET S.R.L." n° fatt 1687 - 03/11/2023</t>
        </is>
      </c>
      <c r="G41" s="29" t="inlineStr">
        <is>
          <t>SALE  - F.lli Fiorentino Srl n° fatt 1/1028 - 25/01/2024</t>
        </is>
      </c>
      <c r="H41" s="29" t="inlineStr">
        <is>
          <t>UOVA CAT.PESO  069 L, 18.03.2024  CONTIENE ALLERGENI - EUROUOVA SRL n° fatt 424 - 22/02/2024</t>
        </is>
      </c>
      <c r="I41" s="29" t="inlineStr">
        <is>
          <t>ZUPPA INGLESE - "RONDINELLA MARKET S.R.L." n° fatt 48 - 12/01/2024</t>
        </is>
      </c>
      <c r="J41" s="29" t="inlineStr">
        <is>
          <t>AMARENA VISCIOLA - "RONDINELLA MARKET S.R.L." n° fatt 1956 - 12/12/2023</t>
        </is>
      </c>
      <c r="K41" s="29" t="n"/>
      <c r="L41" s="29" t="inlineStr">
        <is>
          <t>LATTE FR.P.S.4/4 PET YMA  CONTIENE ALLERGENI - G.I.A.L.  n° fatt V1-4396 - 29/02/2024</t>
        </is>
      </c>
      <c r="M41" s="29" t="n"/>
      <c r="N41" s="29" t="n"/>
      <c r="O41" s="29" t="n"/>
      <c r="P41" s="29" t="n"/>
      <c r="Q41" s="29" t="n"/>
      <c r="R41" s="176" t="n"/>
      <c r="S41" s="176" t="n"/>
      <c r="T41" s="176" t="n"/>
      <c r="U41" s="29" t="n"/>
    </row>
    <row r="42" ht="110.25" customHeight="1" s="155">
      <c r="A42" s="28">
        <f>A41+1</f>
        <v/>
      </c>
      <c r="B42" s="29" t="inlineStr">
        <is>
          <t>Ciabatta Pizza</t>
        </is>
      </c>
      <c r="C42" s="29" t="inlineStr">
        <is>
          <t>FARINA 0/MAN. CAPUTO DA KG.25    CONTIENE ALLERGENI - F.lli Fiorentino Srl n° fatt 47484 - 16/02/2024</t>
        </is>
      </c>
      <c r="D42" s="29" t="inlineStr">
        <is>
          <t>ZUCCHERO RAFF.SEM.  NON CONTIENE ALLERGENI - F.lli Fiorentino Srl n° fatt 47484 - 16/02/2024</t>
        </is>
      </c>
      <c r="E42" s="29" t="n"/>
      <c r="F42" s="29" t="inlineStr">
        <is>
          <t>STRUTTO RAFFINATO I B VERDE    NON CONTIENE ALLERGENI - F.lli Fiorentino Srl n° fatt 47484 - 16/02/2024</t>
        </is>
      </c>
      <c r="G42" s="29" t="inlineStr">
        <is>
          <t>SALE  - F.lli Fiorentino Srl n° fatt 1/1028 - 25/01/2024</t>
        </is>
      </c>
      <c r="H42" s="29" t="n"/>
      <c r="I42" s="29" t="n"/>
      <c r="J42" s="29" t="n"/>
      <c r="K42" s="29" t="n"/>
      <c r="L42" s="29" t="inlineStr">
        <is>
          <t>LIEVITO  NON CONTIENE ALLERGENI - F.lli Fiorentino Srl n° fatt 47484 - 16/02/2024</t>
        </is>
      </c>
      <c r="M42" s="29" t="n"/>
      <c r="N42" s="29" t="n"/>
      <c r="O42" s="29" t="n"/>
      <c r="P42" s="29" t="n"/>
      <c r="Q42" s="29" t="n"/>
      <c r="R42" s="176" t="n"/>
      <c r="S42" s="176" t="n"/>
      <c r="T42" s="176" t="n"/>
      <c r="U42" s="29" t="n"/>
    </row>
    <row r="43" ht="110.25" customHeight="1" s="155">
      <c r="A43" s="28">
        <f>A42+1</f>
        <v/>
      </c>
      <c r="B43" s="29" t="inlineStr">
        <is>
          <t>Pastiera</t>
        </is>
      </c>
      <c r="C43" s="29" t="inlineStr">
        <is>
          <t>FARINA 0/MAN. CAPUTO DA KG.25    CONTIENE ALLERGENI - F.lli Fiorentino Srl n° fatt 47484 - 16/02/2024</t>
        </is>
      </c>
      <c r="D43" s="29" t="inlineStr">
        <is>
          <t>ZUCCHERO RAFF.SEM.  NON CONTIENE ALLERGENI - F.lli Fiorentino Srl n° fatt 47484 - 16/02/2024</t>
        </is>
      </c>
      <c r="E43" s="29" t="inlineStr">
        <is>
          <t>MARGAR WIENER ZIEH PLAT KG.2X5    CONTIENE ALLERGENI - F.lli Fiorentino Srl n° fatt 47484 - 16/02/2024</t>
        </is>
      </c>
      <c r="F43" s="29" t="inlineStr">
        <is>
          <t>STRUTTO RAFFINATO I B VERDE    NON CONTIENE ALLERGENI - F.lli Fiorentino Srl n° fatt 47484 - 16/02/2024</t>
        </is>
      </c>
      <c r="G43" s="29" t="inlineStr">
        <is>
          <t>Ricotta Tipo Roma  CONTIENE ALLERGENI - GARGIULO GIUSEPPE n° fatt FPR 74/24 - 29/02/2024</t>
        </is>
      </c>
      <c r="H43" s="29" t="inlineStr">
        <is>
          <t>UOVA CAT.PESO  069 L, 18.03.2024  CONTIENE ALLERGENI - EUROUOVA SRL n° fatt 424 - 22/02/2024</t>
        </is>
      </c>
      <c r="I43" s="29" t="inlineStr">
        <is>
          <t>GRANO COTTO - F.lli Fiorentino Srl n° fatt 1/158 - 04/01/2024</t>
        </is>
      </c>
      <c r="J43" s="29" t="inlineStr">
        <is>
          <t>CUBETTI MISTI - "RONDINELLA MARKET S.R.L." n° fatt 1486 - 02/10/2023</t>
        </is>
      </c>
      <c r="K43" s="29" t="n"/>
      <c r="L43" s="29" t="inlineStr">
        <is>
          <t>LATTE FR.P.S.4/4 PET YMA  CONTIENE ALLERGENI - G.I.A.L.  n° fatt V1-4396 - 29/02/2024</t>
        </is>
      </c>
      <c r="M43" s="29" t="n"/>
      <c r="N43" s="29" t="n"/>
      <c r="O43" s="29" t="n"/>
      <c r="P43" s="29" t="n"/>
      <c r="Q43" s="29" t="n"/>
      <c r="R43" s="176" t="n"/>
      <c r="S43" s="176" t="n"/>
      <c r="T43" s="176" t="n"/>
      <c r="U43" s="29" t="n"/>
    </row>
    <row r="44" ht="110.25" customHeight="1" s="155">
      <c r="A44" s="28">
        <f>A43+1</f>
        <v/>
      </c>
      <c r="B44" s="29" t="inlineStr">
        <is>
          <t>Caprese Limone</t>
        </is>
      </c>
      <c r="C44" s="29" t="inlineStr">
        <is>
          <t>FARINA 00 CAPUTO RINFORZ.KG.25    CONTIENE ALLERGENI - F.lli Fiorentino Srl n° fatt 47484 - 16/02/2024</t>
        </is>
      </c>
      <c r="D44" s="29" t="inlineStr">
        <is>
          <t>ZUCCHERO RAFF.SEM.  NON CONTIENE ALLERGENI - F.lli Fiorentino Srl n° fatt 47484 - 16/02/2024</t>
        </is>
      </c>
      <c r="E44" s="29" t="inlineStr">
        <is>
          <t>MARGAR WIENER ZIEH PLAT KG.2X5    CONTIENE ALLERGENI - F.lli Fiorentino Srl n° fatt 47484 - 16/02/2024</t>
        </is>
      </c>
      <c r="F44" s="29" t="n"/>
      <c r="G44" s="29" t="inlineStr">
        <is>
          <t>SALE  - F.lli Fiorentino Srl n° fatt 1/1028 - 25/01/2024</t>
        </is>
      </c>
      <c r="H44" s="29" t="inlineStr">
        <is>
          <t>UOVA CAT.PESO  069 L, 18.03.2024  CONTIENE ALLERGENI - EUROUOVA SRL n° fatt 424 - 22/02/2024</t>
        </is>
      </c>
      <c r="I44" s="29" t="n"/>
      <c r="J44" s="29" t="n"/>
      <c r="K44" s="29" t="n"/>
      <c r="L44" s="29" t="inlineStr">
        <is>
          <t>Limone - RONDINELLA MARKET S.R.L. n° fatt 98 - 20/01/2024</t>
        </is>
      </c>
      <c r="M44" s="29" t="n"/>
      <c r="N44" s="29" t="n"/>
      <c r="O44" s="29" t="n"/>
      <c r="P44" s="29" t="n"/>
      <c r="Q44" s="29" t="n"/>
      <c r="R44" s="176" t="n"/>
      <c r="S44" s="176" t="n"/>
      <c r="T44" s="176" t="n"/>
      <c r="U44" s="29" t="n"/>
    </row>
    <row r="45" ht="110.25" customHeight="1" s="155">
      <c r="A45" s="28">
        <f>A44+1</f>
        <v/>
      </c>
      <c r="B45" s="29" t="inlineStr">
        <is>
          <t>Pasta choux</t>
        </is>
      </c>
      <c r="C45" s="29" t="inlineStr">
        <is>
          <t>FARINA 0/MAN. CAPUTO DA KG.25    CONTIENE ALLERGENI - F.lli Fiorentino Srl n° fatt 47484 - 16/02/2024</t>
        </is>
      </c>
      <c r="D45" s="29" t="n"/>
      <c r="E45" s="29" t="inlineStr">
        <is>
          <t>MARGAR WIENER ZIEH PLAT KG.2X5    CONTIENE ALLERGENI - F.lli Fiorentino Srl n° fatt 47484 - 16/02/2024</t>
        </is>
      </c>
      <c r="F45" s="29" t="n"/>
      <c r="G45" s="29" t="inlineStr">
        <is>
          <t>SALE GROSSO ITALKALI   NON CONTIENE ALLERGENI - F.lli Fiorentino Srl n° fatt 4683 - 12/04/2024</t>
        </is>
      </c>
      <c r="H45" s="29" t="n"/>
      <c r="I45" s="29" t="n"/>
      <c r="J45" s="29" t="n"/>
      <c r="K45" s="29" t="n"/>
      <c r="L45" s="29" t="n"/>
      <c r="M45" s="29" t="n"/>
      <c r="N45" s="29" t="n"/>
      <c r="O45" s="29" t="n"/>
      <c r="P45" s="29" t="n"/>
      <c r="Q45" s="29" t="n"/>
      <c r="R45" s="176" t="n"/>
      <c r="S45" s="176" t="n"/>
      <c r="T45" s="176" t="n"/>
      <c r="U45" s="29" t="n"/>
    </row>
    <row r="46" ht="110.25" customHeight="1" s="155">
      <c r="A46" s="28">
        <f>A45+1</f>
        <v/>
      </c>
      <c r="B46" s="29" t="inlineStr">
        <is>
          <t>Brioche</t>
        </is>
      </c>
      <c r="C46" s="29" t="inlineStr">
        <is>
          <t>FARINA 00 CAPUTO RINFORZ  CONTIENE ALLERGENI - F.lli Fiorentino Srl n° fatt 4683 - 12/04/2024</t>
        </is>
      </c>
      <c r="D46" s="29" t="inlineStr">
        <is>
          <t>ZUCCHERO RAFF.SEM. ERIDANIA   NON CONTIENE ALLERGENI - F.lli Fiorentino Srl n° fatt 4683 - 12/04/2024</t>
        </is>
      </c>
      <c r="E46" s="29" t="inlineStr">
        <is>
          <t>MARGARINA SFOGLIA  CONTIENE ALLERGENI - SAIMA S.p.A. n° fatt 1/59698 - 16/04/2024</t>
        </is>
      </c>
      <c r="F46" s="29" t="n"/>
      <c r="G46" s="29" t="inlineStr">
        <is>
          <t>SALE GROSSO ITALKALI   NON CONTIENE ALLERGENI - F.lli Fiorentino Srl n° fatt 4683 - 12/04/2024</t>
        </is>
      </c>
      <c r="H46" s="29" t="inlineStr">
        <is>
          <t>UOVA CAT.PESO L DA 180 UOVA SFUSE   CONTIENE ALLERGENI - EUROUOVA SRL n° fatt 1090 - 20/04/2024</t>
        </is>
      </c>
      <c r="I46" s="29" t="inlineStr">
        <is>
          <t>ZUPPA INGLESE  NON CONTIENE ALLERGENI - RONDINELLA MARKET S.R.L. n° fatt 539 - 02/04/2024</t>
        </is>
      </c>
      <c r="J46" s="29" t="n"/>
      <c r="K46" s="29" t="n"/>
      <c r="L46" s="29" t="inlineStr">
        <is>
          <t>LIEVITO  NON CONTIENE ALLERGENI - F.lli Fiorentino Srl n° fatt 47484 - 16/02/2024</t>
        </is>
      </c>
      <c r="M46" s="29" t="n"/>
      <c r="N46" s="29" t="n"/>
      <c r="O46" s="29" t="n"/>
      <c r="P46" s="29" t="n"/>
      <c r="Q46" s="29" t="n"/>
      <c r="R46" s="176" t="n"/>
      <c r="S46" s="176" t="n"/>
      <c r="T46" s="176" t="n"/>
      <c r="U46" s="29" t="n"/>
    </row>
    <row r="47" ht="110.25" customHeight="1" s="155">
      <c r="A47" s="28">
        <f>A46+1</f>
        <v/>
      </c>
      <c r="B47" s="29" t="inlineStr">
        <is>
          <t>Crema pasticciera</t>
        </is>
      </c>
      <c r="C47" s="29" t="inlineStr">
        <is>
          <t>FARINA 00 CAPUTO RINFORZ  CONTIENE ALLERGENI - F.lli Fiorentino Srl n° fatt 4683 - 12/04/2024</t>
        </is>
      </c>
      <c r="D47" s="29" t="inlineStr">
        <is>
          <t>ZUCCHERO RAFF.SEM. ERIDANIA   NON CONTIENE ALLERGENI - F.lli Fiorentino Srl n° fatt 4683 - 12/04/2024</t>
        </is>
      </c>
      <c r="E47" s="29" t="inlineStr">
        <is>
          <t>MARGARINA SFOGLIA  CONTIENE ALLERGENI - SAIMA S.p.A. n° fatt 1/59698 - 16/04/2024</t>
        </is>
      </c>
      <c r="F47" s="29" t="n"/>
      <c r="G47" s="29" t="inlineStr">
        <is>
          <t>SALE GROSSO ITALKALI   NON CONTIENE ALLERGENI - F.lli Fiorentino Srl n° fatt 4683 - 12/04/2024</t>
        </is>
      </c>
      <c r="H47" s="29" t="inlineStr">
        <is>
          <t>UOVA CAT.PESO L DA 180 UOVA SFUSE   CONTIENE ALLERGENI - EUROUOVA SRL n° fatt 1090 - 20/04/2024</t>
        </is>
      </c>
      <c r="I47" s="29" t="n"/>
      <c r="J47" s="29" t="inlineStr">
        <is>
          <t>ZUPPA INGLESE  NON CONTIENE ALLERGENI - RONDINELLA MARKET S.R.L. n° fatt 539 - 02/04/2024</t>
        </is>
      </c>
      <c r="K47" s="29" t="n"/>
      <c r="L47" s="29" t="n"/>
      <c r="M47" s="29" t="n"/>
      <c r="N47" s="29" t="n"/>
      <c r="O47" s="29" t="n"/>
      <c r="P47" s="29" t="n"/>
      <c r="Q47" s="29" t="n"/>
      <c r="R47" s="176" t="n"/>
      <c r="S47" s="176" t="n"/>
      <c r="T47" s="176" t="n"/>
      <c r="U47" s="29" t="n"/>
    </row>
    <row r="48" ht="110.25" customHeight="1" s="155">
      <c r="A48" s="28">
        <f>A47+1</f>
        <v/>
      </c>
      <c r="B48" s="29" t="inlineStr">
        <is>
          <t>Coda di Aragosta</t>
        </is>
      </c>
      <c r="C48" s="29" t="n"/>
      <c r="D48" s="29" t="n"/>
      <c r="E48" s="29" t="n"/>
      <c r="F48" s="29" t="n"/>
      <c r="G48" s="29" t="n"/>
      <c r="H48" s="29" t="n"/>
      <c r="I48" s="29" t="n"/>
      <c r="J48" s="29" t="inlineStr">
        <is>
          <t>CODA D'ARAGOSTA GR.100  NON CONTIENE ALLERGENI - Dolciaria Acquaviva S.p.A. n° fatt 422579 - 24/04/2024</t>
        </is>
      </c>
      <c r="K48" s="29" t="n"/>
      <c r="L48" s="29" t="n"/>
      <c r="M48" s="29" t="n"/>
      <c r="N48" s="29" t="n"/>
      <c r="O48" s="29" t="n"/>
      <c r="P48" s="29" t="n"/>
      <c r="Q48" s="29" t="n"/>
      <c r="R48" s="176" t="n"/>
      <c r="S48" s="176" t="n"/>
      <c r="T48" s="176" t="n"/>
      <c r="U48" s="29" t="n"/>
    </row>
    <row r="49" ht="110.25" customHeight="1" s="155">
      <c r="A49" s="28">
        <f>A48+1</f>
        <v/>
      </c>
      <c r="B49" s="31" t="inlineStr">
        <is>
          <t>Coda di Aragosta</t>
        </is>
      </c>
      <c r="C49" s="31" t="n"/>
      <c r="D49" s="31" t="n"/>
      <c r="E49" s="31" t="n"/>
      <c r="F49" s="31" t="n"/>
      <c r="G49" s="31" t="n"/>
      <c r="H49" s="31" t="n"/>
      <c r="I49" s="31" t="n"/>
      <c r="J49" s="31" t="inlineStr">
        <is>
          <t>CODA D'ARAGOSTA GR.100  NON CONTIENE ALLERGENI - Dolciaria Acquaviva S.p.A. n° fatt 422579 - 24/04/2024</t>
        </is>
      </c>
      <c r="K49" s="31" t="n"/>
      <c r="L49" s="31" t="n"/>
      <c r="M49" s="31" t="n"/>
      <c r="N49" s="31" t="n"/>
      <c r="O49" s="31" t="n"/>
      <c r="P49" s="31" t="n"/>
      <c r="Q49" s="29" t="n"/>
      <c r="R49" s="176" t="n"/>
      <c r="S49" s="176" t="n"/>
      <c r="T49" s="176" t="n"/>
      <c r="U49" s="29" t="n"/>
    </row>
    <row r="50" ht="110.25" customHeight="1" s="155">
      <c r="A50" s="28">
        <f>A49+1</f>
        <v/>
      </c>
      <c r="B50" s="29" t="inlineStr">
        <is>
          <t>Biscotto amarena</t>
        </is>
      </c>
      <c r="C50" s="29" t="inlineStr">
        <is>
          <t>FARINA 00 CAPUTO RINFORZ  CONTIENE ALLERGENI - F.lli Fiorentino Srl n° fatt 4683 - 12/04/2024</t>
        </is>
      </c>
      <c r="D50" s="29" t="inlineStr">
        <is>
          <t>ZUCCHERO RAFF.SEM. ERIDANIA   NON CONTIENE ALLERGENI - F.lli Fiorentino Srl n° fatt 4683 - 12/04/2024</t>
        </is>
      </c>
      <c r="E50" s="29" t="inlineStr">
        <is>
          <t>MARGARINA SFOGLIA  CONTIENE ALLERGENI - SAIMA S.p.A. n° fatt 1/59698 - 16/04/2024</t>
        </is>
      </c>
      <c r="F50" s="29" t="inlineStr">
        <is>
          <t>STRUTTO  NON CONTIENE ALLERGENI - F.lli Fiorentino Srl n° fatt 4683 - 12/04/2024</t>
        </is>
      </c>
      <c r="G50" s="29" t="inlineStr">
        <is>
          <t>SALE GROSSO ITALKALI   NON CONTIENE ALLERGENI - F.lli Fiorentino Srl n° fatt 4683 - 12/04/2024</t>
        </is>
      </c>
      <c r="H50" s="29" t="inlineStr">
        <is>
          <t>UOVA CAT.PESO L DA 180 UOVA SFUSE   CONTIENE ALLERGENI - EUROUOVA SRL n° fatt 1090 - 20/04/2024</t>
        </is>
      </c>
      <c r="I50" s="29" t="n"/>
      <c r="J50" s="29" t="inlineStr">
        <is>
          <t>ALBICOCCA   NON CONTIENE ALLERGENI - SAIMA S.p.A. n° fatt 1/64030 - 23/04/2024</t>
        </is>
      </c>
      <c r="K50" s="29" t="n"/>
      <c r="L50" s="29" t="inlineStr">
        <is>
          <t>CACAO AMARO IN POLVERE  NON CONTIENE ALLERGENI - RONDINELLA MARKET S.R.L. n° fatt 173 - 05/02/2024</t>
        </is>
      </c>
      <c r="M50" s="29" t="n"/>
      <c r="N50" s="29" t="n"/>
      <c r="O50" s="29" t="n"/>
      <c r="P50" s="29" t="n"/>
      <c r="Q50" s="29" t="n"/>
      <c r="R50" s="176" t="n"/>
      <c r="S50" s="176" t="n"/>
      <c r="T50" s="176" t="n"/>
      <c r="U50" s="29" t="n"/>
    </row>
    <row r="51" ht="110.25" customHeight="1" s="155">
      <c r="A51" s="28">
        <f>A50+1</f>
        <v/>
      </c>
      <c r="B51" s="29" t="inlineStr">
        <is>
          <t>Brioche</t>
        </is>
      </c>
      <c r="C51" s="29" t="inlineStr">
        <is>
          <t>FARINA 00 CAPUTO RINFORZ  CONTIENE ALLERGENI - F.lli Fiorentino Srl n° fatt 4683 - 12/04/2024</t>
        </is>
      </c>
      <c r="D51" s="29" t="inlineStr">
        <is>
          <t>ZUCCHERO RAFF.SEM. ERIDANIA   NON CONTIENE ALLERGENI - F.lli Fiorentino Srl n° fatt 4683 - 12/04/2024</t>
        </is>
      </c>
      <c r="E51" s="29" t="inlineStr">
        <is>
          <t>MARGARINA SFOGLIA  CONTIENE ALLERGENI - SAIMA S.p.A. n° fatt 1/59698 - 16/04/2024</t>
        </is>
      </c>
      <c r="F51" s="29" t="n"/>
      <c r="G51" s="29" t="inlineStr">
        <is>
          <t>SALE GROSSO ITALKALI   NON CONTIENE ALLERGENI - F.lli Fiorentino Srl n° fatt 4683 - 12/04/2024</t>
        </is>
      </c>
      <c r="H51" s="29" t="inlineStr">
        <is>
          <t>UOVA CAT.PESO L DA 180 UOVA SFUSE   CONTIENE ALLERGENI - EUROUOVA SRL n° fatt 1090 - 20/04/2024</t>
        </is>
      </c>
      <c r="I51" s="29" t="inlineStr">
        <is>
          <t>ZUPPA INGLESE  NON CONTIENE ALLERGENI - RONDINELLA MARKET S.R.L. n° fatt 539 - 02/04/2024</t>
        </is>
      </c>
      <c r="J51" s="29" t="n"/>
      <c r="K51" s="29" t="n"/>
      <c r="L51" s="29" t="inlineStr">
        <is>
          <t>LIEVITO  NON CONTIENE ALLERGENI - F.lli Fiorentino Srl n° fatt 47484 - 16/02/2024</t>
        </is>
      </c>
      <c r="M51" s="29" t="n"/>
      <c r="N51" s="29" t="n"/>
      <c r="O51" s="29" t="n"/>
      <c r="P51" s="29" t="n"/>
      <c r="Q51" s="29" t="n"/>
      <c r="R51" s="176" t="n"/>
      <c r="S51" s="176" t="n"/>
      <c r="T51" s="176" t="n"/>
      <c r="U51" s="29" t="n"/>
    </row>
    <row r="52" ht="110.25" customHeight="1" s="155">
      <c r="A52" s="28">
        <f>A51+1</f>
        <v/>
      </c>
      <c r="B52" s="29" t="inlineStr">
        <is>
          <t>Brioche</t>
        </is>
      </c>
      <c r="C52" s="29" t="inlineStr">
        <is>
          <t>FARINA 00 CAPUTO RINFORZ  CONTIENE ALLERGENI - F.lli Fiorentino Srl n° fatt 4683 - 12/04/2024</t>
        </is>
      </c>
      <c r="D52" s="29" t="inlineStr">
        <is>
          <t>ZUCCHERO RAFF.SEM. ERIDANIA   NON CONTIENE ALLERGENI - F.lli Fiorentino Srl n° fatt 4683 - 12/04/2024</t>
        </is>
      </c>
      <c r="E52" s="29" t="inlineStr">
        <is>
          <t>MARGARINA SFOGLIA  CONTIENE ALLERGENI - SAIMA S.p.A. n° fatt 1/59698 - 16/04/2024</t>
        </is>
      </c>
      <c r="F52" s="29" t="n"/>
      <c r="G52" s="29" t="inlineStr">
        <is>
          <t>SALE GROSSO ITALKALI   NON CONTIENE ALLERGENI - F.lli Fiorentino Srl n° fatt 4683 - 12/04/2024</t>
        </is>
      </c>
      <c r="H52" s="29" t="inlineStr">
        <is>
          <t>UOVA CAT.PESO L DA 180 UOVA SFUSE   CONTIENE ALLERGENI - EUROUOVA SRL n° fatt 1090 - 20/04/2024</t>
        </is>
      </c>
      <c r="I52" s="29" t="inlineStr">
        <is>
          <t>ZUPPA INGLESE  NON CONTIENE ALLERGENI - RONDINELLA MARKET S.R.L. n° fatt 539 - 02/04/2024</t>
        </is>
      </c>
      <c r="J52" s="29" t="n"/>
      <c r="K52" s="29" t="n"/>
      <c r="L52" s="29" t="inlineStr">
        <is>
          <t>LIEVITO  NON CONTIENE ALLERGENI - F.lli Fiorentino Srl n° fatt 47484 - 16/02/2024</t>
        </is>
      </c>
      <c r="M52" s="29" t="n"/>
      <c r="N52" s="29" t="n"/>
      <c r="O52" s="29" t="n"/>
      <c r="P52" s="29" t="n"/>
      <c r="Q52" s="29" t="n"/>
      <c r="R52" s="176" t="n"/>
      <c r="S52" s="176" t="n"/>
      <c r="T52" s="176" t="n"/>
      <c r="U52" s="29" t="n"/>
    </row>
    <row r="53" ht="110.25" customHeight="1" s="155">
      <c r="A53" s="28">
        <f>A52+1</f>
        <v/>
      </c>
      <c r="B53" s="29" t="inlineStr">
        <is>
          <t>Brioche</t>
        </is>
      </c>
      <c r="C53" s="29" t="inlineStr">
        <is>
          <t>FARINA 00 CAPUTO RINFORZ  CONTIENE ALLERGENI - F.lli Fiorentino Srl n° fatt 4683 - 12/04/2024</t>
        </is>
      </c>
      <c r="D53" s="29" t="inlineStr">
        <is>
          <t>ZUCCHERO RAFF.SEM. ERIDANIA   NON CONTIENE ALLERGENI - F.lli Fiorentino Srl n° fatt 4683 - 12/04/2024</t>
        </is>
      </c>
      <c r="E53" s="29" t="inlineStr">
        <is>
          <t>MARGARINA SFOGLIA  CONTIENE ALLERGENI - SAIMA S.p.A. n° fatt 1/59698 - 16/04/2024</t>
        </is>
      </c>
      <c r="F53" s="29" t="n"/>
      <c r="G53" s="29" t="inlineStr">
        <is>
          <t>SALE GROSSO ITALKALI   NON CONTIENE ALLERGENI - F.lli Fiorentino Srl n° fatt 4683 - 12/04/2024</t>
        </is>
      </c>
      <c r="H53" s="29" t="inlineStr">
        <is>
          <t>UOVA CAT.PESO L DA 180 UOVA SFUSE   CONTIENE ALLERGENI - EUROUOVA SRL n° fatt 1090 - 20/04/2024</t>
        </is>
      </c>
      <c r="I53" s="29" t="inlineStr">
        <is>
          <t>ZUPPA INGLESE  NON CONTIENE ALLERGENI - RONDINELLA MARKET S.R.L. n° fatt 539 - 02/04/2024</t>
        </is>
      </c>
      <c r="J53" s="29" t="n"/>
      <c r="K53" s="29" t="n"/>
      <c r="L53" s="29" t="inlineStr">
        <is>
          <t>LIEVITO  NON CONTIENE ALLERGENI - F.lli Fiorentino Srl n° fatt 47484 - 16/02/2024</t>
        </is>
      </c>
      <c r="M53" s="29" t="n"/>
      <c r="N53" s="29" t="n"/>
      <c r="O53" s="29" t="n"/>
      <c r="P53" s="29" t="n"/>
      <c r="Q53" s="29" t="n"/>
      <c r="R53" s="176" t="n"/>
      <c r="S53" s="176" t="n"/>
      <c r="T53" s="176" t="n"/>
      <c r="U53" s="29" t="n"/>
    </row>
    <row r="54" ht="110.25" customHeight="1" s="155">
      <c r="A54" s="28">
        <f>A53+1</f>
        <v/>
      </c>
      <c r="B54" s="29" t="inlineStr">
        <is>
          <t>Sfogliatella riccia</t>
        </is>
      </c>
      <c r="C54" s="29" t="inlineStr">
        <is>
          <t>FARINA 0/MAN. CAPUTO DA KG.25    CONTIENE ALLERGENI - F.lli Fiorentino Srl n° fatt 47484 - 16/02/2024</t>
        </is>
      </c>
      <c r="D54" s="29" t="inlineStr">
        <is>
          <t>ZUCCHERO RAFF.SEM. ERIDANIA   NON CONTIENE ALLERGENI - F.lli Fiorentino Srl n° fatt 4683 - 12/04/2024</t>
        </is>
      </c>
      <c r="E54" s="29" t="inlineStr">
        <is>
          <t>MARGARINA SFOGLIA  CONTIENE ALLERGENI - SAIMA S.p.A. n° fatt 1/59698 - 16/04/2024</t>
        </is>
      </c>
      <c r="F54" s="29" t="inlineStr">
        <is>
          <t>STRUTTO  NON CONTIENE ALLERGENI - F.lli Fiorentino Srl n° fatt 4683 - 12/04/2024</t>
        </is>
      </c>
      <c r="G54" s="29" t="inlineStr">
        <is>
          <t>SALE GROSSO ITALKALI   NON CONTIENE ALLERGENI - F.lli Fiorentino Srl n° fatt 4683 - 12/04/2024</t>
        </is>
      </c>
      <c r="H54" s="29" t="inlineStr">
        <is>
          <t>UOVA CAT.PESO  069 L, 18.03.2024  CONTIENE ALLERGENI - EUROUOVA SRL n° fatt 424 - 22/02/2024</t>
        </is>
      </c>
      <c r="I54" s="29" t="inlineStr">
        <is>
          <t>Ricotta Tipo Roma  CONTIENE ALLERGENI - GARGIULO GIUSEPPE n° fatt FPR 74/24 - 29/02/2024</t>
        </is>
      </c>
      <c r="J54" s="29" t="inlineStr">
        <is>
          <t>CUBETTI MISTI  NON CONTIENE ALLERGENI - RONDINELLA MARKET S.R.L. n° fatt 610 - 15/04/2024</t>
        </is>
      </c>
      <c r="K54" s="29" t="n"/>
      <c r="L54" s="29" t="inlineStr">
        <is>
          <t>Cannella - SAIMA S.p.A. n° fatt 1/935 - 04/01/2024</t>
        </is>
      </c>
      <c r="M54" s="29" t="n"/>
      <c r="N54" s="29" t="n"/>
      <c r="O54" s="29" t="n"/>
      <c r="P54" s="29" t="n"/>
      <c r="Q54" s="29" t="n"/>
      <c r="R54" s="176" t="n"/>
      <c r="S54" s="176" t="n"/>
      <c r="T54" s="176" t="n"/>
      <c r="U54" s="29" t="n"/>
    </row>
    <row r="55" ht="110.25" customHeight="1" s="155">
      <c r="A55" s="28">
        <f>A54+1</f>
        <v/>
      </c>
      <c r="B55" s="29" t="inlineStr">
        <is>
          <t>Sfogliatella riccia</t>
        </is>
      </c>
      <c r="C55" s="29" t="inlineStr">
        <is>
          <t>FARINA 0/MAN. CAPUTO DA KG.25    CONTIENE ALLERGENI - F.lli Fiorentino Srl n° fatt 47484 - 16/02/2024</t>
        </is>
      </c>
      <c r="D55" s="29" t="inlineStr">
        <is>
          <t>ZUCCHERO RAFF.SEM. ERIDANIA   NON CONTIENE ALLERGENI - F.lli Fiorentino Srl n° fatt 4683 - 12/04/2024</t>
        </is>
      </c>
      <c r="E55" s="29" t="inlineStr">
        <is>
          <t>MARGARINA SFOGLIA  CONTIENE ALLERGENI - SAIMA S.p.A. n° fatt 1/59698 - 16/04/2024</t>
        </is>
      </c>
      <c r="F55" s="29" t="inlineStr">
        <is>
          <t>STRUTTO  NON CONTIENE ALLERGENI - F.lli Fiorentino Srl n° fatt 4683 - 12/04/2024</t>
        </is>
      </c>
      <c r="G55" s="29" t="inlineStr">
        <is>
          <t>SALE GROSSO ITALKALI   NON CONTIENE ALLERGENI - F.lli Fiorentino Srl n° fatt 4683 - 12/04/2024</t>
        </is>
      </c>
      <c r="H55" s="29" t="inlineStr">
        <is>
          <t>UOVA CAT.PESO  069 L, 18.03.2024  CONTIENE ALLERGENI - EUROUOVA SRL n° fatt 424 - 22/02/2024</t>
        </is>
      </c>
      <c r="I55" s="29" t="inlineStr">
        <is>
          <t>Ricotta Tipo Roma  CONTIENE ALLERGENI - GARGIULO GIUSEPPE n° fatt FPR 74/24 - 29/02/2024</t>
        </is>
      </c>
      <c r="J55" s="29" t="inlineStr">
        <is>
          <t>CUBETTI MISTI  NON CONTIENE ALLERGENI - RONDINELLA MARKET S.R.L. n° fatt 610 - 15/04/2024</t>
        </is>
      </c>
      <c r="K55" s="29" t="n"/>
      <c r="L55" s="29" t="inlineStr">
        <is>
          <t>Cannella - SAIMA S.p.A. n° fatt 1/935 - 04/01/2024</t>
        </is>
      </c>
      <c r="M55" s="29" t="n"/>
      <c r="N55" s="29" t="n"/>
      <c r="O55" s="29" t="n"/>
      <c r="P55" s="29" t="n"/>
      <c r="Q55" s="29" t="n"/>
      <c r="R55" s="176" t="n"/>
      <c r="S55" s="176" t="n"/>
      <c r="T55" s="176" t="n"/>
      <c r="U55" s="29" t="n"/>
    </row>
    <row r="56" ht="110.25" customHeight="1" s="155">
      <c r="A56" s="28">
        <f>A55+1</f>
        <v/>
      </c>
      <c r="B56" s="29" t="inlineStr">
        <is>
          <t>Sfogliatella frolla</t>
        </is>
      </c>
      <c r="C56" s="29" t="inlineStr">
        <is>
          <t>FARINA 0/MAN. CAPUTO DA KG.25    CONTIENE ALLERGENI - F.lli Fiorentino Srl n° fatt 47484 - 16/02/2024</t>
        </is>
      </c>
      <c r="D56" s="29" t="inlineStr">
        <is>
          <t>ZUCCHERO RAFF.SEM. ERIDANIA   NON CONTIENE ALLERGENI - F.lli Fiorentino Srl n° fatt 4683 - 12/04/2024</t>
        </is>
      </c>
      <c r="E56" s="29" t="inlineStr">
        <is>
          <t>MARGARINA SFOGLIA  CONTIENE ALLERGENI - SAIMA S.p.A. n° fatt 1/59698 - 16/04/2024</t>
        </is>
      </c>
      <c r="F56" s="29" t="inlineStr">
        <is>
          <t>STRUTTO  NON CONTIENE ALLERGENI - F.lli Fiorentino Srl n° fatt 4683 - 12/04/2024</t>
        </is>
      </c>
      <c r="G56" s="29" t="inlineStr">
        <is>
          <t>SALE GROSSO ITALKALI   NON CONTIENE ALLERGENI - F.lli Fiorentino Srl n° fatt 4683 - 12/04/2024</t>
        </is>
      </c>
      <c r="H56" s="29" t="inlineStr">
        <is>
          <t>UOVA CAT.PESO  069 L, 18.03.2024  CONTIENE ALLERGENI - EUROUOVA SRL n° fatt 424 - 22/02/2024</t>
        </is>
      </c>
      <c r="I56" s="29" t="inlineStr">
        <is>
          <t>Ricotta Tipo Roma  CONTIENE ALLERGENI - GARGIULO GIUSEPPE n° fatt FPR 74/24 - 29/02/2024</t>
        </is>
      </c>
      <c r="J56" s="29" t="inlineStr">
        <is>
          <t>CUBETTI MISTI  NON CONTIENE ALLERGENI - RONDINELLA MARKET S.R.L. n° fatt 610 - 15/04/2024</t>
        </is>
      </c>
      <c r="K56" s="29" t="n"/>
      <c r="L56" s="29" t="inlineStr">
        <is>
          <t>Cannella - SAIMA S.p.A. n° fatt 1/935 - 04/01/2024</t>
        </is>
      </c>
      <c r="M56" s="29" t="n"/>
      <c r="N56" s="29" t="n"/>
      <c r="O56" s="29" t="n"/>
      <c r="P56" s="29" t="n"/>
      <c r="Q56" s="29" t="n"/>
      <c r="R56" s="176" t="n"/>
      <c r="S56" s="176" t="n"/>
      <c r="T56" s="176" t="n"/>
      <c r="U56" s="29" t="n"/>
    </row>
    <row r="57" ht="110.25" customHeight="1" s="155">
      <c r="A57" s="28">
        <f>A56+1</f>
        <v/>
      </c>
      <c r="B57" s="29" t="inlineStr">
        <is>
          <t>Sfogliatella frolla</t>
        </is>
      </c>
      <c r="C57" s="29" t="inlineStr">
        <is>
          <t>FARINA 0/MAN. CAPUTO DA KG.25    CONTIENE ALLERGENI - F.lli Fiorentino Srl n° fatt 47484 - 16/02/2024</t>
        </is>
      </c>
      <c r="D57" s="29" t="inlineStr">
        <is>
          <t>ZUCCHERO RAFF.SEM. ERIDANIA   NON CONTIENE ALLERGENI - F.lli Fiorentino Srl n° fatt 4683 - 12/04/2024</t>
        </is>
      </c>
      <c r="E57" s="29" t="inlineStr">
        <is>
          <t>MARGARINA SFOGLIA  CONTIENE ALLERGENI - SAIMA S.p.A. n° fatt 1/59698 - 16/04/2024</t>
        </is>
      </c>
      <c r="F57" s="29" t="inlineStr">
        <is>
          <t>STRUTTO  NON CONTIENE ALLERGENI - F.lli Fiorentino Srl n° fatt 4683 - 12/04/2024</t>
        </is>
      </c>
      <c r="G57" s="29" t="inlineStr">
        <is>
          <t>SALE GROSSO ITALKALI   NON CONTIENE ALLERGENI - F.lli Fiorentino Srl n° fatt 4683 - 12/04/2024</t>
        </is>
      </c>
      <c r="H57" s="29" t="inlineStr">
        <is>
          <t>UOVA CAT.PESO  069 L, 18.03.2024  CONTIENE ALLERGENI - EUROUOVA SRL n° fatt 424 - 22/02/2024</t>
        </is>
      </c>
      <c r="I57" s="29" t="inlineStr">
        <is>
          <t>Ricotta Tipo Roma  CONTIENE ALLERGENI - GARGIULO GIUSEPPE n° fatt FPR 74/24 - 29/02/2024</t>
        </is>
      </c>
      <c r="J57" s="29" t="inlineStr">
        <is>
          <t>CUBETTI MISTI  NON CONTIENE ALLERGENI - RONDINELLA MARKET S.R.L. n° fatt 610 - 15/04/2024</t>
        </is>
      </c>
      <c r="K57" s="29" t="n"/>
      <c r="L57" s="29" t="inlineStr">
        <is>
          <t>Cannella - SAIMA S.p.A. n° fatt 1/935 - 04/01/2024</t>
        </is>
      </c>
      <c r="M57" s="29" t="n"/>
      <c r="N57" s="29" t="n"/>
      <c r="O57" s="29" t="n"/>
      <c r="P57" s="29" t="n"/>
      <c r="Q57" s="29" t="n"/>
      <c r="R57" s="176" t="n"/>
      <c r="S57" s="176" t="n"/>
      <c r="T57" s="176" t="n"/>
      <c r="U57" s="29" t="n"/>
    </row>
    <row r="58" ht="110.25" customHeight="1" s="155">
      <c r="A58" s="28">
        <f>A57+1</f>
        <v/>
      </c>
      <c r="B58" s="29" t="inlineStr">
        <is>
          <t>Pastiera</t>
        </is>
      </c>
      <c r="C58" s="29" t="inlineStr">
        <is>
          <t>FARINA 0/MAN. CAPUTO   CONTIENE ALLERGENI - F.lli Fiorentino Srl n° fatt 4683 - 12/04/2024</t>
        </is>
      </c>
      <c r="D58" s="29" t="inlineStr">
        <is>
          <t>ZUCCHERO RAFF.SEM. ERIDANIA   NON CONTIENE ALLERGENI - F.lli Fiorentino Srl n° fatt 4683 - 12/04/2024</t>
        </is>
      </c>
      <c r="E58" s="29" t="inlineStr">
        <is>
          <t>MARGARINA SFOGLIA  CONTIENE ALLERGENI - SAIMA S.p.A. n° fatt 1/59698 - 16/04/2024</t>
        </is>
      </c>
      <c r="F58" s="29" t="inlineStr">
        <is>
          <t>STRUTTO  NON CONTIENE ALLERGENI - F.lli Fiorentino Srl n° fatt 4683 - 12/04/2024</t>
        </is>
      </c>
      <c r="G58" s="29" t="inlineStr">
        <is>
          <t>Ricotta Tipo Roma  CONTIENE ALLERGENI - GARGIULO GIUSEPPE n° fatt FPR 74/24 - 29/02/2024</t>
        </is>
      </c>
      <c r="H58" s="29" t="inlineStr">
        <is>
          <t>UOVA CAT.PESO  069 L, 18.03.2024  CONTIENE ALLERGENI - EUROUOVA SRL n° fatt 424 - 22/02/2024</t>
        </is>
      </c>
      <c r="I58" s="29" t="inlineStr">
        <is>
          <t>GRANO COTTO  NON CONTIENE ALLERGENI - F.lli Fiorentino Srl n° fatt 4683 - 12/04/2024</t>
        </is>
      </c>
      <c r="J58" s="29" t="inlineStr">
        <is>
          <t>CUBETTI MISTI  NON CONTIENE ALLERGENI - RONDINELLA MARKET S.R.L. n° fatt 610 - 15/04/2024</t>
        </is>
      </c>
      <c r="K58" s="29" t="n"/>
      <c r="L58" s="29" t="inlineStr">
        <is>
          <t>LATTE FR.P.S.4/4 PET YMA  CONTIENE ALLERGENI - G.I.A.L.  n° fatt V1-4396 - 29/02/2024</t>
        </is>
      </c>
      <c r="M58" s="29" t="n"/>
      <c r="N58" s="29" t="n"/>
      <c r="O58" s="29" t="n"/>
      <c r="P58" s="29" t="n"/>
      <c r="Q58" s="29" t="n"/>
      <c r="R58" s="176" t="n"/>
      <c r="S58" s="176" t="n"/>
      <c r="T58" s="176" t="n"/>
      <c r="U58" s="29" t="n"/>
    </row>
    <row r="59" ht="110.25" customHeight="1" s="155">
      <c r="A59" s="28">
        <f>A58+1</f>
        <v/>
      </c>
      <c r="B59" s="29" t="inlineStr">
        <is>
          <t>Cornetto brioche</t>
        </is>
      </c>
      <c r="C59" s="29" t="inlineStr">
        <is>
          <t>FARINA 00 CAPUTO RINFORZ  CONTIENE ALLERGENI - F.lli Fiorentino Srl n° fatt 4683 - 12/04/2024</t>
        </is>
      </c>
      <c r="D59" s="29" t="inlineStr">
        <is>
          <t>ZUCCHERO RAFF.SEM. ERIDANIA   NON CONTIENE ALLERGENI - F.lli Fiorentino Srl n° fatt 4683 - 12/04/2024</t>
        </is>
      </c>
      <c r="E59" s="29" t="inlineStr">
        <is>
          <t>MARGARINA SFOGLIA  CONTIENE ALLERGENI - SAIMA S.p.A. n° fatt 1/59698 - 16/04/2024</t>
        </is>
      </c>
      <c r="F59" s="29" t="n"/>
      <c r="G59" s="29" t="inlineStr">
        <is>
          <t>SALE GROSSO ITALKALI   NON CONTIENE ALLERGENI - F.lli Fiorentino Srl n° fatt 4683 - 12/04/2024</t>
        </is>
      </c>
      <c r="H59" s="29" t="inlineStr">
        <is>
          <t>UOVA CAT.PESO L DA 180 UOVA SFUSE   CONTIENE ALLERGENI - EUROUOVA SRL n° fatt 1090 - 20/04/2024</t>
        </is>
      </c>
      <c r="I59" s="29" t="n"/>
      <c r="J59" s="29" t="n"/>
      <c r="K59" s="29" t="n"/>
      <c r="L59" s="29" t="inlineStr">
        <is>
          <t>LIEVITO  NON CONTIENE ALLERGENI - F.lli Fiorentino Srl n° fatt 47484 - 16/02/2024</t>
        </is>
      </c>
      <c r="M59" s="29" t="n"/>
      <c r="N59" s="29" t="n"/>
      <c r="O59" s="29" t="n"/>
      <c r="P59" s="29" t="n"/>
      <c r="Q59" s="29" t="n"/>
      <c r="R59" s="176" t="n"/>
      <c r="S59" s="176" t="n"/>
      <c r="T59" s="176" t="n"/>
      <c r="U59" s="29" t="n"/>
    </row>
    <row r="60" ht="110.25" customHeight="1" s="155">
      <c r="A60" s="28">
        <f>A59+1</f>
        <v/>
      </c>
      <c r="B60" s="29" t="inlineStr">
        <is>
          <t>Pasta choux</t>
        </is>
      </c>
      <c r="C60" s="29" t="inlineStr">
        <is>
          <t>FARINA 0/MAN. CAPUTO DA KG.25    CONTIENE ALLERGENI - F.lli Fiorentino Srl n° fatt 47484 - 16/02/2024</t>
        </is>
      </c>
      <c r="D60" s="29" t="n"/>
      <c r="E60" s="29" t="inlineStr">
        <is>
          <t>MARGAR WIENER ZIEH PLAT KG.2X5    CONTIENE ALLERGENI - F.lli Fiorentino Srl n° fatt 47484 - 16/02/2024</t>
        </is>
      </c>
      <c r="F60" s="29" t="n"/>
      <c r="G60" s="29" t="inlineStr">
        <is>
          <t>SALE GROSSO ITALKALI   NON CONTIENE ALLERGENI - F.lli Fiorentino Srl n° fatt 4683 - 12/04/2024</t>
        </is>
      </c>
      <c r="H60" s="29" t="n"/>
      <c r="I60" s="29" t="n"/>
      <c r="J60" s="29" t="n"/>
      <c r="K60" s="29" t="n"/>
      <c r="L60" s="29" t="n"/>
      <c r="M60" s="29" t="n"/>
      <c r="N60" s="29" t="n"/>
      <c r="O60" s="29" t="n"/>
      <c r="P60" s="29" t="n"/>
      <c r="Q60" s="29" t="n"/>
      <c r="R60" s="176" t="n"/>
      <c r="S60" s="176" t="n"/>
      <c r="T60" s="176" t="n"/>
      <c r="U60" s="29" t="n"/>
    </row>
    <row r="61" ht="110.25" customHeight="1" s="155">
      <c r="A61" s="28">
        <f>A60+1</f>
        <v/>
      </c>
      <c r="B61" s="29" t="inlineStr">
        <is>
          <t>Sfogliatella riccia</t>
        </is>
      </c>
      <c r="C61" s="29" t="inlineStr">
        <is>
          <t>FARINA 0/MAN. CAPUTO DA KG.25    CONTIENE ALLERGENI - F.lli Fiorentino Srl n° fatt 47484 - 16/02/2024</t>
        </is>
      </c>
      <c r="D61" s="29" t="inlineStr">
        <is>
          <t>ZUCCHERO RAFF.SEM. ERIDANIA   NON CONTIENE ALLERGENI - F.lli Fiorentino Srl n° fatt 4683 - 12/04/2024</t>
        </is>
      </c>
      <c r="E61" s="29" t="inlineStr">
        <is>
          <t>MARGARINA SFOGLIA  CONTIENE ALLERGENI - SAIMA S.p.A. n° fatt 1/59698 - 16/04/2024</t>
        </is>
      </c>
      <c r="F61" s="29" t="inlineStr">
        <is>
          <t>STRUTTO  NON CONTIENE ALLERGENI - F.lli Fiorentino Srl n° fatt 4683 - 12/04/2024</t>
        </is>
      </c>
      <c r="G61" s="29" t="inlineStr">
        <is>
          <t>SALE GROSSO ITALKALI   NON CONTIENE ALLERGENI - F.lli Fiorentino Srl n° fatt 4683 - 12/04/2024</t>
        </is>
      </c>
      <c r="H61" s="29" t="inlineStr">
        <is>
          <t>UOVA CAT.PESO  069 L, 18.03.2024  CONTIENE ALLERGENI - EUROUOVA SRL n° fatt 424 - 22/02/2024</t>
        </is>
      </c>
      <c r="I61" s="29" t="inlineStr">
        <is>
          <t>Ricotta Tipo Roma  CONTIENE ALLERGENI - GARGIULO GIUSEPPE n° fatt FPR 74/24 - 29/02/2024</t>
        </is>
      </c>
      <c r="J61" s="29" t="inlineStr">
        <is>
          <t>CUBETTI MISTI  NON CONTIENE ALLERGENI - RONDINELLA MARKET S.R.L. n° fatt 610 - 15/04/2024</t>
        </is>
      </c>
      <c r="K61" s="29" t="n"/>
      <c r="L61" s="29" t="inlineStr">
        <is>
          <t>Cannella - SAIMA S.p.A. n° fatt 1/935 - 04/01/2024</t>
        </is>
      </c>
      <c r="M61" s="29" t="n"/>
      <c r="N61" s="29" t="n"/>
      <c r="O61" s="29" t="n"/>
      <c r="P61" s="29" t="n"/>
      <c r="Q61" s="29" t="n"/>
      <c r="R61" s="176" t="n"/>
      <c r="S61" s="176" t="n"/>
      <c r="T61" s="176" t="n"/>
      <c r="U61" s="29" t="n"/>
    </row>
    <row r="62" ht="126" customHeight="1" s="155">
      <c r="A62" s="28">
        <f>A61+1</f>
        <v/>
      </c>
      <c r="B62" s="29" t="inlineStr">
        <is>
          <t>RUSTICO</t>
        </is>
      </c>
      <c r="C62" s="29" t="inlineStr">
        <is>
          <t>FARINA 0/MAN. CAPUTO DA KG.25    CONTIENE ALLERGENI - F.lli Fiorentino Srl n° fatt 2400742 - 05/07/2024</t>
        </is>
      </c>
      <c r="D62" s="29" t="inlineStr">
        <is>
          <t>ZUCCHERO   NON CONTIENE ALLERGENI - F.lli Fiorentino Srl n° fatt 2108913 - 18/06/2024</t>
        </is>
      </c>
      <c r="E62" s="29" t="inlineStr">
        <is>
          <t>SALAME</t>
        </is>
      </c>
      <c r="F62" s="29" t="inlineStr">
        <is>
          <t>provolome</t>
        </is>
      </c>
      <c r="G62" s="29" t="inlineStr">
        <is>
          <t>PEPE</t>
        </is>
      </c>
      <c r="H62" s="29" t="inlineStr">
        <is>
          <t>UOVA CAT.PESO L AZ 3 IT 007 BR 069 L, 29.07.2024  CONTIENE ALLERGENI - EUROUOVA SRL n° fatt 1822 - 09/07/2024</t>
        </is>
      </c>
      <c r="I62" s="29" t="n"/>
      <c r="J62" s="29" t="n"/>
      <c r="K62" s="29" t="n"/>
      <c r="L62" s="29" t="n"/>
      <c r="M62" s="29" t="n"/>
      <c r="N62" s="29" t="n"/>
      <c r="O62" s="29" t="n"/>
      <c r="P62" s="29" t="n"/>
      <c r="Q62" s="29" t="n"/>
      <c r="R62" s="176" t="n"/>
      <c r="S62" s="176" t="n"/>
      <c r="T62" s="176" t="n"/>
      <c r="U62" s="29" t="n"/>
    </row>
    <row r="63" ht="126" customHeight="1" s="155">
      <c r="A63" s="28">
        <f>A62+1</f>
        <v/>
      </c>
      <c r="B63" s="29" t="inlineStr">
        <is>
          <t>Pan di spagna</t>
        </is>
      </c>
      <c r="C63" s="29" t="inlineStr">
        <is>
          <t>FARINA 00 CAPUTO RINFORZ  CONTIENE ALLERGENI - F.lli Fiorentino Srl n° fatt 4683 - 12/04/2024</t>
        </is>
      </c>
      <c r="D63" s="29" t="inlineStr">
        <is>
          <t>ZUCCHERO   NON CONTIENE ALLERGENI - F.lli Fiorentino Srl n° fatt 2108913 - 18/06/2024</t>
        </is>
      </c>
      <c r="E63" s="29" t="inlineStr">
        <is>
          <t>burro OLVA THERMO CREMA GATEAUX  CONTIENE ALLERGENI - RONDINELLA MARKET S.R.L n° fatt 1093 - 02/07/2024</t>
        </is>
      </c>
      <c r="F63" s="29" t="n"/>
      <c r="G63" s="29" t="inlineStr">
        <is>
          <t>SALE FINO ITALKALI   NON CONTIENE ALLERGENI - F.lli Fiorentino Srl n° fatt 2400742 - 05/07/2024</t>
        </is>
      </c>
      <c r="H63" s="29" t="inlineStr">
        <is>
          <t>UOVA CAT.PESO L AZ 3 IT 007 BR 069 L, 29.07.2024  CONTIENE ALLERGENI - EUROUOVA SRL n° fatt 1822 - 09/07/2024</t>
        </is>
      </c>
      <c r="I63" s="29" t="n"/>
      <c r="J63" s="29" t="n"/>
      <c r="K63" s="29" t="n"/>
      <c r="L63" s="29" t="n"/>
      <c r="M63" s="29" t="n"/>
      <c r="N63" s="29" t="n"/>
      <c r="O63" s="29" t="n"/>
      <c r="P63" s="29" t="n"/>
      <c r="Q63" s="29" t="n"/>
      <c r="R63" s="176" t="n"/>
      <c r="S63" s="176" t="n"/>
      <c r="T63" s="176" t="n"/>
      <c r="U63" s="29" t="n"/>
    </row>
    <row r="64" ht="126" customHeight="1" s="155">
      <c r="A64" s="28">
        <f>A63+1</f>
        <v/>
      </c>
      <c r="B64" s="29" t="inlineStr">
        <is>
          <t>RUSTICO</t>
        </is>
      </c>
      <c r="C64" s="29" t="inlineStr">
        <is>
          <t>FARINA 0/MAN. CAPUTO DA KG.25    CONTIENE ALLERGENI - F.lli Fiorentino Srl n° fatt 2400742 - 05/07/2024</t>
        </is>
      </c>
      <c r="D64" s="29" t="inlineStr">
        <is>
          <t>ZUCCHERO   NON CONTIENE ALLERGENI - F.lli Fiorentino Srl n° fatt 2108913 - 18/06/2024</t>
        </is>
      </c>
      <c r="E64" s="29" t="inlineStr">
        <is>
          <t>SALAME</t>
        </is>
      </c>
      <c r="F64" s="29" t="inlineStr">
        <is>
          <t>provolome</t>
        </is>
      </c>
      <c r="G64" s="29" t="inlineStr">
        <is>
          <t>PEPE</t>
        </is>
      </c>
      <c r="H64" s="29" t="inlineStr">
        <is>
          <t>UOVA CAT.PESO L AZ 3 IT 007 BR 069 L, 29.07.2024  CONTIENE ALLERGENI - EUROUOVA SRL n° fatt 1822 - 09/07/2024</t>
        </is>
      </c>
      <c r="I64" s="29" t="n"/>
      <c r="J64" s="29" t="n"/>
      <c r="K64" s="29" t="n"/>
      <c r="L64" s="29" t="n"/>
      <c r="M64" s="29" t="n"/>
      <c r="N64" s="29" t="n"/>
      <c r="O64" s="29" t="n"/>
      <c r="P64" s="29" t="n"/>
      <c r="Q64" s="29" t="n"/>
      <c r="R64" s="176" t="n"/>
      <c r="S64" s="176" t="n"/>
      <c r="T64" s="176" t="n"/>
      <c r="U64" s="29" t="n"/>
    </row>
    <row r="65" ht="126" customHeight="1" s="155">
      <c r="A65" s="28">
        <f>A64+1</f>
        <v/>
      </c>
      <c r="B65" s="29" t="inlineStr">
        <is>
          <t>Sfogliatella riccia</t>
        </is>
      </c>
      <c r="C65" s="29" t="inlineStr">
        <is>
          <t>FARINA 0/MAN. CAPUTO DA KG.25    CONTIENE ALLERGENI - F.lli Fiorentino Srl n° fatt 2400742 - 05/07/2024</t>
        </is>
      </c>
      <c r="D65" s="29" t="inlineStr">
        <is>
          <t>ZUCCHERO   NON CONTIENE ALLERGENI - F.lli Fiorentino Srl n° fatt 2108913 - 18/06/2024</t>
        </is>
      </c>
      <c r="E65" s="29" t="inlineStr">
        <is>
          <t>MELANGE HOMILLA PLUS IMPASTI E CREME  CONTIENE ALLERGENI - SAIMA S.p.A. n° fatt 1/91997 - 04/06/2024</t>
        </is>
      </c>
      <c r="F65" s="29" t="inlineStr">
        <is>
          <t>STRUTTO  CONTIENE ALLERGENI - RONDINELLA MARKET S.R.L n° fatt 1093 - 02/07/2024</t>
        </is>
      </c>
      <c r="G65" s="29" t="inlineStr">
        <is>
          <t>SALE FINO ITALKALI   NON CONTIENE ALLERGENI - F.lli Fiorentino Srl n° fatt 2400742 - 05/07/2024</t>
        </is>
      </c>
      <c r="H65" s="29" t="inlineStr">
        <is>
          <t>UOVA CAT.PESO L AZ 3 IT 007 BR 069 L, 29.07.2024  CONTIENE ALLERGENI - EUROUOVA SRL n° fatt 1822 - 09/07/2024</t>
        </is>
      </c>
      <c r="I65" s="29" t="inlineStr">
        <is>
          <t>RICOTTA ROMA FULVIA  CONTIENE ALLERGENI - GARGIULO GIUSEPPE n° fatt FPR 235/24 - 30/06/2024</t>
        </is>
      </c>
      <c r="J65" s="29" t="inlineStr">
        <is>
          <t>CUBETTI MISTI  NON CONTIENE ALLERGENI - RONDINELLA MARKET S.R.L. n° fatt 610 - 15/04/2024</t>
        </is>
      </c>
      <c r="K65" s="29" t="n"/>
      <c r="L65" s="29" t="inlineStr">
        <is>
          <t>Cannella - SAIMA S.p.A. n° fatt 1/935 - 04/01/2024</t>
        </is>
      </c>
      <c r="M65" s="29" t="n"/>
      <c r="N65" s="29" t="n"/>
      <c r="O65" s="29" t="n"/>
      <c r="P65" s="29" t="n"/>
      <c r="Q65" s="29" t="n"/>
      <c r="R65" s="176" t="n"/>
      <c r="S65" s="176" t="n"/>
      <c r="T65" s="176" t="n"/>
      <c r="U65" s="29" t="n"/>
    </row>
    <row r="66" ht="141.75" customHeight="1" s="155">
      <c r="A66" s="28">
        <f>A65+1</f>
        <v/>
      </c>
      <c r="B66" s="29" t="inlineStr">
        <is>
          <t>Francesina crema</t>
        </is>
      </c>
      <c r="C66" s="29" t="inlineStr">
        <is>
          <t>FARINA 00 CAPUTO RINFORZ.KG.25    CONTIENE ALLERGENI - F.lli Fiorentino Srl n° fatt 2675038 - 23/07/2024</t>
        </is>
      </c>
      <c r="D66" s="29" t="inlineStr">
        <is>
          <t>ZUCCHERO   NON CONTIENE ALLERGENI - F.lli Fiorentino Srl n° fatt 2108913 - 18/06/2024</t>
        </is>
      </c>
      <c r="E66" s="29" t="inlineStr">
        <is>
          <t>burro OLVA THERMO CREMA GATEAUX  CONTIENE ALLERGENI - RONDINELLA MARKET S.R.L n° fatt 1093 - 02/07/2024</t>
        </is>
      </c>
      <c r="F66" s="29" t="inlineStr">
        <is>
          <t>AMIDO DI RISO  NON CONTIENE ALLERGENI - GRANZUCCHERI SRL n° fatt 631 - 04/04/2024</t>
        </is>
      </c>
      <c r="G66" s="29" t="inlineStr">
        <is>
          <t>SALE FINO ITALKALI   NON CONTIENE ALLERGENI - F.lli Fiorentino Srl n° fatt 2400742 - 05/07/2024</t>
        </is>
      </c>
      <c r="H66" s="29" t="inlineStr">
        <is>
          <t>UOVA D.d.T. 188 del 28/06/2024  CONTIENE ALLERGENI - DF BALDASSARRE SRL n° fatt 2560 - 29/06/2024</t>
        </is>
      </c>
      <c r="I66" s="29" t="inlineStr">
        <is>
          <t>ZUPPA INGLESE  NON CONTIENE ALLERGENI - RONDINELLA MARKET S.R.L. n° fatt 539 - 02/04/2024</t>
        </is>
      </c>
      <c r="J66" s="29" t="inlineStr">
        <is>
          <t>AMARENA VISCIOLA  NON CONTIENE ALLERGENI - RONDINELLA MARKET S.R.L n° fatt 1093 - 02/07/2024</t>
        </is>
      </c>
      <c r="K66" s="29" t="n"/>
      <c r="L66" s="29" t="inlineStr">
        <is>
          <t>LATTE   1000 INT.UHT  YMA  CONTIENE ALLERGENI - G.I.A.L. GENERALE INGROSSO ALIMENTARE S.R.L. n° fatt V1-24022 - 30/06/2024</t>
        </is>
      </c>
      <c r="M66" s="29" t="n"/>
      <c r="N66" s="29" t="n"/>
      <c r="O66" s="29" t="n"/>
      <c r="P66" s="29" t="n"/>
      <c r="Q66" s="29" t="n"/>
      <c r="R66" s="176" t="n"/>
      <c r="S66" s="176" t="n"/>
      <c r="T66" s="176" t="n"/>
      <c r="U66" s="29" t="n"/>
    </row>
    <row r="67" ht="110.25" customHeight="1" s="155">
      <c r="A67" s="28">
        <f>A66+1</f>
        <v/>
      </c>
      <c r="B67" s="29" t="inlineStr">
        <is>
          <t>Cornetto vuoto</t>
        </is>
      </c>
      <c r="C67" s="29" t="inlineStr">
        <is>
          <t>FARINA 00 CAPUTO RINFORZ.KG.25    CONTIENE ALLERGENI - F.lli Fiorentino Srl n° fatt 2675038 - 23/07/2024</t>
        </is>
      </c>
      <c r="D67" s="29" t="inlineStr">
        <is>
          <t>ZUCCHERO   NON CONTIENE ALLERGENI - F.lli Fiorentino Srl n° fatt 2108913 - 18/06/2024</t>
        </is>
      </c>
      <c r="E67" s="29" t="inlineStr">
        <is>
          <t>burro OLVA THERMO CREMA GATEAUX  CONTIENE ALLERGENI - RONDINELLA MARKET S.R.L n° fatt 1093 - 02/07/2024</t>
        </is>
      </c>
      <c r="F67" s="29" t="n"/>
      <c r="G67" s="29" t="inlineStr">
        <is>
          <t>SALE FINO ITALKALI   NON CONTIENE ALLERGENI - F.lli Fiorentino Srl n° fatt 2400742 - 05/07/2024</t>
        </is>
      </c>
      <c r="H67" s="29" t="inlineStr">
        <is>
          <t>UOVA D.d.T. 188 del 28/06/2024  CONTIENE ALLERGENI - DF BALDASSARRE SRL n° fatt 2560 - 29/06/2024</t>
        </is>
      </c>
      <c r="I67" s="29" t="n"/>
      <c r="J67" s="29" t="n"/>
      <c r="K67" s="29" t="n"/>
      <c r="L67" s="29" t="inlineStr">
        <is>
          <t>LIEVITO X PANIFIC. G.500X5X4    NON CONTIENE ALLERGENI - F.lli Fiorentino Srl n° fatt 2400742 - 05/07/2024</t>
        </is>
      </c>
      <c r="M67" s="29" t="n"/>
      <c r="N67" s="29" t="n"/>
      <c r="O67" s="29" t="n"/>
      <c r="P67" s="29" t="n"/>
      <c r="Q67" s="29" t="n"/>
      <c r="R67" s="176" t="n"/>
      <c r="S67" s="176" t="n"/>
      <c r="T67" s="176" t="n"/>
      <c r="U67" s="29" t="n"/>
    </row>
    <row r="68" ht="110.25" customHeight="1" s="155">
      <c r="A68" s="28">
        <f>A67+1</f>
        <v/>
      </c>
      <c r="B68" s="29" t="inlineStr">
        <is>
          <t>Brioche</t>
        </is>
      </c>
      <c r="C68" s="29" t="inlineStr">
        <is>
          <t>FARINA 00 CAPUTO RINFORZ.KG.25    CONTIENE ALLERGENI - F.lli Fiorentino Srl n° fatt 2675038 - 23/07/2024</t>
        </is>
      </c>
      <c r="D68" s="29" t="inlineStr">
        <is>
          <t>ZUCCHERO   NON CONTIENE ALLERGENI - F.lli Fiorentino Srl n° fatt 2108913 - 18/06/2024</t>
        </is>
      </c>
      <c r="E68" s="29" t="inlineStr">
        <is>
          <t>burro OLVA THERMO CREMA GATEAUX  CONTIENE ALLERGENI - RONDINELLA MARKET S.R.L n° fatt 1093 - 02/07/2024</t>
        </is>
      </c>
      <c r="F68" s="29" t="n"/>
      <c r="G68" s="29" t="inlineStr">
        <is>
          <t>SALE FINO ITALKALI   NON CONTIENE ALLERGENI - F.lli Fiorentino Srl n° fatt 2400742 - 05/07/2024</t>
        </is>
      </c>
      <c r="H68" s="29" t="inlineStr">
        <is>
          <t>UOVA D.d.T. 188 del 28/06/2024  CONTIENE ALLERGENI - DF BALDASSARRE SRL n° fatt 2560 - 29/06/2024</t>
        </is>
      </c>
      <c r="I68" s="29" t="inlineStr">
        <is>
          <t>ZUPPA INGLESE  NON CONTIENE ALLERGENI - RONDINELLA MARKET S.R.L. n° fatt 539 - 02/04/2024</t>
        </is>
      </c>
      <c r="J68" s="29" t="n"/>
      <c r="K68" s="29" t="n"/>
      <c r="L68" s="29" t="inlineStr">
        <is>
          <t>LIEVITO X PANIFIC. G.500X5X4    NON CONTIENE ALLERGENI - F.lli Fiorentino Srl n° fatt 2400742 - 05/07/2024</t>
        </is>
      </c>
      <c r="M68" s="29" t="n"/>
      <c r="N68" s="29" t="n"/>
      <c r="O68" s="29" t="n"/>
      <c r="P68" s="29" t="n"/>
      <c r="Q68" s="29" t="n"/>
      <c r="R68" s="176" t="n"/>
      <c r="S68" s="176" t="n"/>
      <c r="T68" s="176" t="n"/>
      <c r="U68" s="29" t="n"/>
    </row>
    <row r="69" ht="126" customHeight="1" s="155">
      <c r="A69" s="28">
        <f>A68+1</f>
        <v/>
      </c>
      <c r="B69" s="29" t="inlineStr">
        <is>
          <t>Sfogliatella riccia</t>
        </is>
      </c>
      <c r="C69" s="29" t="inlineStr">
        <is>
          <t>FARINA 0/MAN. CAPUTO DA KG.25    CONTIENE ALLERGENI - F.lli Fiorentino Srl n° fatt 2400742 - 05/07/2024</t>
        </is>
      </c>
      <c r="D69" s="29" t="inlineStr">
        <is>
          <t>ZUCCHERO   NON CONTIENE ALLERGENI - F.lli Fiorentino Srl n° fatt 2108913 - 18/06/2024</t>
        </is>
      </c>
      <c r="E69" s="29" t="inlineStr">
        <is>
          <t>MELANGE HOMILLA PLUS IMPASTI E CREME  CONTIENE ALLERGENI - SAIMA S.p.A. n° fatt 1/91997 - 04/06/2024</t>
        </is>
      </c>
      <c r="F69" s="29" t="inlineStr">
        <is>
          <t>STRUTTO  CONTIENE ALLERGENI - RONDINELLA MARKET S.R.L n° fatt 1093 - 02/07/2024</t>
        </is>
      </c>
      <c r="G69" s="29" t="inlineStr">
        <is>
          <t>SALE FINO ITALKALI   NON CONTIENE ALLERGENI - F.lli Fiorentino Srl n° fatt 2400742 - 05/07/2024</t>
        </is>
      </c>
      <c r="H69" s="29" t="inlineStr">
        <is>
          <t>UOVA CAT.PESO L AZ 3 IT 007 BR 069 L, 29.07.2024  CONTIENE ALLERGENI - EUROUOVA SRL n° fatt 1822 - 09/07/2024</t>
        </is>
      </c>
      <c r="I69" s="29" t="inlineStr">
        <is>
          <t>RICOTTA ROMA FULVIA  CONTIENE ALLERGENI - GARGIULO GIUSEPPE n° fatt FPR 235/24 - 30/06/2024</t>
        </is>
      </c>
      <c r="J69" s="29" t="inlineStr">
        <is>
          <t>CUBETTI MISTI  NON CONTIENE ALLERGENI - RONDINELLA MARKET S.R.L. n° fatt 610 - 15/04/2024</t>
        </is>
      </c>
      <c r="K69" s="29" t="n"/>
      <c r="L69" s="29" t="inlineStr">
        <is>
          <t>Cannella - SAIMA S.p.A. n° fatt 1/935 - 04/01/2024</t>
        </is>
      </c>
      <c r="M69" s="29" t="n"/>
      <c r="N69" s="29" t="n"/>
      <c r="O69" s="29" t="n"/>
      <c r="P69" s="29" t="n"/>
      <c r="Q69" s="29" t="n"/>
      <c r="R69" s="176" t="n"/>
      <c r="S69" s="176" t="n"/>
      <c r="T69" s="176" t="n"/>
      <c r="U69" s="29" t="n"/>
    </row>
    <row r="70" ht="126" customHeight="1" s="155">
      <c r="A70" s="28">
        <f>A69+1</f>
        <v/>
      </c>
      <c r="B70" s="29" t="inlineStr">
        <is>
          <t>Sfogliatella frolla</t>
        </is>
      </c>
      <c r="C70" s="29" t="inlineStr">
        <is>
          <t>FARINA 0/MAN. CAPUTO DA KG.25    CONTIENE ALLERGENI - F.lli Fiorentino Srl n° fatt 2400742 - 05/07/2024</t>
        </is>
      </c>
      <c r="D70" s="29" t="inlineStr">
        <is>
          <t>ZUCCHERO   NON CONTIENE ALLERGENI - F.lli Fiorentino Srl n° fatt 2108913 - 18/06/2024</t>
        </is>
      </c>
      <c r="E70" s="29" t="inlineStr">
        <is>
          <t>MELANGE HOMILLA PLUS IMPASTI E CREME  CONTIENE ALLERGENI - SAIMA S.p.A. n° fatt 1/91997 - 04/06/2024</t>
        </is>
      </c>
      <c r="F70" s="29" t="inlineStr">
        <is>
          <t>STRUTTO  CONTIENE ALLERGENI - RONDINELLA MARKET S.R.L n° fatt 1093 - 02/07/2024</t>
        </is>
      </c>
      <c r="G70" s="29" t="inlineStr">
        <is>
          <t>SALE FINO ITALKALI   NON CONTIENE ALLERGENI - F.lli Fiorentino Srl n° fatt 2400742 - 05/07/2024</t>
        </is>
      </c>
      <c r="H70" s="29" t="inlineStr">
        <is>
          <t>UOVA CAT.PESO L AZ 3 IT 007 BR 069 L, 29.07.2024  CONTIENE ALLERGENI - EUROUOVA SRL n° fatt 1822 - 09/07/2024</t>
        </is>
      </c>
      <c r="I70" s="29" t="inlineStr">
        <is>
          <t>RICOTTA ROMA FULVIA  CONTIENE ALLERGENI - GARGIULO GIUSEPPE n° fatt FPR 235/24 - 30/06/2024</t>
        </is>
      </c>
      <c r="J70" s="29" t="inlineStr">
        <is>
          <t>CUBETTI MISTI  NON CONTIENE ALLERGENI - RONDINELLA MARKET S.R.L. n° fatt 610 - 15/04/2024</t>
        </is>
      </c>
      <c r="K70" s="29" t="n"/>
      <c r="L70" s="29" t="inlineStr">
        <is>
          <t>Cannella - SAIMA S.p.A. n° fatt 1/935 - 04/01/2024</t>
        </is>
      </c>
      <c r="M70" s="29" t="n"/>
      <c r="N70" s="29" t="n"/>
      <c r="O70" s="29" t="n"/>
      <c r="P70" s="29" t="n"/>
      <c r="Q70" s="29" t="n"/>
      <c r="R70" s="176" t="n"/>
      <c r="S70" s="176" t="n"/>
      <c r="T70" s="176" t="n"/>
      <c r="U70" s="29" t="n"/>
    </row>
    <row r="71" ht="141.75" customHeight="1" s="155">
      <c r="A71" s="28">
        <f>A70+1</f>
        <v/>
      </c>
      <c r="B71" s="29" t="inlineStr">
        <is>
          <t>Pastiera</t>
        </is>
      </c>
      <c r="C71" s="29" t="inlineStr">
        <is>
          <t>FARINA 0/MAN. CAPUTO DA KG.25    CONTIENE ALLERGENI - F.lli Fiorentino Srl n° fatt 2400742 - 05/07/2024</t>
        </is>
      </c>
      <c r="D71" s="29" t="inlineStr">
        <is>
          <t>ZUCCHERO   NON CONTIENE ALLERGENI - F.lli Fiorentino Srl n° fatt 2108913 - 18/06/2024</t>
        </is>
      </c>
      <c r="E71" s="29" t="inlineStr">
        <is>
          <t>MELANGE HOMILLA PLUS IMPASTI E CREME  CONTIENE ALLERGENI - SAIMA S.p.A. n° fatt 1/91997 - 04/06/2024</t>
        </is>
      </c>
      <c r="F71" s="29" t="inlineStr">
        <is>
          <t>STRUTTO  CONTIENE ALLERGENI - RONDINELLA MARKET S.R.L n° fatt 1093 - 02/07/2024</t>
        </is>
      </c>
      <c r="G71" s="29" t="inlineStr">
        <is>
          <t>RICOTTA ROMA FULVIA  CONTIENE ALLERGENI - GARGIULO GIUSEPPE n° fatt FPR 235/24 - 30/06/2024</t>
        </is>
      </c>
      <c r="H71" s="29" t="inlineStr">
        <is>
          <t>UOVA CAT.PESO L AZ 3 IT 007 BR 069 L, 29.07.2024  CONTIENE ALLERGENI - EUROUOVA SRL n° fatt 1822 - 09/07/2024</t>
        </is>
      </c>
      <c r="I71" s="29" t="inlineStr">
        <is>
          <t>GRANO COTTO  NON CONTIENE ALLERGENI - F.lli Fiorentino Srl n° fatt 4683 - 12/04/2024</t>
        </is>
      </c>
      <c r="J71" s="29" t="inlineStr">
        <is>
          <t>CUBETTI MISTI  NON CONTIENE ALLERGENI - RONDINELLA MARKET S.R.L. n° fatt 610 - 15/04/2024</t>
        </is>
      </c>
      <c r="K71" s="29" t="n"/>
      <c r="L71" s="29" t="inlineStr">
        <is>
          <t>LATTE   1000 INT.UHT  YMA  CONTIENE ALLERGENI - G.I.A.L. GENERALE INGROSSO ALIMENTARE S.R.L. n° fatt V1-24022 - 30/06/2024</t>
        </is>
      </c>
      <c r="M71" s="29" t="n"/>
      <c r="N71" s="29" t="n"/>
      <c r="O71" s="29" t="n"/>
      <c r="P71" s="29" t="n"/>
      <c r="Q71" s="29" t="n"/>
      <c r="R71" s="176" t="n"/>
      <c r="S71" s="176" t="n"/>
      <c r="T71" s="176" t="n"/>
      <c r="U71" s="29" t="n"/>
    </row>
    <row r="72" ht="141.75" customHeight="1" s="155">
      <c r="A72" s="28">
        <f>A71+1</f>
        <v/>
      </c>
      <c r="B72" s="29" t="inlineStr">
        <is>
          <t>Pastiera</t>
        </is>
      </c>
      <c r="C72" s="29" t="inlineStr">
        <is>
          <t>FARINA 0/MAN. CAPUTO DA KG.25    CONTIENE ALLERGENI - F.lli Fiorentino Srl n° fatt 2400742 - 05/07/2024</t>
        </is>
      </c>
      <c r="D72" s="29" t="inlineStr">
        <is>
          <t>ZUCCHERO   NON CONTIENE ALLERGENI - F.lli Fiorentino Srl n° fatt 2108913 - 18/06/2024</t>
        </is>
      </c>
      <c r="E72" s="29" t="inlineStr">
        <is>
          <t>MELANGE HOMILLA PLUS IMPASTI E CREME  CONTIENE ALLERGENI - SAIMA S.p.A. n° fatt 1/91997 - 04/06/2024</t>
        </is>
      </c>
      <c r="F72" s="29" t="inlineStr">
        <is>
          <t>STRUTTO  CONTIENE ALLERGENI - RONDINELLA MARKET S.R.L n° fatt 1093 - 02/07/2024</t>
        </is>
      </c>
      <c r="G72" s="29" t="inlineStr">
        <is>
          <t>RICOTTA ROMA FULVIA  CONTIENE ALLERGENI - GARGIULO GIUSEPPE n° fatt FPR 235/24 - 30/06/2024</t>
        </is>
      </c>
      <c r="H72" s="29" t="inlineStr">
        <is>
          <t>UOVA CAT.PESO L AZ 3 IT 007 BR 069 L, 29.07.2024  CONTIENE ALLERGENI - EUROUOVA SRL n° fatt 1822 - 09/07/2024</t>
        </is>
      </c>
      <c r="I72" s="29" t="inlineStr">
        <is>
          <t>GRANO COTTO  NON CONTIENE ALLERGENI - F.lli Fiorentino Srl n° fatt 4683 - 12/04/2024</t>
        </is>
      </c>
      <c r="J72" s="29" t="inlineStr">
        <is>
          <t>CUBETTI MISTI  NON CONTIENE ALLERGENI - RONDINELLA MARKET S.R.L. n° fatt 610 - 15/04/2024</t>
        </is>
      </c>
      <c r="K72" s="29" t="n"/>
      <c r="L72" s="29" t="inlineStr">
        <is>
          <t>LATTE   1000 INT.UHT  YMA  CONTIENE ALLERGENI - G.I.A.L. GENERALE INGROSSO ALIMENTARE S.R.L. n° fatt V1-24022 - 30/06/2024</t>
        </is>
      </c>
      <c r="M72" s="29" t="n"/>
      <c r="N72" s="29" t="n"/>
      <c r="O72" s="29" t="n"/>
      <c r="P72" s="29" t="n"/>
      <c r="Q72" s="29" t="n"/>
      <c r="R72" s="176" t="n"/>
      <c r="S72" s="176" t="n"/>
      <c r="T72" s="176" t="n"/>
      <c r="U72" s="29" t="n"/>
    </row>
    <row r="73" ht="110.25" customHeight="1" s="155">
      <c r="A73" s="28">
        <f>A72+1</f>
        <v/>
      </c>
      <c r="B73" s="29" t="inlineStr">
        <is>
          <t>Pasta Sfoglia</t>
        </is>
      </c>
      <c r="C73" s="29" t="inlineStr">
        <is>
          <t>FARINA 0/MAN. CAPUTO   CONTIENE ALLERGENI - F.lli Fiorentino Srl n° fatt 1/13186 - 22/10/2024</t>
        </is>
      </c>
      <c r="D73" s="29" t="inlineStr">
        <is>
          <t>burro sfoglia  CONTIENE ALLERGENI - "RONDINELLA MARKET S.R.L." n° fatt 1627 - 07/10/2024</t>
        </is>
      </c>
      <c r="E73" s="29" t="n"/>
      <c r="F73" s="29" t="e">
        <v>#REF!</v>
      </c>
      <c r="G73" s="29" t="n"/>
      <c r="H73" s="29" t="e">
        <v>#REF!</v>
      </c>
      <c r="I73" s="29" t="n"/>
      <c r="J73" s="29" t="n"/>
      <c r="K73" s="29" t="n"/>
      <c r="L73" s="29" t="e">
        <v>#REF!</v>
      </c>
      <c r="M73" s="29" t="n"/>
      <c r="N73" s="29" t="n"/>
      <c r="O73" s="29" t="n"/>
      <c r="P73" s="29" t="n"/>
      <c r="Q73" s="29" t="n"/>
      <c r="R73" s="176" t="n"/>
      <c r="S73" s="176" t="n"/>
      <c r="T73" s="176" t="n"/>
      <c r="U73" s="29" t="n"/>
    </row>
    <row r="74" ht="126" customHeight="1" s="155">
      <c r="A74" s="28">
        <f>A73+1</f>
        <v/>
      </c>
      <c r="B74" s="29" t="inlineStr">
        <is>
          <t>Krans uvetta</t>
        </is>
      </c>
      <c r="C74" s="29" t="inlineStr">
        <is>
          <t>FARINA 00 CAPUTO RINFORZ.KG.25    contiene allergeni - F.lli Fiorentino Srl n° fatt 1/14656 - 21/11/2057</t>
        </is>
      </c>
      <c r="D74" s="29" t="inlineStr">
        <is>
          <t>ZUCCHERO IMPALPABILE  NON CONTIENE ALLERGENI - SAIMA S.p.A. n° fatt 1/220009 - 17/12/2024</t>
        </is>
      </c>
      <c r="E74" s="29" t="inlineStr">
        <is>
          <t>Margarina Crema  contiene allergeni - RONDINELLA MARKET S.R.L n° fatt 2090 - 09/12/2057</t>
        </is>
      </c>
      <c r="F74" s="29" t="inlineStr">
        <is>
          <t>STRUTTO  NON CONTIENE ALLERGENI - F.lli Fiorentino Srl n° fatt 1/15448 - 06/12/2057</t>
        </is>
      </c>
      <c r="G74" s="29" t="inlineStr">
        <is>
          <t>SALE FINO ITALKALI DA KG.1X12    NON CONTIENE ALLERGENI - F.lli Fiorentino Srl n° fatt 1/12465 - 07/10/2057</t>
        </is>
      </c>
      <c r="H74" s="29" t="inlineStr">
        <is>
          <t>TUORLO PASTORIZZATO  contiene allergeni - SAIMA S.p.A. n° fatt 1/220009 - 17/12/2057</t>
        </is>
      </c>
      <c r="I74" s="29" t="n"/>
      <c r="J74" s="29" t="inlineStr">
        <is>
          <t>RICOTTA Roma  contiene allergeni - GARGIULO GIUSEPPE n° fatt FPR 438/24 - 30/11/2057</t>
        </is>
      </c>
      <c r="K74" s="29" t="n"/>
      <c r="L74" s="29" t="inlineStr">
        <is>
          <t>Aromi  NON CONTIENE ALLERGENI - I COZZOLINO SRL n° fatt D3367 - 30/11/2057</t>
        </is>
      </c>
      <c r="M74" s="29" t="n"/>
      <c r="N74" s="29" t="n"/>
      <c r="O74" s="29" t="n"/>
      <c r="P74" s="29" t="n"/>
      <c r="Q74" s="29" t="n"/>
      <c r="R74" s="176" t="n"/>
      <c r="S74" s="176" t="n"/>
      <c r="T74" s="176" t="n"/>
      <c r="U74" s="29" t="n"/>
    </row>
    <row r="75" ht="126" customHeight="1" s="155">
      <c r="A75" s="28">
        <f>A74+1</f>
        <v/>
      </c>
      <c r="B75" s="29" t="inlineStr">
        <is>
          <t>Krans uvetta</t>
        </is>
      </c>
      <c r="C75" s="29" t="inlineStr">
        <is>
          <t>FARINA 00 CAPUTO RINFORZ.KG.25    contiene allergeni - F.lli Fiorentino Srl n° fatt 1/14656 - 21/11/2057</t>
        </is>
      </c>
      <c r="D75" s="29" t="inlineStr">
        <is>
          <t>ZUCCHERO IMPALPABILE  NON CONTIENE ALLERGENI - SAIMA S.p.A. n° fatt 1/220009 - 17/12/2024</t>
        </is>
      </c>
      <c r="E75" s="29" t="inlineStr">
        <is>
          <t>Margarina Crema  contiene allergeni - RONDINELLA MARKET S.R.L n° fatt 2090 - 09/12/2057</t>
        </is>
      </c>
      <c r="F75" s="29" t="inlineStr">
        <is>
          <t>STRUTTO  NON CONTIENE ALLERGENI - F.lli Fiorentino Srl n° fatt 1/15448 - 06/12/2057</t>
        </is>
      </c>
      <c r="G75" s="29" t="inlineStr">
        <is>
          <t>SALE FINO ITALKALI DA KG.1X12    NON CONTIENE ALLERGENI - F.lli Fiorentino Srl n° fatt 1/12465 - 07/10/2057</t>
        </is>
      </c>
      <c r="H75" s="29" t="inlineStr">
        <is>
          <t>TUORLO PASTORIZZATO  contiene allergeni - SAIMA S.p.A. n° fatt 1/220009 - 17/12/2057</t>
        </is>
      </c>
      <c r="I75" s="29" t="n"/>
      <c r="J75" s="29" t="inlineStr">
        <is>
          <t>RICOTTA Roma  contiene allergeni - GARGIULO GIUSEPPE n° fatt FPR 438/24 - 30/11/2057</t>
        </is>
      </c>
      <c r="K75" s="29" t="inlineStr">
        <is>
          <t>Aromi  NON CONTIENE ALLERGENI - I COZZOLINO SRL n° fatt D3367 - 30/11/2057</t>
        </is>
      </c>
      <c r="L75" s="29" t="n">
        <v>45673</v>
      </c>
      <c r="M75" s="29" t="n"/>
      <c r="N75" s="29" t="n"/>
      <c r="O75" s="29" t="n"/>
      <c r="P75" s="29" t="n"/>
      <c r="Q75" s="29" t="n"/>
      <c r="R75" s="176" t="n"/>
      <c r="S75" s="176" t="n"/>
      <c r="T75" s="176" t="n"/>
      <c r="U75" s="29" t="n"/>
    </row>
    <row r="76" ht="126" customHeight="1" s="155">
      <c r="A76" s="28">
        <f>A75+1</f>
        <v/>
      </c>
      <c r="B76" s="29" t="inlineStr">
        <is>
          <t>Krans uvetta</t>
        </is>
      </c>
      <c r="C76" s="29" t="inlineStr">
        <is>
          <t>FARINA 00 CAPUTO RINFORZ.KG.25    contiene allergeni - F.lli Fiorentino Srl n° fatt 1/14656 - 21/11/2057</t>
        </is>
      </c>
      <c r="D76" s="29" t="inlineStr">
        <is>
          <t>ZUCCHERO IMPALPABILE  NON CONTIENE ALLERGENI - SAIMA S.p.A. n° fatt 1/220009 - 17/12/2024</t>
        </is>
      </c>
      <c r="E76" s="29" t="inlineStr">
        <is>
          <t>Margarina Crema  contiene allergeni - RONDINELLA MARKET S.R.L n° fatt 2090 - 09/12/2057</t>
        </is>
      </c>
      <c r="F76" s="29" t="inlineStr">
        <is>
          <t>STRUTTO  NON CONTIENE ALLERGENI - F.lli Fiorentino Srl n° fatt 1/15448 - 06/12/2057</t>
        </is>
      </c>
      <c r="G76" s="29" t="inlineStr">
        <is>
          <t>SALE FINO ITALKALI DA KG.1X12    NON CONTIENE ALLERGENI - F.lli Fiorentino Srl n° fatt 1/12465 - 07/10/2057</t>
        </is>
      </c>
      <c r="H76" s="29" t="inlineStr">
        <is>
          <t>TUORLO PASTORIZZATO  contiene allergeni - SAIMA S.p.A. n° fatt 1/220009 - 17/12/2057</t>
        </is>
      </c>
      <c r="I76" s="29" t="n"/>
      <c r="J76" s="29" t="inlineStr">
        <is>
          <t>RICOTTA Roma  contiene allergeni - GARGIULO GIUSEPPE n° fatt FPR 438/24 - 30/11/2057</t>
        </is>
      </c>
      <c r="K76" s="29" t="inlineStr">
        <is>
          <t>Aromi  NON CONTIENE ALLERGENI - I COZZOLINO SRL n° fatt D3367 - 30/11/2057</t>
        </is>
      </c>
      <c r="L76" s="29" t="n">
        <v>45673</v>
      </c>
      <c r="M76" s="29" t="n"/>
      <c r="N76" s="29" t="n"/>
      <c r="O76" s="29" t="n"/>
      <c r="P76" s="29" t="n"/>
      <c r="Q76" s="29" t="n"/>
      <c r="R76" s="176" t="n"/>
      <c r="S76" s="176" t="n"/>
      <c r="T76" s="176" t="n"/>
      <c r="U76" s="29" t="n"/>
    </row>
    <row r="77" ht="126" customHeight="1" s="155">
      <c r="A77" s="28">
        <f>A76+1</f>
        <v/>
      </c>
      <c r="B77" s="29" t="inlineStr">
        <is>
          <t>Krans uvetta</t>
        </is>
      </c>
      <c r="C77" s="29" t="inlineStr">
        <is>
          <t>FARINA 00 CAPUTO RINFORZ.KG.25    contiene allergeni - F.lli Fiorentino Srl n° fatt 1/14656 - 21/11/2057</t>
        </is>
      </c>
      <c r="D77" s="29" t="inlineStr">
        <is>
          <t>ZUCCHERO IMPALPABILE  NON CONTIENE ALLERGENI - SAIMA S.p.A. n° fatt 1/220009 - 17/12/2024</t>
        </is>
      </c>
      <c r="E77" s="29" t="inlineStr">
        <is>
          <t>Margarina Crema  contiene allergeni - RONDINELLA MARKET S.R.L n° fatt 2090 - 09/12/2057</t>
        </is>
      </c>
      <c r="F77" s="29" t="inlineStr">
        <is>
          <t>STRUTTO  NON CONTIENE ALLERGENI - F.lli Fiorentino Srl n° fatt 1/15448 - 06/12/2057</t>
        </is>
      </c>
      <c r="G77" s="29" t="inlineStr">
        <is>
          <t>SALE FINO ITALKALI DA KG.1X12    NON CONTIENE ALLERGENI - F.lli Fiorentino Srl n° fatt 1/12465 - 07/10/2057</t>
        </is>
      </c>
      <c r="H77" s="29" t="inlineStr">
        <is>
          <t>TUORLO PASTORIZZATO  contiene allergeni - SAIMA S.p.A. n° fatt 1/220009 - 17/12/2057</t>
        </is>
      </c>
      <c r="I77" s="29" t="n"/>
      <c r="J77" s="29" t="inlineStr">
        <is>
          <t>RICOTTA Roma  contiene allergeni - GARGIULO GIUSEPPE n° fatt FPR 438/24 - 30/11/2057</t>
        </is>
      </c>
      <c r="K77" s="29" t="inlineStr">
        <is>
          <t>Aromi  NON CONTIENE ALLERGENI - I COZZOLINO SRL n° fatt D3367 - 30/11/2057</t>
        </is>
      </c>
      <c r="L77" s="29" t="n">
        <v>45673</v>
      </c>
      <c r="M77" s="29" t="n"/>
      <c r="N77" s="29" t="n"/>
      <c r="O77" s="29" t="n"/>
      <c r="P77" s="29" t="n"/>
      <c r="Q77" s="29" t="n"/>
      <c r="R77" s="176" t="n"/>
      <c r="S77" s="176" t="n"/>
      <c r="T77" s="176" t="n"/>
      <c r="U77" s="29" t="n"/>
    </row>
    <row r="78" ht="126" customHeight="1" s="155">
      <c r="A78" s="28">
        <f>A77+1</f>
        <v/>
      </c>
      <c r="B78" s="29" t="inlineStr">
        <is>
          <t>Krans uvetta</t>
        </is>
      </c>
      <c r="C78" s="29" t="inlineStr">
        <is>
          <t>FARINA 00 CAPUTO RINFORZ.KG.25    contiene allergeni - F.lli Fiorentino Srl n° fatt 1/14656 - 21/11/2057</t>
        </is>
      </c>
      <c r="D78" s="29" t="inlineStr">
        <is>
          <t>ZUCCHERO IMPALPABILE  NON CONTIENE ALLERGENI - SAIMA S.p.A. n° fatt 1/220009 - 17/12/2024</t>
        </is>
      </c>
      <c r="E78" s="29" t="inlineStr">
        <is>
          <t>Margarina Crema  contiene allergeni - RONDINELLA MARKET S.R.L n° fatt 2090 - 09/12/2057</t>
        </is>
      </c>
      <c r="F78" s="29" t="inlineStr">
        <is>
          <t>STRUTTO  NON CONTIENE ALLERGENI - F.lli Fiorentino Srl n° fatt 1/15448 - 06/12/2057</t>
        </is>
      </c>
      <c r="G78" s="29" t="inlineStr">
        <is>
          <t>SALE FINO ITALKALI DA KG.1X12    NON CONTIENE ALLERGENI - F.lli Fiorentino Srl n° fatt 1/12465 - 07/10/2057</t>
        </is>
      </c>
      <c r="H78" s="29" t="inlineStr">
        <is>
          <t>TUORLO PASTORIZZATO  contiene allergeni - SAIMA S.p.A. n° fatt 1/220009 - 17/12/2057</t>
        </is>
      </c>
      <c r="I78" s="29" t="n"/>
      <c r="J78" s="29" t="inlineStr">
        <is>
          <t>RICOTTA Roma  contiene allergeni - GARGIULO GIUSEPPE n° fatt FPR 438/24 - 30/11/2057</t>
        </is>
      </c>
      <c r="K78" s="29" t="inlineStr">
        <is>
          <t>Aromi  NON CONTIENE ALLERGENI - I COZZOLINO SRL n° fatt D3367 - 30/11/2057</t>
        </is>
      </c>
      <c r="L78" s="29" t="n">
        <v>45673</v>
      </c>
      <c r="M78" s="29" t="n"/>
      <c r="N78" s="29" t="n"/>
      <c r="O78" s="29" t="n"/>
      <c r="P78" s="29" t="n"/>
      <c r="Q78" s="29" t="n"/>
      <c r="R78" s="176" t="n"/>
      <c r="S78" s="176" t="n"/>
      <c r="T78" s="176" t="n"/>
      <c r="U78" s="29" t="n"/>
    </row>
    <row r="79" ht="126" customHeight="1" s="155">
      <c r="A79" s="28">
        <f>A78+1</f>
        <v/>
      </c>
      <c r="B79" s="29" t="inlineStr">
        <is>
          <t>Krans uvetta</t>
        </is>
      </c>
      <c r="C79" s="29" t="inlineStr">
        <is>
          <t>FARINA 00 CAPUTO RINFORZ.KG.25    contiene allergeni - F.lli Fiorentino Srl n° fatt 1/14656 - 21/11/2057</t>
        </is>
      </c>
      <c r="D79" s="29" t="inlineStr">
        <is>
          <t>ZUCCHERO IMPALPABILE  NON CONTIENE ALLERGENI - SAIMA S.p.A. n° fatt 1/220009 - 17/12/2024</t>
        </is>
      </c>
      <c r="E79" s="29" t="inlineStr">
        <is>
          <t>Margarina Crema  contiene allergeni - RONDINELLA MARKET S.R.L n° fatt 2090 - 09/12/2057</t>
        </is>
      </c>
      <c r="F79" s="29" t="inlineStr">
        <is>
          <t>STRUTTO  NON CONTIENE ALLERGENI - F.lli Fiorentino Srl n° fatt 1/15448 - 06/12/2057</t>
        </is>
      </c>
      <c r="G79" s="29" t="inlineStr">
        <is>
          <t>SALE FINO ITALKALI DA KG.1X12    NON CONTIENE ALLERGENI - F.lli Fiorentino Srl n° fatt 1/12465 - 07/10/2057</t>
        </is>
      </c>
      <c r="H79" s="29" t="inlineStr">
        <is>
          <t>TUORLO PASTORIZZATO  contiene allergeni - SAIMA S.p.A. n° fatt 1/220009 - 17/12/2057</t>
        </is>
      </c>
      <c r="I79" s="29" t="n"/>
      <c r="J79" s="29" t="inlineStr">
        <is>
          <t>RICOTTA Roma  contiene allergeni - GARGIULO GIUSEPPE n° fatt FPR 438/24 - 30/11/2057</t>
        </is>
      </c>
      <c r="K79" s="29" t="inlineStr">
        <is>
          <t>Aromi  NON CONTIENE ALLERGENI - I COZZOLINO SRL n° fatt D3367 - 30/11/2057</t>
        </is>
      </c>
      <c r="L79" s="29" t="inlineStr">
        <is>
          <t>1/16/2025</t>
        </is>
      </c>
      <c r="M79" s="29" t="n"/>
      <c r="N79" s="29" t="n"/>
      <c r="O79" s="29" t="n"/>
      <c r="P79" s="29" t="n"/>
      <c r="Q79" s="29" t="n"/>
      <c r="R79" s="176" t="n"/>
      <c r="S79" s="176" t="n"/>
      <c r="T79" s="176" t="n"/>
      <c r="U79" s="29" t="n"/>
    </row>
    <row r="80" ht="126" customHeight="1" s="155">
      <c r="A80" s="28">
        <f>A79+1</f>
        <v/>
      </c>
      <c r="B80" s="29" t="inlineStr">
        <is>
          <t>Krans uvetta</t>
        </is>
      </c>
      <c r="C80" s="29" t="inlineStr">
        <is>
          <t>FARINA 00 CAPUTO RINFORZ.KG.25    contiene allergeni - F.lli Fiorentino Srl n° fatt 1/14656 - 21/11/2057</t>
        </is>
      </c>
      <c r="D80" s="29" t="inlineStr">
        <is>
          <t>ZUCCHERO IMPALPABILE  NON CONTIENE ALLERGENI - SAIMA S.p.A. n° fatt 1/220009 - 17/12/2024</t>
        </is>
      </c>
      <c r="E80" s="29" t="inlineStr">
        <is>
          <t>Margarina Crema  contiene allergeni - RONDINELLA MARKET S.R.L n° fatt 2090 - 09/12/2057</t>
        </is>
      </c>
      <c r="F80" s="29" t="inlineStr">
        <is>
          <t>STRUTTO  NON CONTIENE ALLERGENI - F.lli Fiorentino Srl n° fatt 1/15448 - 06/12/2057</t>
        </is>
      </c>
      <c r="G80" s="29" t="inlineStr">
        <is>
          <t>SALE FINO ITALKALI DA KG.1X12    NON CONTIENE ALLERGENI - F.lli Fiorentino Srl n° fatt 1/12465 - 07/10/2057</t>
        </is>
      </c>
      <c r="H80" s="29" t="inlineStr">
        <is>
          <t>TUORLO PASTORIZZATO  contiene allergeni - SAIMA S.p.A. n° fatt 1/220009 - 17/12/2057</t>
        </is>
      </c>
      <c r="I80" s="29" t="n"/>
      <c r="J80" s="29" t="inlineStr">
        <is>
          <t>RICOTTA Roma  contiene allergeni - GARGIULO GIUSEPPE n° fatt FPR 438/24 - 30/11/2057</t>
        </is>
      </c>
      <c r="K80" s="29" t="inlineStr">
        <is>
          <t>Aromi  NON CONTIENE ALLERGENI - I COZZOLINO SRL n° fatt D3367 - 30/11/2057</t>
        </is>
      </c>
      <c r="L80" s="29" t="inlineStr">
        <is>
          <t>1/16/2025</t>
        </is>
      </c>
      <c r="M80" s="29" t="n"/>
      <c r="N80" s="29" t="n"/>
      <c r="O80" s="29" t="n"/>
      <c r="P80" s="29" t="n"/>
      <c r="Q80" s="29" t="n"/>
      <c r="R80" s="176" t="n"/>
      <c r="S80" s="176" t="n"/>
      <c r="T80" s="176" t="n"/>
      <c r="U80" s="29" t="n"/>
    </row>
    <row r="81" ht="126" customHeight="1" s="155">
      <c r="A81" s="28">
        <f>A80+1</f>
        <v/>
      </c>
      <c r="B81" s="29" t="inlineStr">
        <is>
          <t>Krans uvetta</t>
        </is>
      </c>
      <c r="C81" s="29" t="inlineStr">
        <is>
          <t>FARINA 00 CAPUTO RINFORZ.KG.25    contiene allergeni - F.lli Fiorentino Srl n° fatt 1/14656 - 21/11/2057</t>
        </is>
      </c>
      <c r="D81" s="29" t="inlineStr">
        <is>
          <t>ZUCCHERO IMPALPABILE  NON CONTIENE ALLERGENI - SAIMA S.p.A. n° fatt 1/220009 - 17/12/2024</t>
        </is>
      </c>
      <c r="E81" s="29" t="inlineStr">
        <is>
          <t>Margarina Crema  contiene allergeni - RONDINELLA MARKET S.R.L n° fatt 2090 - 09/12/2057</t>
        </is>
      </c>
      <c r="F81" s="29" t="inlineStr">
        <is>
          <t>STRUTTO  NON CONTIENE ALLERGENI - F.lli Fiorentino Srl n° fatt 1/15448 - 06/12/2057</t>
        </is>
      </c>
      <c r="G81" s="29" t="inlineStr">
        <is>
          <t>SALE FINO ITALKALI DA KG.1X12    NON CONTIENE ALLERGENI - F.lli Fiorentino Srl n° fatt 1/12465 - 07/10/2057</t>
        </is>
      </c>
      <c r="H81" s="29" t="inlineStr">
        <is>
          <t>TUORLO PASTORIZZATO  contiene allergeni - SAIMA S.p.A. n° fatt 1/220009 - 17/12/2057</t>
        </is>
      </c>
      <c r="I81" s="29" t="n"/>
      <c r="J81" s="29" t="inlineStr">
        <is>
          <t>RICOTTA Roma  contiene allergeni - GARGIULO GIUSEPPE n° fatt FPR 438/24 - 30/11/2057</t>
        </is>
      </c>
      <c r="K81" s="29" t="inlineStr">
        <is>
          <t>Aromi  NON CONTIENE ALLERGENI - I COZZOLINO SRL n° fatt D3367 - 30/11/2057</t>
        </is>
      </c>
      <c r="L81" s="29" t="inlineStr">
        <is>
          <t>1/16/2025</t>
        </is>
      </c>
      <c r="M81" s="29" t="n"/>
      <c r="N81" s="29" t="n"/>
      <c r="O81" s="29" t="n"/>
      <c r="P81" s="29" t="n"/>
      <c r="Q81" s="29" t="n"/>
      <c r="R81" s="176" t="n"/>
      <c r="S81" s="176" t="n"/>
      <c r="T81" s="176" t="n"/>
      <c r="U81" s="29" t="n"/>
    </row>
    <row r="82" ht="126" customHeight="1" s="155">
      <c r="A82" s="28">
        <f>A81+1</f>
        <v/>
      </c>
      <c r="B82" s="29" t="inlineStr">
        <is>
          <t>Krans uvetta</t>
        </is>
      </c>
      <c r="C82" s="29" t="inlineStr">
        <is>
          <t>FARINA 00 CAPUTO RINFORZ.KG.25    contiene allergeni - F.lli Fiorentino Srl n° fatt 1/14656 - 21/11/2024</t>
        </is>
      </c>
      <c r="D82" s="29" t="inlineStr">
        <is>
          <t>ZUCCHERO IMPALPABILE  NON CONTIENE ALLERGENI - SAIMA S.p.A. n° fatt 1/220009 - 17/12/2024</t>
        </is>
      </c>
      <c r="E82" s="29" t="inlineStr">
        <is>
          <t>Margarina Crema  contiene allergeni - RONDINELLA MARKET S.R.L n° fatt 2090 - 09/12/2024</t>
        </is>
      </c>
      <c r="F82" s="29" t="inlineStr">
        <is>
          <t>STRUTTO  NON CONTIENE ALLERGENI - F.lli Fiorentino Srl n° fatt 1/15448 - 06/12/2024</t>
        </is>
      </c>
      <c r="G82" s="29" t="inlineStr">
        <is>
          <t>SALE FINO ITALKALI DA KG.1X12    NON CONTIENE ALLERGENI - F.lli Fiorentino Srl n° fatt 1/12465 - 07/10/2024</t>
        </is>
      </c>
      <c r="H82" s="29" t="inlineStr">
        <is>
          <t>TUORLO PASTORIZZATO  contiene allergeni - SAIMA S.p.A. n° fatt 1/196597 - 13/11/2024</t>
        </is>
      </c>
      <c r="I82" s="29" t="n"/>
      <c r="J82" s="29" t="inlineStr">
        <is>
          <t>RICOTTA Roma  contiene allergeni - GARGIULO GIUSEPPE n° fatt FPR 438/24 - 30/11/2024</t>
        </is>
      </c>
      <c r="K82" s="29" t="n"/>
      <c r="L82" s="29" t="inlineStr">
        <is>
          <t>1/16/2025</t>
        </is>
      </c>
      <c r="M82" s="29" t="n"/>
      <c r="N82" s="29" t="n"/>
      <c r="O82" s="29" t="n"/>
      <c r="P82" s="29" t="n"/>
      <c r="Q82" s="29" t="n"/>
      <c r="R82" s="176" t="n"/>
      <c r="S82" s="176" t="n"/>
      <c r="T82" s="176" t="n"/>
      <c r="U82" s="29" t="n"/>
    </row>
    <row r="83" ht="126" customHeight="1" s="155">
      <c r="A83" s="28">
        <f>A82+1</f>
        <v/>
      </c>
      <c r="B83" s="29" t="inlineStr">
        <is>
          <t>Krans uvetta</t>
        </is>
      </c>
      <c r="C83" s="29" t="inlineStr">
        <is>
          <t>FARINA 00 CAPUTO RINFORZ.KG.25    contiene allergeni - F.lli Fiorentino Srl n° fatt 1/14656 - 21/11/2024</t>
        </is>
      </c>
      <c r="D83" s="29" t="inlineStr">
        <is>
          <t>ZUCCHERO IMPALPABILE  NON CONTIENE ALLERGENI - SAIMA S.p.A. n° fatt 1/220009 - 17/12/2024</t>
        </is>
      </c>
      <c r="E83" s="29" t="inlineStr">
        <is>
          <t>Margarina Crema  contiene allergeni - RONDINELLA MARKET S.R.L n° fatt 2090 - 09/12/2024</t>
        </is>
      </c>
      <c r="F83" s="29" t="inlineStr">
        <is>
          <t>STRUTTO  NON CONTIENE ALLERGENI - F.lli Fiorentino Srl n° fatt 1/15448 - 06/12/2024</t>
        </is>
      </c>
      <c r="G83" s="29" t="inlineStr">
        <is>
          <t>SALE FINO ITALKALI DA KG.1X12    NON CONTIENE ALLERGENI - F.lli Fiorentino Srl n° fatt 1/12465 - 07/10/2024</t>
        </is>
      </c>
      <c r="H83" s="29" t="inlineStr">
        <is>
          <t>TUORLO PASTORIZZATO  contiene allergeni - SAIMA S.p.A. n° fatt 1/196597 - 13/11/2024</t>
        </is>
      </c>
      <c r="I83" s="29" t="n"/>
      <c r="J83" s="29" t="inlineStr">
        <is>
          <t>RICOTTA Roma  contiene allergeni - GARGIULO GIUSEPPE n° fatt FPR 438/24 - 30/11/2024</t>
        </is>
      </c>
      <c r="K83" s="29" t="n"/>
      <c r="L83" s="29" t="inlineStr">
        <is>
          <t>1/16/2025</t>
        </is>
      </c>
      <c r="M83" s="29" t="n"/>
      <c r="N83" s="29" t="n"/>
      <c r="O83" s="29" t="n"/>
      <c r="P83" s="29" t="n"/>
      <c r="Q83" s="29" t="n"/>
      <c r="R83" s="176" t="n"/>
      <c r="S83" s="176" t="n"/>
      <c r="T83" s="176" t="n"/>
      <c r="U83" s="29" t="n"/>
    </row>
    <row r="84" ht="126" customHeight="1" s="155">
      <c r="A84" s="28">
        <f>A83+1</f>
        <v/>
      </c>
      <c r="B84" s="29" t="inlineStr">
        <is>
          <t>Strudel al Cioccolato</t>
        </is>
      </c>
      <c r="C84" s="29" t="inlineStr">
        <is>
          <t>FARINA 00 CAPUTO RINFORZ.KG.25    contiene allergeni - F.lli Fiorentino Srl n° fatt 1/14656 - 21/11/2024</t>
        </is>
      </c>
      <c r="D84" s="29" t="inlineStr">
        <is>
          <t>ZUCCHERO IMPALPABILE  NON CONTIENE ALLERGENI - SAIMA S.p.A. n° fatt 1/220009 - 17/12/2024</t>
        </is>
      </c>
      <c r="E84" s="29" t="inlineStr">
        <is>
          <t>Margarina Crema  contiene allergeni - RONDINELLA MARKET S.R.L n° fatt 2090 - 09/12/2024</t>
        </is>
      </c>
      <c r="F84" s="29" t="n"/>
      <c r="G84" s="29" t="inlineStr">
        <is>
          <t>SALE FINO ITALKALI DA KG.1X12    NON CONTIENE ALLERGENI - F.lli Fiorentino Srl n° fatt 1/12465 - 07/10/2024</t>
        </is>
      </c>
      <c r="H84" s="29" t="inlineStr">
        <is>
          <t>TUORLO PASTORIZZATO  contiene allergeni - SAIMA S.p.A. n° fatt 1/196597 - 13/11/2024</t>
        </is>
      </c>
      <c r="I84" s="29" t="n"/>
      <c r="J84" s="29" t="n"/>
      <c r="K84" s="29" t="n"/>
      <c r="L84" s="29" t="inlineStr">
        <is>
          <t>STRUTTO  NON CONTIENE ALLERGENI - F.lli Fiorentino Srl n° fatt 1/15448 - 06/12/2024</t>
        </is>
      </c>
      <c r="M84" s="29" t="n"/>
      <c r="N84" s="29" t="n"/>
      <c r="O84" s="29" t="n"/>
      <c r="P84" s="29" t="n"/>
      <c r="Q84" s="29" t="n"/>
      <c r="R84" s="176" t="n"/>
      <c r="S84" s="176" t="n"/>
      <c r="T84" s="176" t="n"/>
      <c r="U84" s="29" t="n"/>
    </row>
    <row r="85" ht="126" customHeight="1" s="155">
      <c r="A85" s="28">
        <f>A84+1</f>
        <v/>
      </c>
      <c r="B85" s="29" t="inlineStr">
        <is>
          <t>Strudel al Cioccolato</t>
        </is>
      </c>
      <c r="C85" s="29" t="inlineStr">
        <is>
          <t>FARINA 00 CAPUTO RINFORZ.KG.25    contiene allergeni - F.lli Fiorentino Srl n° fatt 1/14656 - 21/11/2024</t>
        </is>
      </c>
      <c r="D85" s="29" t="inlineStr">
        <is>
          <t>ZUCCHERO IMPALPABILE  NON CONTIENE ALLERGENI - SAIMA S.p.A. n° fatt 1/220009 - 17/12/2024</t>
        </is>
      </c>
      <c r="E85" s="29" t="inlineStr">
        <is>
          <t>Margarina Crema  contiene allergeni - RONDINELLA MARKET S.R.L n° fatt 2090 - 09/12/2024</t>
        </is>
      </c>
      <c r="F85" s="29" t="n"/>
      <c r="G85" s="29" t="inlineStr">
        <is>
          <t>SALE FINO ITALKALI DA KG.1X12    NON CONTIENE ALLERGENI - F.lli Fiorentino Srl n° fatt 1/12465 - 07/10/2024</t>
        </is>
      </c>
      <c r="H85" s="29" t="inlineStr">
        <is>
          <t>TUORLO PASTORIZZATO  contiene allergeni - SAIMA S.p.A. n° fatt 1/196597 - 13/11/2024</t>
        </is>
      </c>
      <c r="I85" s="29" t="n"/>
      <c r="J85" s="29" t="n"/>
      <c r="K85" s="29" t="n"/>
      <c r="L85" s="29" t="inlineStr">
        <is>
          <t>STRUTTO  NON CONTIENE ALLERGENI - F.lli Fiorentino Srl n° fatt 1/15448 - 06/12/2024</t>
        </is>
      </c>
      <c r="M85" s="29" t="n"/>
      <c r="N85" s="29" t="n"/>
      <c r="O85" s="29" t="n"/>
      <c r="P85" s="29" t="n"/>
      <c r="Q85" s="29" t="n"/>
      <c r="R85" s="176" t="n"/>
      <c r="S85" s="176" t="n"/>
      <c r="T85" s="176" t="n"/>
      <c r="U85" s="29" t="n"/>
    </row>
    <row r="86" ht="126" customHeight="1" s="155">
      <c r="A86" s="28">
        <f>A85+1</f>
        <v/>
      </c>
      <c r="B86" s="29" t="inlineStr">
        <is>
          <t>Strudel di Mele</t>
        </is>
      </c>
      <c r="C86" s="29" t="inlineStr">
        <is>
          <t>FARINA 00 CAPUTO RINFORZ.KG.25    contiene allergeni - F.lli Fiorentino Srl n° fatt 1/14656 - 21/11/2024</t>
        </is>
      </c>
      <c r="D86" s="29" t="inlineStr">
        <is>
          <t>ZUCCHERO IMPALPABILE  NON CONTIENE ALLERGENI - SAIMA S.p.A. n° fatt 1/220009 - 17/12/2024</t>
        </is>
      </c>
      <c r="E86" s="29" t="inlineStr">
        <is>
          <t>Margarina Crema  contiene allergeni - RONDINELLA MARKET S.R.L n° fatt 2090 - 09/12/2024</t>
        </is>
      </c>
      <c r="F86" s="29" t="n"/>
      <c r="G86" s="29" t="inlineStr">
        <is>
          <t>SALE FINO ITALKALI DA KG.1X12    NON CONTIENE ALLERGENI - F.lli Fiorentino Srl n° fatt 1/12465 - 07/10/2024</t>
        </is>
      </c>
      <c r="H86" s="29" t="inlineStr">
        <is>
          <t>TUORLO PASTORIZZATO  contiene allergeni - SAIMA S.p.A. n° fatt 1/196597 - 13/11/2024</t>
        </is>
      </c>
      <c r="I86" s="29" t="inlineStr">
        <is>
          <t>LATTE   1000 INT.UHT  YMA  contiene allergeni - G.I.A.L.  n° fatt V1-50172 - 31/12/2024</t>
        </is>
      </c>
      <c r="J86" s="29" t="n"/>
      <c r="K86" s="29" t="n"/>
      <c r="L86" s="29" t="inlineStr">
        <is>
          <t>STRUTTO  NON CONTIENE ALLERGENI - F.lli Fiorentino Srl n° fatt 1/15448 - 06/12/2024</t>
        </is>
      </c>
      <c r="M86" s="29" t="n"/>
      <c r="N86" s="29" t="n"/>
      <c r="O86" s="29" t="n"/>
      <c r="P86" s="29" t="n"/>
      <c r="Q86" s="29" t="n"/>
      <c r="R86" s="176" t="n"/>
      <c r="S86" s="176" t="n"/>
      <c r="T86" s="176" t="n"/>
      <c r="U86" s="29" t="n"/>
    </row>
    <row r="87" ht="126" customHeight="1" s="155">
      <c r="A87" s="28">
        <f>A86+1</f>
        <v/>
      </c>
      <c r="B87" s="29" t="inlineStr">
        <is>
          <t>Tiramisù</t>
        </is>
      </c>
      <c r="C87" s="29" t="inlineStr">
        <is>
          <t>FARINA 00 CAPUTO RINFORZ.KG.25    contiene allergeni - F.lli Fiorentino Srl n° fatt 1/14656 - 21/11/2024</t>
        </is>
      </c>
      <c r="D87" s="29" t="inlineStr">
        <is>
          <t>ZUCCHERO IMPALPABILE  NON CONTIENE ALLERGENI - SAIMA S.p.A. n° fatt 1/220009 - 17/12/2024</t>
        </is>
      </c>
      <c r="E87" s="29" t="inlineStr">
        <is>
          <t>Margarina Crema  contiene allergeni - RONDINELLA MARKET S.R.L n° fatt 2090 - 09/12/2024</t>
        </is>
      </c>
      <c r="F87" s="29" t="n"/>
      <c r="G87" s="29" t="inlineStr">
        <is>
          <t>SALE FINO ITALKALI DA KG.1X12    NON CONTIENE ALLERGENI - F.lli Fiorentino Srl n° fatt 1/12465 - 07/10/2024</t>
        </is>
      </c>
      <c r="H87" s="29" t="inlineStr">
        <is>
          <t>TUORLO PASTORIZZATO  contiene allergeni - SAIMA S.p.A. n° fatt 1/196597 - 13/11/2024</t>
        </is>
      </c>
      <c r="I87" s="29" t="inlineStr">
        <is>
          <t>LATTE   1000 INT.UHT  YMA  contiene allergeni - G.I.A.L.  n° fatt V1-50172 - 31/12/2024</t>
        </is>
      </c>
      <c r="J87" s="29" t="n"/>
      <c r="K87" s="29" t="n"/>
      <c r="L87" s="29" t="inlineStr">
        <is>
          <t>STRUTTO  NON CONTIENE ALLERGENI - F.lli Fiorentino Srl n° fatt 1/15448 - 06/12/2024</t>
        </is>
      </c>
      <c r="M87" s="29" t="n"/>
      <c r="N87" s="29" t="n"/>
      <c r="O87" s="29" t="n"/>
      <c r="P87" s="29" t="n"/>
      <c r="Q87" s="29" t="n"/>
      <c r="R87" s="176" t="n"/>
      <c r="S87" s="176" t="n"/>
      <c r="T87" s="176" t="n"/>
      <c r="U87" s="29" t="n"/>
    </row>
    <row r="88" ht="94.5" customHeight="1" s="155">
      <c r="A88" s="28">
        <f>A87+1</f>
        <v/>
      </c>
      <c r="B88" s="29" t="inlineStr">
        <is>
          <t>Acquaviva TAPPI  GRANDI  G 55/60</t>
        </is>
      </c>
      <c r="C88" s="29" t="inlineStr">
        <is>
          <t>TAPPI  GRANDI  G 55/60  contiene allergeni - Dolciaria Acquaviva S.p.A. n° fatt 479012 - 30/12/2024</t>
        </is>
      </c>
      <c r="D88" s="29" t="n"/>
      <c r="E88" s="29" t="n"/>
      <c r="F88" s="29" t="n"/>
      <c r="G88" s="29" t="n"/>
      <c r="H88" s="29" t="n"/>
      <c r="I88" s="29" t="n"/>
      <c r="J88" s="29" t="n"/>
      <c r="K88" s="29" t="n"/>
      <c r="L88" s="29" t="n"/>
      <c r="M88" s="29" t="n"/>
      <c r="N88" s="29" t="n"/>
      <c r="O88" s="29" t="n"/>
      <c r="P88" s="29" t="n"/>
      <c r="Q88" s="29" t="n"/>
      <c r="R88" s="176" t="n"/>
      <c r="S88" s="176" t="n"/>
      <c r="T88" s="176" t="n"/>
      <c r="U88" s="29" t="n"/>
    </row>
    <row r="89" ht="110.25" customHeight="1" s="155">
      <c r="A89" s="28">
        <f>A88+1</f>
        <v/>
      </c>
      <c r="B89" s="29" t="inlineStr">
        <is>
          <t>Acquaviva TAPPI MIGNON GR.20</t>
        </is>
      </c>
      <c r="C89" s="29" t="inlineStr">
        <is>
          <t>TAPPI MIGNON PER SFOGLIATE GR.20  contiene allergeni - Dolciaria Acquaviva S.p.A. n° fatt 479012 - 30/12/2024</t>
        </is>
      </c>
      <c r="D89" s="29" t="n"/>
      <c r="E89" s="29" t="n"/>
      <c r="F89" s="29" t="n"/>
      <c r="G89" s="29" t="n"/>
      <c r="H89" s="29" t="n"/>
      <c r="I89" s="29" t="n"/>
      <c r="J89" s="29" t="n"/>
      <c r="K89" s="29" t="n"/>
      <c r="L89" s="29" t="n"/>
      <c r="M89" s="29" t="n"/>
      <c r="N89" s="29" t="n"/>
      <c r="O89" s="29" t="n"/>
      <c r="P89" s="29" t="n"/>
      <c r="Q89" s="29" t="n"/>
      <c r="R89" s="176" t="n"/>
      <c r="S89" s="176" t="n"/>
      <c r="T89" s="176" t="n"/>
      <c r="U89" s="29" t="n"/>
    </row>
    <row r="90" ht="126" customHeight="1" s="155">
      <c r="A90" s="28">
        <f>A89+1</f>
        <v/>
      </c>
      <c r="B90" s="29" t="inlineStr">
        <is>
          <t>Babà</t>
        </is>
      </c>
      <c r="C90" s="29" t="inlineStr">
        <is>
          <t>FARINA 00 CAPUTO RINFORZ.KG.25    contiene allergeni - F.lli Fiorentino Srl n° fatt 1/14656 - 21/11/2024</t>
        </is>
      </c>
      <c r="D90" s="29" t="inlineStr">
        <is>
          <t>zucchero  NON CONTIENE ALLERGENI - F.lli Fiorentino Srl n° fatt 1/15448 - 06/12/2024</t>
        </is>
      </c>
      <c r="E90" s="29" t="inlineStr">
        <is>
          <t>Margarina Crema  contiene allergeni - RONDINELLA MARKET S.R.L n° fatt 2090 - 09/12/2024</t>
        </is>
      </c>
      <c r="F90" s="29" t="inlineStr">
        <is>
          <t>STRUTTO  NON CONTIENE ALLERGENI - F.lli Fiorentino Srl n° fatt 1/15448 - 06/12/2024</t>
        </is>
      </c>
      <c r="G90" s="29" t="inlineStr">
        <is>
          <t>SALE FINO ITALKALI DA KG.1X12    NON CONTIENE ALLERGENI - F.lli Fiorentino Srl n° fatt 1/12465 - 07/10/2024</t>
        </is>
      </c>
      <c r="H90" s="29" t="inlineStr">
        <is>
          <t>TUORLO PASTORIZZATO  contiene allergeni - SAIMA S.p.A. n° fatt 1/220009 - 17/12/2024</t>
        </is>
      </c>
      <c r="I90" s="29" t="n"/>
      <c r="J90" s="29" t="n"/>
      <c r="K90" s="29" t="n"/>
      <c r="L90" s="29" t="inlineStr">
        <is>
          <t>STRUTTO  NON CONTIENE ALLERGENI - F.lli Fiorentino Srl n° fatt 1/15448 - 06/12/2024</t>
        </is>
      </c>
      <c r="M90" s="29" t="n"/>
      <c r="N90" s="29" t="n"/>
      <c r="O90" s="29" t="n"/>
      <c r="P90" s="29" t="n"/>
      <c r="Q90" s="29" t="n"/>
      <c r="R90" s="176" t="n"/>
      <c r="S90" s="176" t="n"/>
      <c r="T90" s="176" t="n"/>
      <c r="U90" s="29" t="n"/>
    </row>
    <row r="91" ht="126" customHeight="1" s="155">
      <c r="A91" s="28">
        <f>A90+1</f>
        <v/>
      </c>
      <c r="B91" s="29" t="inlineStr">
        <is>
          <t>Babà Misù</t>
        </is>
      </c>
      <c r="C91" s="29" t="inlineStr">
        <is>
          <t>FARINA 00 CAPUTO RINFORZ.KG.25    contiene allergeni - F.lli Fiorentino Srl n° fatt 1/14656 - 21/11/2024</t>
        </is>
      </c>
      <c r="D91" s="29" t="inlineStr">
        <is>
          <t>zucchero  NON CONTIENE ALLERGENI - F.lli Fiorentino Srl n° fatt 1/15448 - 06/12/2024</t>
        </is>
      </c>
      <c r="E91" s="29" t="inlineStr">
        <is>
          <t>Margarina Crema  contiene allergeni - RONDINELLA MARKET S.R.L n° fatt 2090 - 09/12/2024</t>
        </is>
      </c>
      <c r="F91" s="29" t="inlineStr">
        <is>
          <t>STRUTTO  NON CONTIENE ALLERGENI - F.lli Fiorentino Srl n° fatt 1/15448 - 06/12/2024</t>
        </is>
      </c>
      <c r="G91" s="29" t="inlineStr">
        <is>
          <t>SALE FINO ITALKALI DA KG.1X12    NON CONTIENE ALLERGENI - F.lli Fiorentino Srl n° fatt 1/12465 - 07/10/2024</t>
        </is>
      </c>
      <c r="H91" s="29" t="inlineStr">
        <is>
          <t>TUORLO PASTORIZZATO  contiene allergeni - SAIMA S.p.A. n° fatt 1/220009 - 17/12/2024</t>
        </is>
      </c>
      <c r="I91" s="29" t="n"/>
      <c r="J91" s="29" t="n"/>
      <c r="K91" s="29" t="n"/>
      <c r="L91" s="29" t="inlineStr">
        <is>
          <t>STRUTTO  NON CONTIENE ALLERGENI - F.lli Fiorentino Srl n° fatt 1/15448 - 06/12/2024</t>
        </is>
      </c>
      <c r="M91" s="29" t="n"/>
      <c r="N91" s="29" t="n"/>
      <c r="O91" s="29" t="n"/>
      <c r="P91" s="29" t="n"/>
      <c r="Q91" s="29" t="n"/>
      <c r="R91" s="176" t="n"/>
      <c r="S91" s="176" t="n"/>
      <c r="T91" s="176" t="n"/>
      <c r="U91" s="29" t="n"/>
    </row>
    <row r="92" ht="126" customHeight="1" s="155">
      <c r="A92" s="28">
        <f>A91+1</f>
        <v/>
      </c>
      <c r="B92" s="29" t="inlineStr">
        <is>
          <t>Biscotto amarena</t>
        </is>
      </c>
      <c r="C92" s="29" t="inlineStr">
        <is>
          <t>FARINA 00 CAPUTO RINFORZ.KG.25    contiene allergeni - F.lli Fiorentino Srl n° fatt 1/14656 - 21/11/2024</t>
        </is>
      </c>
      <c r="D92" s="29" t="inlineStr">
        <is>
          <t>zucchero  NON CONTIENE ALLERGENI - F.lli Fiorentino Srl n° fatt 1/15448 - 06/12/2024</t>
        </is>
      </c>
      <c r="E92" s="29" t="inlineStr">
        <is>
          <t>Margarina Crema  contiene allergeni - RONDINELLA MARKET S.R.L n° fatt 2090 - 09/12/2024</t>
        </is>
      </c>
      <c r="F92" s="29" t="inlineStr">
        <is>
          <t>STRUTTO  NON CONTIENE ALLERGENI - F.lli Fiorentino Srl n° fatt 1/15448 - 06/12/2024</t>
        </is>
      </c>
      <c r="G92" s="29" t="inlineStr">
        <is>
          <t>SALE FINO ITALKALI DA KG.1X12    NON CONTIENE ALLERGENI - F.lli Fiorentino Srl n° fatt 1/12465 - 07/10/2024</t>
        </is>
      </c>
      <c r="H92" s="29" t="inlineStr">
        <is>
          <t>TUORLO PASTORIZZATO  contiene allergeni - SAIMA S.p.A. n° fatt 1/220009 - 17/12/2024</t>
        </is>
      </c>
      <c r="I92" s="29" t="inlineStr">
        <is>
          <t>LATTE   1000 INT.UHT  YMA  contiene allergeni - G.I.A.L.  n° fatt V1-50172 - 31/12/2024</t>
        </is>
      </c>
      <c r="J92" s="29" t="n"/>
      <c r="K92" s="29" t="n"/>
      <c r="L92" s="29" t="inlineStr">
        <is>
          <t>STRUTTO  NON CONTIENE ALLERGENI - F.lli Fiorentino Srl n° fatt 1/15448 - 06/12/2024</t>
        </is>
      </c>
      <c r="M92" s="29" t="n"/>
      <c r="N92" s="29" t="n"/>
      <c r="O92" s="29" t="n"/>
      <c r="P92" s="29" t="n"/>
      <c r="Q92" s="29" t="n"/>
      <c r="R92" s="176" t="n"/>
      <c r="S92" s="176" t="n"/>
      <c r="T92" s="176" t="n"/>
      <c r="U92" s="29" t="n"/>
    </row>
    <row r="93" ht="126" customHeight="1" s="155">
      <c r="A93" s="28">
        <f>A92+1</f>
        <v/>
      </c>
      <c r="B93" s="29" t="inlineStr">
        <is>
          <t>Biscotto di pasta frolla al cioccolato</t>
        </is>
      </c>
      <c r="C93" s="29" t="inlineStr">
        <is>
          <t>FARINA 00 CAPUTO RINFORZ.KG.25    contiene allergeni - F.lli Fiorentino Srl n° fatt 1/14656 - 21/11/2024</t>
        </is>
      </c>
      <c r="D93" s="29" t="inlineStr">
        <is>
          <t>zucchero  NON CONTIENE ALLERGENI - F.lli Fiorentino Srl n° fatt 1/15448 - 06/12/2024</t>
        </is>
      </c>
      <c r="E93" s="29" t="inlineStr">
        <is>
          <t>Margarina Crema  contiene allergeni - RONDINELLA MARKET S.R.L n° fatt 2090 - 09/12/2024</t>
        </is>
      </c>
      <c r="F93" s="29" t="inlineStr">
        <is>
          <t>STRUTTO  NON CONTIENE ALLERGENI - F.lli Fiorentino Srl n° fatt 1/15448 - 06/12/2024</t>
        </is>
      </c>
      <c r="G93" s="29" t="inlineStr">
        <is>
          <t>SALE FINO ITALKALI DA KG.1X12    NON CONTIENE ALLERGENI - F.lli Fiorentino Srl n° fatt 1/12465 - 07/10/2024</t>
        </is>
      </c>
      <c r="H93" s="29" t="inlineStr">
        <is>
          <t>TUORLO PASTORIZZATO  contiene allergeni - SAIMA S.p.A. n° fatt 1/220009 - 17/12/2024</t>
        </is>
      </c>
      <c r="I93" s="29" t="n"/>
      <c r="J93" s="29" t="n"/>
      <c r="K93" s="29" t="n"/>
      <c r="L93" s="29" t="inlineStr">
        <is>
          <t>STRUTTO  NON CONTIENE ALLERGENI - F.lli Fiorentino Srl n° fatt 1/15448 - 06/12/2024</t>
        </is>
      </c>
      <c r="M93" s="29" t="n"/>
      <c r="N93" s="29" t="n"/>
      <c r="O93" s="29" t="n"/>
      <c r="P93" s="29" t="n"/>
      <c r="Q93" s="29" t="n"/>
      <c r="R93" s="176" t="n"/>
      <c r="S93" s="176" t="n"/>
      <c r="T93" s="176" t="n"/>
      <c r="U93" s="29" t="n"/>
    </row>
    <row r="94" ht="126" customHeight="1" s="155">
      <c r="A94" s="28">
        <f>A93+1</f>
        <v/>
      </c>
      <c r="B94" s="29" t="inlineStr">
        <is>
          <t>Brioche</t>
        </is>
      </c>
      <c r="C94" s="29" t="inlineStr">
        <is>
          <t>FARINA 00 CAPUTO RINFORZ.KG.25    contiene allergeni - F.lli Fiorentino Srl n° fatt 1/14656 - 21/11/2024</t>
        </is>
      </c>
      <c r="D94" s="29" t="inlineStr">
        <is>
          <t>zucchero  NON CONTIENE ALLERGENI - F.lli Fiorentino Srl n° fatt 1/15448 - 06/12/2024</t>
        </is>
      </c>
      <c r="E94" s="29" t="inlineStr">
        <is>
          <t>Margarina Crema  contiene allergeni - RONDINELLA MARKET S.R.L n° fatt 2090 - 09/12/2024</t>
        </is>
      </c>
      <c r="F94" s="29" t="n"/>
      <c r="G94" s="29" t="inlineStr">
        <is>
          <t>SALE FINO ITALKALI DA KG.1X12    NON CONTIENE ALLERGENI - F.lli Fiorentino Srl n° fatt 1/12465 - 07/10/2024</t>
        </is>
      </c>
      <c r="H94" s="29" t="inlineStr">
        <is>
          <t>TUORLO PASTORIZZATO  contiene allergeni - SAIMA S.p.A. n° fatt 1/220009 - 17/12/2024</t>
        </is>
      </c>
      <c r="I94" s="29" t="inlineStr">
        <is>
          <t>LATTE   1000 INT.UHT  YMA  contiene allergeni - G.I.A.L.  n° fatt V1-50172 - 31/12/2024</t>
        </is>
      </c>
      <c r="J94" s="29" t="n"/>
      <c r="K94" s="29" t="n"/>
      <c r="L94" s="29" t="inlineStr">
        <is>
          <t>STRUTTO  NON CONTIENE ALLERGENI - F.lli Fiorentino Srl n° fatt 1/15448 - 06/12/2024</t>
        </is>
      </c>
      <c r="M94" s="29" t="n"/>
      <c r="N94" s="29" t="n"/>
      <c r="O94" s="29" t="n"/>
      <c r="P94" s="29" t="n"/>
      <c r="Q94" s="29" t="n"/>
      <c r="R94" s="176" t="n"/>
      <c r="S94" s="176" t="n"/>
      <c r="T94" s="176" t="n"/>
      <c r="U94" s="29" t="n"/>
    </row>
    <row r="95" ht="110.25" customHeight="1" s="155">
      <c r="A95" s="28">
        <f>A94+1</f>
        <v/>
      </c>
      <c r="B95" s="29" t="inlineStr">
        <is>
          <t>Cannolo Siciliano</t>
        </is>
      </c>
      <c r="C95" s="29" t="n"/>
      <c r="D95" s="29" t="n"/>
      <c r="E95" s="29" t="n"/>
      <c r="F95" s="29" t="n"/>
      <c r="G95" s="29" t="n"/>
      <c r="H95" s="29" t="n"/>
      <c r="I95" s="29" t="n"/>
      <c r="J95" s="29" t="inlineStr">
        <is>
          <t>RICOTTA ZUCCHERATA  contiene allergeni - Dolciaria Acquaviva S.p.A. n° fatt 479012 - 30/12/2024</t>
        </is>
      </c>
      <c r="K95" s="29" t="inlineStr">
        <is>
          <t>CANNOLI MAX SCURI x 100pz  NON CONTIENE ALLERGENI - RONDINELLA MARKET S.R.L n° fatt 1987 - 26/11/2024</t>
        </is>
      </c>
      <c r="L95" s="29" t="n"/>
      <c r="M95" s="29" t="n"/>
      <c r="N95" s="29" t="n"/>
      <c r="O95" s="29" t="n"/>
      <c r="P95" s="29" t="n"/>
      <c r="Q95" s="29" t="n"/>
      <c r="R95" s="176" t="n"/>
      <c r="S95" s="176" t="n"/>
      <c r="T95" s="176" t="n"/>
      <c r="U95" s="29" t="n"/>
    </row>
    <row r="96" ht="126" customHeight="1" s="155">
      <c r="A96" s="28">
        <f>A95+1</f>
        <v/>
      </c>
      <c r="B96" s="29" t="inlineStr">
        <is>
          <t>Caprese cioccolato</t>
        </is>
      </c>
      <c r="C96" s="29" t="inlineStr">
        <is>
          <t>FARINA 00 CAPUTO RINFORZ.KG.25    contiene allergeni - F.lli Fiorentino Srl n° fatt 1/14656 - 21/11/2024</t>
        </is>
      </c>
      <c r="D96" s="29" t="inlineStr">
        <is>
          <t>zucchero  NON CONTIENE ALLERGENI - F.lli Fiorentino Srl n° fatt 1/15448 - 06/12/2024</t>
        </is>
      </c>
      <c r="E96" s="29" t="inlineStr">
        <is>
          <t>Margarina Crema  contiene allergeni - RONDINELLA MARKET S.R.L n° fatt 2090 - 09/12/2024</t>
        </is>
      </c>
      <c r="F96" s="29" t="inlineStr">
        <is>
          <t>CACAO AMARO  NON CONTIENE ALLERGENI - SAIMA S.p.A. n° fatt 1/228934 - 31/12/2024</t>
        </is>
      </c>
      <c r="G96" s="29" t="inlineStr">
        <is>
          <t>SALE FINO ITALKALI DA KG.1X12    NON CONTIENE ALLERGENI - F.lli Fiorentino Srl n° fatt 1/12465 - 07/10/2024</t>
        </is>
      </c>
      <c r="H96" s="29" t="inlineStr">
        <is>
          <t>TUORLO PASTORIZZATO  contiene allergeni - SAIMA S.p.A. n° fatt 1/220009 - 17/12/2024</t>
        </is>
      </c>
      <c r="I96" s="29" t="n"/>
      <c r="J96" s="29" t="n"/>
      <c r="K96" s="29" t="n"/>
      <c r="L96" s="29" t="inlineStr">
        <is>
          <t>STRUTTO  NON CONTIENE ALLERGENI - F.lli Fiorentino Srl n° fatt 1/15448 - 06/12/2024</t>
        </is>
      </c>
      <c r="M96" s="29" t="n"/>
      <c r="N96" s="29" t="n"/>
      <c r="O96" s="29" t="n"/>
      <c r="P96" s="29" t="n"/>
      <c r="Q96" s="29" t="n"/>
      <c r="R96" s="176" t="n"/>
      <c r="S96" s="176" t="n"/>
      <c r="T96" s="176" t="n"/>
      <c r="U96" s="29" t="n"/>
    </row>
    <row r="97" ht="126" customHeight="1" s="155">
      <c r="A97" s="28">
        <f>A96+1</f>
        <v/>
      </c>
      <c r="B97" s="29" t="inlineStr">
        <is>
          <t>Caprese Limone</t>
        </is>
      </c>
      <c r="C97" s="29" t="inlineStr">
        <is>
          <t>FARINA 00 CAPUTO RINFORZ.KG.25    contiene allergeni - F.lli Fiorentino Srl n° fatt 1/14656 - 21/11/2024</t>
        </is>
      </c>
      <c r="D97" s="29" t="inlineStr">
        <is>
          <t>zucchero  NON CONTIENE ALLERGENI - F.lli Fiorentino Srl n° fatt 1/15448 - 06/12/2024</t>
        </is>
      </c>
      <c r="E97" s="29" t="inlineStr">
        <is>
          <t>Margarina Crema  contiene allergeni - RONDINELLA MARKET S.R.L n° fatt 2090 - 09/12/2024</t>
        </is>
      </c>
      <c r="F97" s="29" t="n"/>
      <c r="G97" s="29" t="inlineStr">
        <is>
          <t>SALE FINO ITALKALI DA KG.1X12    NON CONTIENE ALLERGENI - F.lli Fiorentino Srl n° fatt 1/12465 - 07/10/2024</t>
        </is>
      </c>
      <c r="H97" s="29" t="inlineStr">
        <is>
          <t>TUORLO PASTORIZZATO  contiene allergeni - SAIMA S.p.A. n° fatt 1/220009 - 17/12/2024</t>
        </is>
      </c>
      <c r="I97" s="29" t="n"/>
      <c r="J97" s="29" t="n"/>
      <c r="K97" s="29" t="n"/>
      <c r="L97" s="29" t="inlineStr">
        <is>
          <t>STRUTTO  NON CONTIENE ALLERGENI - F.lli Fiorentino Srl n° fatt 1/15448 - 06/12/2024</t>
        </is>
      </c>
      <c r="M97" s="29" t="n"/>
      <c r="N97" s="29" t="n"/>
      <c r="O97" s="29" t="n"/>
      <c r="P97" s="29" t="n"/>
      <c r="Q97" s="29" t="n"/>
      <c r="R97" s="176" t="n"/>
      <c r="S97" s="176" t="n"/>
      <c r="T97" s="176" t="n"/>
      <c r="U97" s="29" t="n"/>
    </row>
    <row r="98" ht="126" customHeight="1" s="155">
      <c r="A98" s="28">
        <f>A97+1</f>
        <v/>
      </c>
      <c r="B98" s="29" t="inlineStr">
        <is>
          <t>Cervellatine</t>
        </is>
      </c>
      <c r="C98" s="29" t="n"/>
      <c r="D98" s="29" t="n"/>
      <c r="E98" s="29" t="n"/>
      <c r="F98" s="29" t="n"/>
      <c r="G98" s="29" t="inlineStr">
        <is>
          <t>SALE FINO ITALKALI DA KG.1X12    NON CONTIENE ALLERGENI - F.lli Fiorentino Srl n° fatt 1/12465 - 07/10/2024</t>
        </is>
      </c>
      <c r="H98" s="29" t="inlineStr">
        <is>
          <t>CERVELLATINA  NON CONTIENE ALLERGENI - AP COMMERCIALE S.R.L. n° fatt 24566525100020@15348 - 10/12/2024</t>
        </is>
      </c>
      <c r="I98" s="29" t="inlineStr">
        <is>
          <t>OLIO EXTRAVERGINE OLIVA L.5    NON CONTIENE ALLERGENI - F.lli Fiorentino Srl n° fatt 1/14656 - 21/11/2024</t>
        </is>
      </c>
      <c r="J98" s="29" t="n"/>
      <c r="K98" s="29" t="n"/>
      <c r="L98" s="29" t="n"/>
      <c r="M98" s="29" t="n"/>
      <c r="N98" s="29" t="n"/>
      <c r="O98" s="29" t="n"/>
      <c r="P98" s="29" t="n"/>
      <c r="Q98" s="29" t="n"/>
      <c r="R98" s="176" t="n"/>
      <c r="S98" s="176" t="n"/>
      <c r="T98" s="176" t="n"/>
      <c r="U98" s="29" t="n"/>
    </row>
    <row r="99" ht="126" customHeight="1" s="155">
      <c r="A99" s="28">
        <f>A98+1</f>
        <v/>
      </c>
      <c r="B99" s="29" t="inlineStr">
        <is>
          <t>Ciabatta Pizza</t>
        </is>
      </c>
      <c r="C99" s="29" t="inlineStr">
        <is>
          <t>FARINA 00 CAPUTO RINFORZ.KG.25    contiene allergeni - F.lli Fiorentino Srl n° fatt 1/14656 - 21/11/2024</t>
        </is>
      </c>
      <c r="D99" s="29" t="inlineStr">
        <is>
          <t>zucchero  NON CONTIENE ALLERGENI - F.lli Fiorentino Srl n° fatt 1/15448 - 06/12/2024</t>
        </is>
      </c>
      <c r="E99" s="29" t="n"/>
      <c r="F99" s="29" t="inlineStr">
        <is>
          <t>STRUTTO  NON CONTIENE ALLERGENI - F.lli Fiorentino Srl n° fatt 1/15448 - 06/12/2024</t>
        </is>
      </c>
      <c r="G99" s="29" t="inlineStr">
        <is>
          <t>SALE FINO ITALKALI DA KG.1X12    NON CONTIENE ALLERGENI - F.lli Fiorentino Srl n° fatt 1/12465 - 07/10/2024</t>
        </is>
      </c>
      <c r="H99" s="29" t="n"/>
      <c r="I99" s="29" t="n"/>
      <c r="J99" s="29" t="n"/>
      <c r="K99" s="29" t="n"/>
      <c r="L99" s="29" t="inlineStr">
        <is>
          <t>STRUTTO  NON CONTIENE ALLERGENI - F.lli Fiorentino Srl n° fatt 1/15448 - 06/12/2024</t>
        </is>
      </c>
      <c r="M99" s="29" t="n"/>
      <c r="N99" s="29" t="n"/>
      <c r="O99" s="29" t="n"/>
      <c r="P99" s="29" t="n"/>
      <c r="Q99" s="29" t="n"/>
      <c r="R99" s="176" t="n"/>
      <c r="S99" s="176" t="n"/>
      <c r="T99" s="176" t="n"/>
      <c r="U99" s="29" t="n"/>
    </row>
    <row r="100" ht="110.25" customHeight="1" s="155">
      <c r="A100" s="28">
        <f>A99+1</f>
        <v/>
      </c>
      <c r="B100" s="29" t="inlineStr">
        <is>
          <t>Coda di Aragosta</t>
        </is>
      </c>
      <c r="C100" s="29" t="inlineStr">
        <is>
          <t>CODA D'ARAGOSTA MIG.GR.28/30  contiene allergeni - Dolciaria Acquaviva S.p.A. n° fatt 479012 - 30/12/2024</t>
        </is>
      </c>
      <c r="D100" s="29" t="n"/>
      <c r="E100" s="29" t="n"/>
      <c r="F100" s="29" t="n"/>
      <c r="G100" s="29" t="n"/>
      <c r="H100" s="29" t="n"/>
      <c r="I100" s="29" t="n"/>
      <c r="J100" s="29" t="n"/>
      <c r="K100" s="29" t="n"/>
      <c r="L100" s="29" t="n"/>
      <c r="M100" s="29" t="n"/>
      <c r="N100" s="29" t="n"/>
      <c r="O100" s="29" t="n"/>
      <c r="P100" s="29" t="n"/>
      <c r="Q100" s="29" t="n"/>
      <c r="R100" s="176" t="n"/>
      <c r="S100" s="176" t="n"/>
      <c r="T100" s="176" t="n"/>
      <c r="U100" s="29" t="n"/>
    </row>
    <row r="101" ht="126" customHeight="1" s="155">
      <c r="A101" s="28">
        <f>A100+1</f>
        <v/>
      </c>
      <c r="B101" s="29" t="inlineStr">
        <is>
          <t xml:space="preserve">Cornetto alla crema </t>
        </is>
      </c>
      <c r="C101" s="29" t="inlineStr">
        <is>
          <t>FARINA 00 CAPUTO RINFORZ.KG.25    contiene allergeni - F.lli Fiorentino Srl n° fatt 1/14656 - 21/11/2024</t>
        </is>
      </c>
      <c r="D101" s="29" t="inlineStr">
        <is>
          <t>zucchero  NON CONTIENE ALLERGENI - F.lli Fiorentino Srl n° fatt 1/15448 - 06/12/2024</t>
        </is>
      </c>
      <c r="E101" s="29" t="inlineStr">
        <is>
          <t>Margarina Crema  contiene allergeni - RONDINELLA MARKET S.R.L n° fatt 2090 - 09/12/2024</t>
        </is>
      </c>
      <c r="F101" s="29" t="n"/>
      <c r="G101" s="29" t="inlineStr">
        <is>
          <t>SALE FINO ITALKALI DA KG.1X12    NON CONTIENE ALLERGENI - F.lli Fiorentino Srl n° fatt 1/12465 - 07/10/2024</t>
        </is>
      </c>
      <c r="H101" s="29" t="inlineStr">
        <is>
          <t>TUORLO PASTORIZZATO  contiene allergeni - SAIMA S.p.A. n° fatt 1/220009 - 17/12/2024</t>
        </is>
      </c>
      <c r="I101" s="29" t="inlineStr">
        <is>
          <t>LATTE   1000 INT.UHT  YMA  contiene allergeni - G.I.A.L.  n° fatt V1-50172 - 31/12/2024</t>
        </is>
      </c>
      <c r="J101" s="29" t="n"/>
      <c r="K101" s="29" t="n"/>
      <c r="L101" s="29" t="inlineStr">
        <is>
          <t>STRUTTO  NON CONTIENE ALLERGENI - F.lli Fiorentino Srl n° fatt 1/15448 - 06/12/2024</t>
        </is>
      </c>
      <c r="M101" s="29" t="n"/>
      <c r="N101" s="29" t="n"/>
      <c r="O101" s="29" t="n"/>
      <c r="P101" s="29" t="n"/>
      <c r="Q101" s="29" t="n"/>
      <c r="R101" s="176" t="n"/>
      <c r="S101" s="176" t="n"/>
      <c r="T101" s="176" t="n"/>
      <c r="U101" s="29" t="n"/>
    </row>
    <row r="102" ht="126" customHeight="1" s="155">
      <c r="A102" s="28">
        <f>A101+1</f>
        <v/>
      </c>
      <c r="B102" s="29" t="inlineStr">
        <is>
          <t>Cornetto ischitano</t>
        </is>
      </c>
      <c r="C102" s="29" t="inlineStr">
        <is>
          <t>FARINA 00 CAPUTO RINFORZ.KG.25    contiene allergeni - F.lli Fiorentino Srl n° fatt 1/14656 - 21/11/2024</t>
        </is>
      </c>
      <c r="D102" s="29" t="inlineStr">
        <is>
          <t>zucchero  NON CONTIENE ALLERGENI - F.lli Fiorentino Srl n° fatt 1/15448 - 06/12/2024</t>
        </is>
      </c>
      <c r="E102" s="29" t="inlineStr">
        <is>
          <t>Margarina Crema  contiene allergeni - RONDINELLA MARKET S.R.L n° fatt 2090 - 09/12/2024</t>
        </is>
      </c>
      <c r="F102" s="29" t="inlineStr">
        <is>
          <t>STRUTTO  NON CONTIENE ALLERGENI - F.lli Fiorentino Srl n° fatt 1/15448 - 06/12/2024</t>
        </is>
      </c>
      <c r="G102" s="29" t="inlineStr">
        <is>
          <t>SALE FINO ITALKALI DA KG.1X12    NON CONTIENE ALLERGENI - F.lli Fiorentino Srl n° fatt 1/12465 - 07/10/2024</t>
        </is>
      </c>
      <c r="H102" s="29" t="inlineStr">
        <is>
          <t>TUORLO PASTORIZZATO  contiene allergeni - SAIMA S.p.A. n° fatt 1/220009 - 17/12/2024</t>
        </is>
      </c>
      <c r="I102" s="29" t="n"/>
      <c r="J102" s="29" t="n"/>
      <c r="K102" s="29" t="n"/>
      <c r="L102" s="29" t="inlineStr">
        <is>
          <t>STRUTTO  NON CONTIENE ALLERGENI - F.lli Fiorentino Srl n° fatt 1/15448 - 06/12/2024</t>
        </is>
      </c>
      <c r="M102" s="29" t="n"/>
      <c r="N102" s="29" t="n"/>
      <c r="O102" s="29" t="n"/>
      <c r="P102" s="29" t="n"/>
      <c r="Q102" s="29" t="n"/>
      <c r="R102" s="176" t="n"/>
      <c r="S102" s="176" t="n"/>
      <c r="T102" s="176" t="n"/>
      <c r="U102" s="29" t="n"/>
    </row>
    <row r="103" ht="126" customHeight="1" s="155">
      <c r="A103" s="28">
        <f>A102+1</f>
        <v/>
      </c>
      <c r="B103" s="29" t="inlineStr">
        <is>
          <t>Crema pasticciera</t>
        </is>
      </c>
      <c r="C103" s="29" t="n"/>
      <c r="D103" s="29" t="inlineStr">
        <is>
          <t>zucchero  NON CONTIENE ALLERGENI - F.lli Fiorentino Srl n° fatt 1/15448 - 06/12/2024</t>
        </is>
      </c>
      <c r="E103" s="29" t="inlineStr">
        <is>
          <t>Margarina Crema  contiene allergeni - RONDINELLA MARKET S.R.L n° fatt 2090 - 09/12/2024</t>
        </is>
      </c>
      <c r="F103" s="29" t="n"/>
      <c r="G103" s="29" t="inlineStr">
        <is>
          <t>SALE FINO ITALKALI DA KG.1X12    NON CONTIENE ALLERGENI - F.lli Fiorentino Srl n° fatt 1/12465 - 07/10/2024</t>
        </is>
      </c>
      <c r="H103" s="29" t="inlineStr">
        <is>
          <t>TUORLO PASTORIZZATO  contiene allergeni - SAIMA S.p.A. n° fatt 1/220009 - 17/12/2024</t>
        </is>
      </c>
      <c r="I103" s="29" t="inlineStr">
        <is>
          <t>LATTE   1000 INT.UHT  YMA  contiene allergeni - G.I.A.L.  n° fatt V1-50172 - 31/12/2024</t>
        </is>
      </c>
      <c r="J103" s="29" t="n"/>
      <c r="K103" s="29" t="n"/>
      <c r="L103" s="29" t="n"/>
      <c r="M103" s="29" t="n"/>
      <c r="N103" s="29" t="n"/>
      <c r="O103" s="29" t="n"/>
      <c r="P103" s="29" t="n"/>
      <c r="Q103" s="29" t="n"/>
      <c r="R103" s="176" t="n"/>
      <c r="S103" s="176" t="n"/>
      <c r="T103" s="176" t="n"/>
      <c r="U103" s="29" t="n"/>
    </row>
    <row r="104" ht="126" customHeight="1" s="155">
      <c r="A104" s="28">
        <f>A103+1</f>
        <v/>
      </c>
      <c r="B104" s="29" t="inlineStr">
        <is>
          <t>Delizia al limone</t>
        </is>
      </c>
      <c r="C104" s="29" t="inlineStr">
        <is>
          <t>FARINA 00 CAPUTO RINFORZ.KG.25    contiene allergeni - F.lli Fiorentino Srl n° fatt 1/14656 - 21/11/2024</t>
        </is>
      </c>
      <c r="D104" s="29" t="inlineStr">
        <is>
          <t>zucchero  NON CONTIENE ALLERGENI - F.lli Fiorentino Srl n° fatt 1/15448 - 06/12/2024</t>
        </is>
      </c>
      <c r="E104" s="29" t="inlineStr">
        <is>
          <t>Margarina Crema  contiene allergeni - RONDINELLA MARKET S.R.L n° fatt 2090 - 09/12/2024</t>
        </is>
      </c>
      <c r="F104" s="29" t="n"/>
      <c r="G104" s="29" t="inlineStr">
        <is>
          <t>SALE FINO ITALKALI DA KG.1X12    NON CONTIENE ALLERGENI - F.lli Fiorentino Srl n° fatt 1/12465 - 07/10/2024</t>
        </is>
      </c>
      <c r="H104" s="29" t="inlineStr">
        <is>
          <t>TUORLO PASTORIZZATO  contiene allergeni - SAIMA S.p.A. n° fatt 1/220009 - 17/12/2024</t>
        </is>
      </c>
      <c r="I104" s="29" t="inlineStr">
        <is>
          <t>LATTE   1000 INT.UHT  YMA  contiene allergeni - G.I.A.L.  n° fatt V1-50172 - 31/12/2024</t>
        </is>
      </c>
      <c r="J104" s="29" t="n"/>
      <c r="K104" s="29" t="n"/>
      <c r="L104" s="29" t="n"/>
      <c r="M104" s="29" t="n"/>
      <c r="N104" s="29" t="n"/>
      <c r="O104" s="29" t="n"/>
      <c r="P104" s="29" t="n"/>
      <c r="Q104" s="29" t="n"/>
      <c r="R104" s="176" t="n"/>
      <c r="S104" s="176" t="n"/>
      <c r="T104" s="176" t="n"/>
      <c r="U104" s="29" t="n"/>
    </row>
    <row r="105" ht="126" customHeight="1" s="155">
      <c r="A105" s="28">
        <f>A104+1</f>
        <v/>
      </c>
      <c r="B105" s="29" t="inlineStr">
        <is>
          <t>Fiocco di Neve</t>
        </is>
      </c>
      <c r="C105" s="29" t="inlineStr">
        <is>
          <t>FARINA 00 CAPUTO RINFORZ.KG.25    contiene allergeni - F.lli Fiorentino Srl n° fatt 1/14656 - 21/11/2024</t>
        </is>
      </c>
      <c r="D105" s="29" t="inlineStr">
        <is>
          <t>zucchero  NON CONTIENE ALLERGENI - F.lli Fiorentino Srl n° fatt 1/15448 - 06/12/2024</t>
        </is>
      </c>
      <c r="E105" s="29" t="inlineStr">
        <is>
          <t>Margarina Crema  contiene allergeni - RONDINELLA MARKET S.R.L n° fatt 2090 - 09/12/2024</t>
        </is>
      </c>
      <c r="F105" s="29" t="n"/>
      <c r="G105" s="29" t="inlineStr">
        <is>
          <t>SALE FINO ITALKALI DA KG.1X12    NON CONTIENE ALLERGENI - F.lli Fiorentino Srl n° fatt 1/12465 - 07/10/2024</t>
        </is>
      </c>
      <c r="H105" s="29" t="inlineStr">
        <is>
          <t>TUORLO PASTORIZZATO  contiene allergeni - SAIMA S.p.A. n° fatt 1/220009 - 17/12/2024</t>
        </is>
      </c>
      <c r="I105" s="29" t="inlineStr">
        <is>
          <t>LATTE   1000 INT.UHT  YMA  contiene allergeni - G.I.A.L.  n° fatt V1-50172 - 31/12/2024</t>
        </is>
      </c>
      <c r="J105" s="29" t="inlineStr">
        <is>
          <t>RICOTTA Roma  contiene allergeni - GARGIULO GIUSEPPE n° fatt FPR 438/24 - 30/11/2024</t>
        </is>
      </c>
      <c r="K105" s="29" t="n"/>
      <c r="L105" s="29" t="n"/>
      <c r="M105" s="29" t="n"/>
      <c r="N105" s="29" t="n"/>
      <c r="O105" s="29" t="n"/>
      <c r="P105" s="29" t="n"/>
      <c r="Q105" s="29" t="n"/>
      <c r="R105" s="176" t="n"/>
      <c r="S105" s="176" t="n"/>
      <c r="T105" s="176" t="n"/>
      <c r="U105" s="29" t="n"/>
    </row>
    <row r="106" ht="126" customHeight="1" s="155">
      <c r="A106" s="28">
        <f>A105+1</f>
        <v/>
      </c>
      <c r="B106" s="29" t="inlineStr">
        <is>
          <t>Francesina cioccolato</t>
        </is>
      </c>
      <c r="C106" s="29" t="inlineStr">
        <is>
          <t>FARINA 00 CAPUTO RINFORZ.KG.25    contiene allergeni - F.lli Fiorentino Srl n° fatt 1/14656 - 21/11/2024</t>
        </is>
      </c>
      <c r="D106" s="29" t="inlineStr">
        <is>
          <t>zucchero  NON CONTIENE ALLERGENI - F.lli Fiorentino Srl n° fatt 1/15448 - 06/12/2024</t>
        </is>
      </c>
      <c r="E106" s="29" t="inlineStr">
        <is>
          <t>Margarina Crema  contiene allergeni - RONDINELLA MARKET S.R.L n° fatt 2090 - 09/12/2024</t>
        </is>
      </c>
      <c r="F106" s="29" t="inlineStr">
        <is>
          <t>STRUTTO  NON CONTIENE ALLERGENI - F.lli Fiorentino Srl n° fatt 1/15448 - 06/12/2024</t>
        </is>
      </c>
      <c r="G106" s="29" t="inlineStr">
        <is>
          <t>SALE FINO ITALKALI DA KG.1X12    NON CONTIENE ALLERGENI - F.lli Fiorentino Srl n° fatt 1/12465 - 07/10/2024</t>
        </is>
      </c>
      <c r="H106" s="29" t="inlineStr">
        <is>
          <t>TUORLO PASTORIZZATO  contiene allergeni - SAIMA S.p.A. n° fatt 1/220009 - 17/12/2024</t>
        </is>
      </c>
      <c r="I106" s="29" t="n"/>
      <c r="J106" s="29" t="n"/>
      <c r="K106" s="29" t="n"/>
      <c r="L106" s="29" t="n"/>
      <c r="M106" s="29" t="n"/>
      <c r="N106" s="29" t="n"/>
      <c r="O106" s="29" t="n"/>
      <c r="P106" s="29" t="n"/>
      <c r="Q106" s="29" t="n"/>
      <c r="R106" s="176" t="n"/>
      <c r="S106" s="176" t="n"/>
      <c r="T106" s="176" t="n"/>
      <c r="U106" s="29" t="n"/>
    </row>
    <row r="107" ht="126" customHeight="1" s="155">
      <c r="A107" s="28">
        <f>A106+1</f>
        <v/>
      </c>
      <c r="B107" s="29" t="inlineStr">
        <is>
          <t>Krans cioccolato</t>
        </is>
      </c>
      <c r="C107" s="29" t="inlineStr">
        <is>
          <t>FARINA 00 CAPUTO RINFORZ.KG.25    contiene allergeni - F.lli Fiorentino Srl n° fatt 1/14656 - 21/11/2024</t>
        </is>
      </c>
      <c r="D107" s="29" t="inlineStr">
        <is>
          <t>zucchero  NON CONTIENE ALLERGENI - F.lli Fiorentino Srl n° fatt 1/15448 - 06/12/2024</t>
        </is>
      </c>
      <c r="E107" s="29" t="inlineStr">
        <is>
          <t>Margarina Crema  contiene allergeni - RONDINELLA MARKET S.R.L n° fatt 2090 - 09/12/2024</t>
        </is>
      </c>
      <c r="F107" s="29" t="n"/>
      <c r="G107" s="29" t="inlineStr">
        <is>
          <t>SALE FINO ITALKALI DA KG.1X12    NON CONTIENE ALLERGENI - F.lli Fiorentino Srl n° fatt 1/12465 - 07/10/2024</t>
        </is>
      </c>
      <c r="H107" s="29" t="inlineStr">
        <is>
          <t>TUORLO PASTORIZZATO  contiene allergeni - SAIMA S.p.A. n° fatt 1/220009 - 17/12/2024</t>
        </is>
      </c>
      <c r="I107" s="29" t="inlineStr">
        <is>
          <t>LATTE   1000 INT.UHT  YMA  contiene allergeni - G.I.A.L.  n° fatt V1-50172 - 31/12/2024</t>
        </is>
      </c>
      <c r="J107" s="29" t="n"/>
      <c r="K107" s="29" t="n"/>
      <c r="L107" s="29" t="n"/>
      <c r="M107" s="29" t="n"/>
      <c r="N107" s="29" t="n"/>
      <c r="O107" s="29" t="n"/>
      <c r="P107" s="29" t="n"/>
      <c r="Q107" s="29" t="n"/>
      <c r="R107" s="176" t="n"/>
      <c r="S107" s="176" t="n"/>
      <c r="T107" s="176" t="n"/>
      <c r="U107" s="29" t="n"/>
    </row>
    <row r="108" ht="126" customHeight="1" s="155">
      <c r="A108" s="28">
        <f>A107+1</f>
        <v/>
      </c>
      <c r="B108" s="29" t="inlineStr">
        <is>
          <t>Melanzane a Funghetti</t>
        </is>
      </c>
      <c r="C108" s="29" t="inlineStr">
        <is>
          <t>Melanzane L.197-002155-0008629  NON CONTIENE ALLERGENI - I COZZOLINO SRL n° fatt D3367 - 30/11/2024</t>
        </is>
      </c>
      <c r="D108" s="29" t="inlineStr">
        <is>
          <t>Aglio L.372  NON CONTIENE ALLERGENI - I COZZOLINO SRL n° fatt D3089 - 31/10/2024</t>
        </is>
      </c>
      <c r="E108" s="29" t="inlineStr">
        <is>
          <t>OLIO EXTRAV OLIVA SORRENTO L.5    NON CONTIENE ALLERGENI - F.lli Fiorentino Srl n° fatt 1/16216 - 21/12/2024</t>
        </is>
      </c>
      <c r="F108" s="29" t="n"/>
      <c r="G108" s="29" t="inlineStr">
        <is>
          <t>SALE FINO ITALKALI DA KG.1X12    NON CONTIENE ALLERGENI - F.lli Fiorentino Srl n° fatt 1/12465 - 07/10/2024</t>
        </is>
      </c>
      <c r="H108" s="29" t="n"/>
      <c r="I108" s="29" t="n"/>
      <c r="J108" s="29" t="n"/>
      <c r="K108" s="29" t="n"/>
      <c r="L108" s="29" t="n"/>
      <c r="M108" s="29" t="n"/>
      <c r="N108" s="29" t="n"/>
      <c r="O108" s="29" t="n"/>
      <c r="P108" s="29" t="n"/>
      <c r="Q108" s="29" t="n"/>
      <c r="R108" s="176" t="n"/>
      <c r="S108" s="176" t="n"/>
      <c r="T108" s="176" t="n"/>
      <c r="U108" s="29" t="n"/>
    </row>
    <row r="109" ht="126" customHeight="1" s="155">
      <c r="A109" s="28">
        <f>A108+1</f>
        <v/>
      </c>
      <c r="B109" s="29" t="inlineStr">
        <is>
          <t>Pan di spagna</t>
        </is>
      </c>
      <c r="C109" s="29" t="inlineStr">
        <is>
          <t>FARINA 00 CAPUTO RINFORZ.KG.25    contiene allergeni - F.lli Fiorentino Srl n° fatt 1/14656 - 21/11/2024</t>
        </is>
      </c>
      <c r="D109" s="29" t="inlineStr">
        <is>
          <t>zucchero  NON CONTIENE ALLERGENI - F.lli Fiorentino Srl n° fatt 1/15448 - 06/12/2024</t>
        </is>
      </c>
      <c r="E109" s="29" t="n"/>
      <c r="F109" s="29" t="n"/>
      <c r="G109" s="29" t="inlineStr">
        <is>
          <t>SALE FINO ITALKALI DA KG.1X12    NON CONTIENE ALLERGENI - F.lli Fiorentino Srl n° fatt 1/12465 - 07/10/2024</t>
        </is>
      </c>
      <c r="H109" s="29" t="inlineStr">
        <is>
          <t>TUORLO PASTORIZZATO  contiene allergeni - SAIMA S.p.A. n° fatt 1/220009 - 17/12/2024</t>
        </is>
      </c>
      <c r="I109" s="29" t="n"/>
      <c r="J109" s="29" t="n"/>
      <c r="K109" s="29" t="n"/>
      <c r="L109" s="29" t="n"/>
      <c r="M109" s="29" t="n"/>
      <c r="N109" s="29" t="n"/>
      <c r="O109" s="29" t="n"/>
      <c r="P109" s="29" t="n"/>
      <c r="Q109" s="29" t="n"/>
      <c r="R109" s="176" t="n"/>
      <c r="S109" s="176" t="n"/>
      <c r="T109" s="176" t="n"/>
      <c r="U109" s="29" t="n"/>
    </row>
    <row r="110" ht="126" customHeight="1" s="155">
      <c r="A110" s="28">
        <f>A109+1</f>
        <v/>
      </c>
      <c r="B110" s="29" t="inlineStr">
        <is>
          <t>Parigina</t>
        </is>
      </c>
      <c r="C110" s="29" t="inlineStr">
        <is>
          <t>FARINA 00 CAPUTO RINFORZ.KG.25    contiene allergeni - F.lli Fiorentino Srl n° fatt 1/14656 - 21/11/2024</t>
        </is>
      </c>
      <c r="D110" s="29" t="inlineStr">
        <is>
          <t>zucchero  NON CONTIENE ALLERGENI - F.lli Fiorentino Srl n° fatt 1/15448 - 06/12/2024</t>
        </is>
      </c>
      <c r="E110" s="29" t="inlineStr">
        <is>
          <t>prosciutto cotto  NON CONTIENE ALLERGENI - BIG FOOD SRL n° fatt V1079688 - 19/11/2024</t>
        </is>
      </c>
      <c r="F110" s="29" t="inlineStr">
        <is>
          <t>STRUTTO  NON CONTIENE ALLERGENI - F.lli Fiorentino Srl n° fatt 1/15448 - 06/12/2024</t>
        </is>
      </c>
      <c r="G110" s="29" t="inlineStr">
        <is>
          <t>SALE FINO ITALKALI DA KG.1X12    NON CONTIENE ALLERGENI - F.lli Fiorentino Srl n° fatt 1/12465 - 07/10/2024</t>
        </is>
      </c>
      <c r="H110" s="29" t="inlineStr">
        <is>
          <t>TUORLO PASTORIZZATO  contiene allergeni - SAIMA S.p.A. n° fatt 1/220009 - 17/12/2024</t>
        </is>
      </c>
      <c r="I110" s="29" t="n"/>
      <c r="J110" s="29" t="n"/>
      <c r="K110" s="29" t="inlineStr">
        <is>
          <t>sottilette  contiene allergeni - G.I.A.L.  n° fatt V1-50172 - 31/12/2024</t>
        </is>
      </c>
      <c r="L110" s="29" t="inlineStr">
        <is>
          <t>STRUTTO  NON CONTIENE ALLERGENI - F.lli Fiorentino Srl n° fatt 1/15448 - 06/12/2024</t>
        </is>
      </c>
      <c r="M110" s="29" t="n"/>
      <c r="N110" s="29" t="n"/>
      <c r="O110" s="29" t="n"/>
      <c r="P110" s="29" t="n"/>
      <c r="Q110" s="29" t="n"/>
      <c r="R110" s="176" t="n"/>
      <c r="S110" s="176" t="n"/>
      <c r="T110" s="176" t="n"/>
      <c r="U110" s="29" t="n"/>
    </row>
    <row r="111" ht="126" customHeight="1" s="155">
      <c r="A111" s="28">
        <f>A110+1</f>
        <v/>
      </c>
      <c r="B111" s="29" t="inlineStr">
        <is>
          <t>Pasta choux</t>
        </is>
      </c>
      <c r="C111" s="29" t="inlineStr">
        <is>
          <t>FARINA 00 CAPUTO RINFORZ.KG.25    contiene allergeni - F.lli Fiorentino Srl n° fatt 1/14656 - 21/11/2024</t>
        </is>
      </c>
      <c r="D111" s="29" t="n"/>
      <c r="E111" s="29" t="inlineStr">
        <is>
          <t>Margarina Crema  contiene allergeni - RONDINELLA MARKET S.R.L n° fatt 2090 - 09/12/2024</t>
        </is>
      </c>
      <c r="F111" s="29" t="n"/>
      <c r="G111" s="29" t="inlineStr">
        <is>
          <t>SALE FINO ITALKALI DA KG.1X12    NON CONTIENE ALLERGENI - F.lli Fiorentino Srl n° fatt 1/12465 - 07/10/2024</t>
        </is>
      </c>
      <c r="H111" s="29" t="inlineStr">
        <is>
          <t>TUORLO PASTORIZZATO  contiene allergeni - SAIMA S.p.A. n° fatt 1/220009 - 17/12/2024</t>
        </is>
      </c>
      <c r="I111" s="29" t="n"/>
      <c r="J111" s="29" t="n"/>
      <c r="K111" s="29" t="n"/>
      <c r="L111" s="29" t="n"/>
      <c r="M111" s="29" t="n"/>
      <c r="N111" s="29" t="n"/>
      <c r="O111" s="29" t="n"/>
      <c r="P111" s="29" t="n"/>
      <c r="Q111" s="29" t="n"/>
      <c r="R111" s="176" t="n"/>
      <c r="S111" s="176" t="n"/>
      <c r="T111" s="176" t="n"/>
      <c r="U111" s="29" t="n"/>
    </row>
    <row r="112" ht="126" customHeight="1" s="155">
      <c r="A112" s="28">
        <f>A111+1</f>
        <v/>
      </c>
      <c r="B112" s="29" t="inlineStr">
        <is>
          <t>Pasta di mandorle</t>
        </is>
      </c>
      <c r="C112" s="29" t="inlineStr">
        <is>
          <t>MANDORLE SGUSCIATE  contiene allergeni - RONDINELLA MARKET S.R.L n° fatt 2160 - 16/12/2024</t>
        </is>
      </c>
      <c r="D112" s="29" t="inlineStr">
        <is>
          <t>zucchero  NON CONTIENE ALLERGENI - F.lli Fiorentino Srl n° fatt 1/15448 - 06/12/2024</t>
        </is>
      </c>
      <c r="E112" s="29" t="n"/>
      <c r="F112" s="29" t="n"/>
      <c r="G112" s="29" t="inlineStr">
        <is>
          <t>SALE FINO ITALKALI DA KG.1X12    NON CONTIENE ALLERGENI - F.lli Fiorentino Srl n° fatt 1/12465 - 07/10/2024</t>
        </is>
      </c>
      <c r="H112" s="29" t="n"/>
      <c r="I112" s="29" t="n"/>
      <c r="J112" s="29" t="n"/>
      <c r="K112" s="29" t="n"/>
      <c r="L112" s="29" t="n"/>
      <c r="M112" s="29" t="n"/>
      <c r="N112" s="29" t="n"/>
      <c r="O112" s="29" t="n"/>
      <c r="P112" s="29" t="n"/>
      <c r="Q112" s="29" t="n"/>
      <c r="R112" s="176" t="n"/>
      <c r="S112" s="176" t="n"/>
      <c r="T112" s="176" t="n"/>
      <c r="U112" s="29" t="n"/>
    </row>
    <row r="113" ht="126" customHeight="1" s="155">
      <c r="A113" s="28">
        <f>A112+1</f>
        <v/>
      </c>
      <c r="B113" s="29" t="inlineStr">
        <is>
          <t>Pasta di Pizza</t>
        </is>
      </c>
      <c r="C113" s="29" t="inlineStr">
        <is>
          <t>FARINA 00 CAPUTO RINFORZ.KG.25    contiene allergeni - F.lli Fiorentino Srl n° fatt 1/14656 - 21/11/2024</t>
        </is>
      </c>
      <c r="D113" s="29" t="inlineStr">
        <is>
          <t>zucchero  NON CONTIENE ALLERGENI - F.lli Fiorentino Srl n° fatt 1/15448 - 06/12/2024</t>
        </is>
      </c>
      <c r="E113" s="29" t="n"/>
      <c r="F113" s="29" t="inlineStr">
        <is>
          <t>STRUTTO  NON CONTIENE ALLERGENI - F.lli Fiorentino Srl n° fatt 1/15448 - 06/12/2024</t>
        </is>
      </c>
      <c r="G113" s="29" t="inlineStr">
        <is>
          <t>SALE FINO ITALKALI DA KG.1X12    NON CONTIENE ALLERGENI - F.lli Fiorentino Srl n° fatt 1/12465 - 07/10/2024</t>
        </is>
      </c>
      <c r="H113" s="29" t="n"/>
      <c r="I113" s="29" t="n"/>
      <c r="J113" s="29" t="n"/>
      <c r="K113" s="29" t="n"/>
      <c r="L113" s="29" t="inlineStr">
        <is>
          <t>STRUTTO  NON CONTIENE ALLERGENI - F.lli Fiorentino Srl n° fatt 1/15448 - 06/12/2024</t>
        </is>
      </c>
      <c r="M113" s="29" t="n"/>
      <c r="N113" s="29" t="n"/>
      <c r="O113" s="29" t="n"/>
      <c r="P113" s="29" t="n"/>
      <c r="Q113" s="29" t="n"/>
      <c r="R113" s="176" t="n"/>
      <c r="S113" s="176" t="n"/>
      <c r="T113" s="176" t="n"/>
      <c r="U113" s="29" t="n"/>
    </row>
    <row r="114" ht="126" customHeight="1" s="155">
      <c r="A114" s="28">
        <f>A113+1</f>
        <v/>
      </c>
      <c r="B114" s="29" t="inlineStr">
        <is>
          <t>Pasta frolla BASI ABBATTUTE</t>
        </is>
      </c>
      <c r="C114" s="29" t="inlineStr">
        <is>
          <t>FARINA 00 CAPUTO RINFORZ.KG.25    contiene allergeni - F.lli Fiorentino Srl n° fatt 1/14656 - 21/11/2024</t>
        </is>
      </c>
      <c r="D114" s="29" t="inlineStr">
        <is>
          <t>zucchero  NON CONTIENE ALLERGENI - F.lli Fiorentino Srl n° fatt 1/15448 - 06/12/2024</t>
        </is>
      </c>
      <c r="E114" s="29" t="inlineStr">
        <is>
          <t>Margarina Crema  contiene allergeni - RONDINELLA MARKET S.R.L n° fatt 2090 - 09/12/2024</t>
        </is>
      </c>
      <c r="F114" s="29" t="n"/>
      <c r="G114" s="29" t="inlineStr">
        <is>
          <t>SALE FINO ITALKALI DA KG.1X12    NON CONTIENE ALLERGENI - F.lli Fiorentino Srl n° fatt 1/12465 - 07/10/2024</t>
        </is>
      </c>
      <c r="H114" s="29" t="inlineStr">
        <is>
          <t>TUORLO PASTORIZZATO  contiene allergeni - SAIMA S.p.A. n° fatt 1/220009 - 17/12/2024</t>
        </is>
      </c>
      <c r="I114" s="29" t="n"/>
      <c r="J114" s="29" t="n"/>
      <c r="K114" s="29" t="n"/>
      <c r="L114" s="29" t="inlineStr">
        <is>
          <t>STRUTTO  NON CONTIENE ALLERGENI - F.lli Fiorentino Srl n° fatt 1/15448 - 06/12/2024</t>
        </is>
      </c>
      <c r="M114" s="29" t="n"/>
      <c r="N114" s="29" t="n"/>
      <c r="O114" s="29" t="n"/>
      <c r="P114" s="29" t="n"/>
      <c r="Q114" s="29" t="n"/>
      <c r="R114" s="176" t="n"/>
      <c r="S114" s="176" t="n"/>
      <c r="T114" s="176" t="n"/>
      <c r="U114" s="29" t="n"/>
    </row>
    <row r="115" ht="126" customHeight="1" s="155">
      <c r="A115" s="28">
        <f>A114+1</f>
        <v/>
      </c>
      <c r="B115" s="29" t="inlineStr">
        <is>
          <t>Pasta frolla FRESCA</t>
        </is>
      </c>
      <c r="C115" s="29" t="inlineStr">
        <is>
          <t>FARINA 00 CAPUTO RINFORZ.KG.25    contiene allergeni - F.lli Fiorentino Srl n° fatt 1/14656 - 21/11/2024</t>
        </is>
      </c>
      <c r="D115" s="29" t="inlineStr">
        <is>
          <t>zucchero  NON CONTIENE ALLERGENI - F.lli Fiorentino Srl n° fatt 1/15448 - 06/12/2024</t>
        </is>
      </c>
      <c r="E115" s="29" t="inlineStr">
        <is>
          <t>Margarina Crema  contiene allergeni - RONDINELLA MARKET S.R.L n° fatt 2090 - 09/12/2024</t>
        </is>
      </c>
      <c r="F115" s="29" t="inlineStr">
        <is>
          <t>STRUTTO  NON CONTIENE ALLERGENI - F.lli Fiorentino Srl n° fatt 1/15448 - 06/12/2024</t>
        </is>
      </c>
      <c r="G115" s="29" t="inlineStr">
        <is>
          <t>SALE FINO ITALKALI DA KG.1X12    NON CONTIENE ALLERGENI - F.lli Fiorentino Srl n° fatt 1/12465 - 07/10/2024</t>
        </is>
      </c>
      <c r="H115" s="29" t="inlineStr">
        <is>
          <t>TUORLO PASTORIZZATO  contiene allergeni - SAIMA S.p.A. n° fatt 1/220009 - 17/12/2024</t>
        </is>
      </c>
      <c r="I115" s="29" t="n"/>
      <c r="J115" s="29" t="n"/>
      <c r="K115" s="29" t="n"/>
      <c r="L115" s="29" t="n"/>
      <c r="M115" s="29" t="n"/>
      <c r="N115" s="29" t="n"/>
      <c r="O115" s="29" t="n"/>
      <c r="P115" s="29" t="n"/>
      <c r="Q115" s="29" t="n"/>
      <c r="R115" s="176" t="n"/>
      <c r="S115" s="176" t="n"/>
      <c r="T115" s="176" t="n"/>
      <c r="U115" s="29" t="n"/>
    </row>
    <row r="116" ht="126" customHeight="1" s="155">
      <c r="A116" s="28">
        <f>A115+1</f>
        <v/>
      </c>
      <c r="B116" s="29" t="inlineStr">
        <is>
          <t>Pasta Sfoglia</t>
        </is>
      </c>
      <c r="C116" s="29" t="inlineStr">
        <is>
          <t>FARINA 00 CAPUTO RINFORZ.KG.25    contiene allergeni - F.lli Fiorentino Srl n° fatt 1/14656 - 21/11/2024</t>
        </is>
      </c>
      <c r="D116" s="29" t="inlineStr">
        <is>
          <t>zucchero  NON CONTIENE ALLERGENI - F.lli Fiorentino Srl n° fatt 1/15448 - 06/12/2024</t>
        </is>
      </c>
      <c r="E116" s="29" t="inlineStr">
        <is>
          <t>Margarina Crema  contiene allergeni - RONDINELLA MARKET S.R.L n° fatt 2090 - 09/12/2024</t>
        </is>
      </c>
      <c r="F116" s="29" t="n"/>
      <c r="G116" s="29" t="inlineStr">
        <is>
          <t>SALE FINO ITALKALI DA KG.1X12    NON CONTIENE ALLERGENI - F.lli Fiorentino Srl n° fatt 1/12465 - 07/10/2024</t>
        </is>
      </c>
      <c r="H116" s="29" t="n"/>
      <c r="I116" s="29" t="n"/>
      <c r="J116" s="29" t="n"/>
      <c r="K116" s="29" t="n"/>
      <c r="L116" s="29" t="inlineStr">
        <is>
          <t>STRUTTO  NON CONTIENE ALLERGENI - F.lli Fiorentino Srl n° fatt 1/15448 - 06/12/2024</t>
        </is>
      </c>
      <c r="M116" s="29" t="n"/>
      <c r="N116" s="29" t="n"/>
      <c r="O116" s="29" t="n"/>
      <c r="P116" s="29" t="n"/>
      <c r="Q116" s="29" t="n"/>
      <c r="R116" s="176" t="n"/>
      <c r="S116" s="176" t="n"/>
      <c r="T116" s="176" t="n"/>
      <c r="U116" s="29" t="n"/>
    </row>
    <row r="117" ht="126" customHeight="1" s="155">
      <c r="A117" s="28">
        <f>A116+1</f>
        <v/>
      </c>
      <c r="B117" s="29" t="inlineStr">
        <is>
          <t>Pasticcino crema</t>
        </is>
      </c>
      <c r="C117" s="29" t="inlineStr">
        <is>
          <t>FARINA 00 CAPUTO RINFORZ.KG.25    contiene allergeni - F.lli Fiorentino Srl n° fatt 1/14656 - 21/11/2024</t>
        </is>
      </c>
      <c r="D117" s="29" t="inlineStr">
        <is>
          <t>zucchero  NON CONTIENE ALLERGENI - F.lli Fiorentino Srl n° fatt 1/15448 - 06/12/2024</t>
        </is>
      </c>
      <c r="E117" s="29" t="inlineStr">
        <is>
          <t>Margarina Crema  contiene allergeni - RONDINELLA MARKET S.R.L n° fatt 2090 - 09/12/2024</t>
        </is>
      </c>
      <c r="F117" s="29" t="inlineStr">
        <is>
          <t>STRUTTO  NON CONTIENE ALLERGENI - F.lli Fiorentino Srl n° fatt 1/15448 - 06/12/2024</t>
        </is>
      </c>
      <c r="G117" s="29" t="inlineStr">
        <is>
          <t>SALE FINO ITALKALI DA KG.1X12    NON CONTIENE ALLERGENI - F.lli Fiorentino Srl n° fatt 1/12465 - 07/10/2024</t>
        </is>
      </c>
      <c r="H117" s="29" t="inlineStr">
        <is>
          <t>TUORLO PASTORIZZATO  contiene allergeni - SAIMA S.p.A. n° fatt 1/220009 - 17/12/2024</t>
        </is>
      </c>
      <c r="I117" s="29" t="inlineStr">
        <is>
          <t>LATTE   1000 INT.UHT  YMA  contiene allergeni - G.I.A.L.  n° fatt V1-50172 - 31/12/2024</t>
        </is>
      </c>
      <c r="J117" s="29" t="n"/>
      <c r="K117" s="29" t="n"/>
      <c r="L117" s="29" t="inlineStr">
        <is>
          <t>STRUTTO  NON CONTIENE ALLERGENI - F.lli Fiorentino Srl n° fatt 1/15448 - 06/12/2024</t>
        </is>
      </c>
      <c r="M117" s="29" t="n"/>
      <c r="N117" s="29" t="n"/>
      <c r="O117" s="29" t="n"/>
      <c r="P117" s="29" t="n"/>
      <c r="Q117" s="29" t="n"/>
      <c r="R117" s="176" t="n"/>
      <c r="S117" s="176" t="n"/>
      <c r="T117" s="176" t="n"/>
      <c r="U117" s="29" t="n"/>
    </row>
    <row r="118" ht="126" customHeight="1" s="155">
      <c r="A118" s="28">
        <f>A117+1</f>
        <v/>
      </c>
      <c r="B118" s="29" t="inlineStr">
        <is>
          <t>Pasticcino pistacchio</t>
        </is>
      </c>
      <c r="C118" s="29" t="inlineStr">
        <is>
          <t>FARINA 00 CAPUTO RINFORZ.KG.25    contiene allergeni - F.lli Fiorentino Srl n° fatt 1/14656 - 21/11/2024</t>
        </is>
      </c>
      <c r="D118" s="29" t="inlineStr">
        <is>
          <t>zucchero  NON CONTIENE ALLERGENI - F.lli Fiorentino Srl n° fatt 1/15448 - 06/12/2024</t>
        </is>
      </c>
      <c r="E118" s="29" t="inlineStr">
        <is>
          <t>Margarina Crema  contiene allergeni - RONDINELLA MARKET S.R.L n° fatt 2090 - 09/12/2024</t>
        </is>
      </c>
      <c r="F118" s="29" t="inlineStr">
        <is>
          <t>STRUTTO  NON CONTIENE ALLERGENI - F.lli Fiorentino Srl n° fatt 1/15448 - 06/12/2024</t>
        </is>
      </c>
      <c r="G118" s="29" t="inlineStr">
        <is>
          <t>SALE FINO ITALKALI DA KG.1X12    NON CONTIENE ALLERGENI - F.lli Fiorentino Srl n° fatt 1/12465 - 07/10/2024</t>
        </is>
      </c>
      <c r="H118" s="29" t="inlineStr">
        <is>
          <t>TUORLO PASTORIZZATO  contiene allergeni - SAIMA S.p.A. n° fatt 1/220009 - 17/12/2024</t>
        </is>
      </c>
      <c r="I118" s="29" t="n"/>
      <c r="J118" s="29" t="n"/>
      <c r="K118" s="29" t="n"/>
      <c r="L118" s="29" t="inlineStr">
        <is>
          <t>STRUTTO  NON CONTIENE ALLERGENI - F.lli Fiorentino Srl n° fatt 1/15448 - 06/12/2024</t>
        </is>
      </c>
      <c r="M118" s="29" t="n"/>
      <c r="N118" s="29" t="n"/>
      <c r="O118" s="29" t="n"/>
      <c r="P118" s="29" t="n"/>
      <c r="Q118" s="29" t="n"/>
      <c r="R118" s="176" t="n"/>
      <c r="S118" s="176" t="n"/>
      <c r="T118" s="176" t="n"/>
      <c r="U118" s="29" t="n"/>
    </row>
    <row r="119" ht="126" customHeight="1" s="155">
      <c r="A119" s="28">
        <f>A118+1</f>
        <v/>
      </c>
      <c r="B119" s="29" t="inlineStr">
        <is>
          <t>Pastiera</t>
        </is>
      </c>
      <c r="C119" s="29" t="inlineStr">
        <is>
          <t>FARINA 00 CAPUTO RINFORZ.KG.25    contiene allergeni - F.lli Fiorentino Srl n° fatt 1/14656 - 21/11/2024</t>
        </is>
      </c>
      <c r="D119" s="29" t="inlineStr">
        <is>
          <t>zucchero  NON CONTIENE ALLERGENI - F.lli Fiorentino Srl n° fatt 1/15448 - 06/12/2024</t>
        </is>
      </c>
      <c r="E119" s="29" t="inlineStr">
        <is>
          <t>Margarina Crema  contiene allergeni - RONDINELLA MARKET S.R.L n° fatt 2090 - 09/12/2024</t>
        </is>
      </c>
      <c r="F119" s="29" t="inlineStr">
        <is>
          <t>STRUTTO  NON CONTIENE ALLERGENI - F.lli Fiorentino Srl n° fatt 1/15448 - 06/12/2024</t>
        </is>
      </c>
      <c r="G119" s="29" t="inlineStr">
        <is>
          <t>SALE FINO ITALKALI DA KG.1X12    NON CONTIENE ALLERGENI - F.lli Fiorentino Srl n° fatt 1/12465 - 07/10/2024</t>
        </is>
      </c>
      <c r="H119" s="29" t="inlineStr">
        <is>
          <t>TUORLO PASTORIZZATO  contiene allergeni - SAIMA S.p.A. n° fatt 1/220009 - 17/12/2024</t>
        </is>
      </c>
      <c r="I119" s="29" t="inlineStr">
        <is>
          <t>LATTE   1000 INT.UHT  YMA  contiene allergeni - G.I.A.L.  n° fatt V1-50172 - 31/12/2024</t>
        </is>
      </c>
      <c r="J119" s="29" t="inlineStr">
        <is>
          <t>RICOTTA Roma  contiene allergeni - GARGIULO GIUSEPPE n° fatt FPR 438/24 - 30/11/2024</t>
        </is>
      </c>
      <c r="K119" s="29" t="n"/>
      <c r="L119" s="29" t="inlineStr">
        <is>
          <t>STRUTTO  NON CONTIENE ALLERGENI - F.lli Fiorentino Srl n° fatt 1/15448 - 06/12/2024</t>
        </is>
      </c>
      <c r="M119" s="29" t="n"/>
      <c r="N119" s="29" t="n"/>
      <c r="O119" s="29" t="n"/>
      <c r="P119" s="29" t="n"/>
      <c r="Q119" s="29" t="n"/>
      <c r="R119" s="176" t="n"/>
      <c r="S119" s="176" t="n"/>
      <c r="T119" s="176" t="n"/>
      <c r="U119" s="29" t="n"/>
    </row>
    <row r="120" ht="126" customHeight="1" s="155">
      <c r="A120" s="28">
        <f>A119+1</f>
        <v/>
      </c>
      <c r="B120" s="29" t="inlineStr">
        <is>
          <t>Peperoni in Padella</t>
        </is>
      </c>
      <c r="C120" s="29" t="inlineStr">
        <is>
          <t>Peperoni  L.031-004226-0000007  NON CONTIENE ALLERGENI - I COZZOLINO SRL n° fatt D3367 - 30/11/2024</t>
        </is>
      </c>
      <c r="D120" s="29" t="n"/>
      <c r="E120" s="29" t="inlineStr">
        <is>
          <t>OLIO EXTRAV OLIVA SORRENTO L.5    NON CONTIENE ALLERGENI - F.lli Fiorentino Srl n° fatt 1/14656 - 21/11/2024</t>
        </is>
      </c>
      <c r="F120" s="29" t="n"/>
      <c r="G120" s="29" t="inlineStr">
        <is>
          <t>SALE FINO ITALKALI DA KG.1X12    NON CONTIENE ALLERGENI - F.lli Fiorentino Srl n° fatt 1/12465 - 07/10/2024</t>
        </is>
      </c>
      <c r="H120" s="29" t="n"/>
      <c r="I120" s="29" t="n"/>
      <c r="J120" s="29" t="n"/>
      <c r="K120" s="29" t="n"/>
      <c r="L120" s="29" t="n"/>
      <c r="M120" s="29" t="n"/>
      <c r="N120" s="29" t="n"/>
      <c r="O120" s="29" t="n"/>
      <c r="P120" s="29" t="n"/>
      <c r="Q120" s="29" t="n"/>
      <c r="R120" s="176" t="n"/>
      <c r="S120" s="176" t="n"/>
      <c r="T120" s="176" t="n"/>
      <c r="U120" s="29" t="n"/>
    </row>
    <row r="121" ht="78.75" customHeight="1" s="155">
      <c r="A121" s="28">
        <f>A120+1</f>
        <v/>
      </c>
      <c r="B121" s="29" t="inlineStr">
        <is>
          <t>Prosciutto Cotto</t>
        </is>
      </c>
      <c r="C121" s="29" t="n"/>
      <c r="D121" s="29" t="n"/>
      <c r="E121" s="29" t="inlineStr">
        <is>
          <t>prosciutto cotto  NON CONTIENE ALLERGENI - BIG FOOD SRL n° fatt V1079688 - 19/11/2024</t>
        </is>
      </c>
      <c r="F121" s="29" t="n"/>
      <c r="G121" s="29" t="n"/>
      <c r="H121" s="29" t="n"/>
      <c r="I121" s="29" t="n"/>
      <c r="J121" s="29" t="n"/>
      <c r="K121" s="29" t="n"/>
      <c r="L121" s="29" t="n"/>
      <c r="M121" s="29" t="n"/>
      <c r="N121" s="29" t="n"/>
      <c r="O121" s="29" t="n"/>
      <c r="P121" s="29" t="n"/>
      <c r="Q121" s="29" t="n"/>
      <c r="R121" s="176" t="n"/>
      <c r="S121" s="176" t="n"/>
      <c r="T121" s="176" t="n"/>
      <c r="U121" s="29" t="n"/>
    </row>
    <row r="122" ht="126" customHeight="1" s="155">
      <c r="A122" s="28">
        <f>A121+1</f>
        <v/>
      </c>
      <c r="B122" s="29" t="inlineStr">
        <is>
          <t>Prussiana</t>
        </is>
      </c>
      <c r="C122" s="29" t="inlineStr">
        <is>
          <t>FARINA 00 CAPUTO RINFORZ.KG.25    contiene allergeni - F.lli Fiorentino Srl n° fatt 1/14656 - 21/11/2024</t>
        </is>
      </c>
      <c r="D122" s="29" t="inlineStr">
        <is>
          <t>zucchero  NON CONTIENE ALLERGENI - F.lli Fiorentino Srl n° fatt 1/15448 - 06/12/2024</t>
        </is>
      </c>
      <c r="E122" s="29" t="inlineStr">
        <is>
          <t>Margarina Crema  contiene allergeni - RONDINELLA MARKET S.R.L n° fatt 2090 - 09/12/2024</t>
        </is>
      </c>
      <c r="F122" s="29" t="n"/>
      <c r="G122" s="29" t="inlineStr">
        <is>
          <t>SALE FINO ITALKALI DA KG.1X12    NON CONTIENE ALLERGENI - F.lli Fiorentino Srl n° fatt 1/12465 - 07/10/2024</t>
        </is>
      </c>
      <c r="H122" s="29" t="n"/>
      <c r="I122" s="29" t="n"/>
      <c r="J122" s="29" t="n"/>
      <c r="K122" s="29" t="n"/>
      <c r="L122" s="29" t="inlineStr">
        <is>
          <t>STRUTTO  NON CONTIENE ALLERGENI - F.lli Fiorentino Srl n° fatt 1/15448 - 06/12/2024</t>
        </is>
      </c>
      <c r="M122" s="29" t="n"/>
      <c r="N122" s="29" t="n"/>
      <c r="O122" s="29" t="n"/>
      <c r="P122" s="29" t="n"/>
      <c r="Q122" s="29" t="n"/>
      <c r="R122" s="176" t="n"/>
      <c r="S122" s="176" t="n"/>
      <c r="T122" s="176" t="n"/>
      <c r="U122" s="29" t="n"/>
    </row>
    <row r="123" ht="126" customHeight="1" s="155">
      <c r="A123" s="28">
        <f>A122+1</f>
        <v/>
      </c>
      <c r="B123" s="29" t="inlineStr">
        <is>
          <t>RICOTTA ZUCCHERATA BADIACHIARA</t>
        </is>
      </c>
      <c r="C123" s="29" t="n"/>
      <c r="D123" s="29" t="inlineStr">
        <is>
          <t>zucchero  NON CONTIENE ALLERGENI - F.lli Fiorentino Srl n° fatt 1/15448 - 06/12/2024</t>
        </is>
      </c>
      <c r="E123" s="29" t="inlineStr">
        <is>
          <t>Margarina Crema  contiene allergeni - RONDINELLA MARKET S.R.L n° fatt 2090 - 09/12/2024</t>
        </is>
      </c>
      <c r="F123" s="29" t="n"/>
      <c r="G123" s="29" t="inlineStr">
        <is>
          <t>SALE FINO ITALKALI DA KG.1X12    NON CONTIENE ALLERGENI - F.lli Fiorentino Srl n° fatt 1/12465 - 07/10/2024</t>
        </is>
      </c>
      <c r="H123" s="29" t="n"/>
      <c r="I123" s="29" t="n"/>
      <c r="J123" s="29" t="inlineStr">
        <is>
          <t>RICOTTA Roma  contiene allergeni - GARGIULO GIUSEPPE n° fatt FPR 438/24 - 30/11/2024</t>
        </is>
      </c>
      <c r="K123" s="29" t="n"/>
      <c r="L123" s="29" t="n"/>
      <c r="M123" s="29" t="n"/>
      <c r="N123" s="29" t="n"/>
      <c r="O123" s="29" t="n"/>
      <c r="P123" s="29" t="n"/>
      <c r="Q123" s="29" t="n"/>
      <c r="R123" s="176" t="n"/>
      <c r="S123" s="176" t="n"/>
      <c r="T123" s="176" t="n"/>
      <c r="U123" s="29" t="n"/>
    </row>
    <row r="124" ht="126" customHeight="1" s="155">
      <c r="A124" s="28">
        <f>A123+1</f>
        <v/>
      </c>
      <c r="B124" s="29" t="inlineStr">
        <is>
          <t>RUSTICO</t>
        </is>
      </c>
      <c r="C124" s="29" t="inlineStr">
        <is>
          <t>FARINA 00 CAPUTO RINFORZ.KG.25    contiene allergeni - F.lli Fiorentino Srl n° fatt 1/16216 - 21/12/2024</t>
        </is>
      </c>
      <c r="D124" s="29" t="inlineStr">
        <is>
          <t>zucchero  NON CONTIENE ALLERGENI - F.lli Fiorentino Srl n° fatt 1/15448 - 06/12/2024</t>
        </is>
      </c>
      <c r="E124" s="29" t="inlineStr">
        <is>
          <t>Margarina Crema  contiene allergeni - RONDINELLA MARKET S.R.L n° fatt 2090 - 09/12/2024</t>
        </is>
      </c>
      <c r="F124" s="29" t="inlineStr">
        <is>
          <t>STRUTTO  NON CONTIENE ALLERGENI - F.lli Fiorentino Srl n° fatt 1/15448 - 06/12/2024</t>
        </is>
      </c>
      <c r="G124" s="29" t="inlineStr">
        <is>
          <t>SALE FINO ITALKALI DA KG.1X12    NON CONTIENE ALLERGENI - F.lli Fiorentino Srl n° fatt 1/12465 - 07/10/2024</t>
        </is>
      </c>
      <c r="H124" s="29" t="inlineStr">
        <is>
          <t>TUORLO PASTORIZZATO  contiene allergeni - SAIMA S.p.A. n° fatt 1/220009 - 17/12/2024</t>
        </is>
      </c>
      <c r="I124" s="29" t="inlineStr">
        <is>
          <t>LATTE   1000 INT.UHT  YMA  contiene allergeni - G.I.A.L.  n° fatt V1-50172 - 31/12/2024</t>
        </is>
      </c>
      <c r="J124" s="29" t="inlineStr">
        <is>
          <t>RICOTTA Roma  contiene allergeni - GARGIULO GIUSEPPE n° fatt FPR 438/24 - 30/11/2024</t>
        </is>
      </c>
      <c r="K124" s="29" t="n"/>
      <c r="L124" s="29" t="n"/>
      <c r="M124" s="29" t="n"/>
      <c r="N124" s="29" t="n"/>
      <c r="O124" s="29" t="n"/>
      <c r="P124" s="29" t="n"/>
      <c r="Q124" s="29" t="n"/>
      <c r="R124" s="176" t="n"/>
      <c r="S124" s="176" t="n"/>
      <c r="T124" s="176" t="n"/>
      <c r="U124" s="29" t="n"/>
    </row>
    <row r="125">
      <c r="A125" s="28">
        <f>A124+1</f>
        <v/>
      </c>
      <c r="B125" s="29" t="inlineStr">
        <is>
          <t>RUSTICO</t>
        </is>
      </c>
      <c r="C125" s="29" t="n"/>
      <c r="D125" s="29" t="n"/>
      <c r="E125" s="29" t="n"/>
      <c r="F125" s="29" t="n"/>
      <c r="G125" s="29" t="n"/>
      <c r="H125" s="29" t="n"/>
      <c r="I125" s="29" t="n"/>
      <c r="J125" s="29" t="n"/>
      <c r="K125" s="29" t="n"/>
      <c r="L125" s="29" t="n"/>
      <c r="M125" s="29" t="n"/>
      <c r="N125" s="29" t="n"/>
      <c r="O125" s="29" t="n"/>
      <c r="P125" s="29" t="n"/>
      <c r="Q125" s="29" t="n"/>
      <c r="R125" s="176" t="n"/>
      <c r="S125" s="176" t="n"/>
      <c r="T125" s="176" t="n"/>
      <c r="U125" s="29" t="n"/>
    </row>
    <row r="126" ht="126" customHeight="1" s="155">
      <c r="A126" s="28">
        <f>A125+1</f>
        <v/>
      </c>
      <c r="B126" s="29" t="inlineStr">
        <is>
          <t>Salame ti Napoli</t>
        </is>
      </c>
      <c r="C126" s="29" t="n"/>
      <c r="D126" s="29" t="n"/>
      <c r="E126" s="29" t="n"/>
      <c r="F126" s="29" t="n"/>
      <c r="G126" s="29" t="inlineStr">
        <is>
          <t>SALE FINO ITALKALI DA KG.1X12    NON CONTIENE ALLERGENI - F.lli Fiorentino Srl n° fatt 1/12465 - 07/10/2024</t>
        </is>
      </c>
      <c r="H126" s="29" t="n"/>
      <c r="I126" s="29" t="n"/>
      <c r="J126" s="29" t="n"/>
      <c r="K126" s="29" t="n"/>
      <c r="L126" s="29" t="n"/>
      <c r="M126" s="29" t="n"/>
      <c r="N126" s="29" t="n"/>
      <c r="O126" s="29" t="n"/>
      <c r="P126" s="29" t="n"/>
      <c r="Q126" s="29" t="n"/>
      <c r="R126" s="176" t="n"/>
      <c r="S126" s="176" t="n"/>
      <c r="T126" s="176" t="n"/>
      <c r="U126" s="29" t="n"/>
    </row>
    <row r="127" ht="126" customHeight="1" s="155">
      <c r="A127" s="28">
        <f>A126+1</f>
        <v/>
      </c>
      <c r="B127" s="29" t="inlineStr">
        <is>
          <t>Salame Napoli</t>
        </is>
      </c>
      <c r="C127" s="29" t="n"/>
      <c r="D127" s="29" t="n"/>
      <c r="E127" s="29" t="n"/>
      <c r="F127" s="29" t="n"/>
      <c r="G127" s="29" t="inlineStr">
        <is>
          <t>SALE FINO ITALKALI DA KG.1X12    NON CONTIENE ALLERGENI - F.lli Fiorentino Srl n° fatt 1/12465 - 07/10/2024</t>
        </is>
      </c>
      <c r="H127" s="29" t="n"/>
      <c r="I127" s="29" t="n"/>
      <c r="J127" s="29" t="n"/>
      <c r="K127" s="29" t="n"/>
      <c r="L127" s="29" t="n"/>
      <c r="M127" s="29" t="n"/>
      <c r="N127" s="29" t="n"/>
      <c r="O127" s="29" t="n"/>
      <c r="P127" s="29" t="n"/>
      <c r="Q127" s="29" t="n"/>
      <c r="R127" s="176" t="n"/>
      <c r="S127" s="176" t="n"/>
      <c r="T127" s="176" t="n"/>
      <c r="U127" s="29" t="n"/>
    </row>
    <row r="128" ht="126" customHeight="1" s="155">
      <c r="A128" s="28">
        <f>A127+1</f>
        <v/>
      </c>
      <c r="B128" s="29" t="inlineStr">
        <is>
          <t>Scarola Ripassata</t>
        </is>
      </c>
      <c r="C128" s="29" t="inlineStr">
        <is>
          <t>Scarola Liscia L.51F.FVI241  NON CONTIENE ALLERGENI - I COZZOLINO SRL n° fatt D3367 - 30/11/2024</t>
        </is>
      </c>
      <c r="D128" s="29" t="n"/>
      <c r="E128" s="29" t="inlineStr">
        <is>
          <t>OLIO EXTRAV OLIVA SORRENTO L.5    NON CONTIENE ALLERGENI - F.lli Fiorentino Srl n° fatt 1/14656 - 21/11/2024</t>
        </is>
      </c>
      <c r="F128" s="29" t="n"/>
      <c r="G128" s="29" t="inlineStr">
        <is>
          <t>SALE FINO ITALKALI DA KG.1X12    NON CONTIENE ALLERGENI - F.lli Fiorentino Srl n° fatt 1/12465 - 07/10/2024</t>
        </is>
      </c>
      <c r="H128" s="29" t="n"/>
      <c r="I128" s="29" t="n"/>
      <c r="J128" s="29" t="n"/>
      <c r="K128" s="29" t="n"/>
      <c r="L128" s="29" t="n"/>
      <c r="M128" s="29" t="n"/>
      <c r="N128" s="29" t="n"/>
      <c r="O128" s="29" t="n"/>
      <c r="P128" s="29" t="n"/>
      <c r="Q128" s="29" t="n"/>
      <c r="R128" s="176" t="n"/>
      <c r="S128" s="176" t="n"/>
      <c r="T128" s="176" t="n"/>
      <c r="U128" s="29" t="n"/>
    </row>
    <row r="129" ht="126" customHeight="1" s="155">
      <c r="A129" s="28">
        <f>A128+1</f>
        <v/>
      </c>
      <c r="B129" s="29" t="inlineStr">
        <is>
          <t>Sfogliatella frolla</t>
        </is>
      </c>
      <c r="C129" s="29" t="inlineStr">
        <is>
          <t>FARINA 00 CAPUTO RINFORZ.KG.25    contiene allergeni - F.lli Fiorentino Srl n° fatt 1/14656 - 21/11/2024</t>
        </is>
      </c>
      <c r="D129" s="29" t="inlineStr">
        <is>
          <t>zucchero  NON CONTIENE ALLERGENI - F.lli Fiorentino Srl n° fatt 1/15448 - 06/12/2024</t>
        </is>
      </c>
      <c r="E129" s="29" t="inlineStr">
        <is>
          <t>Margarina Crema  contiene allergeni - RONDINELLA MARKET S.R.L n° fatt 2090 - 09/12/2024</t>
        </is>
      </c>
      <c r="F129" s="29" t="inlineStr">
        <is>
          <t>STRUTTO  NON CONTIENE ALLERGENI - F.lli Fiorentino Srl n° fatt 1/15448 - 06/12/2024</t>
        </is>
      </c>
      <c r="G129" s="29" t="inlineStr">
        <is>
          <t>SALE FINO ITALKALI DA KG.1X12    NON CONTIENE ALLERGENI - F.lli Fiorentino Srl n° fatt 1/12465 - 07/10/2024</t>
        </is>
      </c>
      <c r="H129" s="29" t="inlineStr">
        <is>
          <t>TUORLO PASTORIZZATO  contiene allergeni - SAIMA S.p.A. n° fatt 1/220009 - 17/12/2024</t>
        </is>
      </c>
      <c r="I129" s="29" t="n"/>
      <c r="J129" s="29" t="inlineStr">
        <is>
          <t>RICOTTA Roma  contiene allergeni - GARGIULO GIUSEPPE n° fatt FPR 438/24 - 30/11/2024</t>
        </is>
      </c>
      <c r="K129" s="29" t="n"/>
      <c r="L129" s="29" t="inlineStr">
        <is>
          <t>STRUTTO  NON CONTIENE ALLERGENI - F.lli Fiorentino Srl n° fatt 1/15448 - 06/12/2024</t>
        </is>
      </c>
      <c r="M129" s="29" t="n"/>
      <c r="N129" s="29" t="n"/>
      <c r="O129" s="29" t="n"/>
      <c r="P129" s="29" t="n"/>
      <c r="Q129" s="29" t="n"/>
      <c r="R129" s="176" t="n"/>
      <c r="S129" s="176" t="n"/>
      <c r="T129" s="176" t="n"/>
      <c r="U129" s="29" t="n"/>
    </row>
    <row r="130" ht="126" customHeight="1" s="155">
      <c r="A130" s="28">
        <f>A129+1</f>
        <v/>
      </c>
      <c r="B130" s="29" t="inlineStr">
        <is>
          <t>Sfogliatella riccia</t>
        </is>
      </c>
      <c r="C130" s="29" t="inlineStr">
        <is>
          <t>FARINA 00 CAPUTO RINFORZ.KG.25    contiene allergeni - F.lli Fiorentino Srl n° fatt 1/14656 - 21/11/2024</t>
        </is>
      </c>
      <c r="D130" s="29" t="inlineStr">
        <is>
          <t>zucchero  NON CONTIENE ALLERGENI - F.lli Fiorentino Srl n° fatt 1/15448 - 06/12/2024</t>
        </is>
      </c>
      <c r="E130" s="29" t="inlineStr">
        <is>
          <t>Margarina Crema  contiene allergeni - RONDINELLA MARKET S.R.L n° fatt 2090 - 09/12/2024</t>
        </is>
      </c>
      <c r="F130" s="29" t="inlineStr">
        <is>
          <t>STRUTTO  NON CONTIENE ALLERGENI - F.lli Fiorentino Srl n° fatt 1/15448 - 06/12/2024</t>
        </is>
      </c>
      <c r="G130" s="29" t="inlineStr">
        <is>
          <t>SALE FINO ITALKALI DA KG.1X12    NON CONTIENE ALLERGENI - F.lli Fiorentino Srl n° fatt 1/12465 - 07/10/2024</t>
        </is>
      </c>
      <c r="H130" s="29" t="inlineStr">
        <is>
          <t>TUORLO PASTORIZZATO  contiene allergeni - SAIMA S.p.A. n° fatt 1/220009 - 17/12/2024</t>
        </is>
      </c>
      <c r="I130" s="29" t="n"/>
      <c r="J130" s="29" t="inlineStr">
        <is>
          <t>RICOTTA Roma  contiene allergeni - GARGIULO GIUSEPPE n° fatt FPR 438/24 - 30/11/2024</t>
        </is>
      </c>
      <c r="K130" s="29" t="n"/>
      <c r="L130" s="29" t="inlineStr">
        <is>
          <t>STRUTTO  NON CONTIENE ALLERGENI - F.lli Fiorentino Srl n° fatt 1/15448 - 06/12/2024</t>
        </is>
      </c>
      <c r="M130" s="29" t="n"/>
      <c r="N130" s="29" t="n"/>
      <c r="O130" s="29" t="n"/>
      <c r="P130" s="29" t="n"/>
      <c r="Q130" s="29" t="n"/>
      <c r="R130" s="176" t="n"/>
      <c r="S130" s="176" t="n"/>
      <c r="T130" s="176" t="n"/>
      <c r="U130" s="29" t="n"/>
    </row>
    <row r="131" ht="126" customHeight="1" s="155">
      <c r="A131" s="28">
        <f>A130+1</f>
        <v/>
      </c>
      <c r="B131" s="29" t="inlineStr">
        <is>
          <t>Tiramisù</t>
        </is>
      </c>
      <c r="C131" s="29" t="inlineStr">
        <is>
          <t>FARINA 00 CAPUTO RINFORZ.KG.25    contiene allergeni - F.lli Fiorentino Srl n° fatt 1/14656 - 21/11/2024</t>
        </is>
      </c>
      <c r="D131" s="29" t="inlineStr">
        <is>
          <t>zucchero  NON CONTIENE ALLERGENI - F.lli Fiorentino Srl n° fatt 1/15448 - 06/12/2024</t>
        </is>
      </c>
      <c r="E131" s="29" t="inlineStr">
        <is>
          <t>Margarina Crema  contiene allergeni - RONDINELLA MARKET S.R.L n° fatt 2090 - 09/12/2024</t>
        </is>
      </c>
      <c r="F131" s="29" t="n"/>
      <c r="G131" s="29" t="inlineStr">
        <is>
          <t>SALE FINO ITALKALI DA KG.1X12    NON CONTIENE ALLERGENI - F.lli Fiorentino Srl n° fatt 1/12465 - 07/10/2024</t>
        </is>
      </c>
      <c r="H131" s="29" t="inlineStr">
        <is>
          <t>TUORLO PASTORIZZATO  contiene allergeni - SAIMA S.p.A. n° fatt 1/220009 - 17/12/2024</t>
        </is>
      </c>
      <c r="I131" s="29" t="inlineStr">
        <is>
          <t>LATTE   1000 INT.UHT  YMA  contiene allergeni - G.I.A.L.  n° fatt V1-50172 - 31/12/2024</t>
        </is>
      </c>
      <c r="J131" s="29" t="n"/>
      <c r="K131" s="29" t="n"/>
      <c r="L131" s="29" t="n"/>
      <c r="M131" s="29" t="n"/>
      <c r="N131" s="29" t="n"/>
      <c r="O131" s="29" t="n"/>
      <c r="P131" s="29" t="n"/>
      <c r="Q131" s="29" t="n"/>
      <c r="R131" s="176" t="n"/>
      <c r="S131" s="176" t="n"/>
      <c r="T131" s="176" t="n"/>
      <c r="U131" s="29" t="n"/>
    </row>
    <row r="132" ht="126" customHeight="1" s="155">
      <c r="A132" s="28">
        <f>A131+1</f>
        <v/>
      </c>
      <c r="B132" s="29" t="inlineStr">
        <is>
          <t>VESUVIO</t>
        </is>
      </c>
      <c r="C132" s="29" t="inlineStr">
        <is>
          <t>TAPPI  GRANDI  G 55/60  contiene allergeni - Dolciaria Acquaviva S.p.A. n° fatt 479012 - 30/12/2024</t>
        </is>
      </c>
      <c r="D132" s="29" t="n"/>
      <c r="E132" s="29" t="n"/>
      <c r="F132" s="29" t="inlineStr">
        <is>
          <t>STRUTTO  NON CONTIENE ALLERGENI - F.lli Fiorentino Srl n° fatt 1/15448 - 06/12/2024</t>
        </is>
      </c>
      <c r="G132" s="29" t="inlineStr">
        <is>
          <t>SALE FINO ITALKALI DA KG.1X12    NON CONTIENE ALLERGENI - F.lli Fiorentino Srl n° fatt 1/12465 - 07/10/2024</t>
        </is>
      </c>
      <c r="H132" s="29" t="n"/>
      <c r="I132" s="29" t="n"/>
      <c r="J132" s="29" t="n"/>
      <c r="K132" s="29" t="n"/>
      <c r="L132" s="29" t="inlineStr">
        <is>
          <t>STRUTTO  NON CONTIENE ALLERGENI - F.lli Fiorentino Srl n° fatt 1/15448 - 06/12/2024</t>
        </is>
      </c>
      <c r="M132" s="29" t="n"/>
      <c r="N132" s="29" t="n"/>
      <c r="O132" s="29" t="n"/>
      <c r="P132" s="29" t="n"/>
      <c r="Q132" s="29" t="n"/>
      <c r="R132" s="176" t="n"/>
      <c r="S132" s="176" t="n"/>
      <c r="T132" s="176" t="n"/>
      <c r="U132" s="29" t="n"/>
    </row>
    <row r="133" ht="126" customHeight="1" s="155">
      <c r="A133" s="28">
        <f>A132+1</f>
        <v/>
      </c>
      <c r="B133" s="29" t="inlineStr">
        <is>
          <t>Zucchine</t>
        </is>
      </c>
      <c r="C133" s="29" t="inlineStr">
        <is>
          <t>Zucchine L.0950-04/21-000040IT  NON CONTIENE ALLERGENI - I COZZOLINO SRL n° fatt D3367 - 30/11/2024</t>
        </is>
      </c>
      <c r="D133" s="29" t="n"/>
      <c r="E133" s="29" t="inlineStr">
        <is>
          <t>OLIO EXTRAV OLIVA SORRENTO L.5    NON CONTIENE ALLERGENI - F.lli Fiorentino Srl n° fatt 1/14656 - 21/11/2024</t>
        </is>
      </c>
      <c r="F133" s="29" t="inlineStr">
        <is>
          <t>Aglio L.372  NON CONTIENE ALLERGENI - I COZZOLINO SRL n° fatt D3089 - 31/10/2024</t>
        </is>
      </c>
      <c r="G133" s="29" t="inlineStr">
        <is>
          <t>SALE FINO ITALKALI DA KG.1X12    NON CONTIENE ALLERGENI - F.lli Fiorentino Srl n° fatt 1/12465 - 07/10/2024</t>
        </is>
      </c>
      <c r="H133" s="29" t="n"/>
      <c r="I133" s="29" t="n"/>
      <c r="J133" s="29" t="n"/>
      <c r="K133" s="29" t="n"/>
      <c r="L133" s="29" t="n"/>
      <c r="M133" s="29" t="n"/>
      <c r="N133" s="29" t="n"/>
      <c r="O133" s="29" t="n"/>
      <c r="P133" s="29" t="n"/>
      <c r="Q133" s="29" t="n"/>
      <c r="R133" s="177" t="n"/>
      <c r="S133" s="176" t="n"/>
      <c r="T133" s="176" t="n"/>
      <c r="U133" s="29" t="n"/>
    </row>
    <row r="134" ht="126" customHeight="1" s="155">
      <c r="A134" s="28">
        <f>A133+1</f>
        <v/>
      </c>
      <c r="B134" s="29" t="inlineStr">
        <is>
          <t>Parigina</t>
        </is>
      </c>
      <c r="C134" s="29" t="inlineStr">
        <is>
          <t>FARINA 00 CAPUTO RINFORZ.KG.25    contiene allergeni - F.lli Fiorentino Srl n° fatt 1/14656 - 21/11/2024</t>
        </is>
      </c>
      <c r="D134" s="29" t="inlineStr">
        <is>
          <t>zucchero  NON CONTIENE ALLERGENI - F.lli Fiorentino Srl n° fatt 1/15448 - 06/12/2024</t>
        </is>
      </c>
      <c r="E134" s="29" t="inlineStr">
        <is>
          <t>prosciutto cotto  NON CONTIENE ALLERGENI - BIG FOOD SRL n° fatt V1079688 - 19/11/2024</t>
        </is>
      </c>
      <c r="F134" s="29" t="inlineStr">
        <is>
          <t>STRUTTO  NON CONTIENE ALLERGENI - F.lli Fiorentino Srl n° fatt 1/15448 - 06/12/2024</t>
        </is>
      </c>
      <c r="G134" s="29" t="inlineStr">
        <is>
          <t>SALE FINO ITALKALI DA KG.1X12    NON CONTIENE ALLERGENI - F.lli Fiorentino Srl n° fatt 1/12465 - 07/10/2024</t>
        </is>
      </c>
      <c r="H134" s="29" t="inlineStr">
        <is>
          <t>TUORLO PASTORIZZATO  contiene allergeni - SAIMA S.p.A. n° fatt 1/220009 - 17/12/2024</t>
        </is>
      </c>
      <c r="I134" s="29" t="n"/>
      <c r="J134" s="29" t="n"/>
      <c r="K134" s="29" t="inlineStr">
        <is>
          <t>sottilette  contiene allergeni - G.I.A.L.  n° fatt V1-50172 - 31/12/2024</t>
        </is>
      </c>
      <c r="L134" s="29" t="inlineStr">
        <is>
          <t>STRUTTO  NON CONTIENE ALLERGENI - F.lli Fiorentino Srl n° fatt 1/15448 - 06/12/2024</t>
        </is>
      </c>
      <c r="M134" s="29" t="n"/>
      <c r="N134" s="29" t="n"/>
      <c r="O134" s="29" t="n"/>
      <c r="P134" s="29" t="n"/>
      <c r="Q134" s="29" t="n"/>
      <c r="R134" s="177" t="n"/>
      <c r="S134" s="176" t="n"/>
      <c r="T134" s="176" t="n"/>
      <c r="U134" s="29" t="n"/>
    </row>
    <row r="135" ht="126" customHeight="1" s="155">
      <c r="A135" s="28">
        <f>A134+1</f>
        <v/>
      </c>
      <c r="B135" s="29" t="inlineStr">
        <is>
          <t>Pasticcino crema</t>
        </is>
      </c>
      <c r="C135" s="29" t="inlineStr">
        <is>
          <t>FARINA 00 CAPUTO RINFORZ.KG.25    contiene allergeni - F.lli Fiorentino Srl n° fatt 1/14656 - 21/11/2024</t>
        </is>
      </c>
      <c r="D135" s="29" t="inlineStr">
        <is>
          <t>zucchero  NON CONTIENE ALLERGENI - F.lli Fiorentino Srl n° fatt 1/15448 - 06/12/2024</t>
        </is>
      </c>
      <c r="E135" s="29" t="inlineStr">
        <is>
          <t>Margarina Crema  contiene allergeni - RONDINELLA MARKET S.R.L n° fatt 2090 - 09/12/2024</t>
        </is>
      </c>
      <c r="F135" s="29" t="inlineStr">
        <is>
          <t>STRUTTO  NON CONTIENE ALLERGENI - F.lli Fiorentino Srl n° fatt 1/15448 - 06/12/2024</t>
        </is>
      </c>
      <c r="G135" s="29" t="inlineStr">
        <is>
          <t>SALE FINO ITALKALI DA KG.1X12    NON CONTIENE ALLERGENI - F.lli Fiorentino Srl n° fatt 1/12465 - 07/10/2024</t>
        </is>
      </c>
      <c r="H135" s="29" t="inlineStr">
        <is>
          <t>TUORLO PASTORIZZATO  contiene allergeni - SAIMA S.p.A. n° fatt 1/220009 - 17/12/2024</t>
        </is>
      </c>
      <c r="I135" s="29" t="inlineStr">
        <is>
          <t>LATTE   1000 INT.UHT  YMA  contiene allergeni - G.I.A.L.  n° fatt V1-50172 - 31/12/2024</t>
        </is>
      </c>
      <c r="J135" s="29" t="n"/>
      <c r="K135" s="29" t="n"/>
      <c r="L135" s="29" t="inlineStr">
        <is>
          <t>STRUTTO  NON CONTIENE ALLERGENI - F.lli Fiorentino Srl n° fatt 1/15448 - 06/12/2024</t>
        </is>
      </c>
      <c r="M135" s="29" t="n"/>
      <c r="N135" s="29" t="n"/>
      <c r="O135" s="29" t="n"/>
      <c r="P135" s="29" t="n"/>
      <c r="Q135" s="29" t="n"/>
      <c r="R135" s="177" t="n"/>
      <c r="S135" s="176" t="n"/>
      <c r="T135" s="176" t="n"/>
      <c r="U135" s="29" t="n"/>
    </row>
    <row r="136" ht="126" customHeight="1" s="155">
      <c r="A136" s="28">
        <f>A135+1</f>
        <v/>
      </c>
      <c r="B136" s="29" t="inlineStr">
        <is>
          <t>Pastiera</t>
        </is>
      </c>
      <c r="C136" s="29" t="inlineStr">
        <is>
          <t>FARINA 00 CAPUTO RINFORZ.KG.25    contiene allergeni - F.lli Fiorentino Srl n° fatt 1/14656 - 21/11/2024</t>
        </is>
      </c>
      <c r="D136" s="29" t="inlineStr">
        <is>
          <t>zucchero  NON CONTIENE ALLERGENI - F.lli Fiorentino Srl n° fatt 1/15448 - 06/12/2024</t>
        </is>
      </c>
      <c r="E136" s="29" t="inlineStr">
        <is>
          <t>Margarina Crema  contiene allergeni - RONDINELLA MARKET S.R.L n° fatt 2090 - 09/12/2024</t>
        </is>
      </c>
      <c r="F136" s="29" t="inlineStr">
        <is>
          <t>STRUTTO  NON CONTIENE ALLERGENI - F.lli Fiorentino Srl n° fatt 1/15448 - 06/12/2024</t>
        </is>
      </c>
      <c r="G136" s="29" t="inlineStr">
        <is>
          <t>SALE FINO ITALKALI DA KG.1X12    NON CONTIENE ALLERGENI - F.lli Fiorentino Srl n° fatt 1/12465 - 07/10/2024</t>
        </is>
      </c>
      <c r="H136" s="29" t="inlineStr">
        <is>
          <t>TUORLO PASTORIZZATO  contiene allergeni - SAIMA S.p.A. n° fatt 1/220009 - 17/12/2024</t>
        </is>
      </c>
      <c r="I136" s="29" t="inlineStr">
        <is>
          <t>LATTE   1000 INT.UHT  YMA  contiene allergeni - G.I.A.L.  n° fatt V1-50172 - 31/12/2024</t>
        </is>
      </c>
      <c r="J136" s="29" t="inlineStr">
        <is>
          <t>RICOTTA Roma  contiene allergeni - GARGIULO GIUSEPPE n° fatt FPR 438/24 - 30/11/2024</t>
        </is>
      </c>
      <c r="K136" s="29" t="n"/>
      <c r="L136" s="29" t="inlineStr">
        <is>
          <t>STRUTTO  NON CONTIENE ALLERGENI - F.lli Fiorentino Srl n° fatt 1/15448 - 06/12/2024</t>
        </is>
      </c>
      <c r="M136" s="29" t="n"/>
      <c r="N136" s="29" t="n"/>
      <c r="O136" s="29" t="n"/>
      <c r="P136" s="29" t="n"/>
      <c r="Q136" s="29" t="n"/>
      <c r="R136" s="177" t="n"/>
      <c r="S136" s="176" t="n"/>
      <c r="T136" s="176" t="n"/>
      <c r="U136" s="29" t="n"/>
    </row>
    <row r="137" ht="126" customHeight="1" s="155">
      <c r="A137" s="28">
        <f>A136+1</f>
        <v/>
      </c>
      <c r="B137" s="29" t="inlineStr">
        <is>
          <t>Caprese Limone</t>
        </is>
      </c>
      <c r="C137" s="29" t="inlineStr">
        <is>
          <t>FARINA 00 CAPUTO RINFORZ.KG.25    contiene allergeni - F.lli Fiorentino Srl n° fatt 1/14656 - 21/11/2024</t>
        </is>
      </c>
      <c r="D137" s="29" t="inlineStr">
        <is>
          <t>zucchero  NON CONTIENE ALLERGENI - F.lli Fiorentino Srl n° fatt 1/15448 - 06/12/2024</t>
        </is>
      </c>
      <c r="E137" s="29" t="inlineStr">
        <is>
          <t>Margarina Crema  contiene allergeni - RONDINELLA MARKET S.R.L n° fatt 2090 - 09/12/2024</t>
        </is>
      </c>
      <c r="F137" s="29" t="n"/>
      <c r="G137" s="29" t="inlineStr">
        <is>
          <t>SALE FINO ITALKALI DA KG.1X12    NON CONTIENE ALLERGENI - F.lli Fiorentino Srl n° fatt 1/12465 - 07/10/2024</t>
        </is>
      </c>
      <c r="H137" s="29" t="inlineStr">
        <is>
          <t>TUORLO PASTORIZZATO  contiene allergeni - SAIMA S.p.A. n° fatt 1/220009 - 17/12/2024</t>
        </is>
      </c>
      <c r="I137" s="29" t="n"/>
      <c r="J137" s="29" t="n"/>
      <c r="K137" s="29" t="n"/>
      <c r="L137" s="29" t="inlineStr">
        <is>
          <t>STRUTTO  NON CONTIENE ALLERGENI - F.lli Fiorentino Srl n° fatt 1/15448 - 06/12/2024</t>
        </is>
      </c>
      <c r="M137" s="29" t="n"/>
      <c r="N137" s="29" t="n"/>
      <c r="O137" s="29" t="n"/>
      <c r="P137" s="29" t="n"/>
      <c r="Q137" s="29" t="n"/>
      <c r="R137" s="177" t="n"/>
      <c r="S137" s="176" t="n"/>
      <c r="T137" s="176" t="n"/>
      <c r="U137" s="29" t="n"/>
    </row>
    <row r="138" ht="126" customHeight="1" s="155">
      <c r="A138" s="28">
        <f>A137+1</f>
        <v/>
      </c>
      <c r="B138" s="29" t="inlineStr">
        <is>
          <t>Caprese cioccolato</t>
        </is>
      </c>
      <c r="C138" s="29" t="inlineStr">
        <is>
          <t>FARINA 00 CAPUTO RINFORZ.KG.25    contiene allergeni - F.lli Fiorentino Srl n° fatt 1/14656 - 21/11/2024</t>
        </is>
      </c>
      <c r="D138" s="29" t="inlineStr">
        <is>
          <t>zucchero  NON CONTIENE ALLERGENI - F.lli Fiorentino Srl n° fatt 1/15448 - 06/12/2024</t>
        </is>
      </c>
      <c r="E138" s="29" t="inlineStr">
        <is>
          <t>Margarina Crema  contiene allergeni - RONDINELLA MARKET S.R.L n° fatt 2090 - 09/12/2024</t>
        </is>
      </c>
      <c r="F138" s="29" t="inlineStr">
        <is>
          <t>CACAO AMARO  NON CONTIENE ALLERGENI - SAIMA S.p.A. n° fatt 1/228934 - 31/12/2024</t>
        </is>
      </c>
      <c r="G138" s="29" t="inlineStr">
        <is>
          <t>SALE FINO ITALKALI DA KG.1X12    NON CONTIENE ALLERGENI - F.lli Fiorentino Srl n° fatt 1/12465 - 07/10/2024</t>
        </is>
      </c>
      <c r="H138" s="29" t="inlineStr">
        <is>
          <t>TUORLO PASTORIZZATO  contiene allergeni - SAIMA S.p.A. n° fatt 1/220009 - 17/12/2024</t>
        </is>
      </c>
      <c r="I138" s="29" t="n"/>
      <c r="J138" s="29" t="n"/>
      <c r="K138" s="29" t="n"/>
      <c r="L138" s="29" t="inlineStr">
        <is>
          <t>STRUTTO  NON CONTIENE ALLERGENI - F.lli Fiorentino Srl n° fatt 1/15448 - 06/12/2024</t>
        </is>
      </c>
      <c r="M138" s="29" t="n"/>
      <c r="N138" s="29" t="n"/>
      <c r="O138" s="29" t="n"/>
      <c r="P138" s="29" t="n"/>
      <c r="Q138" s="29" t="n"/>
      <c r="R138" s="177" t="n"/>
      <c r="S138" s="176" t="n"/>
      <c r="T138" s="176" t="n"/>
      <c r="U138" s="29" t="n"/>
    </row>
    <row r="139" ht="126" customHeight="1" s="155">
      <c r="A139" s="28">
        <f>A138+1</f>
        <v/>
      </c>
      <c r="B139" s="29" t="inlineStr">
        <is>
          <t>Brioche</t>
        </is>
      </c>
      <c r="C139" s="29" t="inlineStr">
        <is>
          <t>FARINA 00 CAPUTO RINFORZ.KG.25    contiene allergeni - F.lli Fiorentino Srl n° fatt 1/14656 - 21/11/2024</t>
        </is>
      </c>
      <c r="D139" s="29" t="inlineStr">
        <is>
          <t>zucchero  NON CONTIENE ALLERGENI - F.lli Fiorentino Srl n° fatt 1/15448 - 06/12/2024</t>
        </is>
      </c>
      <c r="E139" s="29" t="inlineStr">
        <is>
          <t>Margarina Crema  contiene allergeni - RONDINELLA MARKET S.R.L n° fatt 2090 - 09/12/2024</t>
        </is>
      </c>
      <c r="F139" s="29" t="n"/>
      <c r="G139" s="29" t="inlineStr">
        <is>
          <t>SALE FINO ITALKALI DA KG.1X12    NON CONTIENE ALLERGENI - F.lli Fiorentino Srl n° fatt 1/12465 - 07/10/2024</t>
        </is>
      </c>
      <c r="H139" s="29" t="inlineStr">
        <is>
          <t>TUORLO PASTORIZZATO  contiene allergeni - SAIMA S.p.A. n° fatt 1/220009 - 17/12/2024</t>
        </is>
      </c>
      <c r="I139" s="29" t="inlineStr">
        <is>
          <t>LATTE   1000 INT.UHT  YMA  contiene allergeni - G.I.A.L.  n° fatt V1-50172 - 31/12/2024</t>
        </is>
      </c>
      <c r="J139" s="29" t="n"/>
      <c r="K139" s="29" t="n"/>
      <c r="L139" s="29" t="inlineStr">
        <is>
          <t>STRUTTO  NON CONTIENE ALLERGENI - F.lli Fiorentino Srl n° fatt 1/15448 - 06/12/2024</t>
        </is>
      </c>
      <c r="M139" s="29" t="n"/>
      <c r="N139" s="29" t="n"/>
      <c r="O139" s="29" t="n"/>
      <c r="P139" s="29" t="n"/>
      <c r="Q139" s="29" t="n"/>
      <c r="R139" s="177" t="n"/>
      <c r="S139" s="176" t="n"/>
      <c r="T139" s="176" t="n"/>
      <c r="U139" s="29" t="n"/>
    </row>
    <row r="140" ht="126" customHeight="1" s="155">
      <c r="A140" s="28">
        <f>A139+1</f>
        <v/>
      </c>
      <c r="B140" s="29" t="inlineStr">
        <is>
          <t>Biscotto amarena</t>
        </is>
      </c>
      <c r="C140" s="29" t="inlineStr">
        <is>
          <t>FARINA 00 CAPUTO RINFORZ.KG.25    contiene allergeni - F.lli Fiorentino Srl n° fatt 1/14656 - 21/11/2024</t>
        </is>
      </c>
      <c r="D140" s="29" t="inlineStr">
        <is>
          <t>zucchero  NON CONTIENE ALLERGENI - F.lli Fiorentino Srl n° fatt 1/15448 - 06/12/2024</t>
        </is>
      </c>
      <c r="E140" s="29" t="inlineStr">
        <is>
          <t>Margarina Crema  contiene allergeni - RONDINELLA MARKET S.R.L n° fatt 2090 - 09/12/2024</t>
        </is>
      </c>
      <c r="F140" s="29" t="inlineStr">
        <is>
          <t>STRUTTO  NON CONTIENE ALLERGENI - F.lli Fiorentino Srl n° fatt 1/15448 - 06/12/2024</t>
        </is>
      </c>
      <c r="G140" s="29" t="inlineStr">
        <is>
          <t>SALE FINO ITALKALI DA KG.1X12    NON CONTIENE ALLERGENI - F.lli Fiorentino Srl n° fatt 1/12465 - 07/10/2024</t>
        </is>
      </c>
      <c r="H140" s="29" t="inlineStr">
        <is>
          <t>TUORLO PASTORIZZATO  contiene allergeni - SAIMA S.p.A. n° fatt 1/220009 - 17/12/2024</t>
        </is>
      </c>
      <c r="I140" s="29" t="inlineStr">
        <is>
          <t>LATTE   1000 INT.UHT  YMA  contiene allergeni - G.I.A.L.  n° fatt V1-50172 - 31/12/2024</t>
        </is>
      </c>
      <c r="J140" s="29" t="n"/>
      <c r="K140" s="29" t="n"/>
      <c r="L140" s="29" t="inlineStr">
        <is>
          <t>STRUTTO  NON CONTIENE ALLERGENI - F.lli Fiorentino Srl n° fatt 1/15448 - 06/12/2024</t>
        </is>
      </c>
      <c r="M140" s="29" t="n"/>
      <c r="N140" s="29" t="n"/>
      <c r="O140" s="29" t="n"/>
      <c r="P140" s="29" t="n"/>
      <c r="Q140" s="29" t="n"/>
      <c r="R140" s="177" t="n"/>
      <c r="S140" s="176" t="n"/>
      <c r="T140" s="176" t="n"/>
      <c r="U140" s="29" t="n"/>
    </row>
    <row r="141" ht="126" customHeight="1" s="155">
      <c r="A141" s="28">
        <f>A140+1</f>
        <v/>
      </c>
      <c r="B141" s="29" t="inlineStr">
        <is>
          <t>Babà</t>
        </is>
      </c>
      <c r="C141" s="29" t="inlineStr">
        <is>
          <t>FARINA 00 CAPUTO RINFORZ.KG.25    contiene allergeni - F.lli Fiorentino Srl n° fatt 1/14656 - 21/11/2024</t>
        </is>
      </c>
      <c r="D141" s="29" t="inlineStr">
        <is>
          <t>zucchero  NON CONTIENE ALLERGENI - F.lli Fiorentino Srl n° fatt 1/15448 - 06/12/2024</t>
        </is>
      </c>
      <c r="E141" s="29" t="inlineStr">
        <is>
          <t>Margarina Crema  contiene allergeni - RONDINELLA MARKET S.R.L n° fatt 2090 - 09/12/2024</t>
        </is>
      </c>
      <c r="F141" s="29" t="inlineStr">
        <is>
          <t>STRUTTO  NON CONTIENE ALLERGENI - F.lli Fiorentino Srl n° fatt 1/15448 - 06/12/2024</t>
        </is>
      </c>
      <c r="G141" s="29" t="inlineStr">
        <is>
          <t>SALE FINO ITALKALI DA KG.1X12    NON CONTIENE ALLERGENI - F.lli Fiorentino Srl n° fatt 1/12465 - 07/10/2024</t>
        </is>
      </c>
      <c r="H141" s="29" t="inlineStr">
        <is>
          <t>TUORLO PASTORIZZATO  contiene allergeni - SAIMA S.p.A. n° fatt 1/220009 - 17/12/2024</t>
        </is>
      </c>
      <c r="I141" s="29" t="n"/>
      <c r="J141" s="29" t="n"/>
      <c r="K141" s="29" t="n"/>
      <c r="L141" s="29" t="inlineStr">
        <is>
          <t>STRUTTO  NON CONTIENE ALLERGENI - F.lli Fiorentino Srl n° fatt 1/15448 - 06/12/2024</t>
        </is>
      </c>
      <c r="M141" s="29" t="n"/>
      <c r="N141" s="29" t="n"/>
      <c r="O141" s="29" t="n"/>
      <c r="P141" s="29" t="n"/>
      <c r="Q141" s="29" t="n"/>
      <c r="R141" s="177" t="n"/>
      <c r="S141" s="176" t="n"/>
      <c r="T141" s="176" t="n"/>
      <c r="U141" s="29" t="n"/>
    </row>
    <row r="142" ht="126" customHeight="1" s="155">
      <c r="A142" s="28">
        <f>A141+1</f>
        <v/>
      </c>
      <c r="B142" s="29" t="inlineStr">
        <is>
          <t>Parigina</t>
        </is>
      </c>
      <c r="C142" s="29" t="inlineStr">
        <is>
          <t>FARINA 00 CAPUTO RINFORZ.KG.25    contiene allergeni - F.lli Fiorentino Srl n° fatt 1/14656 - 21/11/2024</t>
        </is>
      </c>
      <c r="D142" s="29" t="inlineStr">
        <is>
          <t>zucchero  NON CONTIENE ALLERGENI - F.lli Fiorentino Srl n° fatt 1/15448 - 06/12/2024</t>
        </is>
      </c>
      <c r="E142" s="29" t="inlineStr">
        <is>
          <t>prosciutto cotto  NON CONTIENE ALLERGENI - BIG FOOD SRL n° fatt V1079688 - 19/11/2024</t>
        </is>
      </c>
      <c r="F142" s="29" t="inlineStr">
        <is>
          <t>STRUTTO  NON CONTIENE ALLERGENI - F.lli Fiorentino Srl n° fatt 1/15448 - 06/12/2024</t>
        </is>
      </c>
      <c r="G142" s="29" t="inlineStr">
        <is>
          <t>SALE FINO ITALKALI DA KG.1X12    NON CONTIENE ALLERGENI - F.lli Fiorentino Srl n° fatt 1/12465 - 07/10/2024</t>
        </is>
      </c>
      <c r="H142" s="29" t="inlineStr">
        <is>
          <t>TUORLO PASTORIZZATO  contiene allergeni - SAIMA S.p.A. n° fatt 1/220009 - 17/12/2024</t>
        </is>
      </c>
      <c r="I142" s="29" t="n"/>
      <c r="J142" s="29" t="n"/>
      <c r="K142" s="29" t="inlineStr">
        <is>
          <t>sottilette  contiene allergeni - G.I.A.L.  n° fatt V1-50172 - 31/12/2024</t>
        </is>
      </c>
      <c r="L142" s="29" t="inlineStr">
        <is>
          <t>STRUTTO  NON CONTIENE ALLERGENI - F.lli Fiorentino Srl n° fatt 1/15448 - 06/12/2024</t>
        </is>
      </c>
      <c r="M142" s="29" t="n"/>
      <c r="N142" s="29" t="n"/>
      <c r="O142" s="29" t="n"/>
      <c r="P142" s="29" t="n"/>
      <c r="Q142" s="29" t="n"/>
      <c r="R142" s="177" t="n"/>
      <c r="S142" s="176" t="n"/>
      <c r="T142" s="176" t="n"/>
      <c r="U142" s="29" t="n"/>
    </row>
    <row r="143" ht="126" customHeight="1" s="155">
      <c r="A143" s="28">
        <f>A142+1</f>
        <v/>
      </c>
      <c r="B143" s="29" t="inlineStr">
        <is>
          <t>RUSTICO</t>
        </is>
      </c>
      <c r="C143" s="29" t="inlineStr">
        <is>
          <t>FARINA 00 CAPUTO RINFORZ.KG.25    contiene allergeni - F.lli Fiorentino Srl n° fatt 1/16216 - 21/12/2024</t>
        </is>
      </c>
      <c r="D143" s="29" t="inlineStr">
        <is>
          <t>zucchero  NON CONTIENE ALLERGENI - F.lli Fiorentino Srl n° fatt 1/15448 - 06/12/2024</t>
        </is>
      </c>
      <c r="E143" s="29" t="inlineStr">
        <is>
          <t>Margarina Crema  contiene allergeni - RONDINELLA MARKET S.R.L n° fatt 2090 - 09/12/2024</t>
        </is>
      </c>
      <c r="F143" s="29" t="inlineStr">
        <is>
          <t>STRUTTO  NON CONTIENE ALLERGENI - F.lli Fiorentino Srl n° fatt 1/15448 - 06/12/2024</t>
        </is>
      </c>
      <c r="G143" s="29" t="inlineStr">
        <is>
          <t>SALE FINO ITALKALI DA KG.1X12    NON CONTIENE ALLERGENI - F.lli Fiorentino Srl n° fatt 1/12465 - 07/10/2024</t>
        </is>
      </c>
      <c r="H143" s="29" t="inlineStr">
        <is>
          <t>TUORLO PASTORIZZATO  contiene allergeni - SAIMA S.p.A. n° fatt 1/220009 - 17/12/2024</t>
        </is>
      </c>
      <c r="I143" s="29" t="inlineStr">
        <is>
          <t>LATTE   1000 INT.UHT  YMA  contiene allergeni - G.I.A.L.  n° fatt V1-50172 - 31/12/2024</t>
        </is>
      </c>
      <c r="J143" s="29" t="inlineStr">
        <is>
          <t>RICOTTA Roma  contiene allergeni - GARGIULO GIUSEPPE n° fatt FPR 438/24 - 30/11/2024</t>
        </is>
      </c>
      <c r="K143" s="29" t="n"/>
      <c r="L143" s="29" t="n"/>
      <c r="M143" s="29" t="n"/>
      <c r="N143" s="29" t="n"/>
      <c r="O143" s="29" t="n"/>
      <c r="P143" s="29" t="n"/>
      <c r="Q143" s="29" t="n"/>
      <c r="R143" s="177" t="n"/>
      <c r="S143" s="176" t="n"/>
      <c r="T143" s="176" t="n"/>
      <c r="U143" s="29" t="n"/>
    </row>
    <row r="144" ht="126" customHeight="1" s="155">
      <c r="A144" s="28">
        <f>A143+1</f>
        <v/>
      </c>
      <c r="B144" s="29" t="inlineStr">
        <is>
          <t>Fiocco di Neve</t>
        </is>
      </c>
      <c r="C144" s="29" t="inlineStr">
        <is>
          <t>FARINA 00 CAPUTO RINFORZ.KG.25    contiene allergeni - F.lli Fiorentino Srl n° fatt 1/14656 - 21/11/2024</t>
        </is>
      </c>
      <c r="D144" s="29" t="inlineStr">
        <is>
          <t>zucchero  NON CONTIENE ALLERGENI - F.lli Fiorentino Srl n° fatt 1/15448 - 06/12/2024</t>
        </is>
      </c>
      <c r="E144" s="29" t="inlineStr">
        <is>
          <t>Margarina Crema  contiene allergeni - RONDINELLA MARKET S.R.L n° fatt 2090 - 09/12/2024</t>
        </is>
      </c>
      <c r="F144" s="29" t="n"/>
      <c r="G144" s="29" t="inlineStr">
        <is>
          <t>SALE FINO ITALKALI DA KG.1X12    NON CONTIENE ALLERGENI - F.lli Fiorentino Srl n° fatt 1/12465 - 07/10/2024</t>
        </is>
      </c>
      <c r="H144" s="29" t="inlineStr">
        <is>
          <t>TUORLO PASTORIZZATO  contiene allergeni - SAIMA S.p.A. n° fatt 1/220009 - 17/12/2024</t>
        </is>
      </c>
      <c r="I144" s="29" t="inlineStr">
        <is>
          <t>LATTE   1000 INT.UHT  YMA  contiene allergeni - G.I.A.L.  n° fatt V1-50172 - 31/12/2024</t>
        </is>
      </c>
      <c r="J144" s="29" t="inlineStr">
        <is>
          <t>RICOTTA Roma  contiene allergeni - GARGIULO GIUSEPPE n° fatt FPR 438/24 - 30/11/2024</t>
        </is>
      </c>
      <c r="K144" s="29" t="n"/>
      <c r="L144" s="29" t="n"/>
      <c r="M144" s="29" t="n"/>
      <c r="N144" s="29" t="n"/>
      <c r="O144" s="29" t="n"/>
      <c r="P144" s="29" t="n"/>
      <c r="Q144" s="29" t="n"/>
      <c r="R144" s="177" t="n"/>
      <c r="S144" s="176" t="n"/>
      <c r="T144" s="176" t="n"/>
      <c r="U144" s="29" t="n"/>
    </row>
    <row r="145" ht="126" customHeight="1" s="155">
      <c r="A145" s="28">
        <f>A144+1</f>
        <v/>
      </c>
      <c r="B145" s="29" t="inlineStr">
        <is>
          <t>Crema pasticciera</t>
        </is>
      </c>
      <c r="C145" s="29" t="n"/>
      <c r="D145" s="29" t="inlineStr">
        <is>
          <t>zucchero  NON CONTIENE ALLERGENI - F.lli Fiorentino Srl n° fatt 1/15448 - 06/12/2024</t>
        </is>
      </c>
      <c r="E145" s="29" t="inlineStr">
        <is>
          <t>Margarina Crema  contiene allergeni - RONDINELLA MARKET S.R.L n° fatt 2090 - 09/12/2024</t>
        </is>
      </c>
      <c r="F145" s="29" t="n"/>
      <c r="G145" s="29" t="inlineStr">
        <is>
          <t>SALE FINO ITALKALI DA KG.1X12    NON CONTIENE ALLERGENI - F.lli Fiorentino Srl n° fatt 1/12465 - 07/10/2024</t>
        </is>
      </c>
      <c r="H145" s="29" t="inlineStr">
        <is>
          <t>TUORLO PASTORIZZATO  contiene allergeni - SAIMA S.p.A. n° fatt 1/220009 - 17/12/2024</t>
        </is>
      </c>
      <c r="I145" s="29" t="inlineStr">
        <is>
          <t>LATTE   1000 INT.UHT  YMA  contiene allergeni - G.I.A.L.  n° fatt V1-50172 - 31/12/2024</t>
        </is>
      </c>
      <c r="J145" s="29" t="n"/>
      <c r="K145" s="29" t="n"/>
      <c r="L145" s="29" t="n"/>
      <c r="M145" s="29" t="n"/>
      <c r="N145" s="29" t="n"/>
      <c r="O145" s="29" t="n"/>
      <c r="P145" s="29" t="n"/>
      <c r="Q145" s="29" t="n"/>
      <c r="R145" s="177" t="n"/>
      <c r="S145" s="176" t="n"/>
      <c r="T145" s="176" t="n"/>
      <c r="U145" s="29" t="n"/>
    </row>
    <row r="146" ht="126" customHeight="1" s="155">
      <c r="A146" s="28">
        <f>A145+1</f>
        <v/>
      </c>
      <c r="B146" s="29" t="inlineStr">
        <is>
          <t>Crostatina Albicocca</t>
        </is>
      </c>
      <c r="C146" s="29" t="inlineStr">
        <is>
          <t>FARINA 00 CAPUTO RINFORZ.KG.25    contiene allergeni - F.lli Fiorentino Srl n° fatt 1/14656 - 21/11/2024</t>
        </is>
      </c>
      <c r="D146" s="29" t="inlineStr">
        <is>
          <t>zucchero  NON CONTIENE ALLERGENI - F.lli Fiorentino Srl n° fatt 1/15448 - 06/12/2024</t>
        </is>
      </c>
      <c r="E146" s="29" t="inlineStr">
        <is>
          <t>Margarina Crema  contiene allergeni - RONDINELLA MARKET S.R.L n° fatt 2090 - 09/12/2024</t>
        </is>
      </c>
      <c r="F146" s="29" t="inlineStr">
        <is>
          <t>STRUTTO  NON CONTIENE ALLERGENI - F.lli Fiorentino Srl n° fatt 1/15448 - 06/12/2024</t>
        </is>
      </c>
      <c r="G146" s="29" t="inlineStr">
        <is>
          <t>SALE FINO ITALKALI DA KG.1X12    NON CONTIENE ALLERGENI - F.lli Fiorentino Srl n° fatt 1/12465 - 07/10/2024</t>
        </is>
      </c>
      <c r="H146" s="29" t="inlineStr">
        <is>
          <t>TUORLO PASTORIZZATO  contiene allergeni - SAIMA S.p.A. n° fatt 1/220009 - 17/12/2024</t>
        </is>
      </c>
      <c r="I146" s="29" t="inlineStr">
        <is>
          <t>LATTE   1000 INT.UHT  YMA  contiene allergeni - G.I.A.L.  n° fatt V1-50172 - 31/12/2024</t>
        </is>
      </c>
      <c r="J146" s="29" t="inlineStr">
        <is>
          <t>ALBICOCCA x 10kg  NON CONTIENE ALLERGENI - RONDINELLA MARKET S.R.L n° fatt 2160 - 16/12/2024</t>
        </is>
      </c>
      <c r="K146" s="29" t="n"/>
      <c r="L146" s="29" t="inlineStr">
        <is>
          <t>STRUTTO  NON CONTIENE ALLERGENI - F.lli Fiorentino Srl n° fatt 1/15448 - 06/12/2024</t>
        </is>
      </c>
      <c r="M146" s="29" t="n"/>
      <c r="N146" s="29" t="n"/>
      <c r="O146" s="29" t="n"/>
      <c r="P146" s="29" t="n"/>
      <c r="Q146" s="29" t="n"/>
      <c r="R146" s="177" t="n"/>
      <c r="S146" s="176" t="n"/>
      <c r="T146" s="176" t="n"/>
      <c r="U146" s="29" t="n"/>
    </row>
    <row r="147" ht="126" customHeight="1" s="155">
      <c r="A147" s="28">
        <f>A146+1</f>
        <v/>
      </c>
      <c r="B147" s="29" t="inlineStr">
        <is>
          <t>Crostatina Albicocca</t>
        </is>
      </c>
      <c r="C147" s="29" t="inlineStr">
        <is>
          <t>FARINA 00 CAPUTO RINFORZ.KG.25    contiene allergeni - F.lli Fiorentino Srl n° fatt 1/14656 - 21/11/2024</t>
        </is>
      </c>
      <c r="D147" s="29" t="inlineStr">
        <is>
          <t>zucchero  NON CONTIENE ALLERGENI - F.lli Fiorentino Srl n° fatt 1/15448 - 06/12/2024</t>
        </is>
      </c>
      <c r="E147" s="29" t="inlineStr">
        <is>
          <t>Margarina Crema  contiene allergeni - RONDINELLA MARKET S.R.L n° fatt 2090 - 09/12/2024</t>
        </is>
      </c>
      <c r="F147" s="29" t="inlineStr">
        <is>
          <t>STRUTTO  NON CONTIENE ALLERGENI - F.lli Fiorentino Srl n° fatt 1/15448 - 06/12/2024</t>
        </is>
      </c>
      <c r="G147" s="29" t="inlineStr">
        <is>
          <t>SALE FINO ITALKALI DA KG.1X12    NON CONTIENE ALLERGENI - F.lli Fiorentino Srl n° fatt 1/12465 - 07/10/2024</t>
        </is>
      </c>
      <c r="H147" s="29" t="inlineStr">
        <is>
          <t>TUORLO PASTORIZZATO  contiene allergeni - SAIMA S.p.A. n° fatt 1/220009 - 17/12/2024</t>
        </is>
      </c>
      <c r="I147" s="29" t="inlineStr">
        <is>
          <t>LATTE   1000 INT.UHT  YMA  contiene allergeni - G.I.A.L.  n° fatt V1-50172 - 31/12/2024</t>
        </is>
      </c>
      <c r="J147" s="29" t="inlineStr">
        <is>
          <t>ALBICOCCA x 10kg  NON CONTIENE ALLERGENI - RONDINELLA MARKET S.R.L n° fatt 2160 - 16/12/2024</t>
        </is>
      </c>
      <c r="K147" s="29" t="n"/>
      <c r="L147" s="29" t="inlineStr">
        <is>
          <t>STRUTTO  NON CONTIENE ALLERGENI - F.lli Fiorentino Srl n° fatt 1/15448 - 06/12/2024</t>
        </is>
      </c>
      <c r="M147" s="29" t="n"/>
      <c r="N147" s="29" t="n"/>
      <c r="O147" s="29" t="n"/>
      <c r="P147" s="29" t="n"/>
      <c r="Q147" s="29" t="n"/>
      <c r="R147" s="177" t="n"/>
      <c r="S147" s="176" t="n"/>
      <c r="T147" s="176" t="n"/>
      <c r="U147" s="29" t="n"/>
    </row>
    <row r="148" ht="126" customHeight="1" s="155">
      <c r="A148" s="28">
        <f>A147+1</f>
        <v/>
      </c>
      <c r="B148" s="29" t="inlineStr">
        <is>
          <t>Crostatina Cioccolato</t>
        </is>
      </c>
      <c r="C148" s="29" t="inlineStr">
        <is>
          <t>FARINA 00 CAPUTO RINFORZ.KG.25    contiene allergeni - F.lli Fiorentino Srl n° fatt 1/14656 - 21/11/2024</t>
        </is>
      </c>
      <c r="D148" s="29" t="inlineStr">
        <is>
          <t>zucchero  NON CONTIENE ALLERGENI - F.lli Fiorentino Srl n° fatt 1/15448 - 06/12/2024</t>
        </is>
      </c>
      <c r="E148" s="29" t="inlineStr">
        <is>
          <t>Margarina Crema  contiene allergeni - RONDINELLA MARKET S.R.L n° fatt 2090 - 09/12/2024</t>
        </is>
      </c>
      <c r="F148" s="29" t="inlineStr">
        <is>
          <t>STRUTTO  NON CONTIENE ALLERGENI - F.lli Fiorentino Srl n° fatt 1/15448 - 06/12/2024</t>
        </is>
      </c>
      <c r="G148" s="29" t="inlineStr">
        <is>
          <t>SALE FINO ITALKALI DA KG.1X12    NON CONTIENE ALLERGENI - F.lli Fiorentino Srl n° fatt 1/12465 - 07/10/2024</t>
        </is>
      </c>
      <c r="H148" s="29" t="inlineStr">
        <is>
          <t>TUORLO PASTORIZZATO  contiene allergeni - SAIMA S.p.A. n° fatt 1/220009 - 17/12/2024</t>
        </is>
      </c>
      <c r="I148" s="29" t="inlineStr">
        <is>
          <t>LATTE   1000 INT.UHT  YMA  contiene allergeni - G.I.A.L.  n° fatt V1-50172 - 31/12/2024</t>
        </is>
      </c>
      <c r="J148" s="29" t="n"/>
      <c r="K148" s="29" t="n"/>
      <c r="L148" s="29" t="inlineStr">
        <is>
          <t>STRUTTO  NON CONTIENE ALLERGENI - F.lli Fiorentino Srl n° fatt 1/15448 - 06/12/2024</t>
        </is>
      </c>
      <c r="M148" s="29" t="n"/>
      <c r="N148" s="29" t="n"/>
      <c r="O148" s="29" t="n"/>
      <c r="P148" s="29" t="n"/>
      <c r="Q148" s="29" t="n"/>
      <c r="R148" s="177" t="n"/>
      <c r="S148" s="176" t="n"/>
      <c r="T148" s="176" t="n"/>
      <c r="U148" s="29" t="n"/>
    </row>
    <row r="149" ht="126" customHeight="1" s="155">
      <c r="A149" s="28">
        <f>A148+1</f>
        <v/>
      </c>
      <c r="B149" s="29" t="inlineStr">
        <is>
          <t>BRIOCHE</t>
        </is>
      </c>
      <c r="C149" s="29" t="inlineStr">
        <is>
          <t>FARINA 00 CAPUTO RINFORZ.KG.25    contiene allergeni - F.lli Fiorentino Srl n° fatt 1/14656 - 21/11/2024</t>
        </is>
      </c>
      <c r="D149" s="29" t="inlineStr">
        <is>
          <t>zucchero  NON CONTIENE ALLERGENI - F.lli Fiorentino Srl n° fatt 1/15448 - 06/12/2024</t>
        </is>
      </c>
      <c r="E149" s="29" t="inlineStr">
        <is>
          <t>Margarina Crema  contiene allergeni - RONDINELLA MARKET S.R.L n° fatt 2090 - 09/12/2024</t>
        </is>
      </c>
      <c r="F149" s="29" t="n"/>
      <c r="G149" s="29" t="inlineStr">
        <is>
          <t>SALE FINO ITALKALI DA KG.1X12    NON CONTIENE ALLERGENI - F.lli Fiorentino Srl n° fatt 1/12465 - 07/10/2024</t>
        </is>
      </c>
      <c r="H149" s="29" t="inlineStr">
        <is>
          <t>TUORLO PASTORIZZATO  contiene allergeni - SAIMA S.p.A. n° fatt 1/220009 - 17/12/2024</t>
        </is>
      </c>
      <c r="I149" s="29" t="inlineStr">
        <is>
          <t>LATTE   1000 INT.UHT  YMA  contiene allergeni - G.I.A.L.  n° fatt V1-50172 - 31/12/2024</t>
        </is>
      </c>
      <c r="J149" s="32" t="n"/>
      <c r="K149" s="29" t="n"/>
      <c r="L149" s="29" t="inlineStr">
        <is>
          <t>STRUTTO  NON CONTIENE ALLERGENI - F.lli Fiorentino Srl n° fatt 1/15448 - 06/12/2024</t>
        </is>
      </c>
      <c r="M149" s="29" t="n"/>
      <c r="N149" s="29" t="n"/>
      <c r="O149" s="29" t="n"/>
      <c r="P149" s="29" t="n"/>
      <c r="Q149" s="29" t="n"/>
      <c r="R149" s="177" t="n"/>
      <c r="S149" s="176" t="n"/>
      <c r="T149" s="176" t="n"/>
      <c r="U149" s="29" t="n"/>
    </row>
    <row r="150" ht="126" customHeight="1" s="155">
      <c r="A150" s="28">
        <f>A149+1</f>
        <v/>
      </c>
      <c r="B150" s="29" t="inlineStr">
        <is>
          <t>Strudel di Mele</t>
        </is>
      </c>
      <c r="C150" s="29" t="inlineStr">
        <is>
          <t>FARINA 00 CAPUTO RINFORZ.KG.25    contiene allergeni - F.lli Fiorentino Srl n° fatt 1/14656 - 21/11/2024</t>
        </is>
      </c>
      <c r="D150" s="29" t="inlineStr">
        <is>
          <t>zucchero  NON CONTIENE ALLERGENI - F.lli Fiorentino Srl n° fatt 1/15448 - 06/12/2024</t>
        </is>
      </c>
      <c r="E150" s="29" t="inlineStr">
        <is>
          <t>Margarina Crema  contiene allergeni - RONDINELLA MARKET S.R.L n° fatt 2090 - 09/12/2024</t>
        </is>
      </c>
      <c r="F150" s="29" t="n"/>
      <c r="G150" s="29" t="inlineStr">
        <is>
          <t>SALE FINO ITALKALI DA KG.1X12    NON CONTIENE ALLERGENI - F.lli Fiorentino Srl n° fatt 1/12465 - 07/10/2024</t>
        </is>
      </c>
      <c r="H150" s="29" t="inlineStr">
        <is>
          <t>TUORLO PASTORIZZATO  contiene allergeni - SAIMA S.p.A. n° fatt 1/220009 - 17/12/2024</t>
        </is>
      </c>
      <c r="I150" s="29" t="inlineStr">
        <is>
          <t>LATTE   1000 INT.UHT  YMA  contiene allergeni - G.I.A.L.  n° fatt V1-50172 - 31/12/2024</t>
        </is>
      </c>
      <c r="J150" s="29" t="n"/>
      <c r="K150" s="29" t="n"/>
      <c r="L150" s="29" t="n"/>
      <c r="M150" s="29" t="n"/>
      <c r="N150" s="29" t="n"/>
      <c r="O150" s="29" t="n"/>
      <c r="P150" s="29" t="n"/>
      <c r="Q150" s="29" t="n"/>
      <c r="R150" s="177" t="n"/>
      <c r="S150" s="176" t="n"/>
      <c r="T150" s="176" t="n"/>
      <c r="U150" s="29" t="n"/>
    </row>
    <row r="151" ht="126" customHeight="1" s="155">
      <c r="A151" s="28">
        <f>A150+1</f>
        <v/>
      </c>
      <c r="B151" s="29" t="inlineStr">
        <is>
          <t>Sfogliatella frolla</t>
        </is>
      </c>
      <c r="C151" s="29" t="inlineStr">
        <is>
          <t>FARINA 00 CAPUTO RINFORZ.KG.25    contiene allergeni - F.lli Fiorentino Srl n° fatt 1/16216 - 21/12/2024</t>
        </is>
      </c>
      <c r="D151" s="29" t="inlineStr">
        <is>
          <t>zucchero  NON CONTIENE ALLERGENI - F.lli Fiorentino Srl n° fatt 1/15448 - 06/12/2024</t>
        </is>
      </c>
      <c r="E151" s="29" t="inlineStr">
        <is>
          <t>Margarina Crema  contiene allergeni - RONDINELLA MARKET S.R.L n° fatt 2090 - 09/12/2024</t>
        </is>
      </c>
      <c r="F151" s="29" t="inlineStr">
        <is>
          <t>STRUTTO  NON CONTIENE ALLERGENI - F.lli Fiorentino Srl n° fatt 1/15448 - 06/12/2024</t>
        </is>
      </c>
      <c r="G151" s="29" t="inlineStr">
        <is>
          <t>SALE FINO ITALKALI DA KG.1X12    NON CONTIENE ALLERGENI - F.lli Fiorentino Srl n° fatt 1/12465 - 07/10/2024</t>
        </is>
      </c>
      <c r="H151" s="29" t="inlineStr">
        <is>
          <t>TUORLO PASTORIZZATO  contiene allergeni - SAIMA S.p.A. n° fatt 1/220009 - 17/12/2024</t>
        </is>
      </c>
      <c r="I151" s="29" t="n"/>
      <c r="J151" s="29" t="inlineStr">
        <is>
          <t>RICOTTA Roma  contiene allergeni - GARGIULO GIUSEPPE n° fatt FPR 438/24 - 30/11/2024</t>
        </is>
      </c>
      <c r="K151" s="29" t="n"/>
      <c r="L151" s="29" t="inlineStr">
        <is>
          <t>STRUTTO  NON CONTIENE ALLERGENI - F.lli Fiorentino Srl n° fatt 1/15448 - 06/12/2024</t>
        </is>
      </c>
      <c r="M151" s="29" t="n"/>
      <c r="N151" s="29" t="n"/>
      <c r="O151" s="29" t="n"/>
      <c r="P151" s="29" t="n"/>
      <c r="Q151" s="29" t="n"/>
      <c r="R151" s="177" t="n"/>
      <c r="S151" s="176" t="n"/>
      <c r="T151" s="176" t="n"/>
      <c r="U151" s="29" t="n"/>
    </row>
    <row r="152" ht="94.5" customHeight="1" s="155">
      <c r="A152" s="28">
        <f>A151+1</f>
        <v/>
      </c>
      <c r="B152" s="29" t="inlineStr">
        <is>
          <t>Friarielli in Padella</t>
        </is>
      </c>
      <c r="C152" s="29" t="inlineStr">
        <is>
          <t>Albicocca  Non contiene allergeni - Rondinella market s.r.l n° fatt 2160 - 16/12/2024</t>
        </is>
      </c>
      <c r="D152" s="29" t="inlineStr">
        <is>
          <t>Sale fino italkali  Non contiene allergeni - F.lli fiorentino srl n° fatt 1/147 - 03/01/2025</t>
        </is>
      </c>
      <c r="E152" s="29" t="inlineStr">
        <is>
          <t>Sale fino italkali  Non contiene allergeni - F.lli fiorentino srl n° fatt 1/147 - 03/01/2025</t>
        </is>
      </c>
      <c r="F152" s="29" t="inlineStr">
        <is>
          <t>Sale fino italkali  Non contiene allergeni - F.lli fiorentino srl n° fatt 1/147 - 03/01/2025</t>
        </is>
      </c>
      <c r="G152" s="29" t="inlineStr">
        <is>
          <t>Sale fino italkali  Non contiene allergeni - F.lli fiorentino srl n° fatt 1/147 - 03/01/2025</t>
        </is>
      </c>
      <c r="H152" s="29" t="inlineStr">
        <is>
          <t>Sale fino italkali  Non contiene allergeni - F.lli fiorentino srl n° fatt 1/147 - 03/01/2025</t>
        </is>
      </c>
      <c r="I152" s="29" t="inlineStr">
        <is>
          <t>Sale fino italkali  Non contiene allergeni - F.lli fiorentino srl n° fatt 1/147 - 03/01/2025</t>
        </is>
      </c>
      <c r="J152" s="29" t="inlineStr">
        <is>
          <t>Sale fino italkali  Non contiene allergeni - F.lli fiorentino srl n° fatt 1/147 - 03/01/2025</t>
        </is>
      </c>
      <c r="K152" s="29" t="inlineStr">
        <is>
          <t>Sale fino italkali  Non contiene allergeni - F.lli fiorentino srl n° fatt 1/147 - 03/01/2025</t>
        </is>
      </c>
      <c r="L152" s="29" t="inlineStr">
        <is>
          <t>Sale fino italkali  Non contiene allergeni - F.lli fiorentino srl n° fatt 1/147 - 03/01/2025</t>
        </is>
      </c>
      <c r="M152" s="29" t="inlineStr">
        <is>
          <t>Sale fino italkali  Non contiene allergeni - F.lli fiorentino srl n° fatt 1/147 - 03/01/2025</t>
        </is>
      </c>
      <c r="N152" s="29" t="inlineStr">
        <is>
          <t>Sale fino italkali  Non contiene allergeni - F.lli fiorentino srl n° fatt 1/147 - 03/01/2025</t>
        </is>
      </c>
      <c r="O152" s="29" t="inlineStr">
        <is>
          <t>Sale fino italkali  Non contiene allergeni - F.lli fiorentino srl n° fatt 1/147 - 03/01/2025</t>
        </is>
      </c>
      <c r="P152" s="29" t="inlineStr">
        <is>
          <t>Sale fino italkali  Non contiene allergeni - F.lli fiorentino srl n° fatt 1/147 - 03/01/2025</t>
        </is>
      </c>
      <c r="Q152" s="29" t="inlineStr">
        <is>
          <t>Sale fino italkali  Non contiene allergeni - F.lli fiorentino srl n° fatt 1/147 - 03/01/2025</t>
        </is>
      </c>
      <c r="R152" s="178" t="n">
        <v>45685</v>
      </c>
      <c r="S152" s="179" t="n">
        <v>45705</v>
      </c>
      <c r="T152" s="29" t="inlineStr">
        <is>
          <t>20250128</t>
        </is>
      </c>
      <c r="U152" s="29" t="inlineStr">
        <is>
          <t>Friarielli in Padella - contiene allergni - prodotto il giorno 28/01/2025</t>
        </is>
      </c>
    </row>
    <row r="153" ht="94.5" customHeight="1" s="155">
      <c r="A153" s="28">
        <f>A152+1</f>
        <v/>
      </c>
      <c r="B153" s="29" t="inlineStr">
        <is>
          <t>Melanzane in Padella</t>
        </is>
      </c>
      <c r="C153" s="29" t="inlineStr">
        <is>
          <t>Sale fino italkali  Non contiene allergeni - F.lli fiorentino srl n° fatt 1/147 - 03/01/2025</t>
        </is>
      </c>
      <c r="D153" s="29" t="inlineStr">
        <is>
          <t>Sale fino italkali  Non contiene allergeni - F.lli fiorentino srl n° fatt 1/147 - 03/01/2025</t>
        </is>
      </c>
      <c r="E153" s="29" t="inlineStr">
        <is>
          <t>Sale fino italkali  Non contiene allergeni - F.lli fiorentino srl n° fatt 1/147 - 03/01/2025</t>
        </is>
      </c>
      <c r="F153" s="29" t="inlineStr">
        <is>
          <t>Sale fino italkali  Non contiene allergeni - F.lli fiorentino srl n° fatt 1/147 - 03/01/2025</t>
        </is>
      </c>
      <c r="G153" s="29" t="inlineStr">
        <is>
          <t>Sale fino italkali  Non contiene allergeni - F.lli fiorentino srl n° fatt 1/147 - 03/01/2025</t>
        </is>
      </c>
      <c r="H153" s="29" t="inlineStr">
        <is>
          <t>Sale fino italkali  Non contiene allergeni - F.lli fiorentino srl n° fatt 1/147 - 03/01/2025</t>
        </is>
      </c>
      <c r="I153" s="29" t="inlineStr">
        <is>
          <t>Sale fino italkali  Non contiene allergeni - F.lli fiorentino srl n° fatt 1/147 - 03/01/2025</t>
        </is>
      </c>
      <c r="J153" s="29" t="inlineStr">
        <is>
          <t>Sale fino italkali  Non contiene allergeni - F.lli fiorentino srl n° fatt 1/147 - 03/01/2025</t>
        </is>
      </c>
      <c r="K153" s="29" t="inlineStr">
        <is>
          <t>Sale fino italkali  Non contiene allergeni - F.lli fiorentino srl n° fatt 1/147 - 03/01/2025</t>
        </is>
      </c>
      <c r="L153" s="29" t="inlineStr">
        <is>
          <t>Sale fino italkali  Non contiene allergeni - F.lli fiorentino srl n° fatt 1/147 - 03/01/2025</t>
        </is>
      </c>
      <c r="M153" s="29" t="inlineStr">
        <is>
          <t>Sale fino italkali  Non contiene allergeni - F.lli fiorentino srl n° fatt 1/147 - 03/01/2025</t>
        </is>
      </c>
      <c r="N153" s="29" t="inlineStr">
        <is>
          <t>Sale fino italkali  Non contiene allergeni - F.lli fiorentino srl n° fatt 1/147 - 03/01/2025</t>
        </is>
      </c>
      <c r="O153" s="29" t="inlineStr">
        <is>
          <t>Sale fino italkali  Non contiene allergeni - F.lli fiorentino srl n° fatt 1/147 - 03/01/2025</t>
        </is>
      </c>
      <c r="P153" s="29" t="inlineStr">
        <is>
          <t>Sale fino italkali  Non contiene allergeni - F.lli fiorentino srl n° fatt 1/147 - 03/01/2025</t>
        </is>
      </c>
      <c r="Q153" s="29" t="inlineStr">
        <is>
          <t>Sale fino italkali  Non contiene allergeni - F.lli fiorentino srl n° fatt 1/147 - 03/01/2025</t>
        </is>
      </c>
      <c r="R153" s="178" t="n">
        <v>45685</v>
      </c>
      <c r="S153" s="179" t="n">
        <v>45705</v>
      </c>
      <c r="T153" s="29" t="inlineStr">
        <is>
          <t>20250128</t>
        </is>
      </c>
      <c r="U153" s="29" t="inlineStr">
        <is>
          <t>Melanzane in Padella - contiene allergni - prodotto il giorno 28/01/2025</t>
        </is>
      </c>
    </row>
    <row r="154" ht="94.5" customHeight="1" s="155">
      <c r="A154" s="28">
        <f>A153+1</f>
        <v/>
      </c>
      <c r="B154" s="29" t="inlineStr">
        <is>
          <t>Melanzane in Padella</t>
        </is>
      </c>
      <c r="C154" s="29" t="inlineStr">
        <is>
          <t>Sale fino italkali  Non contiene allergeni - F.lli fiorentino srl n° fatt 1/147 - 03/01/2025</t>
        </is>
      </c>
      <c r="D154" s="29" t="inlineStr">
        <is>
          <t>Sale fino italkali  Non contiene allergeni - F.lli fiorentino srl n° fatt 1/147 - 03/01/2025</t>
        </is>
      </c>
      <c r="E154" s="29" t="inlineStr">
        <is>
          <t>Sale fino italkali  Non contiene allergeni - F.lli fiorentino srl n° fatt 1/147 - 03/01/2025</t>
        </is>
      </c>
      <c r="F154" s="29" t="inlineStr">
        <is>
          <t>Sale fino italkali  Non contiene allergeni - F.lli fiorentino srl n° fatt 1/147 - 03/01/2025</t>
        </is>
      </c>
      <c r="G154" s="29" t="inlineStr">
        <is>
          <t>Sale fino italkali  Non contiene allergeni - F.lli fiorentino srl n° fatt 1/147 - 03/01/2025</t>
        </is>
      </c>
      <c r="H154" s="29" t="inlineStr">
        <is>
          <t>Sale fino italkali  Non contiene allergeni - F.lli fiorentino srl n° fatt 1/147 - 03/01/2025</t>
        </is>
      </c>
      <c r="I154" s="29" t="inlineStr">
        <is>
          <t>Sale fino italkali  Non contiene allergeni - F.lli fiorentino srl n° fatt 1/147 - 03/01/2025</t>
        </is>
      </c>
      <c r="J154" s="29" t="inlineStr">
        <is>
          <t>Sale fino italkali  Non contiene allergeni - F.lli fiorentino srl n° fatt 1/147 - 03/01/2025</t>
        </is>
      </c>
      <c r="K154" s="29" t="inlineStr">
        <is>
          <t>Sale fino italkali  Non contiene allergeni - F.lli fiorentino srl n° fatt 1/147 - 03/01/2025</t>
        </is>
      </c>
      <c r="L154" s="29" t="inlineStr">
        <is>
          <t>Sale fino italkali  Non contiene allergeni - F.lli fiorentino srl n° fatt 1/147 - 03/01/2025</t>
        </is>
      </c>
      <c r="M154" s="29" t="inlineStr">
        <is>
          <t>Sale fino italkali  Non contiene allergeni - F.lli fiorentino srl n° fatt 1/147 - 03/01/2025</t>
        </is>
      </c>
      <c r="N154" s="29" t="inlineStr">
        <is>
          <t>Sale fino italkali  Non contiene allergeni - F.lli fiorentino srl n° fatt 1/147 - 03/01/2025</t>
        </is>
      </c>
      <c r="O154" s="29" t="inlineStr">
        <is>
          <t>Sale fino italkali  Non contiene allergeni - F.lli fiorentino srl n° fatt 1/147 - 03/01/2025</t>
        </is>
      </c>
      <c r="P154" s="29" t="inlineStr">
        <is>
          <t>Sale fino italkali  Non contiene allergeni - F.lli fiorentino srl n° fatt 1/147 - 03/01/2025</t>
        </is>
      </c>
      <c r="Q154" s="29" t="inlineStr">
        <is>
          <t>Sale fino italkali  Non contiene allergeni - F.lli fiorentino srl n° fatt 1/147 - 03/01/2025</t>
        </is>
      </c>
      <c r="R154" s="178" t="n">
        <v>45685</v>
      </c>
      <c r="S154" s="179" t="n">
        <v>45705</v>
      </c>
      <c r="T154" s="29" t="inlineStr">
        <is>
          <t>20250128</t>
        </is>
      </c>
      <c r="U154" s="29" t="inlineStr">
        <is>
          <t>Melanzane in Padella - contiene allergni - prodotto il giorno 28/01/2025</t>
        </is>
      </c>
    </row>
    <row r="155" ht="110.25" customHeight="1" s="155">
      <c r="A155" s="28">
        <f>A154+1</f>
        <v/>
      </c>
      <c r="B155" s="29" t="inlineStr">
        <is>
          <t>Tiramisù</t>
        </is>
      </c>
      <c r="C155" s="29" t="inlineStr">
        <is>
          <t>Farina 0/man.  Contiene allergeni - F.lli fiorentino srl n° fatt 1/779 - 20/01/2025</t>
        </is>
      </c>
      <c r="D155" s="29" t="inlineStr">
        <is>
          <t>Sale fino italkali  Non contiene allergeni - F.lli fiorentino srl n° fatt 1/147 - 03/01/2025</t>
        </is>
      </c>
      <c r="E155" s="29" t="inlineStr">
        <is>
          <t>Zucchero raf.sem.eridania kg.25    Non contiene allergeni - F.lli fiorentino srl n° fatt 1/779 - 20/01/2025</t>
        </is>
      </c>
      <c r="F155" s="29" t="inlineStr">
        <is>
          <t>Uova cat a lotto it088036 n21\  Contiene allergeni - Flli. baldassarre n° fatt 374 - 27/12/2024</t>
        </is>
      </c>
      <c r="G155" s="29" t="inlineStr"/>
      <c r="H155" s="29" t="inlineStr"/>
      <c r="I155" s="29" t="inlineStr">
        <is>
          <t>Panna  Contiene allergeni - Saima s.p.a. n° fatt 1/228934 - 31/12/2024</t>
        </is>
      </c>
      <c r="J155" s="29" t="inlineStr">
        <is>
          <t>Cacao amaro  Non contiene allergeni - Saima s.p.a. n° fatt 1/228934 - 31/12/2024</t>
        </is>
      </c>
      <c r="K155" s="29" t="inlineStr">
        <is>
          <t>Gocce cori di cioccolato fondente (900/hg) da kg 5    Non contiene allergeni - Saima s.p.a. n° fatt 115784 - 08/01/2025</t>
        </is>
      </c>
      <c r="L155" s="29" t="inlineStr"/>
      <c r="M155" s="29" t="inlineStr"/>
      <c r="N155" s="29" t="inlineStr"/>
      <c r="O155" s="29" t="inlineStr"/>
      <c r="P155" s="29" t="inlineStr"/>
      <c r="Q155" s="29" t="inlineStr"/>
      <c r="R155" s="178" t="n">
        <v>45685</v>
      </c>
      <c r="S155" s="179" t="n">
        <v>45705</v>
      </c>
      <c r="T155" s="29" t="inlineStr">
        <is>
          <t>20250128</t>
        </is>
      </c>
      <c r="U155" s="29" t="inlineStr">
        <is>
          <t>Tiramisù - contiene allergni - prodotto il giorno 28/01/2025</t>
        </is>
      </c>
    </row>
    <row r="156" ht="110.25" customHeight="1" s="155">
      <c r="A156" s="28">
        <f>A155+1</f>
        <v/>
      </c>
      <c r="B156" s="35" t="inlineStr">
        <is>
          <t>Krans cioccolato</t>
        </is>
      </c>
      <c r="C156" s="36" t="inlineStr">
        <is>
          <t>Farina 00 caputo rinforz.kg.25    Si allergeni - F.lli fiorentino srl n° fatt 1/779 - 20/01/2025</t>
        </is>
      </c>
      <c r="D156" s="36" t="inlineStr">
        <is>
          <t>Margar wienercreme da kg.2,5x4    Si allergeni - F.lli fiorentino srl n° fatt 1/16216 - 21/12/2024</t>
        </is>
      </c>
      <c r="E156" s="36" t="inlineStr">
        <is>
          <t>Lievito x 2.5kg  Si allergeni - Rondinella market s.r.l. n° fatt 2160 - 16/12/2024</t>
        </is>
      </c>
      <c r="F156" s="36" t="inlineStr">
        <is>
          <t>Cat.a uova fresche l da 180  Si allergeni - Df baldassarre srl n° fatt 279 - 22/01/2025</t>
        </is>
      </c>
      <c r="G156" s="36" t="inlineStr">
        <is>
          <t>Aroma croissant  Si allergeni - Rondinella market s.r.l. n° fatt 2090 - 09/12/2024</t>
        </is>
      </c>
      <c r="H156" s="36" t="inlineStr">
        <is>
          <t>Latte   1000 scr.uht  yma  Si allergeni - G.i.a.l. generale ingrosso alimentare s.r.l. n° fatt V1-50172 - 31/12/2024</t>
        </is>
      </c>
      <c r="I156" s="36" t="inlineStr">
        <is>
          <t>Sale fino italkali da kg.1x12    No allergeni - F.lli fiorentino srl n° fatt 1/14656 - 21/11/2024</t>
        </is>
      </c>
      <c r="J156" s="36" t="inlineStr">
        <is>
          <t>Gocce cori di cioccolato fondente (900/hg) da kg 5    Si allergeni - Saima s.p.a. n° fatt 115784 - 08/01/2025</t>
        </is>
      </c>
      <c r="K156" s="36" t="n">
        <v>0</v>
      </c>
      <c r="L156" s="36" t="n">
        <v>0</v>
      </c>
      <c r="M156" s="36" t="n">
        <v>0</v>
      </c>
      <c r="N156" s="36" t="n">
        <v>0</v>
      </c>
      <c r="O156" s="36" t="n">
        <v>0</v>
      </c>
      <c r="P156" s="36" t="n">
        <v>0</v>
      </c>
      <c r="Q156" s="36" t="n">
        <v>0</v>
      </c>
      <c r="R156" s="180" t="n">
        <v>45686</v>
      </c>
      <c r="S156" s="181" t="n">
        <v>45706</v>
      </c>
      <c r="T156" s="35" t="inlineStr">
        <is>
          <t>20250129</t>
        </is>
      </c>
      <c r="U156" s="36" t="inlineStr">
        <is>
          <t>Krans cioccolato - contiene allergni - prodotto il giorno 29/01/2025</t>
        </is>
      </c>
    </row>
    <row r="157" ht="110.25" customHeight="1" s="155">
      <c r="A157" s="28">
        <f>A156+1</f>
        <v/>
      </c>
      <c r="B157" s="35" t="inlineStr">
        <is>
          <t>Francesina cioccolato</t>
        </is>
      </c>
      <c r="C157" s="36" t="inlineStr">
        <is>
          <t>Farina 00 caputo rinforz.kg.25    Si allergeni - F.lli fiorentino srl n° fatt 1/779 - 20/01/2025</t>
        </is>
      </c>
      <c r="D157" s="36" t="inlineStr">
        <is>
          <t>Marg wiener plunderplat kg.2x5    Si allergeni - F.lli fiorentino srl n° fatt 1/779 - 20/01/2025</t>
        </is>
      </c>
      <c r="E157" s="36" t="inlineStr">
        <is>
          <t>Zucchero raf.sem.eridania kg.25    No allergeni - F.lli fiorentino srl n° fatt 1/14656 - 21/11/2024</t>
        </is>
      </c>
      <c r="F157" s="36" t="inlineStr">
        <is>
          <t>Amido artecrema confezione da 1 kg    Si allergeni - Saima s.p.a. n° fatt 115784 - 08/01/2025</t>
        </is>
      </c>
      <c r="G157" s="36" t="inlineStr">
        <is>
          <t>Latte   1000 int.uht  yma  Si allergeni - G.i.a.l. generale ingrosso alimentare s.r.l. n° fatt V1-50172 - 31/12/2024</t>
        </is>
      </c>
      <c r="H157" s="36" t="inlineStr">
        <is>
          <t>Cacao amaro in polvere x 1kg  No allergeni - Rondinella market s.r.l. n° fatt 2277 - 30/12/2024</t>
        </is>
      </c>
      <c r="I157" s="36" t="inlineStr">
        <is>
          <t>Tuorlo d'uovo pastorizzato da allevamento a terra    Si allergeni - Saima s.p.a. n° fatt 115784 - 08/01/2025</t>
        </is>
      </c>
      <c r="J157" s="36" t="inlineStr">
        <is>
          <t>Crema alla nocciola 13kg  Si allergeni - Rondinella market s.r.l. n° fatt 51 - 10/01/2025</t>
        </is>
      </c>
      <c r="K157" s="36" t="n">
        <v>0</v>
      </c>
      <c r="L157" s="36" t="n">
        <v>0</v>
      </c>
      <c r="M157" s="36" t="n">
        <v>0</v>
      </c>
      <c r="N157" s="36" t="n">
        <v>0</v>
      </c>
      <c r="O157" s="36" t="n">
        <v>0</v>
      </c>
      <c r="P157" s="36" t="n">
        <v>0</v>
      </c>
      <c r="Q157" s="36" t="n">
        <v>0</v>
      </c>
      <c r="R157" s="180" t="n">
        <v>45686</v>
      </c>
      <c r="S157" s="181" t="n">
        <v>45706</v>
      </c>
      <c r="T157" s="35" t="inlineStr">
        <is>
          <t>20250129</t>
        </is>
      </c>
      <c r="U157" s="36" t="inlineStr">
        <is>
          <t>Francesina cioccolato - contiene allergni - prodotto il giorno 29/01/2025</t>
        </is>
      </c>
    </row>
    <row r="158" ht="94.5" customHeight="1" s="155">
      <c r="A158" s="28">
        <f>A157+1</f>
        <v/>
      </c>
      <c r="B158" s="35" t="inlineStr">
        <is>
          <t>Fiocco di Neve</t>
        </is>
      </c>
      <c r="C158" s="36" t="inlineStr">
        <is>
          <t>Farina 00 caputo rinforz.kg.25    Si allergeni - F.lli fiorentino srl n° fatt 1/779 - 20/01/2025</t>
        </is>
      </c>
      <c r="D158" s="36" t="inlineStr">
        <is>
          <t>Marg wiener plunderplat kg.2x5    Si allergeni - F.lli fiorentino srl n° fatt 1/779 - 20/01/2025</t>
        </is>
      </c>
      <c r="E158" s="36" t="inlineStr">
        <is>
          <t>Lievito x 2.5kg  Si allergeni - Rondinella market s.r.l. n° fatt 2160 - 16/12/2024</t>
        </is>
      </c>
      <c r="F158" s="36" t="inlineStr">
        <is>
          <t>Cat.a uova fresche l da 180  Si allergeni - Df baldassarre srl n° fatt 279 - 22/01/2025</t>
        </is>
      </c>
      <c r="G158" s="36" t="inlineStr">
        <is>
          <t>Aroma panettone  Si allergeni - Rondinella market s.r.l. n° fatt 51 - 10/01/2025</t>
        </is>
      </c>
      <c r="H158" s="36" t="inlineStr">
        <is>
          <t>Latte   1000 int.uht  yma  Si allergeni - G.i.a.l. generale ingrosso alimentare s.r.l. n° fatt V1-50172 - 31/12/2024</t>
        </is>
      </c>
      <c r="I158" s="36" t="inlineStr">
        <is>
          <t>Sale fino italkali da kg.1x12    No allergeni - F.lli fiorentino srl n° fatt 1/14656 - 21/11/2024</t>
        </is>
      </c>
      <c r="J158" s="36" t="inlineStr">
        <is>
          <t>Nuova biancalieve crema da montare    No allergeni - Saima s.p.a. n° fatt 1158917 - 14/01/2025</t>
        </is>
      </c>
      <c r="K158" s="36" t="inlineStr">
        <is>
          <t>Ricotta zuccherata congelata  Si allergeni - Gargiulo giuseppe n° fatt Fpr 438/24 - 30/11/2024</t>
        </is>
      </c>
      <c r="L158" s="36" t="n">
        <v>0</v>
      </c>
      <c r="M158" s="36" t="n">
        <v>0</v>
      </c>
      <c r="N158" s="36" t="n">
        <v>0</v>
      </c>
      <c r="O158" s="36" t="n">
        <v>0</v>
      </c>
      <c r="P158" s="36" t="n">
        <v>0</v>
      </c>
      <c r="Q158" s="36" t="n">
        <v>0</v>
      </c>
      <c r="R158" s="182" t="n">
        <v>45686</v>
      </c>
      <c r="S158" s="181" t="n">
        <v>45706</v>
      </c>
      <c r="T158" s="35" t="inlineStr">
        <is>
          <t>20250129</t>
        </is>
      </c>
      <c r="U158" s="36" t="inlineStr">
        <is>
          <t>Fiocco di Neve - contiene allergni - prodotto il giorno 29/01/2025</t>
        </is>
      </c>
    </row>
    <row r="159" ht="110.25" customHeight="1" s="155">
      <c r="A159" s="28">
        <f>A158+1</f>
        <v/>
      </c>
      <c r="B159" s="35" t="inlineStr">
        <is>
          <t>Delizia al limone</t>
        </is>
      </c>
      <c r="C159" s="36" t="inlineStr">
        <is>
          <t>Farina 0/man. caputo da kg.25    Si allergeni - F.lli fiorentino srl n° fatt 1/779 - 20/01/2025</t>
        </is>
      </c>
      <c r="D159" s="36" t="inlineStr">
        <is>
          <t>Sale fino italkali da kg.1x12    No allergeni - F.lli fiorentino srl n° fatt 1/14656 - 21/11/2024</t>
        </is>
      </c>
      <c r="E159" s="36" t="inlineStr">
        <is>
          <t>Amido artecrema confezione da 1 kg    Si allergeni - Saima s.p.a. n° fatt 115784 - 08/01/2025</t>
        </is>
      </c>
      <c r="F159" s="36" t="inlineStr">
        <is>
          <t>Limoni l. 130720240010  Si allergeni - I cozzolino srl n° fatt D3712 - 31/12/2024</t>
        </is>
      </c>
      <c r="G159" s="36" t="inlineStr">
        <is>
          <t>Tuorlo d'uovo pastorizzato da allevamento a terra    Si allergeni - Saima s.p.a. n° fatt 115784 - 08/01/2025</t>
        </is>
      </c>
      <c r="H159" s="36" t="inlineStr">
        <is>
          <t>Zucchero raf.sem.eridania kg.25    No allergeni - F.lli fiorentino srl n° fatt 1/14656 - 21/11/2024</t>
        </is>
      </c>
      <c r="I159" s="36" t="inlineStr">
        <is>
          <t>Nuova biancalieve crema da montare    No allergeni - Saima s.p.a. n° fatt 1158917 - 14/01/2025</t>
        </is>
      </c>
      <c r="J159" s="36" t="n">
        <v>0</v>
      </c>
      <c r="K159" s="36" t="n">
        <v>0</v>
      </c>
      <c r="L159" s="36" t="n">
        <v>0</v>
      </c>
      <c r="M159" s="36" t="n">
        <v>0</v>
      </c>
      <c r="N159" s="36" t="n">
        <v>0</v>
      </c>
      <c r="O159" s="36" t="n">
        <v>0</v>
      </c>
      <c r="P159" s="36" t="n">
        <v>0</v>
      </c>
      <c r="Q159" s="36" t="n">
        <v>0</v>
      </c>
      <c r="R159" s="182" t="n">
        <v>45686</v>
      </c>
      <c r="S159" s="181" t="n">
        <v>45706</v>
      </c>
      <c r="T159" s="35" t="inlineStr">
        <is>
          <t>20250129</t>
        </is>
      </c>
      <c r="U159" s="36" t="inlineStr">
        <is>
          <t>Delizia al limone - contiene allergni - prodotto il giorno 29/01/2025</t>
        </is>
      </c>
    </row>
    <row r="160" ht="94.5" customHeight="1" s="155">
      <c r="A160" s="28">
        <f>A159+1</f>
        <v/>
      </c>
      <c r="B160" s="35" t="inlineStr">
        <is>
          <t>Fiocco di Neve</t>
        </is>
      </c>
      <c r="C160" s="36" t="inlineStr">
        <is>
          <t>Farina 00 caputo rinforz.kg.25    Si allergeni - F.lli fiorentino srl n° fatt 1/779 - 20/01/2025</t>
        </is>
      </c>
      <c r="D160" s="36" t="inlineStr">
        <is>
          <t>Marg wiener plunderplat kg.2x5    Si allergeni - F.lli fiorentino srl n° fatt 1/779 - 20/01/2025</t>
        </is>
      </c>
      <c r="E160" s="36" t="inlineStr">
        <is>
          <t>Lievito x 2.5kg  Si allergeni - Rondinella market s.r.l. n° fatt 2160 - 16/12/2024</t>
        </is>
      </c>
      <c r="F160" s="36" t="inlineStr">
        <is>
          <t>Cat.a uova fresche l da 180  Si allergeni - Df baldassarre srl n° fatt 279 - 22/01/2025</t>
        </is>
      </c>
      <c r="G160" s="36" t="inlineStr">
        <is>
          <t>Aroma panettone  Si allergeni - Rondinella market s.r.l. n° fatt 51 - 10/01/2025</t>
        </is>
      </c>
      <c r="H160" s="36" t="inlineStr">
        <is>
          <t>Latte   1000 int.uht  yma  Si allergeni - G.i.a.l. generale ingrosso alimentare s.r.l. n° fatt V1-50172 - 31/12/2024</t>
        </is>
      </c>
      <c r="I160" s="36" t="inlineStr">
        <is>
          <t>Sale fino italkali da kg.1x12    No allergeni - F.lli fiorentino srl n° fatt 1/14656 - 21/11/2024</t>
        </is>
      </c>
      <c r="J160" s="36" t="inlineStr">
        <is>
          <t>Nuova biancalieve crema da montare    No allergeni - Saima s.p.a. n° fatt 1158917 - 14/01/2025</t>
        </is>
      </c>
      <c r="K160" s="36" t="inlineStr">
        <is>
          <t>Ricotta zuccherata congelata  Si allergeni - Gargiulo giuseppe n° fatt Fpr 438/24 - 30/11/2024</t>
        </is>
      </c>
      <c r="L160" s="36" t="n">
        <v>0</v>
      </c>
      <c r="M160" s="36" t="n">
        <v>0</v>
      </c>
      <c r="N160" s="36" t="n">
        <v>0</v>
      </c>
      <c r="O160" s="36" t="n">
        <v>0</v>
      </c>
      <c r="P160" s="36" t="n">
        <v>0</v>
      </c>
      <c r="Q160" s="36" t="n">
        <v>0</v>
      </c>
      <c r="R160" s="182" t="n">
        <v>45686</v>
      </c>
      <c r="S160" s="181" t="n">
        <v>45706</v>
      </c>
      <c r="T160" s="35" t="inlineStr">
        <is>
          <t>20250129</t>
        </is>
      </c>
      <c r="U160" s="36" t="inlineStr">
        <is>
          <t>Fiocco di Neve - contiene allergni - prodotto il giorno 29/01/2025</t>
        </is>
      </c>
    </row>
    <row r="161" ht="94.5" customHeight="1" s="155">
      <c r="A161" s="28">
        <f>A160+1</f>
        <v/>
      </c>
      <c r="B161" s="35" t="inlineStr">
        <is>
          <t>Fiocco di Neve</t>
        </is>
      </c>
      <c r="C161" s="36" t="inlineStr">
        <is>
          <t>Farina 00 caputo rinforz.kg.25    Si allergeni - F.lli fiorentino srl n° fatt 1/779 - 20/01/2025</t>
        </is>
      </c>
      <c r="D161" s="36" t="inlineStr">
        <is>
          <t>Marg wiener plunderplat kg.2x5    Si allergeni - F.lli fiorentino srl n° fatt 1/779 - 20/01/2025</t>
        </is>
      </c>
      <c r="E161" s="36" t="inlineStr">
        <is>
          <t>Lievito x 2.5kg  Si allergeni - Rondinella market s.r.l. n° fatt 2160 - 16/12/2024</t>
        </is>
      </c>
      <c r="F161" s="36" t="inlineStr">
        <is>
          <t>Cat.a uova fresche l da 180  Si allergeni - Df baldassarre srl n° fatt 279 - 22/01/2025</t>
        </is>
      </c>
      <c r="G161" s="36" t="inlineStr">
        <is>
          <t>Aroma panettone  Si allergeni - Rondinella market s.r.l. n° fatt 51 - 10/01/2025</t>
        </is>
      </c>
      <c r="H161" s="36" t="inlineStr">
        <is>
          <t>Latte   1000 int.uht  yma  Si allergeni - G.i.a.l. generale ingrosso alimentare s.r.l. n° fatt V1-50172 - 31/12/2024</t>
        </is>
      </c>
      <c r="I161" s="36" t="inlineStr">
        <is>
          <t>Sale fino italkali da kg.1x12    No allergeni - F.lli fiorentino srl n° fatt 1/14656 - 21/11/2024</t>
        </is>
      </c>
      <c r="J161" s="36" t="inlineStr">
        <is>
          <t>Nuova biancalieve crema da montare    No allergeni - Saima s.p.a. n° fatt 1158917 - 14/01/2025</t>
        </is>
      </c>
      <c r="K161" s="36" t="inlineStr">
        <is>
          <t>Ricotta zuccherata congelata  Si allergeni - Gargiulo giuseppe n° fatt Fpr 438/24 - 30/11/2024</t>
        </is>
      </c>
      <c r="L161" s="36" t="n">
        <v>0</v>
      </c>
      <c r="M161" s="36" t="n">
        <v>0</v>
      </c>
      <c r="N161" s="36" t="n">
        <v>0</v>
      </c>
      <c r="O161" s="36" t="n">
        <v>0</v>
      </c>
      <c r="P161" s="35" t="n">
        <v>0</v>
      </c>
      <c r="Q161" s="36" t="n">
        <v>0</v>
      </c>
      <c r="R161" s="182" t="n">
        <v>45686</v>
      </c>
      <c r="S161" s="181" t="n">
        <v>45706</v>
      </c>
      <c r="T161" s="35" t="inlineStr">
        <is>
          <t>20250129</t>
        </is>
      </c>
      <c r="U161" s="36" t="inlineStr">
        <is>
          <t>Fiocco di Neve - contiene allergni - prodotto il giorno 29/01/2025</t>
        </is>
      </c>
    </row>
    <row r="162" ht="94.5" customHeight="1" s="155">
      <c r="A162" s="28">
        <f>A161+1</f>
        <v/>
      </c>
      <c r="B162" s="35" t="inlineStr">
        <is>
          <t>Pasta Sfoglia</t>
        </is>
      </c>
      <c r="C162" s="36" t="inlineStr">
        <is>
          <t>Farina 0/man. caputo da kg.25    Si allergeni - F.lli fiorentino srl n° fatt 1/779 - 20/01/2025</t>
        </is>
      </c>
      <c r="D162" s="36" t="inlineStr">
        <is>
          <t>Sale fino italkali da kg.1x12    No allergeni - F.lli fiorentino srl n° fatt 1/14656 - 21/11/2024</t>
        </is>
      </c>
      <c r="E162" s="36" t="inlineStr">
        <is>
          <t>Margar wienercreme da kg.2,5x4    Si allergeni - F.lli fiorentino srl n° fatt 1/16216 - 21/12/2024</t>
        </is>
      </c>
      <c r="F162" s="36" t="n">
        <v>0</v>
      </c>
      <c r="G162" s="36" t="n">
        <v>0</v>
      </c>
      <c r="H162" s="36" t="n">
        <v>0</v>
      </c>
      <c r="I162" s="36" t="n">
        <v>0</v>
      </c>
      <c r="J162" s="36" t="n">
        <v>0</v>
      </c>
      <c r="K162" s="36" t="n">
        <v>0</v>
      </c>
      <c r="L162" s="36" t="n">
        <v>0</v>
      </c>
      <c r="M162" s="36" t="n">
        <v>0</v>
      </c>
      <c r="N162" s="36" t="n">
        <v>0</v>
      </c>
      <c r="O162" s="36" t="n">
        <v>0</v>
      </c>
      <c r="P162" s="35" t="n">
        <v>0</v>
      </c>
      <c r="Q162" s="36" t="n">
        <v>0</v>
      </c>
      <c r="R162" s="182" t="n">
        <v>45686</v>
      </c>
      <c r="S162" s="181" t="n">
        <v>45706</v>
      </c>
      <c r="T162" s="35" t="inlineStr">
        <is>
          <t>20250129</t>
        </is>
      </c>
      <c r="U162" s="36" t="inlineStr">
        <is>
          <t>Pasta Sfoglia - contiene allergni - prodotto il giorno 29/01/2025</t>
        </is>
      </c>
    </row>
    <row r="163" ht="110.25" customHeight="1" s="155">
      <c r="A163" s="28">
        <f>A162+1</f>
        <v/>
      </c>
      <c r="B163" s="35" t="inlineStr">
        <is>
          <t>RUSTICO</t>
        </is>
      </c>
      <c r="C163" s="36" t="inlineStr">
        <is>
          <t>Farina 0/man. caputo da kg.25    Si allergeni - F.lli fiorentino srl n° fatt 1/779 - 20/01/2025</t>
        </is>
      </c>
      <c r="D163" s="36" t="inlineStr">
        <is>
          <t>Ricotta fulvi incart  Si allergeni - Gargiulo giuseppe n° fatt Fpr 438/24 - 30/11/2024</t>
        </is>
      </c>
      <c r="E163" s="36" t="inlineStr">
        <is>
          <t>Sale fino italkali da kg.1x12    No allergeni - F.lli fiorentino srl n° fatt 1/14656 - 21/11/2024</t>
        </is>
      </c>
      <c r="F163" s="36" t="inlineStr">
        <is>
          <t>Cioli porchetta ariccia igp 1/2 kg  No allergeni - Big food srl n° fatt V1079688 - 19/11/2024</t>
        </is>
      </c>
      <c r="G163" s="36" t="inlineStr">
        <is>
          <t>Wudy class. g.300 aia  Si allergeni - G.i.a.l. generale ingrosso alimentare s.r.l. n° fatt V1-50172 - 31/12/2024</t>
        </is>
      </c>
      <c r="H163" s="36" t="inlineStr">
        <is>
          <t>Coati salame napoli sv  No allergeni - Big food srl n° fatt V1083553 - 04/12/2024</t>
        </is>
      </c>
      <c r="I163" s="36" t="inlineStr">
        <is>
          <t>Coati salame napoli sv  No allergeni - Big food srl n° fatt V1083553 - 04/12/2024</t>
        </is>
      </c>
      <c r="J163" s="36" t="n">
        <v>0</v>
      </c>
      <c r="K163" s="36" t="n">
        <v>0</v>
      </c>
      <c r="L163" s="36" t="n">
        <v>0</v>
      </c>
      <c r="M163" s="36" t="n">
        <v>0</v>
      </c>
      <c r="N163" s="36" t="n">
        <v>0</v>
      </c>
      <c r="O163" s="36" t="n">
        <v>0</v>
      </c>
      <c r="P163" s="35" t="n">
        <v>0</v>
      </c>
      <c r="Q163" s="36" t="n">
        <v>0</v>
      </c>
      <c r="R163" s="182" t="n">
        <v>45687</v>
      </c>
      <c r="S163" s="181" t="n">
        <v>45707</v>
      </c>
      <c r="T163" s="35" t="inlineStr">
        <is>
          <t>20250130</t>
        </is>
      </c>
      <c r="U163" s="36" t="inlineStr">
        <is>
          <t>RUSTICO - contiene allergni - prodotto il giorno 30/01/2025</t>
        </is>
      </c>
    </row>
    <row r="164" ht="94.5" customHeight="1" s="155">
      <c r="A164" s="28">
        <f>A163+1</f>
        <v/>
      </c>
      <c r="B164" s="35" t="inlineStr">
        <is>
          <t>Caprese cioccolato</t>
        </is>
      </c>
      <c r="C164" s="36" t="inlineStr">
        <is>
          <t>Cacao amaro in polvere x 1kg  No allergeni - Rondinella market s.r.l. n° fatt 2277 - 30/12/2024</t>
        </is>
      </c>
      <c r="D164" s="36" t="inlineStr">
        <is>
          <t>Crema alla nocciola 13kg  Si allergeni - Rondinella market s.r.l. n° fatt 51 - 10/01/2025</t>
        </is>
      </c>
      <c r="E164" s="36" t="inlineStr">
        <is>
          <t>Mandorle sgusciate  Si allergeni - Rondinella market s.r.l. n° fatt 2031 - 02/12/2024</t>
        </is>
      </c>
      <c r="F164" s="36" t="inlineStr">
        <is>
          <t>Base pasta di mandorle mo oro confezione da kg 12,5    Si allergeni - Saima s.p.a. n° fatt 115784 - 08/01/2025</t>
        </is>
      </c>
      <c r="G164" s="36" t="inlineStr">
        <is>
          <t>Zucchero raf.sem.eridania kg.25    No allergeni - F.lli fiorentino srl n° fatt 1/14656 - 21/11/2024</t>
        </is>
      </c>
      <c r="H164" s="36" t="inlineStr">
        <is>
          <t>Gocce cori di cioccolato fondente (900/hg) da kg 5    Si allergeni - Saima s.p.a. n° fatt 115784 - 08/01/2025</t>
        </is>
      </c>
      <c r="I164" s="36" t="inlineStr">
        <is>
          <t>Marg wiener plunderplat kg.2x5    Si allergeni - F.lli fiorentino srl n° fatt 1/779 - 20/01/2025</t>
        </is>
      </c>
      <c r="J164" s="36" t="inlineStr">
        <is>
          <t>Mix cake nature da kg 10 (4830)    Si allergeni - Saima s.p.a. n° fatt 115784 - 08/01/2025</t>
        </is>
      </c>
      <c r="K164" s="36" t="n">
        <v>0</v>
      </c>
      <c r="L164" s="36" t="n">
        <v>0</v>
      </c>
      <c r="M164" s="36" t="n">
        <v>0</v>
      </c>
      <c r="N164" s="36" t="n">
        <v>0</v>
      </c>
      <c r="O164" s="36" t="n">
        <v>0</v>
      </c>
      <c r="P164" s="35" t="n">
        <v>0</v>
      </c>
      <c r="Q164" s="36" t="n">
        <v>0</v>
      </c>
      <c r="R164" s="182" t="n">
        <v>45691</v>
      </c>
      <c r="S164" s="181" t="n">
        <v>45711</v>
      </c>
      <c r="T164" s="35" t="inlineStr">
        <is>
          <t>20250203</t>
        </is>
      </c>
      <c r="U164" s="36" t="inlineStr">
        <is>
          <t>Caprese cioccolato - contiene allergni - prodotto il giorno 03/02/2025</t>
        </is>
      </c>
    </row>
    <row r="165" ht="94.5" customHeight="1" s="155">
      <c r="A165" s="28">
        <f>A164+1</f>
        <v/>
      </c>
      <c r="B165" s="35" t="inlineStr">
        <is>
          <t>Caprese Limone</t>
        </is>
      </c>
      <c r="C165" s="36" t="inlineStr">
        <is>
          <t>Crema alla nocciola 13kg  Si allergeni - Rondinella market s.r.l. n° fatt 51 - 10/01/2025</t>
        </is>
      </c>
      <c r="D165" s="36" t="inlineStr">
        <is>
          <t>Mandorle sgusciate  Si allergeni - Rondinella market s.r.l. n° fatt 2031 - 02/12/2024</t>
        </is>
      </c>
      <c r="E165" s="36" t="inlineStr">
        <is>
          <t>Base pasta di mandorle mo oro confezione da kg 12,5    Si allergeni - Saima s.p.a. n° fatt 115784 - 08/01/2025</t>
        </is>
      </c>
      <c r="F165" s="36" t="inlineStr">
        <is>
          <t>Zucchero raf.sem.eridania kg.25    No allergeni - F.lli fiorentino srl n° fatt 1/14656 - 21/11/2024</t>
        </is>
      </c>
      <c r="G165" s="36" t="inlineStr">
        <is>
          <t>Gocce cori di cioccolato fondente (900/hg) da kg 5    Si allergeni - Saima s.p.a. n° fatt 115784 - 08/01/2025</t>
        </is>
      </c>
      <c r="H165" s="36" t="inlineStr">
        <is>
          <t>Marg wiener plunderplat kg.2x5    Si allergeni - F.lli fiorentino srl n° fatt 1/779 - 20/01/2025</t>
        </is>
      </c>
      <c r="I165" s="36" t="inlineStr">
        <is>
          <t>Mix cake nature da kg 10 (4830)    Si allergeni - Saima s.p.a. n° fatt 115784 - 08/01/2025</t>
        </is>
      </c>
      <c r="J165" s="36" t="inlineStr">
        <is>
          <t>Limoni l. 130720240010  Si allergeni - I cozzolino srl n° fatt D3712 - 31/12/2024</t>
        </is>
      </c>
      <c r="K165" s="36" t="n">
        <v>0</v>
      </c>
      <c r="L165" s="36" t="n">
        <v>0</v>
      </c>
      <c r="M165" s="36" t="n">
        <v>0</v>
      </c>
      <c r="N165" s="36" t="n">
        <v>0</v>
      </c>
      <c r="O165" s="36" t="n">
        <v>0</v>
      </c>
      <c r="P165" s="35" t="n">
        <v>0</v>
      </c>
      <c r="Q165" s="36" t="n">
        <v>0</v>
      </c>
      <c r="R165" s="182" t="n">
        <v>45691</v>
      </c>
      <c r="S165" s="181" t="n">
        <v>45711</v>
      </c>
      <c r="T165" s="35" t="inlineStr">
        <is>
          <t>20250203</t>
        </is>
      </c>
      <c r="U165" s="36" t="inlineStr">
        <is>
          <t>Caprese Limone - contiene allergni - prodotto il giorno 03/02/2025</t>
        </is>
      </c>
    </row>
    <row r="166" ht="94.5" customHeight="1" s="155">
      <c r="A166" s="28">
        <f>A165+1</f>
        <v/>
      </c>
      <c r="B166" s="35" t="inlineStr">
        <is>
          <t>Biscotto di pasta frolla al cioccolato</t>
        </is>
      </c>
      <c r="C166" s="36" t="inlineStr">
        <is>
          <t>Farina 0/man. caputo da kg.25    Si allergeni - F.lli fiorentino srl n° fatt 1/779 - 20/01/2025</t>
        </is>
      </c>
      <c r="D166" s="36" t="inlineStr">
        <is>
          <t>Strutto  Si allergeni - Rondinella market s.r.l. n° fatt 2160 - 16/12/2024</t>
        </is>
      </c>
      <c r="E166" s="36" t="inlineStr">
        <is>
          <t>Sale fino italkali da kg.1x12    No allergeni - F.lli fiorentino srl n° fatt 1/14656 - 21/11/2024</t>
        </is>
      </c>
      <c r="F166" s="36" t="inlineStr">
        <is>
          <t>Zucchero raf.sem.eridania kg.25    No allergeni - F.lli fiorentino srl n° fatt 1/14656 - 21/11/2024</t>
        </is>
      </c>
      <c r="G166" s="36" t="inlineStr">
        <is>
          <t>Cacao amaro in polvere x 1kg  No allergeni - Rondinella market s.r.l. n° fatt 2277 - 30/12/2024</t>
        </is>
      </c>
      <c r="H166" s="36" t="n">
        <v>0</v>
      </c>
      <c r="I166" s="36" t="n">
        <v>0</v>
      </c>
      <c r="J166" s="36" t="n">
        <v>0</v>
      </c>
      <c r="K166" s="36" t="n">
        <v>0</v>
      </c>
      <c r="L166" s="36" t="n">
        <v>0</v>
      </c>
      <c r="M166" s="36" t="n">
        <v>0</v>
      </c>
      <c r="N166" s="36" t="n">
        <v>0</v>
      </c>
      <c r="O166" s="36" t="n">
        <v>0</v>
      </c>
      <c r="P166" s="35" t="n">
        <v>0</v>
      </c>
      <c r="Q166" s="36" t="n">
        <v>0</v>
      </c>
      <c r="R166" s="182" t="n">
        <v>45691</v>
      </c>
      <c r="S166" s="181" t="n">
        <v>45711</v>
      </c>
      <c r="T166" s="35" t="inlineStr">
        <is>
          <t>20250203</t>
        </is>
      </c>
      <c r="U166" s="36" t="inlineStr">
        <is>
          <t>Biscotto di pasta frolla al cioccolato - contiene allergni - prodotto il giorno 03/02/2025</t>
        </is>
      </c>
    </row>
    <row r="167" ht="110.25" customHeight="1" s="155">
      <c r="A167" s="28">
        <f>A166+1</f>
        <v/>
      </c>
      <c r="B167" s="35" t="inlineStr">
        <is>
          <t>Cornetto alla crema</t>
        </is>
      </c>
      <c r="C167" s="36" t="inlineStr">
        <is>
          <t>Farina 00 caputo rinforz.kg.25    Si allergeni - F.lli fiorentino srl n° fatt 1/779 - 20/01/2025</t>
        </is>
      </c>
      <c r="D167" s="36" t="inlineStr">
        <is>
          <t>Margar wienercreme da kg.2,5x4    Si allergeni - F.lli fiorentino srl n° fatt 1/16216 - 21/12/2024</t>
        </is>
      </c>
      <c r="E167" s="36" t="inlineStr">
        <is>
          <t>Lievito x 2.5kg  Si allergeni - Rondinella market s.r.l. n° fatt 2160 - 16/12/2024</t>
        </is>
      </c>
      <c r="F167" s="36" t="inlineStr">
        <is>
          <t>Cat.a uova fresche l da 180  Si allergeni - Df baldassarre srl n° fatt 279 - 22/01/2025</t>
        </is>
      </c>
      <c r="G167" s="36" t="inlineStr">
        <is>
          <t>Aroma croissant  Si allergeni - Rondinella market s.r.l. n° fatt 2090 - 09/12/2024</t>
        </is>
      </c>
      <c r="H167" s="36" t="inlineStr">
        <is>
          <t>Latte   1000 int.uht  yma  Si allergeni - G.i.a.l. generale ingrosso alimentare s.r.l. n° fatt V1-50172 - 31/12/2024</t>
        </is>
      </c>
      <c r="I167" s="36" t="inlineStr">
        <is>
          <t>Sale fino italkali da kg.1x12    No allergeni - F.lli fiorentino srl n° fatt 1/14656 - 21/11/2024</t>
        </is>
      </c>
      <c r="J167" s="36" t="n">
        <v>0</v>
      </c>
      <c r="K167" s="36" t="n">
        <v>0</v>
      </c>
      <c r="L167" s="36" t="n">
        <v>0</v>
      </c>
      <c r="M167" s="36" t="n">
        <v>0</v>
      </c>
      <c r="N167" s="36" t="n">
        <v>0</v>
      </c>
      <c r="O167" s="36" t="n">
        <v>0</v>
      </c>
      <c r="P167" s="35" t="n">
        <v>0</v>
      </c>
      <c r="Q167" s="36" t="n">
        <v>0</v>
      </c>
      <c r="R167" s="182" t="n">
        <v>45691</v>
      </c>
      <c r="S167" s="181" t="n">
        <v>45711</v>
      </c>
      <c r="T167" s="35" t="inlineStr">
        <is>
          <t>20250203</t>
        </is>
      </c>
      <c r="U167" s="36" t="inlineStr">
        <is>
          <t>Cornetto alla crema - contiene allergni - prodotto il giorno 03/02/2025</t>
        </is>
      </c>
    </row>
    <row r="168" ht="110.25" customHeight="1" s="155">
      <c r="A168" s="28">
        <f>A167+1</f>
        <v/>
      </c>
      <c r="B168" s="35" t="inlineStr">
        <is>
          <t>Francesina crema</t>
        </is>
      </c>
      <c r="C168" s="36" t="inlineStr">
        <is>
          <t>Farina 00 caputo rinforz.kg.25    Si allergeni - F.lli fiorentino srl n° fatt 1/779 - 20/01/2025</t>
        </is>
      </c>
      <c r="D168" s="36" t="inlineStr">
        <is>
          <t>Marg wiener plunderplat kg.2x5    Si allergeni - F.lli fiorentino srl n° fatt 1/779 - 20/01/2025</t>
        </is>
      </c>
      <c r="E168" s="36" t="inlineStr">
        <is>
          <t>Zucchero raf.sem.eridania kg.25    No allergeni - F.lli fiorentino srl n° fatt 1/14656 - 21/11/2024</t>
        </is>
      </c>
      <c r="F168" s="36" t="inlineStr">
        <is>
          <t>Amido artecrema confezione da 1 kg    Si allergeni - Saima s.p.a. n° fatt 115784 - 08/01/2025</t>
        </is>
      </c>
      <c r="G168" s="36" t="inlineStr">
        <is>
          <t>Latte   1000 int.uht  yma  Si allergeni - G.i.a.l. generale ingrosso alimentare s.r.l. n° fatt V1-50172 - 31/12/2024</t>
        </is>
      </c>
      <c r="H168" s="36" t="inlineStr">
        <is>
          <t>Tuorlo d'uovo pastorizzato da allevamento a terra    Si allergeni - Saima s.p.a. n° fatt 115784 - 08/01/2025</t>
        </is>
      </c>
      <c r="I168" s="36" t="n">
        <v>0</v>
      </c>
      <c r="J168" s="36" t="n">
        <v>0</v>
      </c>
      <c r="K168" s="36" t="n">
        <v>0</v>
      </c>
      <c r="L168" s="36" t="n">
        <v>0</v>
      </c>
      <c r="M168" s="36" t="n">
        <v>0</v>
      </c>
      <c r="N168" s="36" t="n">
        <v>0</v>
      </c>
      <c r="O168" s="36" t="n">
        <v>0</v>
      </c>
      <c r="P168" s="35" t="n">
        <v>0</v>
      </c>
      <c r="Q168" s="36" t="n">
        <v>0</v>
      </c>
      <c r="R168" s="182" t="n">
        <v>45691</v>
      </c>
      <c r="S168" s="181" t="n">
        <v>45711</v>
      </c>
      <c r="T168" s="35" t="inlineStr">
        <is>
          <t>20250203</t>
        </is>
      </c>
      <c r="U168" s="36" t="inlineStr">
        <is>
          <t>Francesina crema - contiene allergni - prodotto il giorno 03/02/2025</t>
        </is>
      </c>
    </row>
    <row r="169" ht="94.5" customHeight="1" s="155">
      <c r="A169" s="28">
        <f>A168+1</f>
        <v/>
      </c>
      <c r="B169" s="35" t="inlineStr">
        <is>
          <t>Pasta Sfoglia</t>
        </is>
      </c>
      <c r="C169" s="36" t="inlineStr">
        <is>
          <t>Farina 0/man. caputo da kg.25    Si allergeni - F.lli fiorentino srl n° fatt 1/779 - 20/01/2025</t>
        </is>
      </c>
      <c r="D169" s="36" t="inlineStr">
        <is>
          <t>Sale fino italkali da kg.1x12    No allergeni - F.lli fiorentino srl n° fatt 1/14656 - 21/11/2024</t>
        </is>
      </c>
      <c r="E169" s="36" t="inlineStr">
        <is>
          <t>Margar wienercreme da kg.2,5x4    Si allergeni - F.lli fiorentino srl n° fatt 1/16216 - 21/12/2024</t>
        </is>
      </c>
      <c r="F169" s="36" t="n">
        <v>0</v>
      </c>
      <c r="G169" s="36" t="n">
        <v>0</v>
      </c>
      <c r="H169" s="36" t="n">
        <v>0</v>
      </c>
      <c r="I169" s="36" t="n">
        <v>0</v>
      </c>
      <c r="J169" s="36" t="n">
        <v>0</v>
      </c>
      <c r="K169" s="36" t="n">
        <v>0</v>
      </c>
      <c r="L169" s="36" t="n">
        <v>0</v>
      </c>
      <c r="M169" s="36" t="n">
        <v>0</v>
      </c>
      <c r="N169" s="36" t="n">
        <v>0</v>
      </c>
      <c r="O169" s="36" t="n">
        <v>0</v>
      </c>
      <c r="P169" s="35" t="n">
        <v>0</v>
      </c>
      <c r="Q169" s="36" t="n">
        <v>0</v>
      </c>
      <c r="R169" s="182" t="n">
        <v>45691</v>
      </c>
      <c r="S169" s="181" t="n">
        <v>45711</v>
      </c>
      <c r="T169" s="35" t="inlineStr">
        <is>
          <t>20250203</t>
        </is>
      </c>
      <c r="U169" s="36" t="inlineStr">
        <is>
          <t>Pasta Sfoglia - contiene allergni - prodotto il giorno 03/02/2025</t>
        </is>
      </c>
    </row>
    <row r="170" ht="110.25" customHeight="1" s="155">
      <c r="A170" s="28">
        <f>A169+1</f>
        <v/>
      </c>
      <c r="B170" s="35" t="inlineStr">
        <is>
          <t>Pastiera</t>
        </is>
      </c>
      <c r="C170" s="36" t="inlineStr">
        <is>
          <t>Farina 0/man. caputo da kg.25    Si allergeni - F.lli fiorentino srl n° fatt 1/779 - 20/01/2025</t>
        </is>
      </c>
      <c r="D170" s="36" t="inlineStr">
        <is>
          <t>Strutto  Si allergeni - Rondinella market s.r.l. n° fatt 2160 - 16/12/2024</t>
        </is>
      </c>
      <c r="E170" s="36" t="inlineStr">
        <is>
          <t>Zucchero raf.sem.eridania kg.25    No allergeni - F.lli fiorentino srl n° fatt 1/14656 - 21/11/2024</t>
        </is>
      </c>
      <c r="F170" s="36" t="inlineStr">
        <is>
          <t>Sale fino italkali da kg.1x12    No allergeni - F.lli fiorentino srl n° fatt 1/14656 - 21/11/2024</t>
        </is>
      </c>
      <c r="G170" s="36" t="inlineStr">
        <is>
          <t>Grano cotto ambrosio gr.1700x6    Si allergeni - F.lli fiorentino srl n° fatt 1190692 - 24/04/2024</t>
        </is>
      </c>
      <c r="H170" s="36" t="inlineStr">
        <is>
          <t>Latte   1000 int.uht  yma  Si allergeni - G.i.a.l. generale ingrosso alimentare s.r.l. n° fatt V1-50172 - 31/12/2024</t>
        </is>
      </c>
      <c r="I170" s="36" t="inlineStr">
        <is>
          <t>Cat.a uova fresche l da 180  Si allergeni - Df baldassarre srl n° fatt 279 - 22/01/2025</t>
        </is>
      </c>
      <c r="J170" s="36" t="n">
        <v>0</v>
      </c>
      <c r="K170" s="36" t="n">
        <v>0</v>
      </c>
      <c r="L170" s="36" t="n">
        <v>0</v>
      </c>
      <c r="M170" s="36" t="n">
        <v>0</v>
      </c>
      <c r="N170" s="36" t="n">
        <v>0</v>
      </c>
      <c r="O170" s="36" t="n">
        <v>0</v>
      </c>
      <c r="P170" s="35" t="n">
        <v>0</v>
      </c>
      <c r="Q170" s="36" t="n">
        <v>0</v>
      </c>
      <c r="R170" s="182" t="n">
        <v>45691</v>
      </c>
      <c r="S170" s="181" t="n">
        <v>45711</v>
      </c>
      <c r="T170" s="35" t="inlineStr">
        <is>
          <t>20250203</t>
        </is>
      </c>
      <c r="U170" s="36" t="inlineStr">
        <is>
          <t>Pastiera - contiene allergni - prodotto il giorno 03/02/2025</t>
        </is>
      </c>
    </row>
    <row r="171" ht="94.5" customHeight="1" s="155">
      <c r="A171" s="28">
        <f>A170+1</f>
        <v/>
      </c>
      <c r="B171" s="35" t="inlineStr">
        <is>
          <t>Pizza Parigina</t>
        </is>
      </c>
      <c r="C171" s="36" t="inlineStr">
        <is>
          <t>Farina 0/man. caputo da kg.25    Si allergeni - F.lli fiorentino srl n° fatt 1/779 - 20/01/2025</t>
        </is>
      </c>
      <c r="D171" s="36" t="inlineStr">
        <is>
          <t>Sale fino italkali da kg.1x12    No allergeni - F.lli fiorentino srl n° fatt 1/14656 - 21/11/2024</t>
        </is>
      </c>
      <c r="E171" s="36" t="inlineStr">
        <is>
          <t>Lievito x 2.5kg  Si allergeni - Rondinella market s.r.l. n° fatt 2160 - 16/12/2024</t>
        </is>
      </c>
      <c r="F171" s="36" t="inlineStr">
        <is>
          <t>Strutto  Si allergeni - Rondinella market s.r.l. n° fatt 2160 - 16/12/2024</t>
        </is>
      </c>
      <c r="G171" s="36" t="inlineStr">
        <is>
          <t>Passata pomodori pomola' kg.3    Si allergeni - F.lli fiorentino srl n° fatt 1/12465 - 07/10/2024</t>
        </is>
      </c>
      <c r="H171" s="36" t="inlineStr">
        <is>
          <t>Welcome fette gr.800  Si allergeni - Big food srl n° fatt V1079688 - 19/11/2024</t>
        </is>
      </c>
      <c r="I171" s="36" t="inlineStr">
        <is>
          <t>Marg wiener plunderplat kg.2x5    Si allergeni - F.lli fiorentino srl n° fatt 1/779 - 20/01/2025</t>
        </is>
      </c>
      <c r="J171" s="36" t="n">
        <v>0</v>
      </c>
      <c r="K171" s="36" t="n">
        <v>0</v>
      </c>
      <c r="L171" s="36" t="n">
        <v>0</v>
      </c>
      <c r="M171" s="36" t="n">
        <v>0</v>
      </c>
      <c r="N171" s="36" t="n">
        <v>0</v>
      </c>
      <c r="O171" s="36" t="n">
        <v>0</v>
      </c>
      <c r="P171" s="35" t="n">
        <v>0</v>
      </c>
      <c r="Q171" s="36" t="n">
        <v>0</v>
      </c>
      <c r="R171" s="182" t="n">
        <v>45691</v>
      </c>
      <c r="S171" s="181" t="n">
        <v>45711</v>
      </c>
      <c r="T171" s="35" t="inlineStr">
        <is>
          <t>20250203</t>
        </is>
      </c>
      <c r="U171" s="36" t="inlineStr">
        <is>
          <t>Pizza Parigina - contiene allergni - prodotto il giorno 03/02/2025</t>
        </is>
      </c>
    </row>
    <row r="172" ht="110.25" customHeight="1" s="155">
      <c r="A172" s="28">
        <f>A171+1</f>
        <v/>
      </c>
      <c r="B172" s="35" t="inlineStr">
        <is>
          <t>Cheesecake</t>
        </is>
      </c>
      <c r="C172" s="36" t="inlineStr">
        <is>
          <t>Farina 0/man. caputo da kg.25    Si allergeni - F.lli fiorentino srl n° fatt 1/779 - 20/01/2025</t>
        </is>
      </c>
      <c r="D172" s="36" t="inlineStr">
        <is>
          <t>Strutto  Si allergeni - Rondinella market s.r.l. n° fatt 2160 - 16/12/2024</t>
        </is>
      </c>
      <c r="E172" s="36" t="inlineStr">
        <is>
          <t>Sale fino italkali da kg.1x12    No allergeni - F.lli fiorentino srl n° fatt 1/14656 - 21/11/2024</t>
        </is>
      </c>
      <c r="F172" s="36" t="inlineStr">
        <is>
          <t>Zucchero raf.sem.eridania kg.25    No allergeni - F.lli fiorentino srl n° fatt 1/14656 - 21/11/2024</t>
        </is>
      </c>
      <c r="G172" s="36" t="inlineStr">
        <is>
          <t>Tuorlo d'uovo pastorizzato da allevamento a terra    Si allergeni - Saima s.p.a. n° fatt 115784 - 08/01/2025</t>
        </is>
      </c>
      <c r="H172" s="36" t="inlineStr">
        <is>
          <t>Panna ml.200 cucina   yma  Si allergeni - G.i.a.l. generale ingrosso alimentare s.r.l. n° fatt V1-50172 - 31/12/2024</t>
        </is>
      </c>
      <c r="I172" s="36" t="inlineStr">
        <is>
          <t>Turbo da kg 5    Si allergeni - Saima s.p.a. n° fatt 1158917 - 14/01/2025</t>
        </is>
      </c>
      <c r="J172" s="36" t="inlineStr">
        <is>
          <t>Nuova biancalieve crema da montare    No allergeni - Saima s.p.a. n° fatt 1158917 - 14/01/2025</t>
        </is>
      </c>
      <c r="K172" s="36" t="n">
        <v>0</v>
      </c>
      <c r="L172" s="36" t="n">
        <v>0</v>
      </c>
      <c r="M172" s="36" t="n">
        <v>0</v>
      </c>
      <c r="N172" s="36" t="n">
        <v>0</v>
      </c>
      <c r="O172" s="36" t="n">
        <v>0</v>
      </c>
      <c r="P172" s="35" t="n">
        <v>0</v>
      </c>
      <c r="Q172" s="36" t="n">
        <v>0</v>
      </c>
      <c r="R172" s="182" t="n">
        <v>45691</v>
      </c>
      <c r="S172" s="181" t="n">
        <v>45711</v>
      </c>
      <c r="T172" s="35" t="inlineStr">
        <is>
          <t>20250203</t>
        </is>
      </c>
      <c r="U172" s="36" t="inlineStr">
        <is>
          <t>Cheesecake - contiene allergni - prodotto il giorno 03/02/2025</t>
        </is>
      </c>
    </row>
    <row r="173" ht="94.5" customHeight="1" s="155">
      <c r="A173" s="28">
        <f>A172+1</f>
        <v/>
      </c>
      <c r="B173" s="35" t="inlineStr">
        <is>
          <t>Tiramisù</t>
        </is>
      </c>
      <c r="C173" s="36" t="inlineStr">
        <is>
          <t>Farina 0/man. caputo da kg.25    Si allergeni - F.lli fiorentino srl n° fatt 1/779 - 20/01/2025</t>
        </is>
      </c>
      <c r="D173" s="36" t="inlineStr">
        <is>
          <t>Sale fino italkali da kg.1x12    No allergeni - F.lli fiorentino srl n° fatt 1/14656 - 21/11/2024</t>
        </is>
      </c>
      <c r="E173" s="36" t="inlineStr">
        <is>
          <t>Zucchero raf.sem.eridania kg.25    No allergeni - F.lli fiorentino srl n° fatt 1/14656 - 21/11/2024</t>
        </is>
      </c>
      <c r="F173" s="36" t="inlineStr">
        <is>
          <t>Cat.a uova fresche l da 180  Si allergeni - Df baldassarre srl n° fatt 279 - 22/01/2025</t>
        </is>
      </c>
      <c r="G173" s="36" t="n">
        <v>0</v>
      </c>
      <c r="H173" s="36" t="inlineStr">
        <is>
          <t>Kimbo extreme        1kg grani  Si allergeni - Kimbo s.p.a. n° fatt 70002094 - 22/01/2025</t>
        </is>
      </c>
      <c r="I173" s="36" t="inlineStr">
        <is>
          <t>Nuova biancalieve crema da montare    No allergeni - Saima s.p.a. n° fatt 1158917 - 14/01/2025</t>
        </is>
      </c>
      <c r="J173" s="36" t="inlineStr">
        <is>
          <t>Cacao amaro in polvere x 1kg  No allergeni - Rondinella market s.r.l. n° fatt 2277 - 30/12/2024</t>
        </is>
      </c>
      <c r="K173" s="36" t="inlineStr">
        <is>
          <t>Gocce cori di cioccolato fondente (900/hg) da kg 5    Si allergeni - Saima s.p.a. n° fatt 115784 - 08/01/2025</t>
        </is>
      </c>
      <c r="L173" s="36" t="n">
        <v>0</v>
      </c>
      <c r="M173" s="36" t="n">
        <v>0</v>
      </c>
      <c r="N173" s="36" t="n">
        <v>0</v>
      </c>
      <c r="O173" s="36" t="n">
        <v>0</v>
      </c>
      <c r="P173" s="35" t="n">
        <v>0</v>
      </c>
      <c r="Q173" s="36" t="n">
        <v>0</v>
      </c>
      <c r="R173" s="182" t="n">
        <v>45691</v>
      </c>
      <c r="S173" s="181" t="n">
        <v>45711</v>
      </c>
      <c r="T173" s="35" t="inlineStr">
        <is>
          <t>20250203</t>
        </is>
      </c>
      <c r="U173" s="36" t="inlineStr">
        <is>
          <t>Tiramisù - contiene allergni - prodotto il giorno 03/02/2025</t>
        </is>
      </c>
    </row>
    <row r="174" ht="94.5" customHeight="1" s="155">
      <c r="A174" s="28">
        <f>A173+1</f>
        <v/>
      </c>
      <c r="B174" s="35" t="inlineStr">
        <is>
          <t>Crema Pasticciera</t>
        </is>
      </c>
      <c r="C174" s="36" t="inlineStr">
        <is>
          <t>Amido artecrema confezione da 1 kg    Si allergeni - Saima s.p.a. n° fatt 115784 - 08/01/2025</t>
        </is>
      </c>
      <c r="D174" s="36" t="inlineStr">
        <is>
          <t>Zucchero raf.sem.eridania kg.25    No allergeni - F.lli fiorentino srl n° fatt 1/14656 - 21/11/2024</t>
        </is>
      </c>
      <c r="E174" s="36" t="inlineStr">
        <is>
          <t>Cat.a uova fresche l da 180  Si allergeni - Df baldassarre srl n° fatt 279 - 22/01/2025</t>
        </is>
      </c>
      <c r="F174" s="36" t="inlineStr">
        <is>
          <t>Latte   1000 int.uht  yma  Si allergeni - G.i.a.l. generale ingrosso alimentare s.r.l. n° fatt V1-50172 - 31/12/2024</t>
        </is>
      </c>
      <c r="G174" s="36" t="n">
        <v>0</v>
      </c>
      <c r="H174" s="36" t="n">
        <v>0</v>
      </c>
      <c r="I174" s="36" t="n">
        <v>0</v>
      </c>
      <c r="J174" s="36" t="n">
        <v>0</v>
      </c>
      <c r="K174" s="36" t="n">
        <v>0</v>
      </c>
      <c r="L174" s="36" t="n">
        <v>0</v>
      </c>
      <c r="M174" s="36" t="n">
        <v>0</v>
      </c>
      <c r="N174" s="36" t="n">
        <v>0</v>
      </c>
      <c r="O174" s="36" t="n">
        <v>0</v>
      </c>
      <c r="P174" s="35" t="n">
        <v>0</v>
      </c>
      <c r="Q174" s="36" t="n">
        <v>0</v>
      </c>
      <c r="R174" s="182" t="n">
        <v>45691</v>
      </c>
      <c r="S174" s="181" t="n">
        <v>45711</v>
      </c>
      <c r="T174" s="35" t="inlineStr">
        <is>
          <t>20250203</t>
        </is>
      </c>
      <c r="U174" s="36" t="inlineStr">
        <is>
          <t>Crema Pasticciera - contiene allergni - prodotto il giorno 03/02/2025</t>
        </is>
      </c>
    </row>
    <row r="175" ht="94.5" customHeight="1" s="155">
      <c r="A175" s="28">
        <f>A174+1</f>
        <v/>
      </c>
      <c r="B175" s="35" t="inlineStr">
        <is>
          <t>Fiocco di Neve</t>
        </is>
      </c>
      <c r="C175" s="36" t="inlineStr">
        <is>
          <t>Farina 00 caputo rinforz.kg.25    Si allergeni - F.lli fiorentino srl n° fatt 1/779 - 20/01/2025</t>
        </is>
      </c>
      <c r="D175" s="36" t="inlineStr">
        <is>
          <t>Marg wiener plunderplat kg.2x5    Si allergeni - F.lli fiorentino srl n° fatt 1/779 - 20/01/2025</t>
        </is>
      </c>
      <c r="E175" s="36" t="inlineStr">
        <is>
          <t>Lievito x 2.5kg  Si allergeni - Rondinella market s.r.l. n° fatt 2160 - 16/12/2024</t>
        </is>
      </c>
      <c r="F175" s="36" t="inlineStr">
        <is>
          <t>Cat.a uova fresche l da 180  Si allergeni - Df baldassarre srl n° fatt 279 - 22/01/2025</t>
        </is>
      </c>
      <c r="G175" s="36" t="inlineStr">
        <is>
          <t>Aroma panettone  Si allergeni - Rondinella market s.r.l. n° fatt 51 - 10/01/2025</t>
        </is>
      </c>
      <c r="H175" s="36" t="inlineStr">
        <is>
          <t>Latte   1000 int.uht  yma  Si allergeni - G.i.a.l. generale ingrosso alimentare s.r.l. n° fatt V1-50172 - 31/12/2024</t>
        </is>
      </c>
      <c r="I175" s="36" t="inlineStr">
        <is>
          <t>Sale fino italkali da kg.1x12    No allergeni - F.lli fiorentino srl n° fatt 1/14656 - 21/11/2024</t>
        </is>
      </c>
      <c r="J175" s="36" t="inlineStr">
        <is>
          <t>Nuova biancalieve crema da montare    No allergeni - Saima s.p.a. n° fatt 1158917 - 14/01/2025</t>
        </is>
      </c>
      <c r="K175" s="36" t="inlineStr">
        <is>
          <t>Ricotta zuccherata congelata  Si allergeni - Gargiulo giuseppe n° fatt Fpr 438/24 - 30/11/2024</t>
        </is>
      </c>
      <c r="L175" s="36" t="n">
        <v>0</v>
      </c>
      <c r="M175" s="36" t="n">
        <v>0</v>
      </c>
      <c r="N175" s="36" t="n">
        <v>0</v>
      </c>
      <c r="O175" s="36" t="n">
        <v>0</v>
      </c>
      <c r="P175" s="35" t="n">
        <v>0</v>
      </c>
      <c r="Q175" s="36" t="n">
        <v>0</v>
      </c>
      <c r="R175" s="182" t="n">
        <v>45691</v>
      </c>
      <c r="S175" s="181" t="n">
        <v>45711</v>
      </c>
      <c r="T175" s="35" t="inlineStr">
        <is>
          <t>20250203</t>
        </is>
      </c>
      <c r="U175" s="36" t="inlineStr">
        <is>
          <t>Fiocco di Neve - contiene allergni - prodotto il giorno 03/02/2025</t>
        </is>
      </c>
    </row>
    <row r="176" ht="94.5" customHeight="1" s="155">
      <c r="A176" s="28">
        <f>A175+1</f>
        <v/>
      </c>
      <c r="B176" s="35" t="inlineStr">
        <is>
          <t>Babà</t>
        </is>
      </c>
      <c r="C176" s="36" t="inlineStr">
        <is>
          <t>Farina 00 caputo rinforz.kg.25    Si allergeni - F.lli fiorentino srl n° fatt 1/779 - 20/01/2025</t>
        </is>
      </c>
      <c r="D176" s="36" t="inlineStr">
        <is>
          <t>Sale fino italkali da kg.1x12    No allergeni - F.lli fiorentino srl n° fatt 1/14656 - 21/11/2024</t>
        </is>
      </c>
      <c r="E176" s="36" t="inlineStr">
        <is>
          <t>Margar wienercreme da kg.2,5x4    Si allergeni - F.lli fiorentino srl n° fatt 1/16216 - 21/12/2024</t>
        </is>
      </c>
      <c r="F176" s="36" t="inlineStr">
        <is>
          <t>Cat.a uova fresche l da 180  Si allergeni - Df baldassarre srl n° fatt 279 - 22/01/2025</t>
        </is>
      </c>
      <c r="G176" s="36" t="inlineStr">
        <is>
          <t>Lievito x 2.5kg  Si allergeni - Rondinella market s.r.l. n° fatt 2160 - 16/12/2024</t>
        </is>
      </c>
      <c r="H176" s="36" t="n">
        <v>0</v>
      </c>
      <c r="I176" s="36" t="n">
        <v>0</v>
      </c>
      <c r="J176" s="36" t="n">
        <v>0</v>
      </c>
      <c r="K176" s="36" t="n">
        <v>0</v>
      </c>
      <c r="L176" s="36" t="n">
        <v>0</v>
      </c>
      <c r="M176" s="36" t="n">
        <v>0</v>
      </c>
      <c r="N176" s="36" t="n">
        <v>0</v>
      </c>
      <c r="O176" s="36" t="n">
        <v>0</v>
      </c>
      <c r="P176" s="35" t="n">
        <v>0</v>
      </c>
      <c r="Q176" s="36" t="n">
        <v>0</v>
      </c>
      <c r="R176" s="182" t="n">
        <v>45692</v>
      </c>
      <c r="S176" s="181" t="n">
        <v>45712</v>
      </c>
      <c r="T176" s="35" t="inlineStr">
        <is>
          <t>20250204</t>
        </is>
      </c>
      <c r="U176" s="36" t="inlineStr">
        <is>
          <t>Babà - contiene allergni - prodotto il giorno 04/02/2025</t>
        </is>
      </c>
    </row>
    <row r="177" ht="94.5" customHeight="1" s="155">
      <c r="A177" s="28">
        <f>A176+1</f>
        <v/>
      </c>
      <c r="B177" s="35" t="inlineStr">
        <is>
          <t>Babà</t>
        </is>
      </c>
      <c r="C177" s="36" t="inlineStr">
        <is>
          <t>Farina 00 caputo rinforz.kg.25    Si allergeni - F.lli fiorentino srl n° fatt 1/779 - 20/01/2025</t>
        </is>
      </c>
      <c r="D177" s="36" t="inlineStr">
        <is>
          <t>Sale fino italkali da kg.1x12    No allergeni - F.lli fiorentino srl n° fatt 1/14656 - 21/11/2024</t>
        </is>
      </c>
      <c r="E177" s="36" t="inlineStr">
        <is>
          <t>Margar wienercreme da kg.2,5x4    Si allergeni - F.lli fiorentino srl n° fatt 1/16216 - 21/12/2024</t>
        </is>
      </c>
      <c r="F177" s="36" t="inlineStr">
        <is>
          <t>Cat.a uova fresche l da 180  Si allergeni - Df baldassarre srl n° fatt 279 - 22/01/2025</t>
        </is>
      </c>
      <c r="G177" s="36" t="inlineStr">
        <is>
          <t>Lievito x 2.5kg  Si allergeni - Rondinella market s.r.l. n° fatt 2160 - 16/12/2024</t>
        </is>
      </c>
      <c r="H177" s="36" t="n">
        <v>0</v>
      </c>
      <c r="I177" s="36" t="n">
        <v>0</v>
      </c>
      <c r="J177" s="36" t="n">
        <v>0</v>
      </c>
      <c r="K177" s="36" t="n">
        <v>0</v>
      </c>
      <c r="L177" s="36" t="n">
        <v>0</v>
      </c>
      <c r="M177" s="36" t="n">
        <v>0</v>
      </c>
      <c r="N177" s="36" t="n">
        <v>0</v>
      </c>
      <c r="O177" s="36" t="n">
        <v>0</v>
      </c>
      <c r="P177" s="35" t="n">
        <v>0</v>
      </c>
      <c r="Q177" s="36" t="n">
        <v>0</v>
      </c>
      <c r="R177" s="182" t="n">
        <v>45692</v>
      </c>
      <c r="S177" s="181" t="n">
        <v>45712</v>
      </c>
      <c r="T177" s="35" t="inlineStr">
        <is>
          <t>20250204</t>
        </is>
      </c>
      <c r="U177" s="36" t="inlineStr">
        <is>
          <t>Babà - contiene allergni - prodotto il giorno 04/02/2025</t>
        </is>
      </c>
    </row>
    <row r="178" ht="110.25" customHeight="1" s="155">
      <c r="A178" s="28">
        <f>A177+1</f>
        <v/>
      </c>
      <c r="B178" s="35" t="inlineStr">
        <is>
          <t>Pan di spagna</t>
        </is>
      </c>
      <c r="C178" s="36" t="inlineStr">
        <is>
          <t>Farina 0/man. caputo da kg.25    Si allergeni - F.lli fiorentino srl n° fatt 1/779 - 20/01/2025</t>
        </is>
      </c>
      <c r="D178" s="36" t="inlineStr">
        <is>
          <t>Sale fino italkali da kg.1x12    No allergeni - F.lli fiorentino srl n° fatt 1/14656 - 21/11/2024</t>
        </is>
      </c>
      <c r="E178" s="36" t="inlineStr">
        <is>
          <t>Zucchero raf.sem.eridania kg.25    No allergeni - F.lli fiorentino srl n° fatt 1/14656 - 21/11/2024</t>
        </is>
      </c>
      <c r="F178" s="36" t="inlineStr">
        <is>
          <t>Tuorlo d'uovo pastorizzato da allevamento a terra    Si allergeni - Saima s.p.a. n° fatt 115784 - 08/01/2025</t>
        </is>
      </c>
      <c r="G178" s="36" t="inlineStr">
        <is>
          <t>Margar wienercreme da kg.2,5x4    Si allergeni - F.lli fiorentino srl n° fatt 1/16216 - 21/12/2024</t>
        </is>
      </c>
      <c r="H178" s="36" t="n">
        <v>0</v>
      </c>
      <c r="I178" s="36" t="n">
        <v>0</v>
      </c>
      <c r="J178" s="36" t="n">
        <v>0</v>
      </c>
      <c r="K178" s="36" t="n">
        <v>0</v>
      </c>
      <c r="L178" s="36" t="n">
        <v>0</v>
      </c>
      <c r="M178" s="36" t="n">
        <v>0</v>
      </c>
      <c r="N178" s="36" t="n">
        <v>0</v>
      </c>
      <c r="O178" s="36" t="n">
        <v>0</v>
      </c>
      <c r="P178" s="35" t="n">
        <v>0</v>
      </c>
      <c r="Q178" s="36" t="n">
        <v>0</v>
      </c>
      <c r="R178" s="182" t="n">
        <v>45693</v>
      </c>
      <c r="S178" s="181" t="n">
        <v>45713</v>
      </c>
      <c r="T178" s="35" t="inlineStr">
        <is>
          <t>20250205</t>
        </is>
      </c>
      <c r="U178" s="36" t="inlineStr">
        <is>
          <t>Pan di spagna - contiene allergni - prodotto il giorno 05/02/2025</t>
        </is>
      </c>
    </row>
    <row r="179" ht="94.5" customHeight="1" s="155">
      <c r="A179" s="28">
        <f>A178+1</f>
        <v/>
      </c>
      <c r="B179" s="35" t="inlineStr">
        <is>
          <t>Pasta choux</t>
        </is>
      </c>
      <c r="C179" s="36" t="inlineStr">
        <is>
          <t>Farina 0/man. caputo da kg.25    Si allergeni - F.lli fiorentino srl n° fatt 1/779 - 20/01/2025</t>
        </is>
      </c>
      <c r="D179" s="36" t="inlineStr">
        <is>
          <t>Cat.a uova fresche l da 180  Si allergeni - Df baldassarre srl n° fatt 279 - 22/01/2025</t>
        </is>
      </c>
      <c r="E179" s="36" t="inlineStr">
        <is>
          <t>Sale fino italkali da kg.1x12    No allergeni - F.lli fiorentino srl n° fatt 1/14656 - 21/11/2024</t>
        </is>
      </c>
      <c r="F179" s="36" t="inlineStr">
        <is>
          <t>Margar wienercreme da kg.2,5x4    Si allergeni - F.lli fiorentino srl n° fatt 1/16216 - 21/12/2024</t>
        </is>
      </c>
      <c r="G179" s="36" t="n">
        <v>0</v>
      </c>
      <c r="H179" s="36" t="n">
        <v>0</v>
      </c>
      <c r="I179" s="36" t="n">
        <v>0</v>
      </c>
      <c r="J179" s="36" t="n">
        <v>0</v>
      </c>
      <c r="K179" s="36" t="n">
        <v>0</v>
      </c>
      <c r="L179" s="36" t="n">
        <v>0</v>
      </c>
      <c r="M179" s="36" t="n">
        <v>0</v>
      </c>
      <c r="N179" s="36" t="n">
        <v>0</v>
      </c>
      <c r="O179" s="36" t="n">
        <v>0</v>
      </c>
      <c r="P179" s="35" t="n">
        <v>0</v>
      </c>
      <c r="Q179" s="36" t="n">
        <v>0</v>
      </c>
      <c r="R179" s="182" t="n">
        <v>45695</v>
      </c>
      <c r="S179" s="181" t="n">
        <v>45715</v>
      </c>
      <c r="T179" s="35" t="inlineStr">
        <is>
          <t>20250207</t>
        </is>
      </c>
      <c r="U179" s="36" t="inlineStr">
        <is>
          <t>Pasta choux - contiene allergni - prodotto il giorno 07/02/2025</t>
        </is>
      </c>
    </row>
    <row r="180" ht="110.25" customHeight="1" s="155">
      <c r="A180" s="28">
        <f>A179+1</f>
        <v/>
      </c>
      <c r="B180" s="35" t="inlineStr">
        <is>
          <t>Cornetto brioche</t>
        </is>
      </c>
      <c r="C180" s="36" t="inlineStr">
        <is>
          <t>Farina 00 caputo rinforz.kg.25    Si allergeni - F.lli fiorentino srl n° fatt 1/779 - 20/01/2025</t>
        </is>
      </c>
      <c r="D180" s="36" t="inlineStr">
        <is>
          <t>Margar wienercreme da kg.2,5x4    Si allergeni - F.lli fiorentino srl n° fatt 1/16216 - 21/12/2024</t>
        </is>
      </c>
      <c r="E180" s="36" t="inlineStr">
        <is>
          <t>Lievito x 2.5kg  Si allergeni - Rondinella market s.r.l. n° fatt 2160 - 16/12/2024</t>
        </is>
      </c>
      <c r="F180" s="36" t="inlineStr">
        <is>
          <t>Cat.a uova fresche l da 180  Si allergeni - Df baldassarre srl n° fatt 279 - 22/01/2025</t>
        </is>
      </c>
      <c r="G180" s="36" t="inlineStr">
        <is>
          <t>Aroma croissant  Si allergeni - Rondinella market s.r.l. n° fatt 2090 - 09/12/2024</t>
        </is>
      </c>
      <c r="H180" s="36" t="inlineStr">
        <is>
          <t>Latte   1000 scr.uht  yma  Si allergeni - G.i.a.l. generale ingrosso alimentare s.r.l. n° fatt V1-50172 - 31/12/2024</t>
        </is>
      </c>
      <c r="I180" s="36" t="inlineStr">
        <is>
          <t>Sale fino italkali da kg.1x12    No allergeni - F.lli fiorentino srl n° fatt 1/14656 - 21/11/2024</t>
        </is>
      </c>
      <c r="J180" s="36" t="n">
        <v>0</v>
      </c>
      <c r="K180" s="36" t="n">
        <v>0</v>
      </c>
      <c r="L180" s="36" t="n">
        <v>0</v>
      </c>
      <c r="M180" s="36" t="n">
        <v>0</v>
      </c>
      <c r="N180" s="36" t="n">
        <v>0</v>
      </c>
      <c r="O180" s="36" t="n">
        <v>0</v>
      </c>
      <c r="P180" s="35" t="n">
        <v>0</v>
      </c>
      <c r="Q180" s="36" t="n">
        <v>0</v>
      </c>
      <c r="R180" s="182" t="n">
        <v>45695</v>
      </c>
      <c r="S180" s="181" t="n">
        <v>45715</v>
      </c>
      <c r="T180" s="35" t="inlineStr">
        <is>
          <t>20250207</t>
        </is>
      </c>
      <c r="U180" s="36" t="inlineStr">
        <is>
          <t>Cornetto brioche - contiene allergni - prodotto il giorno 07/02/2025</t>
        </is>
      </c>
    </row>
    <row r="181" ht="94.5" customHeight="1" s="155">
      <c r="A181" s="28">
        <f>A180+1</f>
        <v/>
      </c>
      <c r="B181" s="35" t="inlineStr">
        <is>
          <t>Pizza Parigina</t>
        </is>
      </c>
      <c r="C181" s="36" t="inlineStr">
        <is>
          <t>Farina 0/man. caputo da kg.25    Si allergeni - F.lli fiorentino srl n° fatt 1/779 - 20/01/2025</t>
        </is>
      </c>
      <c r="D181" s="36" t="inlineStr">
        <is>
          <t>Sale fino italkali da kg.1x12    No allergeni - F.lli fiorentino srl n° fatt 1/14656 - 21/11/2024</t>
        </is>
      </c>
      <c r="E181" s="36" t="inlineStr">
        <is>
          <t>Lievito x 2.5kg  Si allergeni - Rondinella market s.r.l. n° fatt 2160 - 16/12/2024</t>
        </is>
      </c>
      <c r="F181" s="36" t="inlineStr">
        <is>
          <t>Strutto  Si allergeni - Rondinella market s.r.l. n° fatt 2160 - 16/12/2024</t>
        </is>
      </c>
      <c r="G181" s="36" t="inlineStr">
        <is>
          <t>Passata pomodori pomola' kg.3    Si allergeni - F.lli fiorentino srl n° fatt 1/12465 - 07/10/2024</t>
        </is>
      </c>
      <c r="H181" s="36" t="inlineStr">
        <is>
          <t>Welcome fette gr.800  Si allergeni - Big food srl n° fatt V1079688 - 19/11/2024</t>
        </is>
      </c>
      <c r="I181" s="36" t="inlineStr">
        <is>
          <t>Marg wiener plunderplat kg.2x5    Si allergeni - F.lli fiorentino srl n° fatt 1/779 - 20/01/2025</t>
        </is>
      </c>
      <c r="J181" s="36" t="n">
        <v>0</v>
      </c>
      <c r="K181" s="36" t="n">
        <v>0</v>
      </c>
      <c r="L181" s="36" t="n">
        <v>0</v>
      </c>
      <c r="M181" s="36" t="n">
        <v>0</v>
      </c>
      <c r="N181" s="36" t="n">
        <v>0</v>
      </c>
      <c r="O181" s="36" t="n">
        <v>0</v>
      </c>
      <c r="P181" s="35" t="n">
        <v>0</v>
      </c>
      <c r="Q181" s="36" t="n">
        <v>0</v>
      </c>
      <c r="R181" s="182" t="n">
        <v>45695</v>
      </c>
      <c r="S181" s="181" t="n">
        <v>45715</v>
      </c>
      <c r="T181" s="35" t="inlineStr">
        <is>
          <t>20250207</t>
        </is>
      </c>
      <c r="U181" s="36" t="inlineStr">
        <is>
          <t>Pizza Parigina - contiene allergni - prodotto il giorno 07/02/2025</t>
        </is>
      </c>
    </row>
    <row r="182" ht="94.5" customHeight="1" s="155">
      <c r="A182" s="28">
        <f>A181+1</f>
        <v/>
      </c>
      <c r="B182" s="35" t="inlineStr">
        <is>
          <t>Sfogliatella frolla</t>
        </is>
      </c>
      <c r="C182" s="36" t="inlineStr">
        <is>
          <t>Farina 0/man. caputo da kg.25    Si allergeni - F.lli fiorentino srl n° fatt 1/779 - 20/01/2025</t>
        </is>
      </c>
      <c r="D182" s="36" t="inlineStr">
        <is>
          <t>Sale fino italkali da kg.1x12    No allergeni - F.lli fiorentino srl n° fatt 1/14656 - 21/11/2024</t>
        </is>
      </c>
      <c r="E182" s="36" t="inlineStr">
        <is>
          <t>Zucchero raf.sem.eridania kg.25    No allergeni - F.lli fiorentino srl n° fatt 1/14656 - 21/11/2024</t>
        </is>
      </c>
      <c r="F182" s="36" t="inlineStr">
        <is>
          <t>Cat.a uova fresche l da 180  Si allergeni - Df baldassarre srl n° fatt 279 - 22/01/2025</t>
        </is>
      </c>
      <c r="G182" s="36" t="inlineStr">
        <is>
          <t>Semola di grano duro x 5kg  Si allergeni - Rondinella market s.r.l. n° fatt 51 - 10/01/2025</t>
        </is>
      </c>
      <c r="H182" s="36" t="inlineStr">
        <is>
          <t>Ciliegie rosse/verdi  Si allergeni - Rondinella market s.r.l. n° fatt 2090 - 09/12/2024</t>
        </is>
      </c>
      <c r="I182" s="36" t="inlineStr">
        <is>
          <t>Strutto  Si allergeni - Rondinella market s.r.l. n° fatt 2160 - 16/12/2024</t>
        </is>
      </c>
      <c r="J182" s="36" t="n">
        <v>0</v>
      </c>
      <c r="K182" s="36" t="n">
        <v>0</v>
      </c>
      <c r="L182" s="36" t="n">
        <v>0</v>
      </c>
      <c r="M182" s="36" t="n">
        <v>0</v>
      </c>
      <c r="N182" s="36" t="n">
        <v>0</v>
      </c>
      <c r="O182" s="36" t="n">
        <v>0</v>
      </c>
      <c r="P182" s="35" t="n">
        <v>0</v>
      </c>
      <c r="Q182" s="36" t="n">
        <v>0</v>
      </c>
      <c r="R182" s="182" t="n">
        <v>45698</v>
      </c>
      <c r="S182" s="181" t="n">
        <v>45718</v>
      </c>
      <c r="T182" s="35" t="inlineStr">
        <is>
          <t>20250210</t>
        </is>
      </c>
      <c r="U182" s="36" t="inlineStr">
        <is>
          <t>Sfogliatella frolla - contiene allergni - prodotto il giorno 10/02/2025</t>
        </is>
      </c>
    </row>
    <row r="183" ht="94.5" customHeight="1" s="155">
      <c r="A183" s="28">
        <f>A182+1</f>
        <v/>
      </c>
      <c r="B183" s="35" t="inlineStr">
        <is>
          <t>Sfogliatella frolla</t>
        </is>
      </c>
      <c r="C183" s="36" t="inlineStr">
        <is>
          <t>Farina 0/man. caputo da kg.25    Si allergeni - F.lli fiorentino srl n° fatt 1/779 - 20/01/2025</t>
        </is>
      </c>
      <c r="D183" s="36" t="inlineStr">
        <is>
          <t>Sale fino italkali da kg.1x12    No allergeni - F.lli fiorentino srl n° fatt 1/14656 - 21/11/2024</t>
        </is>
      </c>
      <c r="E183" s="36" t="inlineStr">
        <is>
          <t>Zucchero raf.sem.eridania kg.25    No allergeni - F.lli fiorentino srl n° fatt 1/14656 - 21/11/2024</t>
        </is>
      </c>
      <c r="F183" s="36" t="inlineStr">
        <is>
          <t>Cat.a uova fresche l da 180  Si allergeni - Df baldassarre srl n° fatt 279 - 22/01/2025</t>
        </is>
      </c>
      <c r="G183" s="36" t="inlineStr">
        <is>
          <t>Semola di grano duro x 5kg  Si allergeni - Rondinella market s.r.l. n° fatt 51 - 10/01/2025</t>
        </is>
      </c>
      <c r="H183" s="36" t="inlineStr">
        <is>
          <t>Ciliegie rosse/verdi  Si allergeni - Rondinella market s.r.l. n° fatt 2090 - 09/12/2024</t>
        </is>
      </c>
      <c r="I183" s="36" t="inlineStr">
        <is>
          <t>Strutto  Si allergeni - Rondinella market s.r.l. n° fatt 2160 - 16/12/2024</t>
        </is>
      </c>
      <c r="J183" s="36" t="n">
        <v>0</v>
      </c>
      <c r="K183" s="36" t="n">
        <v>0</v>
      </c>
      <c r="L183" s="36" t="n">
        <v>0</v>
      </c>
      <c r="M183" s="36" t="n">
        <v>0</v>
      </c>
      <c r="N183" s="36" t="n">
        <v>0</v>
      </c>
      <c r="O183" s="36" t="n">
        <v>0</v>
      </c>
      <c r="P183" s="35" t="n">
        <v>0</v>
      </c>
      <c r="Q183" s="36" t="n">
        <v>0</v>
      </c>
      <c r="R183" s="182" t="n">
        <v>45698</v>
      </c>
      <c r="S183" s="181" t="n">
        <v>45718</v>
      </c>
      <c r="T183" s="35" t="inlineStr">
        <is>
          <t>20250210</t>
        </is>
      </c>
      <c r="U183" s="36" t="inlineStr">
        <is>
          <t>Sfogliatella frolla - contiene allergni - prodotto il giorno 10/02/2025</t>
        </is>
      </c>
    </row>
    <row r="184" ht="94.5" customHeight="1" s="155">
      <c r="A184" s="28">
        <f>A183+1</f>
        <v/>
      </c>
      <c r="B184" s="35" t="inlineStr">
        <is>
          <t>Sfogliatella riccia</t>
        </is>
      </c>
      <c r="C184" s="36" t="inlineStr">
        <is>
          <t>Tappi  grandi  g 55/60  Si allergeni - Dolciaria acquaviva s.p.a. n° fatt 477983 - 23/12/2024</t>
        </is>
      </c>
      <c r="D184" s="36" t="inlineStr">
        <is>
          <t>Sale fino italkali da kg.1x12    No allergeni - F.lli fiorentino srl n° fatt 1/14656 - 21/11/2024</t>
        </is>
      </c>
      <c r="E184" s="36" t="inlineStr">
        <is>
          <t>Zucchero raf.sem.eridania kg.25    No allergeni - F.lli fiorentino srl n° fatt 1/14656 - 21/11/2024</t>
        </is>
      </c>
      <c r="F184" s="36" t="inlineStr">
        <is>
          <t>Cat.a uova fresche l da 180  Si allergeni - Df baldassarre srl n° fatt 279 - 22/01/2025</t>
        </is>
      </c>
      <c r="G184" s="36" t="inlineStr">
        <is>
          <t>Semola di grano duro x 5kg  Si allergeni - Rondinella market s.r.l. n° fatt 51 - 10/01/2025</t>
        </is>
      </c>
      <c r="H184" s="36" t="inlineStr">
        <is>
          <t>Ciliegie rosse/verdi  Si allergeni - Rondinella market s.r.l. n° fatt 2090 - 09/12/2024</t>
        </is>
      </c>
      <c r="I184" s="36" t="inlineStr">
        <is>
          <t>Strutto  Si allergeni - Rondinella market s.r.l. n° fatt 2160 - 16/12/2024</t>
        </is>
      </c>
      <c r="J184" s="36" t="n">
        <v>0</v>
      </c>
      <c r="K184" s="36" t="n">
        <v>0</v>
      </c>
      <c r="L184" s="36" t="n">
        <v>0</v>
      </c>
      <c r="M184" s="36" t="n">
        <v>0</v>
      </c>
      <c r="N184" s="36" t="n">
        <v>0</v>
      </c>
      <c r="O184" s="36" t="n">
        <v>0</v>
      </c>
      <c r="P184" s="35" t="n">
        <v>0</v>
      </c>
      <c r="Q184" s="36" t="n">
        <v>0</v>
      </c>
      <c r="R184" s="182" t="n">
        <v>45698</v>
      </c>
      <c r="S184" s="181" t="n">
        <v>45718</v>
      </c>
      <c r="T184" s="35" t="inlineStr">
        <is>
          <t>20250210</t>
        </is>
      </c>
      <c r="U184" s="36" t="inlineStr">
        <is>
          <t>Sfogliatella riccia - contiene allergni - prodotto il giorno 10/02/2025</t>
        </is>
      </c>
    </row>
    <row r="185" ht="94.5" customHeight="1" s="155">
      <c r="A185" s="28">
        <f>A184+1</f>
        <v/>
      </c>
      <c r="B185" s="35" t="inlineStr">
        <is>
          <t>Sfogliatella riccia</t>
        </is>
      </c>
      <c r="C185" s="36" t="inlineStr">
        <is>
          <t>Tappi  grandi  g 55/60  Si allergeni - Dolciaria acquaviva s.p.a. n° fatt 477983 - 23/12/2024</t>
        </is>
      </c>
      <c r="D185" s="36" t="inlineStr">
        <is>
          <t>Sale fino italkali da kg.1x12    No allergeni - F.lli fiorentino srl n° fatt 1/14656 - 21/11/2024</t>
        </is>
      </c>
      <c r="E185" s="36" t="inlineStr">
        <is>
          <t>Zucchero raf.sem.eridania kg.25    No allergeni - F.lli fiorentino srl n° fatt 1/14656 - 21/11/2024</t>
        </is>
      </c>
      <c r="F185" s="36" t="inlineStr">
        <is>
          <t>Cat.a uova fresche l da 180  Si allergeni - Df baldassarre srl n° fatt 279 - 22/01/2025</t>
        </is>
      </c>
      <c r="G185" s="36" t="inlineStr">
        <is>
          <t>Semola di grano duro x 5kg  Si allergeni - Rondinella market s.r.l. n° fatt 51 - 10/01/2025</t>
        </is>
      </c>
      <c r="H185" s="36" t="inlineStr">
        <is>
          <t>Ciliegie rosse/verdi  Si allergeni - Rondinella market s.r.l. n° fatt 2090 - 09/12/2024</t>
        </is>
      </c>
      <c r="I185" s="36" t="inlineStr">
        <is>
          <t>Strutto  Si allergeni - Rondinella market s.r.l. n° fatt 2160 - 16/12/2024</t>
        </is>
      </c>
      <c r="J185" s="36" t="n">
        <v>0</v>
      </c>
      <c r="K185" s="36" t="n">
        <v>0</v>
      </c>
      <c r="L185" s="36" t="n">
        <v>0</v>
      </c>
      <c r="M185" s="36" t="n">
        <v>0</v>
      </c>
      <c r="N185" s="36" t="n">
        <v>0</v>
      </c>
      <c r="O185" s="36" t="n">
        <v>0</v>
      </c>
      <c r="P185" s="35" t="n">
        <v>0</v>
      </c>
      <c r="Q185" s="36" t="n">
        <v>0</v>
      </c>
      <c r="R185" s="182" t="n">
        <v>45698</v>
      </c>
      <c r="S185" s="181" t="n">
        <v>45718</v>
      </c>
      <c r="T185" s="35" t="inlineStr">
        <is>
          <t>20250210</t>
        </is>
      </c>
      <c r="U185" s="36" t="inlineStr">
        <is>
          <t>Sfogliatella riccia - contiene allergni - prodotto il giorno 10/02/2025</t>
        </is>
      </c>
    </row>
    <row r="186" ht="94.5" customHeight="1" s="155">
      <c r="A186" s="28">
        <f>A185+1</f>
        <v/>
      </c>
      <c r="B186" s="35" t="inlineStr">
        <is>
          <t>Crema Pasticciera</t>
        </is>
      </c>
      <c r="C186" s="36" t="inlineStr">
        <is>
          <t>Amido artecrema confezione da 1 kg    Si allergeni - Saima s.p.a. n° fatt 115784 - 08/01/2025</t>
        </is>
      </c>
      <c r="D186" s="36" t="inlineStr">
        <is>
          <t>Zucchero raf.sem.eridania kg.25    No allergeni - F.lli fiorentino srl n° fatt 1/14656 - 21/11/2024</t>
        </is>
      </c>
      <c r="E186" s="36" t="inlineStr">
        <is>
          <t>Cat.a uova fresche l da 180  Si allergeni - Df baldassarre srl n° fatt 279 - 22/01/2025</t>
        </is>
      </c>
      <c r="F186" s="36" t="inlineStr">
        <is>
          <t>Latte   1000 int.uht  yma  Si allergeni - G.i.a.l. generale ingrosso alimentare s.r.l. n° fatt V1-50172 - 31/12/2024</t>
        </is>
      </c>
      <c r="G186" s="36" t="n">
        <v>0</v>
      </c>
      <c r="H186" s="36" t="n">
        <v>0</v>
      </c>
      <c r="I186" s="36" t="n">
        <v>0</v>
      </c>
      <c r="J186" s="36" t="n">
        <v>0</v>
      </c>
      <c r="K186" s="36" t="n">
        <v>0</v>
      </c>
      <c r="L186" s="36" t="n">
        <v>0</v>
      </c>
      <c r="M186" s="36" t="n">
        <v>0</v>
      </c>
      <c r="N186" s="36" t="n">
        <v>0</v>
      </c>
      <c r="O186" s="36" t="n">
        <v>0</v>
      </c>
      <c r="P186" s="35" t="n">
        <v>0</v>
      </c>
      <c r="Q186" s="36" t="n">
        <v>0</v>
      </c>
      <c r="R186" s="182" t="n">
        <v>45700</v>
      </c>
      <c r="S186" s="181" t="n">
        <v>45720</v>
      </c>
      <c r="T186" s="35" t="inlineStr">
        <is>
          <t>20250212</t>
        </is>
      </c>
      <c r="U186" s="36" t="inlineStr">
        <is>
          <t>Crema Pasticciera - contiene allergni - prodotto il giorno 12/02/2025</t>
        </is>
      </c>
    </row>
    <row r="187" ht="94.5" customHeight="1" s="155">
      <c r="A187" s="28">
        <f>A186+1</f>
        <v/>
      </c>
      <c r="B187" s="35" t="inlineStr">
        <is>
          <t>Panna</t>
        </is>
      </c>
      <c r="C187" s="36" t="inlineStr">
        <is>
          <t>Nuova biancalieve crema da montare    No allergeni - Saima s.p.a. n° fatt 1158917 - 14/01/2025</t>
        </is>
      </c>
      <c r="D187" s="36" t="inlineStr">
        <is>
          <t>Sale fino italkali da kg.1x12    No allergeni - F.lli fiorentino srl n° fatt 1/14656 - 21/11/2024</t>
        </is>
      </c>
      <c r="E187" s="36" t="n">
        <v>0</v>
      </c>
      <c r="F187" s="36" t="n">
        <v>0</v>
      </c>
      <c r="G187" s="36" t="n">
        <v>0</v>
      </c>
      <c r="H187" s="36" t="n">
        <v>0</v>
      </c>
      <c r="I187" s="36" t="n">
        <v>0</v>
      </c>
      <c r="J187" s="36" t="n">
        <v>0</v>
      </c>
      <c r="K187" s="36" t="n">
        <v>0</v>
      </c>
      <c r="L187" s="36" t="n">
        <v>0</v>
      </c>
      <c r="M187" s="36" t="n">
        <v>0</v>
      </c>
      <c r="N187" s="36" t="n">
        <v>0</v>
      </c>
      <c r="O187" s="36" t="n">
        <v>0</v>
      </c>
      <c r="P187" s="35" t="n">
        <v>0</v>
      </c>
      <c r="Q187" s="36" t="n">
        <v>0</v>
      </c>
      <c r="R187" s="182" t="n">
        <v>45700</v>
      </c>
      <c r="S187" s="181" t="n">
        <v>45720</v>
      </c>
      <c r="T187" s="35" t="inlineStr">
        <is>
          <t>20250212</t>
        </is>
      </c>
      <c r="U187" s="36" t="inlineStr">
        <is>
          <t>Panna - contiene allergni - prodotto il giorno 12/02/2025</t>
        </is>
      </c>
    </row>
    <row r="188" ht="94.5" customHeight="1" s="155">
      <c r="A188" s="28">
        <f>A187+1</f>
        <v/>
      </c>
      <c r="B188" s="35" t="inlineStr">
        <is>
          <t>Crostatina Cioccolato</t>
        </is>
      </c>
      <c r="C188" s="36" t="inlineStr">
        <is>
          <t>Farina 0/man. caputo da kg.25    Si allergeni - F.lli fiorentino srl n° fatt 1/779 - 20/01/2025</t>
        </is>
      </c>
      <c r="D188" s="36" t="inlineStr">
        <is>
          <t>Strutto  Si allergeni - Rondinella market s.r.l. n° fatt 2160 - 16/12/2024</t>
        </is>
      </c>
      <c r="E188" s="36" t="inlineStr">
        <is>
          <t>Zucchero raf.sem. british kg.25    No allergeni - F.lli fiorentino srl n° fatt 1/16216 - 21/12/2024</t>
        </is>
      </c>
      <c r="F188" s="36" t="inlineStr">
        <is>
          <t>Sale fino italkali da kg.1x12    No allergeni - F.lli fiorentino srl n° fatt 1/14656 - 21/11/2024</t>
        </is>
      </c>
      <c r="G188" s="36" t="inlineStr">
        <is>
          <t>Crema alla nocciola 13kg  Si allergeni - Rondinella market s.r.l. n° fatt 51 - 10/01/2025</t>
        </is>
      </c>
      <c r="H188" s="36" t="n">
        <v>0</v>
      </c>
      <c r="I188" s="36" t="n">
        <v>0</v>
      </c>
      <c r="J188" s="36" t="n">
        <v>0</v>
      </c>
      <c r="K188" s="36" t="n">
        <v>0</v>
      </c>
      <c r="L188" s="36" t="n">
        <v>0</v>
      </c>
      <c r="M188" s="36" t="n">
        <v>0</v>
      </c>
      <c r="N188" s="36" t="n">
        <v>0</v>
      </c>
      <c r="O188" s="36" t="n">
        <v>0</v>
      </c>
      <c r="P188" s="35" t="n">
        <v>0</v>
      </c>
      <c r="Q188" s="36" t="n">
        <v>0</v>
      </c>
      <c r="R188" s="182" t="n">
        <v>45700</v>
      </c>
      <c r="S188" s="181" t="n">
        <v>45720</v>
      </c>
      <c r="T188" s="35" t="inlineStr">
        <is>
          <t>20250212</t>
        </is>
      </c>
      <c r="U188" s="36" t="inlineStr">
        <is>
          <t>Crostatina Cioccolato - contiene allergni - prodotto il giorno 12/02/2025</t>
        </is>
      </c>
    </row>
    <row r="189" ht="94.5" customHeight="1" s="155">
      <c r="A189" s="28">
        <f>A188+1</f>
        <v/>
      </c>
      <c r="B189" s="35" t="inlineStr">
        <is>
          <t>Pasta choux</t>
        </is>
      </c>
      <c r="C189" s="36" t="inlineStr">
        <is>
          <t>Farina 0/man. caputo da kg.25    Si allergeni - F.lli fiorentino srl n° fatt 1/779 - 20/01/2025</t>
        </is>
      </c>
      <c r="D189" s="36" t="inlineStr">
        <is>
          <t>Cat.a uova fresche l da 180  Si allergeni - Df baldassarre srl n° fatt 279 - 22/01/2025</t>
        </is>
      </c>
      <c r="E189" s="36" t="inlineStr">
        <is>
          <t>Sale fino italkali da kg.1x12    No allergeni - F.lli fiorentino srl n° fatt 1/14656 - 21/11/2024</t>
        </is>
      </c>
      <c r="F189" s="36" t="inlineStr">
        <is>
          <t>Margar wienercreme da kg.2,5x4    Si allergeni - F.lli fiorentino srl n° fatt 1/16216 - 21/12/2024</t>
        </is>
      </c>
      <c r="G189" s="36" t="n">
        <v>0</v>
      </c>
      <c r="H189" s="36" t="n">
        <v>0</v>
      </c>
      <c r="I189" s="36" t="n">
        <v>0</v>
      </c>
      <c r="J189" s="36" t="n">
        <v>0</v>
      </c>
      <c r="K189" s="36" t="n">
        <v>0</v>
      </c>
      <c r="L189" s="36" t="n">
        <v>0</v>
      </c>
      <c r="M189" s="36" t="n">
        <v>0</v>
      </c>
      <c r="N189" s="36" t="n">
        <v>0</v>
      </c>
      <c r="O189" s="36" t="n">
        <v>0</v>
      </c>
      <c r="P189" s="35" t="n">
        <v>0</v>
      </c>
      <c r="Q189" s="36" t="n">
        <v>0</v>
      </c>
      <c r="R189" s="182" t="n">
        <v>45702</v>
      </c>
      <c r="S189" s="181" t="n">
        <v>45722</v>
      </c>
      <c r="T189" s="35" t="inlineStr">
        <is>
          <t>20250214</t>
        </is>
      </c>
      <c r="U189" s="36" t="inlineStr">
        <is>
          <t>Pasta choux - contiene allergni - prodotto il giorno 14/02/2025</t>
        </is>
      </c>
    </row>
    <row r="190" ht="94.5" customHeight="1" s="155">
      <c r="A190" s="28">
        <f>A189+1</f>
        <v/>
      </c>
      <c r="B190" s="35" t="inlineStr">
        <is>
          <t>Babà</t>
        </is>
      </c>
      <c r="C190" s="36" t="inlineStr">
        <is>
          <t>Farina 00 caputo rinforz.kg.25    Si allergeni - F.lli fiorentino srl n° fatt 1/779 - 20/01/2025</t>
        </is>
      </c>
      <c r="D190" s="36" t="inlineStr">
        <is>
          <t>Sale fino italkali da kg.1x12    No allergeni - F.lli fiorentino srl n° fatt 1/14656 - 21/11/2024</t>
        </is>
      </c>
      <c r="E190" s="36" t="inlineStr">
        <is>
          <t>Margar wienercreme da kg.2,5x4    Si allergeni - F.lli fiorentino srl n° fatt 1/16216 - 21/12/2024</t>
        </is>
      </c>
      <c r="F190" s="36" t="inlineStr">
        <is>
          <t>Cat.a uova fresche l da 180  Si allergeni - Df baldassarre srl n° fatt 279 - 22/01/2025</t>
        </is>
      </c>
      <c r="G190" s="36" t="inlineStr">
        <is>
          <t>Lievito x 2.5kg  Si allergeni - Rondinella market s.r.l. n° fatt 2160 - 16/12/2024</t>
        </is>
      </c>
      <c r="H190" s="36" t="n">
        <v>0</v>
      </c>
      <c r="I190" s="36" t="n">
        <v>0</v>
      </c>
      <c r="J190" s="36" t="n">
        <v>0</v>
      </c>
      <c r="K190" s="36" t="n">
        <v>0</v>
      </c>
      <c r="L190" s="36" t="n">
        <v>0</v>
      </c>
      <c r="M190" s="36" t="n">
        <v>0</v>
      </c>
      <c r="N190" s="36" t="n">
        <v>0</v>
      </c>
      <c r="O190" s="36" t="n">
        <v>0</v>
      </c>
      <c r="P190" s="35" t="n">
        <v>0</v>
      </c>
      <c r="Q190" s="36" t="n">
        <v>0</v>
      </c>
      <c r="R190" s="182" t="n">
        <v>45706</v>
      </c>
      <c r="S190" s="181" t="n">
        <v>45726</v>
      </c>
      <c r="T190" s="35" t="inlineStr">
        <is>
          <t>20250218</t>
        </is>
      </c>
      <c r="U190" s="36" t="inlineStr">
        <is>
          <t>Babà - contiene allergni - prodotto il giorno 18/02/2025</t>
        </is>
      </c>
    </row>
    <row r="191" ht="110.25" customHeight="1" s="155">
      <c r="A191" s="28">
        <f>A190+1</f>
        <v/>
      </c>
      <c r="B191" s="35" t="inlineStr">
        <is>
          <t>RUSTICO</t>
        </is>
      </c>
      <c r="C191" s="36" t="inlineStr">
        <is>
          <t>Farina 0/man. caputo da kg.25    Si allergeni - F.lli fiorentino srl n° fatt 1/779 - 20/01/2025</t>
        </is>
      </c>
      <c r="D191" s="36" t="inlineStr">
        <is>
          <t>Ricotta fulvi incart  Si allergeni - Gargiulo giuseppe n° fatt Fpr 438/24 - 30/11/2024</t>
        </is>
      </c>
      <c r="E191" s="36" t="inlineStr">
        <is>
          <t>Sale fino italkali da kg.1x12    No allergeni - F.lli fiorentino srl n° fatt 1/14656 - 21/11/2024</t>
        </is>
      </c>
      <c r="F191" s="36" t="inlineStr">
        <is>
          <t>Cioli porchetta ariccia igp 1/2 kg  No allergeni - Big food srl n° fatt V1079688 - 19/11/2024</t>
        </is>
      </c>
      <c r="G191" s="36" t="inlineStr">
        <is>
          <t>Wudy class. g.300 aia  Si allergeni - G.i.a.l. generale ingrosso alimentare s.r.l. n° fatt V1-50172 - 31/12/2024</t>
        </is>
      </c>
      <c r="H191" s="36" t="inlineStr">
        <is>
          <t>Coati salame napoli sv  No allergeni - Big food srl n° fatt V1083553 - 04/12/2024</t>
        </is>
      </c>
      <c r="I191" s="36" t="inlineStr">
        <is>
          <t>Coati salame napoli sv  No allergeni - Big food srl n° fatt V1083553 - 04/12/2024</t>
        </is>
      </c>
      <c r="J191" s="36" t="n">
        <v>0</v>
      </c>
      <c r="K191" s="36" t="n">
        <v>0</v>
      </c>
      <c r="L191" s="36" t="n">
        <v>0</v>
      </c>
      <c r="M191" s="36" t="n">
        <v>0</v>
      </c>
      <c r="N191" s="36" t="n">
        <v>0</v>
      </c>
      <c r="O191" s="36" t="n">
        <v>0</v>
      </c>
      <c r="P191" s="35" t="n">
        <v>0</v>
      </c>
      <c r="Q191" s="36" t="n">
        <v>0</v>
      </c>
      <c r="R191" s="182" t="n">
        <v>45706</v>
      </c>
      <c r="S191" s="181" t="n">
        <v>45726</v>
      </c>
      <c r="T191" s="35" t="inlineStr">
        <is>
          <t>20250218</t>
        </is>
      </c>
      <c r="U191" s="36" t="inlineStr">
        <is>
          <t>RUSTICO - contiene allergni - prodotto il giorno 18/02/2025</t>
        </is>
      </c>
    </row>
    <row r="192" ht="94.5" customHeight="1" s="155">
      <c r="A192" s="28">
        <f>A191+1</f>
        <v/>
      </c>
      <c r="B192" s="35" t="inlineStr">
        <is>
          <t>Crema Pasticciera</t>
        </is>
      </c>
      <c r="C192" s="36" t="inlineStr">
        <is>
          <t>Amido artecrema confezione da 1 kg    Si allergeni - Saima s.p.a. n° fatt 115784 - 08/01/2025</t>
        </is>
      </c>
      <c r="D192" s="36" t="inlineStr">
        <is>
          <t>Zucchero raf.sem.eridania kg.25    No allergeni - F.lli fiorentino srl n° fatt 1/14656 - 21/11/2024</t>
        </is>
      </c>
      <c r="E192" s="36" t="inlineStr">
        <is>
          <t>Cat.a uova fresche l da 180  Si allergeni - Df baldassarre srl n° fatt 279 - 22/01/2025</t>
        </is>
      </c>
      <c r="F192" s="36" t="inlineStr">
        <is>
          <t>Latte   1000 int.uht  yma  Si allergeni - G.i.a.l. generale ingrosso alimentare s.r.l. n° fatt V1-50172 - 31/12/2024</t>
        </is>
      </c>
      <c r="G192" s="36" t="n">
        <v>0</v>
      </c>
      <c r="H192" s="36" t="n">
        <v>0</v>
      </c>
      <c r="I192" s="36" t="n">
        <v>0</v>
      </c>
      <c r="J192" s="36" t="n">
        <v>0</v>
      </c>
      <c r="K192" s="36" t="n">
        <v>0</v>
      </c>
      <c r="L192" s="36" t="n">
        <v>0</v>
      </c>
      <c r="M192" s="36" t="n">
        <v>0</v>
      </c>
      <c r="N192" s="36" t="n">
        <v>0</v>
      </c>
      <c r="O192" s="36" t="n">
        <v>0</v>
      </c>
      <c r="P192" s="35" t="n">
        <v>0</v>
      </c>
      <c r="Q192" s="36" t="n">
        <v>0</v>
      </c>
      <c r="R192" s="182" t="n">
        <v>45708</v>
      </c>
      <c r="S192" s="181" t="n">
        <v>45728</v>
      </c>
      <c r="T192" s="35" t="inlineStr">
        <is>
          <t>20250220</t>
        </is>
      </c>
      <c r="U192" s="36" t="inlineStr">
        <is>
          <t>Crema Pasticciera - contiene allergni - prodotto il giorno 20/02/2025</t>
        </is>
      </c>
    </row>
    <row r="193" ht="110.25" customHeight="1" s="155">
      <c r="A193" s="28">
        <f>A192+1</f>
        <v/>
      </c>
      <c r="B193" s="35" t="inlineStr">
        <is>
          <t>Pasticcino crema</t>
        </is>
      </c>
      <c r="C193" s="36" t="inlineStr">
        <is>
          <t>Farina 0/man. caputo da kg.25    Si allergeni - F.lli Fiorentino Srl n° fatt 1/1714 - 10/02/2025</t>
        </is>
      </c>
      <c r="D193" s="36" t="inlineStr">
        <is>
          <t>Strutto  No allergeni - SAIMA S.p.A. n° fatt 1/23722 - 18/02/2025</t>
        </is>
      </c>
      <c r="E193" s="36" t="inlineStr">
        <is>
          <t>Zucchero raf.sem.eridania kg.25    No allergeni - F.lli Fiorentino Srl n° fatt 1/1714 - 10/02/2025</t>
        </is>
      </c>
      <c r="F193" s="36" t="inlineStr">
        <is>
          <t>Sale fino italkali da kg.1x12    No allergeni - F.lli Fiorentino Srl n° fatt 1/1714 - 10/02/2025</t>
        </is>
      </c>
      <c r="G193" s="36" t="inlineStr">
        <is>
          <t>Latte   1000 int.uht  yma  Si allergeni - G.i.a.l. generale ingrosso alimentare s.r.l. n° fatt V1-50172 - 31/12/2024</t>
        </is>
      </c>
      <c r="H193" s="36" t="inlineStr">
        <is>
          <t>Amido artecrema confezione da 1 kg    Si allergeni - Saima s.p.a. n° fatt 115784 - 08/01/2025</t>
        </is>
      </c>
      <c r="I193" s="36" t="inlineStr">
        <is>
          <t>TUORLO D'UOVO PASTORIZZATO DA ALLEVAMENTO A TERRA    Si allergeni - SAIMA S.p.A. n° fatt 1/23722 - 18/02/2025</t>
        </is>
      </c>
      <c r="J193" s="36" t="n">
        <v>0</v>
      </c>
      <c r="K193" s="36" t="n">
        <v>0</v>
      </c>
      <c r="L193" s="36" t="n">
        <v>0</v>
      </c>
      <c r="M193" s="36" t="n">
        <v>0</v>
      </c>
      <c r="N193" s="36" t="n">
        <v>0</v>
      </c>
      <c r="O193" s="36" t="n">
        <v>0</v>
      </c>
      <c r="P193" s="35" t="n">
        <v>0</v>
      </c>
      <c r="Q193" s="36" t="n">
        <v>0</v>
      </c>
      <c r="R193" s="182" t="n">
        <v>45735</v>
      </c>
      <c r="S193" s="181" t="n">
        <v>45755</v>
      </c>
      <c r="T193" s="35" t="inlineStr">
        <is>
          <t>20250319</t>
        </is>
      </c>
      <c r="U193" s="36" t="inlineStr">
        <is>
          <t>Pasticcino crema - contiene allergni - prodotto il giorno 19/03/2025</t>
        </is>
      </c>
    </row>
    <row r="194" ht="110.25" customHeight="1" s="155">
      <c r="A194" s="28">
        <f>A193+1</f>
        <v/>
      </c>
      <c r="B194" s="35" t="inlineStr">
        <is>
          <t>Pasticcino crema</t>
        </is>
      </c>
      <c r="C194" s="36" t="inlineStr">
        <is>
          <t>Farina 0/man. caputo da kg.25    Si allergeni - F.lli Fiorentino Srl n° fatt 1/1714 - 10/02/2025</t>
        </is>
      </c>
      <c r="D194" s="36" t="inlineStr">
        <is>
          <t>Strutto  No allergeni - SAIMA S.p.A. n° fatt 1/23722 - 18/02/2025</t>
        </is>
      </c>
      <c r="E194" s="36" t="inlineStr">
        <is>
          <t>Zucchero raf.sem.eridania kg.25    No allergeni - F.lli Fiorentino Srl n° fatt 1/1714 - 10/02/2025</t>
        </is>
      </c>
      <c r="F194" s="36" t="inlineStr">
        <is>
          <t>Sale fino italkali da kg.1x12    No allergeni - F.lli Fiorentino Srl n° fatt 1/1714 - 10/02/2025</t>
        </is>
      </c>
      <c r="G194" s="36" t="inlineStr">
        <is>
          <t>Latte   1000 int.uht  yma  Si allergeni - G.i.a.l. generale ingrosso alimentare s.r.l. n° fatt V1-50172 - 31/12/2024</t>
        </is>
      </c>
      <c r="H194" s="36" t="inlineStr">
        <is>
          <t>Amido artecrema confezione da 1 kg    Si allergeni - Saima s.p.a. n° fatt 115784 - 08/01/2025</t>
        </is>
      </c>
      <c r="I194" s="36" t="inlineStr">
        <is>
          <t>TUORLO D'UOVO PASTORIZZATO DA ALLEVAMENTO A TERRA    Si allergeni - SAIMA S.p.A. n° fatt 1/23722 - 18/02/2025</t>
        </is>
      </c>
      <c r="J194" s="36" t="n">
        <v>0</v>
      </c>
      <c r="K194" s="36" t="n">
        <v>0</v>
      </c>
      <c r="L194" s="36" t="n">
        <v>0</v>
      </c>
      <c r="M194" s="36" t="n">
        <v>0</v>
      </c>
      <c r="N194" s="36" t="n">
        <v>0</v>
      </c>
      <c r="O194" s="36" t="n">
        <v>0</v>
      </c>
      <c r="P194" s="35" t="n">
        <v>0</v>
      </c>
      <c r="Q194" s="36" t="n">
        <v>0</v>
      </c>
      <c r="R194" s="182" t="n">
        <v>45735</v>
      </c>
      <c r="S194" s="181" t="n">
        <v>45755</v>
      </c>
      <c r="T194" s="35" t="inlineStr">
        <is>
          <t>20250319</t>
        </is>
      </c>
      <c r="U194" s="36" t="inlineStr">
        <is>
          <t>Pasticcino crema - contiene allergni - prodotto il giorno 19/03/2025</t>
        </is>
      </c>
    </row>
    <row r="195" ht="94.5" customHeight="1" s="155">
      <c r="A195" s="28">
        <f>A194+1</f>
        <v/>
      </c>
      <c r="B195" s="35" t="inlineStr">
        <is>
          <t>Pizza Parigina</t>
        </is>
      </c>
      <c r="C195" s="36" t="inlineStr">
        <is>
          <t>Farina 0/man. caputo da kg.25    Si allergeni - F.lli Fiorentino Srl n° fatt 1/1714 - 10/02/2025</t>
        </is>
      </c>
      <c r="D195" s="36" t="inlineStr">
        <is>
          <t>Sale fino italkali da kg.1x12    No allergeni - F.lli Fiorentino Srl n° fatt 1/1714 - 10/02/2025</t>
        </is>
      </c>
      <c r="E195" s="36" t="inlineStr">
        <is>
          <t>Lievito x 2.5kg  No allergeni - SAIMA S.p.A. n° fatt 1/23722 - 18/02/2025</t>
        </is>
      </c>
      <c r="F195" s="36" t="inlineStr">
        <is>
          <t>Strutto  No allergeni - SAIMA S.p.A. n° fatt 1/23722 - 18/02/2025</t>
        </is>
      </c>
      <c r="G195" s="36" t="inlineStr">
        <is>
          <t>Passata pomodori pomola' kg.3    Si allergeni - F.lli fiorentino srl n° fatt 1/12465 - 07/10/2024</t>
        </is>
      </c>
      <c r="H195" s="36" t="inlineStr">
        <is>
          <t>Welcome fette gr.800  Si allergeni - Big food srl n° fatt V1083553 - 04/12/2024</t>
        </is>
      </c>
      <c r="I195" s="36" t="inlineStr">
        <is>
          <t>Marg wiener plunderplat kg.2x5    Si allergeni - F.lli fiorentino srl n° fatt 1/779 - 20/01/2025</t>
        </is>
      </c>
      <c r="J195" s="36" t="n">
        <v>0</v>
      </c>
      <c r="K195" s="36" t="n">
        <v>0</v>
      </c>
      <c r="L195" s="36" t="n">
        <v>0</v>
      </c>
      <c r="M195" s="36" t="n">
        <v>0</v>
      </c>
      <c r="N195" s="36" t="n">
        <v>0</v>
      </c>
      <c r="O195" s="36" t="n">
        <v>0</v>
      </c>
      <c r="P195" s="35" t="n">
        <v>0</v>
      </c>
      <c r="Q195" s="36" t="n">
        <v>0</v>
      </c>
      <c r="R195" s="182" t="n">
        <v>45736</v>
      </c>
      <c r="S195" s="181" t="n">
        <v>45756</v>
      </c>
      <c r="T195" s="35" t="inlineStr">
        <is>
          <t>20250320</t>
        </is>
      </c>
      <c r="U195" s="36" t="inlineStr">
        <is>
          <t>Pizza Parigina - contiene allergni - prodotto il giorno 20/03/2025</t>
        </is>
      </c>
    </row>
    <row r="196" ht="94.5" customHeight="1" s="155">
      <c r="A196" s="28">
        <f>A195+1</f>
        <v/>
      </c>
      <c r="B196" s="35" t="inlineStr">
        <is>
          <t>Pizza Parigina</t>
        </is>
      </c>
      <c r="C196" s="36" t="inlineStr">
        <is>
          <t>Farina 0/man. caputo da kg.25    Si allergeni - F.lli Fiorentino Srl n° fatt 1/1714 - 10/02/2025</t>
        </is>
      </c>
      <c r="D196" s="36" t="inlineStr">
        <is>
          <t>Sale fino italkali da kg.1x12    No allergeni - F.lli Fiorentino Srl n° fatt 1/1714 - 10/02/2025</t>
        </is>
      </c>
      <c r="E196" s="36" t="inlineStr">
        <is>
          <t>Lievito x 2.5kg  No allergeni - SAIMA S.p.A. n° fatt 1/23722 - 18/02/2025</t>
        </is>
      </c>
      <c r="F196" s="36" t="inlineStr">
        <is>
          <t>Strutto  No allergeni - SAIMA S.p.A. n° fatt 1/23722 - 18/02/2025</t>
        </is>
      </c>
      <c r="G196" s="36" t="inlineStr">
        <is>
          <t>Passata pomodori pomola' kg.3    Si allergeni - F.lli fiorentino srl n° fatt 1/12465 - 07/10/2024</t>
        </is>
      </c>
      <c r="H196" s="36" t="inlineStr">
        <is>
          <t>Welcome fette gr.800  Si allergeni - Big food srl n° fatt V1083553 - 04/12/2024</t>
        </is>
      </c>
      <c r="I196" s="36" t="inlineStr">
        <is>
          <t>Marg wiener plunderplat kg.2x5    Si allergeni - F.lli fiorentino srl n° fatt 1/779 - 20/01/2025</t>
        </is>
      </c>
      <c r="J196" s="36" t="n">
        <v>0</v>
      </c>
      <c r="K196" s="36" t="n">
        <v>0</v>
      </c>
      <c r="L196" s="36" t="n">
        <v>0</v>
      </c>
      <c r="M196" s="36" t="n">
        <v>0</v>
      </c>
      <c r="N196" s="36" t="n">
        <v>0</v>
      </c>
      <c r="O196" s="36" t="n">
        <v>0</v>
      </c>
      <c r="P196" s="35" t="n">
        <v>0</v>
      </c>
      <c r="Q196" s="36" t="n">
        <v>0</v>
      </c>
      <c r="R196" s="182" t="n">
        <v>45736</v>
      </c>
      <c r="S196" s="181" t="n">
        <v>45756</v>
      </c>
      <c r="T196" s="35" t="inlineStr">
        <is>
          <t>20250320</t>
        </is>
      </c>
      <c r="U196" s="36" t="inlineStr">
        <is>
          <t>Pizza Parigina - contiene allergni - prodotto il giorno 20/03/2025</t>
        </is>
      </c>
    </row>
    <row r="197" ht="110.25" customHeight="1" s="155">
      <c r="A197" s="28">
        <f>A196+1</f>
        <v/>
      </c>
      <c r="B197" s="35" t="inlineStr">
        <is>
          <t>Pan di spagna</t>
        </is>
      </c>
      <c r="C197" s="36" t="inlineStr">
        <is>
          <t>Farina 0/man. caputo da kg.25    Si allergeni - F.lli Fiorentino Srl n° fatt 1/1714 - 10/02/2025</t>
        </is>
      </c>
      <c r="D197" s="36" t="inlineStr">
        <is>
          <t>Sale fino italkali da kg.1x12    No allergeni - F.lli Fiorentino Srl n° fatt 1/1714 - 10/02/2025</t>
        </is>
      </c>
      <c r="E197" s="36" t="inlineStr">
        <is>
          <t>Zucchero raf.sem.eridania kg.25    No allergeni - F.lli Fiorentino Srl n° fatt 1/1714 - 10/02/2025</t>
        </is>
      </c>
      <c r="F197" s="36" t="inlineStr">
        <is>
          <t>TUORLO D'UOVO PASTORIZZATO DA ALLEVAMENTO A TERRA    Si allergeni - SAIMA S.p.A. n° fatt 1/23722 - 18/02/2025</t>
        </is>
      </c>
      <c r="G197" s="36" t="inlineStr">
        <is>
          <t>Margar wienercreme da kg.2,5x4    Si allergeni - F.lli fiorentino srl n° fatt 1/16216 - 21/12/2024</t>
        </is>
      </c>
      <c r="H197" s="36" t="n">
        <v>0</v>
      </c>
      <c r="I197" s="36" t="n">
        <v>0</v>
      </c>
      <c r="J197" s="36" t="n">
        <v>0</v>
      </c>
      <c r="K197" s="36" t="n">
        <v>0</v>
      </c>
      <c r="L197" s="36" t="n">
        <v>0</v>
      </c>
      <c r="M197" s="36" t="n">
        <v>0</v>
      </c>
      <c r="N197" s="36" t="n">
        <v>0</v>
      </c>
      <c r="O197" s="36" t="n">
        <v>0</v>
      </c>
      <c r="P197" s="35" t="n">
        <v>0</v>
      </c>
      <c r="Q197" s="36" t="n">
        <v>0</v>
      </c>
      <c r="R197" s="182" t="n">
        <v>45736</v>
      </c>
      <c r="S197" s="181" t="n">
        <v>45756</v>
      </c>
      <c r="T197" s="35" t="inlineStr">
        <is>
          <t>20250320</t>
        </is>
      </c>
      <c r="U197" s="36" t="inlineStr">
        <is>
          <t>Pan di spagna - contiene allergni - prodotto il giorno 20/03/2025</t>
        </is>
      </c>
    </row>
    <row r="198" ht="94.5" customHeight="1" s="155">
      <c r="A198" s="28">
        <f>A197+1</f>
        <v/>
      </c>
      <c r="B198" s="35" t="inlineStr">
        <is>
          <t>Pasta choux</t>
        </is>
      </c>
      <c r="C198" s="36" t="inlineStr">
        <is>
          <t>Farina 0/man. caputo da kg.25    Si allergeni - F.lli Fiorentino Srl n° fatt 1/1714 - 10/02/2025</t>
        </is>
      </c>
      <c r="D198" s="36" t="inlineStr">
        <is>
          <t>Cat.a uova fresche l da 182  Si allergeni - DF BALDASSARRE SRL n° fatt 653 - 15/02/2025</t>
        </is>
      </c>
      <c r="E198" s="36" t="inlineStr">
        <is>
          <t>Sale fino italkali da kg.1x12    No allergeni - F.lli Fiorentino Srl n° fatt 1/1714 - 10/02/2025</t>
        </is>
      </c>
      <c r="F198" s="36" t="inlineStr">
        <is>
          <t>Margar wienercreme da kg.2,5x4    Si allergeni - F.lli fiorentino srl n° fatt 1/16216 - 21/12/2024</t>
        </is>
      </c>
      <c r="G198" s="36" t="n">
        <v>0</v>
      </c>
      <c r="H198" s="36" t="n">
        <v>0</v>
      </c>
      <c r="I198" s="36" t="n">
        <v>0</v>
      </c>
      <c r="J198" s="36" t="n">
        <v>0</v>
      </c>
      <c r="K198" s="36" t="n">
        <v>0</v>
      </c>
      <c r="L198" s="36" t="n">
        <v>0</v>
      </c>
      <c r="M198" s="36" t="n">
        <v>0</v>
      </c>
      <c r="N198" s="36" t="n">
        <v>0</v>
      </c>
      <c r="O198" s="36" t="n">
        <v>0</v>
      </c>
      <c r="P198" s="35" t="n">
        <v>0</v>
      </c>
      <c r="Q198" s="36" t="n">
        <v>0</v>
      </c>
      <c r="R198" s="182" t="n">
        <v>45736</v>
      </c>
      <c r="S198" s="181" t="n">
        <v>45756</v>
      </c>
      <c r="T198" s="35" t="inlineStr">
        <is>
          <t>20250320</t>
        </is>
      </c>
      <c r="U198" s="36" t="inlineStr">
        <is>
          <t>Pasta choux - contiene allergni - prodotto il giorno 20/03/2025</t>
        </is>
      </c>
    </row>
    <row r="199" ht="94.5" customHeight="1" s="155">
      <c r="A199" s="28">
        <f>A198+1</f>
        <v/>
      </c>
      <c r="B199" s="35" t="inlineStr">
        <is>
          <t>Prussiana</t>
        </is>
      </c>
      <c r="C199" s="36" t="inlineStr">
        <is>
          <t>Farina 0/man. caputo da kg.25    Si allergeni - F.lli Fiorentino Srl n° fatt 1/1714 - 10/02/2025</t>
        </is>
      </c>
      <c r="D199" s="36" t="inlineStr">
        <is>
          <t>Sale fino italkali da kg.1x12    No allergeni - F.lli Fiorentino Srl n° fatt 1/1714 - 10/02/2025</t>
        </is>
      </c>
      <c r="E199" s="36" t="inlineStr">
        <is>
          <t>Zucchero raf.sem.eridania kg.25    No allergeni - F.lli Fiorentino Srl n° fatt 1/1714 - 10/02/2025</t>
        </is>
      </c>
      <c r="F199" s="36" t="inlineStr">
        <is>
          <t>Margar wienercreme da kg.2,5x4    Si allergeni - F.lli fiorentino srl n° fatt 1/16216 - 21/12/2024</t>
        </is>
      </c>
      <c r="G199" s="36" t="n">
        <v>0</v>
      </c>
      <c r="H199" s="36" t="n">
        <v>0</v>
      </c>
      <c r="I199" s="36" t="n">
        <v>0</v>
      </c>
      <c r="J199" s="36" t="n">
        <v>0</v>
      </c>
      <c r="K199" s="36" t="n">
        <v>0</v>
      </c>
      <c r="L199" s="36" t="n">
        <v>0</v>
      </c>
      <c r="M199" s="36" t="n">
        <v>0</v>
      </c>
      <c r="N199" s="36" t="n">
        <v>0</v>
      </c>
      <c r="O199" s="36" t="n">
        <v>0</v>
      </c>
      <c r="P199" s="35" t="n">
        <v>0</v>
      </c>
      <c r="Q199" s="36" t="n">
        <v>0</v>
      </c>
      <c r="R199" s="182" t="n">
        <v>45736</v>
      </c>
      <c r="S199" s="181" t="n">
        <v>45756</v>
      </c>
      <c r="T199" s="35" t="inlineStr">
        <is>
          <t>20250320</t>
        </is>
      </c>
      <c r="U199" s="36" t="inlineStr">
        <is>
          <t>Prussiana - contiene allergni - prodotto il giorno 20/03/2025</t>
        </is>
      </c>
    </row>
    <row r="200" ht="126" customHeight="1" s="155">
      <c r="A200" s="28">
        <f>A199+1</f>
        <v/>
      </c>
      <c r="B200" s="35" t="inlineStr">
        <is>
          <t>Fiocco di Neve</t>
        </is>
      </c>
      <c r="C200" s="36" t="inlineStr">
        <is>
          <t>FARINA 00   Si allergeni - F.lli Fiorentino Srl n° fatt 229374 - 27/02/2025</t>
        </is>
      </c>
      <c r="D200" s="36" t="inlineStr">
        <is>
          <t>margarina sfoglia  Si allergeni - "RONDINELLA MARKET S.R.L." n° fatt 327 - 24/02/2025</t>
        </is>
      </c>
      <c r="E200" s="36" t="inlineStr">
        <is>
          <t>LIEVITO  Si allergeni - SAIMA S.p.A. n° fatt 1/36149 - 11/03/2025</t>
        </is>
      </c>
      <c r="F200" s="36" t="inlineStr">
        <is>
          <t>uova   - DF BALDASSARRE SRL n° fatt 1071 - 13/03/2025</t>
        </is>
      </c>
      <c r="G200" s="36" t="inlineStr">
        <is>
          <t>panettone  Si allergeni - Rondinella market s.r.l. n° fatt 51 - 10/01/2025</t>
        </is>
      </c>
      <c r="H200" s="36" t="inlineStr">
        <is>
          <t>Latte   1000 int.uht  yma  Si allergeni - G.i.a.l. generale ingrosso alimentare s.r.l. n° fatt V1-50172 - 31/12/2024</t>
        </is>
      </c>
      <c r="I200" s="36" t="inlineStr">
        <is>
          <t>sale  No allergeni - F.lli Fiorentino Srl n° fatt 229374 - 27/02/2025</t>
        </is>
      </c>
      <c r="J200" s="36" t="inlineStr">
        <is>
          <t>NUOVA BIANCALIEVE CREMA DA MONTARE    Si allergeni - SAIMA S.p.A. n° fatt 1/23722 - 18/02/2025</t>
        </is>
      </c>
      <c r="K200" s="36" t="inlineStr">
        <is>
          <t>Ricotta zuccherata congelata  Si allergeni - Gargiulo giuseppe n° fatt Fpr 438/24 - 30/11/2024</t>
        </is>
      </c>
      <c r="L200" s="36" t="n">
        <v>0</v>
      </c>
      <c r="M200" s="36" t="n">
        <v>0</v>
      </c>
      <c r="N200" s="36" t="n">
        <v>0</v>
      </c>
      <c r="O200" s="36" t="n">
        <v>0</v>
      </c>
      <c r="P200" s="35" t="n">
        <v>0</v>
      </c>
      <c r="Q200" s="36" t="n">
        <v>0</v>
      </c>
      <c r="R200" s="182" t="n">
        <v>45736</v>
      </c>
      <c r="S200" s="181" t="n">
        <v>45756</v>
      </c>
      <c r="T200" s="35" t="inlineStr">
        <is>
          <t>20250320</t>
        </is>
      </c>
      <c r="U200" s="36" t="inlineStr">
        <is>
          <t>Fiocco di Neve - contiene allergni - prodotto il giorno 20/03/2025</t>
        </is>
      </c>
    </row>
    <row r="201" ht="94.5" customHeight="1" s="155">
      <c r="A201" s="28">
        <f>A200+1</f>
        <v/>
      </c>
      <c r="B201" s="35" t="inlineStr">
        <is>
          <t>Sfogliatella riccia</t>
        </is>
      </c>
      <c r="C201" s="36" t="inlineStr">
        <is>
          <t>Tappi  grandi  g 55/61  Si allergeni - Dolciaria Acquaviva S.p.A. n° fatt 409026 - 18/02/2025</t>
        </is>
      </c>
      <c r="D201" s="36" t="inlineStr">
        <is>
          <t>sale  No allergeni - F.lli Fiorentino Srl n° fatt 229374 - 27/02/2025</t>
        </is>
      </c>
      <c r="E201" s="36" t="inlineStr">
        <is>
          <t>ZUCCHERO   No allergeni - F.lli Fiorentino Srl n° fatt 229374 - 27/02/2025</t>
        </is>
      </c>
      <c r="F201" s="36" t="inlineStr">
        <is>
          <t>uova   - DF BALDASSARRE SRL n° fatt 1071 - 13/03/2025</t>
        </is>
      </c>
      <c r="G201" s="36" t="inlineStr">
        <is>
          <t>Semola di grano duro x 5kg  Si allergeni - F.lli Fiorentino Srl n° fatt 1/1714 - 10/02/2025</t>
        </is>
      </c>
      <c r="H201" s="36" t="inlineStr">
        <is>
          <t>Ciliegie rosse/verdi  Si allergeni - Rondinella market s.r.l. n° fatt 2090 - 09/12/2024</t>
        </is>
      </c>
      <c r="I201" s="36" t="inlineStr">
        <is>
          <t>STRUTTO  No allergeni - F.lli Fiorentino Srl n° fatt 229374 - 27/02/2025</t>
        </is>
      </c>
      <c r="J201" s="36" t="n">
        <v>0</v>
      </c>
      <c r="K201" s="36" t="n">
        <v>0</v>
      </c>
      <c r="L201" s="36" t="n">
        <v>0</v>
      </c>
      <c r="M201" s="36" t="n">
        <v>0</v>
      </c>
      <c r="N201" s="36" t="n">
        <v>0</v>
      </c>
      <c r="O201" s="36" t="n">
        <v>0</v>
      </c>
      <c r="P201" s="35" t="n">
        <v>0</v>
      </c>
      <c r="Q201" s="36" t="n">
        <v>0</v>
      </c>
      <c r="R201" s="182" t="n">
        <v>45740</v>
      </c>
      <c r="S201" s="181" t="n">
        <v>45760</v>
      </c>
      <c r="T201" s="35" t="inlineStr">
        <is>
          <t>20250324</t>
        </is>
      </c>
      <c r="U201" s="36" t="inlineStr">
        <is>
          <t>Sfogliatella riccia - contiene allergni - prodotto il giorno 24/03/2025</t>
        </is>
      </c>
    </row>
    <row r="202" ht="94.5" customHeight="1" s="155">
      <c r="A202" s="28">
        <f>A201+1</f>
        <v/>
      </c>
      <c r="B202" s="35" t="inlineStr">
        <is>
          <t>Sfogliatella frolla</t>
        </is>
      </c>
      <c r="C202" s="36" t="inlineStr">
        <is>
          <t>Farina 0  Si allergeni - F.lli Fiorentino Srl n° fatt 1/1714 - 10/02/2025</t>
        </is>
      </c>
      <c r="D202" s="36" t="inlineStr">
        <is>
          <t>sale  No allergeni - F.lli Fiorentino Srl n° fatt 229374 - 27/02/2025</t>
        </is>
      </c>
      <c r="E202" s="36" t="inlineStr">
        <is>
          <t>ZUCCHERO   No allergeni - F.lli Fiorentino Srl n° fatt 229374 - 27/02/2025</t>
        </is>
      </c>
      <c r="F202" s="36" t="inlineStr">
        <is>
          <t>uova   - DF BALDASSARRE SRL n° fatt 1071 - 13/03/2025</t>
        </is>
      </c>
      <c r="G202" s="36" t="inlineStr">
        <is>
          <t>Semola di grano duro x 5kg  Si allergeni - F.lli Fiorentino Srl n° fatt 1/1714 - 10/02/2025</t>
        </is>
      </c>
      <c r="H202" s="36" t="inlineStr">
        <is>
          <t>Ciliegie rosse/verdi  Si allergeni - Rondinella market s.r.l. n° fatt 2090 - 09/12/2024</t>
        </is>
      </c>
      <c r="I202" s="36" t="inlineStr">
        <is>
          <t>STRUTTO  No allergeni - F.lli Fiorentino Srl n° fatt 229374 - 27/02/2025</t>
        </is>
      </c>
      <c r="J202" s="36" t="n">
        <v>0</v>
      </c>
      <c r="K202" s="36" t="n">
        <v>0</v>
      </c>
      <c r="L202" s="36" t="n">
        <v>0</v>
      </c>
      <c r="M202" s="36" t="n">
        <v>0</v>
      </c>
      <c r="N202" s="36" t="n">
        <v>0</v>
      </c>
      <c r="O202" s="36" t="n">
        <v>0</v>
      </c>
      <c r="P202" s="35" t="n">
        <v>0</v>
      </c>
      <c r="Q202" s="36" t="n">
        <v>0</v>
      </c>
      <c r="R202" s="182" t="n">
        <v>45740</v>
      </c>
      <c r="S202" s="181" t="n">
        <v>45760</v>
      </c>
      <c r="T202" s="35" t="inlineStr">
        <is>
          <t>20250324</t>
        </is>
      </c>
      <c r="U202" s="36" t="inlineStr">
        <is>
          <t>Sfogliatella frolla - contiene allergni - prodotto il giorno 24/03/2025</t>
        </is>
      </c>
    </row>
    <row r="203" ht="94.5" customHeight="1" s="155">
      <c r="A203" s="28">
        <f>A202+1</f>
        <v/>
      </c>
      <c r="B203" s="35" t="inlineStr">
        <is>
          <t>Pizza Margherita</t>
        </is>
      </c>
      <c r="C203" s="36" t="inlineStr">
        <is>
          <t>Farina 0  Si allergeni - F.lli Fiorentino Srl n° fatt 1/1714 - 10/02/2025</t>
        </is>
      </c>
      <c r="D203" s="36" t="inlineStr">
        <is>
          <t>Sale  No allergeni - F.lli Fiorentino Srl n° fatt 229374 - 27/02/2025</t>
        </is>
      </c>
      <c r="E203" s="36" t="inlineStr">
        <is>
          <t>Lievito  Si allergeni - SAIMA S.p.A. n° fatt 1/36149 - 11/03/2025</t>
        </is>
      </c>
      <c r="F203" s="36" t="inlineStr">
        <is>
          <t>Strutto  No allergeni - F.lli Fiorentino Srl n° fatt 229374 - 27/02/2025</t>
        </is>
      </c>
      <c r="G203" s="36" t="inlineStr">
        <is>
          <t>Pomodori pelati kg.3 torrente    Si allergeni - F.lli Fiorentino Srl n° fatt 229374 - 27/02/2025</t>
        </is>
      </c>
      <c r="H203" s="36" t="inlineStr">
        <is>
          <t>Fiori e provola  Si allergeni - CILATTE di Cilento A. e c. snc n° fatt 62 - 28/02/2025</t>
        </is>
      </c>
      <c r="I203" s="36" t="n">
        <v>0</v>
      </c>
      <c r="J203" s="36" t="n">
        <v>0</v>
      </c>
      <c r="K203" s="36" t="n">
        <v>0</v>
      </c>
      <c r="L203" s="36" t="n">
        <v>0</v>
      </c>
      <c r="M203" s="36" t="n">
        <v>0</v>
      </c>
      <c r="N203" s="36" t="n">
        <v>0</v>
      </c>
      <c r="O203" s="36" t="n">
        <v>0</v>
      </c>
      <c r="P203" s="35" t="n">
        <v>0</v>
      </c>
      <c r="Q203" s="36" t="n">
        <v>0</v>
      </c>
      <c r="R203" s="182" t="n">
        <v>45741</v>
      </c>
      <c r="S203" s="181" t="n">
        <v>45761</v>
      </c>
      <c r="T203" s="35" t="inlineStr">
        <is>
          <t>20250325</t>
        </is>
      </c>
      <c r="U203" s="36" t="inlineStr">
        <is>
          <t>Pizza Margherita - contiene allergni - prodotto il giorno 25/03/2025</t>
        </is>
      </c>
    </row>
    <row r="204" ht="94.5" customHeight="1" s="155">
      <c r="A204" s="28">
        <f>A203+1</f>
        <v/>
      </c>
      <c r="B204" s="35" t="inlineStr">
        <is>
          <t>Arancini</t>
        </is>
      </c>
      <c r="C204" s="36" t="inlineStr">
        <is>
          <t>Riso  No allergeni - F.lli Fiorentino Srl n° fatt 1/147 - 03/01/2025</t>
        </is>
      </c>
      <c r="D204" s="36" t="inlineStr">
        <is>
          <t>Sale  No allergeni - F.lli Fiorentino Srl n° fatt 229374 - 27/02/2025</t>
        </is>
      </c>
      <c r="E204" s="36" t="inlineStr">
        <is>
          <t>Sedano orig.it.l.20/f.691/a-2014  Si allergeni - I COZZOLINO SRL n° fatt D578 - 28/02/2025</t>
        </is>
      </c>
      <c r="F204" s="36" t="inlineStr">
        <is>
          <t>Carote  No allergeni -  n° fatt D313  - 31/01/2025</t>
        </is>
      </c>
      <c r="G204" s="36" t="inlineStr">
        <is>
          <t>Olio extrav oliva sorrento l.5x2    No allergeni - F.lli Fiorentino Srl n° fatt 1/1714 - 10/02/2025</t>
        </is>
      </c>
      <c r="H204" s="36" t="inlineStr"/>
      <c r="I204" s="36" t="inlineStr"/>
      <c r="J204" s="36" t="inlineStr"/>
      <c r="K204" s="36" t="inlineStr"/>
      <c r="L204" s="36" t="inlineStr"/>
      <c r="M204" s="36" t="inlineStr"/>
      <c r="N204" s="36" t="inlineStr"/>
      <c r="O204" s="36" t="inlineStr"/>
      <c r="P204" s="35" t="inlineStr"/>
      <c r="Q204" s="36" t="inlineStr"/>
      <c r="R204" s="182" t="n">
        <v>45741</v>
      </c>
      <c r="S204" s="181" t="n">
        <v>45761</v>
      </c>
      <c r="T204" s="35" t="inlineStr">
        <is>
          <t>20250325</t>
        </is>
      </c>
      <c r="U204" s="36" t="inlineStr">
        <is>
          <t>Arancini - contiene allergni - prodotto il giorno 25/03/2025</t>
        </is>
      </c>
    </row>
    <row r="205" ht="94.5" customHeight="1" s="155">
      <c r="A205" s="28">
        <f>A204+1</f>
        <v/>
      </c>
      <c r="B205" s="35" t="inlineStr">
        <is>
          <t>Frittatina</t>
        </is>
      </c>
      <c r="C205" s="36" t="inlineStr">
        <is>
          <t>Spaghettoni  Si allergeni - F.lli Fiorentino Srl n° fatt 1/779 - 20/01/2025</t>
        </is>
      </c>
      <c r="D205" s="36" t="inlineStr">
        <is>
          <t>Sale  No allergeni - F.lli Fiorentino Srl n° fatt 229374 - 27/02/2025</t>
        </is>
      </c>
      <c r="E205" s="36" t="inlineStr">
        <is>
          <t>Latte   1000 scr.uht  yma  Si allergeni - G.i.a.l. generale ingrosso alimentare s.r.l. n° fatt V1-50172 - 31/12/2024</t>
        </is>
      </c>
      <c r="F205" s="36" t="inlineStr">
        <is>
          <t>Margarina crema  Si allergeni - "RONDINELLA MARKET S.R.L." n° fatt 327 - 24/02/2025</t>
        </is>
      </c>
      <c r="G205" s="36" t="inlineStr">
        <is>
          <t>Farina 0  Si allergeni - F.lli Fiorentino Srl n° fatt 1/1714 - 10/02/2025</t>
        </is>
      </c>
      <c r="H205" s="36" t="inlineStr">
        <is>
          <t>Carote  No allergeni -  n° fatt D313  - 31/01/2025</t>
        </is>
      </c>
      <c r="I205" s="36" t="inlineStr">
        <is>
          <t>Piselli bonduelle gr.580x12    Si allergeni - F.lli fiorentino srl n° fatt 1/15448 - 06/12/2024</t>
        </is>
      </c>
      <c r="J205" s="36" t="inlineStr">
        <is>
          <t>Olio extrav oliva sorrento l.5x2    No allergeni - F.lli Fiorentino Srl n° fatt 1/1714 - 10/02/2025</t>
        </is>
      </c>
      <c r="K205" s="36" t="inlineStr">
        <is>
          <t>Prezzemolo  No allergeni - GARGIULO GIUSEPPE n° fatt D578 - 28/02/2025</t>
        </is>
      </c>
      <c r="L205" s="36" t="n">
        <v>0</v>
      </c>
      <c r="M205" s="36" t="inlineStr"/>
      <c r="N205" s="36" t="inlineStr"/>
      <c r="O205" s="36" t="inlineStr"/>
      <c r="P205" s="35" t="inlineStr"/>
      <c r="Q205" s="36" t="inlineStr"/>
      <c r="R205" s="182" t="n">
        <v>45741</v>
      </c>
      <c r="S205" s="181" t="n">
        <v>45761</v>
      </c>
      <c r="T205" s="35" t="inlineStr">
        <is>
          <t>20250325</t>
        </is>
      </c>
      <c r="U205" s="36" t="inlineStr">
        <is>
          <t>Frittatina - contiene allergni - prodotto il giorno 25/03/2025</t>
        </is>
      </c>
    </row>
    <row r="206" ht="94.5" customHeight="1" s="155">
      <c r="A206" s="28">
        <f>A205+1</f>
        <v/>
      </c>
      <c r="B206" s="35" t="inlineStr">
        <is>
          <t>Melanzane in Padella</t>
        </is>
      </c>
      <c r="C206" s="36" t="inlineStr">
        <is>
          <t>Melanzane l.197-002155-0008629  No allergeni - I COZZOLINO SRL n° fatt D759 - 10/03/2025</t>
        </is>
      </c>
      <c r="D206" s="36" t="inlineStr">
        <is>
          <t>Sale  No allergeni - F.lli Fiorentino Srl n° fatt 229374 - 27/02/2025</t>
        </is>
      </c>
      <c r="E206" s="36" t="inlineStr">
        <is>
          <t>Olio extrav oliva sorrento l.5x2    No allergeni - F.lli Fiorentino Srl n° fatt 1/1714 - 10/02/2025</t>
        </is>
      </c>
      <c r="F206" s="36" t="n">
        <v>0</v>
      </c>
      <c r="G206" s="36" t="n">
        <v>0</v>
      </c>
      <c r="H206" s="36" t="n">
        <v>0</v>
      </c>
      <c r="I206" s="36" t="n">
        <v>0</v>
      </c>
      <c r="J206" s="36" t="n">
        <v>0</v>
      </c>
      <c r="K206" s="36" t="n">
        <v>0</v>
      </c>
      <c r="L206" s="36" t="n">
        <v>0</v>
      </c>
      <c r="M206" s="36" t="n">
        <v>0</v>
      </c>
      <c r="N206" s="36" t="n">
        <v>0</v>
      </c>
      <c r="O206" s="36" t="n">
        <v>0</v>
      </c>
      <c r="P206" s="35" t="n">
        <v>0</v>
      </c>
      <c r="Q206" s="36" t="n">
        <v>0</v>
      </c>
      <c r="R206" s="182" t="n">
        <v>45741</v>
      </c>
      <c r="S206" s="181" t="n">
        <v>45761</v>
      </c>
      <c r="T206" s="35" t="inlineStr">
        <is>
          <t>20250325</t>
        </is>
      </c>
      <c r="U206" s="36" t="inlineStr">
        <is>
          <t>Melanzane in Padella - contiene allergni - prodotto il giorno 25/03/2025</t>
        </is>
      </c>
    </row>
    <row r="207" ht="94.5" customHeight="1" s="155">
      <c r="A207" s="28">
        <f>A206+1</f>
        <v/>
      </c>
      <c r="B207" s="35" t="inlineStr">
        <is>
          <t>Pan di spagna</t>
        </is>
      </c>
      <c r="C207" s="36" t="inlineStr">
        <is>
          <t>Farina 0  Si allergeni - F.lli Fiorentino Srl n° fatt 1/1714 - 10/02/2025</t>
        </is>
      </c>
      <c r="D207" s="36" t="inlineStr">
        <is>
          <t>Sale  No allergeni - F.lli Fiorentino Srl n° fatt 229374 - 27/02/2025</t>
        </is>
      </c>
      <c r="E207" s="36" t="inlineStr">
        <is>
          <t>Zucchero   No allergeni - F.lli Fiorentino Srl n° fatt 229374 - 27/02/2025</t>
        </is>
      </c>
      <c r="F207" s="36" t="inlineStr">
        <is>
          <t>Tuorlo d'uovo pastorizzato da allevamento a terra    Si allergeni - SAIMA S.p.A. n° fatt 1/36149 - 11/03/2025</t>
        </is>
      </c>
      <c r="G207" s="36" t="inlineStr">
        <is>
          <t>Margarina crema  Si allergeni - "RONDINELLA MARKET S.R.L." n° fatt 327 - 24/02/2025</t>
        </is>
      </c>
      <c r="H207" s="36" t="n">
        <v>0</v>
      </c>
      <c r="I207" s="36" t="n">
        <v>0</v>
      </c>
      <c r="J207" s="36" t="n">
        <v>0</v>
      </c>
      <c r="K207" s="36" t="n">
        <v>0</v>
      </c>
      <c r="L207" s="36" t="n">
        <v>0</v>
      </c>
      <c r="M207" s="36" t="n">
        <v>0</v>
      </c>
      <c r="N207" s="36" t="n">
        <v>0</v>
      </c>
      <c r="O207" s="36" t="n">
        <v>0</v>
      </c>
      <c r="P207" s="35" t="n">
        <v>0</v>
      </c>
      <c r="Q207" s="36" t="n">
        <v>0</v>
      </c>
      <c r="R207" s="182" t="n">
        <v>45742</v>
      </c>
      <c r="S207" s="181" t="n">
        <v>45762</v>
      </c>
      <c r="T207" s="35" t="inlineStr">
        <is>
          <t>20250326</t>
        </is>
      </c>
      <c r="U207" s="36" t="inlineStr">
        <is>
          <t>Pan di spagna - contiene allergni - prodotto il giorno 26/03/2025</t>
        </is>
      </c>
    </row>
    <row r="208" ht="94.5" customHeight="1" s="155">
      <c r="A208" s="28">
        <f>A207+1</f>
        <v/>
      </c>
      <c r="B208" s="35" t="inlineStr">
        <is>
          <t>Pan di spagna</t>
        </is>
      </c>
      <c r="C208" s="36" t="inlineStr">
        <is>
          <t>Farina 0  Si allergeni - F.lli Fiorentino Srl n° fatt 1/1714 - 10/02/2025</t>
        </is>
      </c>
      <c r="D208" s="36" t="inlineStr">
        <is>
          <t>Sale  No allergeni - F.lli Fiorentino Srl n° fatt 229374 - 27/02/2025</t>
        </is>
      </c>
      <c r="E208" s="36" t="inlineStr">
        <is>
          <t>Zucchero   No allergeni - F.lli Fiorentino Srl n° fatt 229374 - 27/02/2025</t>
        </is>
      </c>
      <c r="F208" s="36" t="inlineStr">
        <is>
          <t>Tuorlo d'uovo pastorizzato da allevamento a terra    Si allergeni - SAIMA S.p.A. n° fatt 1/36149 - 11/03/2025</t>
        </is>
      </c>
      <c r="G208" s="36" t="inlineStr">
        <is>
          <t>Margarina crema  Si allergeni - "RONDINELLA MARKET S.R.L." n° fatt 327 - 24/02/2025</t>
        </is>
      </c>
      <c r="H208" s="36" t="n">
        <v>0</v>
      </c>
      <c r="I208" s="36" t="n">
        <v>0</v>
      </c>
      <c r="J208" s="36" t="n">
        <v>0</v>
      </c>
      <c r="K208" s="36" t="n">
        <v>0</v>
      </c>
      <c r="L208" s="36" t="n">
        <v>0</v>
      </c>
      <c r="M208" s="36" t="n">
        <v>0</v>
      </c>
      <c r="N208" s="36" t="n">
        <v>0</v>
      </c>
      <c r="O208" s="36" t="n">
        <v>0</v>
      </c>
      <c r="P208" s="35" t="n">
        <v>0</v>
      </c>
      <c r="Q208" s="36" t="n">
        <v>0</v>
      </c>
      <c r="R208" s="182" t="n">
        <v>45742</v>
      </c>
      <c r="S208" s="181" t="n">
        <v>45762</v>
      </c>
      <c r="T208" s="35" t="inlineStr">
        <is>
          <t>20250326</t>
        </is>
      </c>
      <c r="U208" s="36" t="inlineStr">
        <is>
          <t>Pan di spagna - contiene allergni - prodotto il giorno 26/03/2025</t>
        </is>
      </c>
    </row>
    <row r="209" ht="78.75" customHeight="1" s="155">
      <c r="A209" s="28">
        <f>A208+1</f>
        <v/>
      </c>
      <c r="B209" s="35" t="inlineStr">
        <is>
          <t>Focaccia Margherita</t>
        </is>
      </c>
      <c r="C209" s="36" t="inlineStr">
        <is>
          <t>FARINA 0  Si allergeni - F.lli Fiorentino Srl n° fatt 1/10655 - 26/08/2025</t>
        </is>
      </c>
      <c r="D209" s="36" t="inlineStr">
        <is>
          <t>sale  No allergeni - F.lli Fiorentino Srl n° fatt 1/10655 - 26/08/2025</t>
        </is>
      </c>
      <c r="E209" s="36" t="inlineStr">
        <is>
          <t>LIEVITO  No allergeni - F.lli Fiorentino Srl n° fatt 1/10655 - 26/08/2025</t>
        </is>
      </c>
      <c r="F209" s="36" t="inlineStr">
        <is>
          <t>STRUTTO  Si allergeni - F.lli Fiorentino Srl n° fatt 1/10655 - 26/08/2025</t>
        </is>
      </c>
      <c r="G209" s="36" t="inlineStr">
        <is>
          <t>Pomodori  No allergeni - I COZZOLINO SRL n° fatt D2281 - 31/08/2025</t>
        </is>
      </c>
      <c r="H209" s="36" t="inlineStr"/>
      <c r="I209" s="36" t="n">
        <v>0</v>
      </c>
      <c r="J209" s="36" t="n">
        <v>0</v>
      </c>
      <c r="K209" s="36" t="n">
        <v>0</v>
      </c>
      <c r="L209" s="36" t="n">
        <v>0</v>
      </c>
      <c r="M209" s="36" t="n">
        <v>0</v>
      </c>
      <c r="N209" s="36" t="n">
        <v>0</v>
      </c>
      <c r="O209" s="36" t="n">
        <v>0</v>
      </c>
      <c r="P209" s="35" t="n">
        <v>0</v>
      </c>
      <c r="Q209" s="36" t="n">
        <v>0</v>
      </c>
      <c r="R209" s="182" t="n">
        <v>45906</v>
      </c>
      <c r="S209" s="181" t="n">
        <v>45926</v>
      </c>
      <c r="T209" s="35" t="inlineStr">
        <is>
          <t>20250906</t>
        </is>
      </c>
      <c r="U209" s="36" t="inlineStr">
        <is>
          <t>Focaccia Margherita - contiene allergni - prodotto il giorno 06/09/2025</t>
        </is>
      </c>
    </row>
    <row r="210" ht="126" customHeight="1" s="155">
      <c r="A210" s="28">
        <f>A209+1</f>
        <v/>
      </c>
      <c r="B210" s="35" t="inlineStr">
        <is>
          <t>Sfogliatella riccia</t>
        </is>
      </c>
      <c r="C210" s="36" t="inlineStr">
        <is>
          <t>TAPPI  GRANDI  G 55/60  Si allergeni - Dolciaria Acquaviva S.p.A. sog. all'att. di dir. e coord. di Vandemoortele NV n° fatt 911200 - 02/09/2025</t>
        </is>
      </c>
      <c r="D210" s="36" t="inlineStr">
        <is>
          <t>sale  No allergeni - F.lli Fiorentino Srl n° fatt 1/10655 - 26/08/2025</t>
        </is>
      </c>
      <c r="E210" s="36" t="inlineStr">
        <is>
          <t>ZUCCHERO RAF.SEM.ERIDANIA KG.25    No allergeni - F.lli Fiorentino Srl n° fatt 1/10655 - 26/08/2025</t>
        </is>
      </c>
      <c r="F210" s="36" t="inlineStr">
        <is>
          <t>uova  Si allergeni - NATURISSIME SRL n° fatt 3753 - 04/09/2025</t>
        </is>
      </c>
      <c r="G210" s="36" t="inlineStr">
        <is>
          <t>SEMOLA D'AUTORE PER RIPIENO DI SFOGLIATELLA IN CONFEZIO DA KG 5    Si allergeni - SAIMA S.p.A. n° fatt 1/150800 - 03/09/2025</t>
        </is>
      </c>
      <c r="H210" s="36" t="inlineStr"/>
      <c r="I210" s="36" t="inlineStr">
        <is>
          <t>STRUTTO  Si allergeni - F.lli Fiorentino Srl n° fatt 1/10655 - 26/08/2025</t>
        </is>
      </c>
      <c r="J210" s="36" t="n">
        <v>0</v>
      </c>
      <c r="K210" s="36" t="n">
        <v>0</v>
      </c>
      <c r="L210" s="36" t="n">
        <v>0</v>
      </c>
      <c r="M210" s="36" t="n">
        <v>0</v>
      </c>
      <c r="N210" s="36" t="n">
        <v>0</v>
      </c>
      <c r="O210" s="36" t="n">
        <v>0</v>
      </c>
      <c r="P210" s="35" t="n">
        <v>0</v>
      </c>
      <c r="Q210" s="36" t="n">
        <v>0</v>
      </c>
      <c r="R210" s="182" t="n">
        <v>45906</v>
      </c>
      <c r="S210" s="181" t="n">
        <v>45926</v>
      </c>
      <c r="T210" s="35" t="inlineStr">
        <is>
          <t>20250906</t>
        </is>
      </c>
      <c r="U210" s="36" t="inlineStr">
        <is>
          <t>Sfogliatella riccia - contiene allergni - prodotto il giorno 06/09/2025</t>
        </is>
      </c>
    </row>
    <row r="211" ht="126" customHeight="1" s="155">
      <c r="A211" s="28">
        <f>A210+1</f>
        <v/>
      </c>
      <c r="B211" s="35" t="inlineStr">
        <is>
          <t>Sfogliatella frolla</t>
        </is>
      </c>
      <c r="C211" s="36" t="inlineStr">
        <is>
          <t>FARINA 0  Si allergeni - F.lli Fiorentino Srl n° fatt 1/10655 - 26/08/2025</t>
        </is>
      </c>
      <c r="D211" s="36" t="inlineStr">
        <is>
          <t>sale  No allergeni - F.lli Fiorentino Srl n° fatt 1/10655 - 26/08/2025</t>
        </is>
      </c>
      <c r="E211" s="36" t="inlineStr">
        <is>
          <t>ZUCCHERO RAF.SEM.ERIDANIA KG.25    No allergeni - F.lli Fiorentino Srl n° fatt 1/10655 - 26/08/2025</t>
        </is>
      </c>
      <c r="F211" s="36" t="inlineStr">
        <is>
          <t>uova  Si allergeni - NATURISSIME SRL n° fatt 3753 - 04/09/2025</t>
        </is>
      </c>
      <c r="G211" s="36" t="inlineStr">
        <is>
          <t>SEMOLA D'AUTORE PER RIPIENO DI SFOGLIATELLA IN CONFEZIO DA KG 5    Si allergeni - SAIMA S.p.A. n° fatt 1/150800 - 03/09/2025</t>
        </is>
      </c>
      <c r="H211" s="36" t="inlineStr">
        <is>
          <t>GELATINA GELINA A FREDDO NEUTRA IN CONFEZIONE DA KG 6    No allergeni - SAIMA S.p.A. n° fatt 1/145130 - 26/08/2025</t>
        </is>
      </c>
      <c r="I211" s="36" t="inlineStr">
        <is>
          <t>STRUTTO  Si allergeni - F.lli Fiorentino Srl n° fatt 1/10655 - 26/08/2025</t>
        </is>
      </c>
      <c r="J211" s="36" t="n">
        <v>0</v>
      </c>
      <c r="K211" s="36" t="n">
        <v>0</v>
      </c>
      <c r="L211" s="36" t="n">
        <v>0</v>
      </c>
      <c r="M211" s="36" t="n">
        <v>0</v>
      </c>
      <c r="N211" s="36" t="n">
        <v>0</v>
      </c>
      <c r="O211" s="36" t="n">
        <v>0</v>
      </c>
      <c r="P211" s="35" t="n">
        <v>0</v>
      </c>
      <c r="Q211" s="36" t="n">
        <v>0</v>
      </c>
      <c r="R211" s="182" t="n">
        <v>45906</v>
      </c>
      <c r="S211" s="181" t="n">
        <v>45926</v>
      </c>
      <c r="T211" s="35" t="inlineStr">
        <is>
          <t>20250906</t>
        </is>
      </c>
      <c r="U211" s="36" t="inlineStr">
        <is>
          <t>Sfogliatella frolla - contiene allergni - prodotto il giorno 06/09/2025</t>
        </is>
      </c>
    </row>
    <row r="212" ht="126" customHeight="1" s="155">
      <c r="A212" s="28">
        <f>A211+1</f>
        <v/>
      </c>
      <c r="B212" s="35" t="inlineStr">
        <is>
          <t>Sfogliatella frolla</t>
        </is>
      </c>
      <c r="C212" s="36" t="inlineStr">
        <is>
          <t>FARINA 0  Si allergeni - F.lli Fiorentino Srl n° fatt 1/10655 - 26/08/2025</t>
        </is>
      </c>
      <c r="D212" s="36" t="inlineStr">
        <is>
          <t>sale  No allergeni - F.lli Fiorentino Srl n° fatt 1/10655 - 26/08/2025</t>
        </is>
      </c>
      <c r="E212" s="36" t="inlineStr">
        <is>
          <t>ZUCCHERO RAF.SEM.ERIDANIA KG.25    No allergeni - F.lli Fiorentino Srl n° fatt 1/10655 - 26/08/2025</t>
        </is>
      </c>
      <c r="F212" s="36" t="inlineStr">
        <is>
          <t>uova  Si allergeni - NATURISSIME SRL n° fatt 3753 - 04/09/2025</t>
        </is>
      </c>
      <c r="G212" s="36" t="inlineStr">
        <is>
          <t>SEMOLA D'AUTORE PER RIPIENO DI SFOGLIATELLA IN CONFEZIO DA KG 5    Si allergeni - SAIMA S.p.A. n° fatt 1/150800 - 03/09/2025</t>
        </is>
      </c>
      <c r="H212" s="36" t="inlineStr">
        <is>
          <t>GELATINA GELINA A FREDDO NEUTRA IN CONFEZIONE DA KG 6    No allergeni - SAIMA S.p.A. n° fatt 1/145130 - 26/08/2025</t>
        </is>
      </c>
      <c r="I212" s="36" t="inlineStr">
        <is>
          <t>STRUTTO  Si allergeni - F.lli Fiorentino Srl n° fatt 1/10655 - 26/08/2025</t>
        </is>
      </c>
      <c r="J212" s="36" t="n">
        <v>0</v>
      </c>
      <c r="K212" s="36" t="n">
        <v>0</v>
      </c>
      <c r="L212" s="36" t="n">
        <v>0</v>
      </c>
      <c r="M212" s="36" t="n">
        <v>0</v>
      </c>
      <c r="N212" s="36" t="n">
        <v>0</v>
      </c>
      <c r="O212" s="36" t="n">
        <v>0</v>
      </c>
      <c r="P212" s="35" t="n">
        <v>0</v>
      </c>
      <c r="Q212" s="36" t="n">
        <v>0</v>
      </c>
      <c r="R212" s="182" t="n">
        <v>45919</v>
      </c>
      <c r="S212" s="181" t="n">
        <v>45939</v>
      </c>
      <c r="T212" s="35" t="inlineStr">
        <is>
          <t>20250919</t>
        </is>
      </c>
      <c r="U212" s="36" t="inlineStr">
        <is>
          <t>Sfogliatella frolla - contiene allergni - prodotto il giorno 19/09/2025</t>
        </is>
      </c>
    </row>
    <row r="213" ht="126" customHeight="1" s="155">
      <c r="A213" s="28">
        <f>A212+1</f>
        <v/>
      </c>
      <c r="B213" s="35" t="inlineStr">
        <is>
          <t>Sfogliatella frolla</t>
        </is>
      </c>
      <c r="C213" s="36" t="inlineStr">
        <is>
          <t>FARINA 0  Si allergeni - F.lli Fiorentino Srl n° fatt 1/10655 - 26/08/2025</t>
        </is>
      </c>
      <c r="D213" s="36" t="inlineStr">
        <is>
          <t>sale  No allergeni - F.lli Fiorentino Srl n° fatt 1/10655 - 26/08/2025</t>
        </is>
      </c>
      <c r="E213" s="36" t="inlineStr">
        <is>
          <t>ZUCCHERO RAF.SEM.ERIDANIA KG.25    No allergeni - F.lli Fiorentino Srl n° fatt 1/10655 - 26/08/2025</t>
        </is>
      </c>
      <c r="F213" s="36" t="inlineStr">
        <is>
          <t>uova  Si allergeni - NATURISSIME SRL n° fatt 3753 - 04/09/2025</t>
        </is>
      </c>
      <c r="G213" s="36" t="inlineStr">
        <is>
          <t>SEMOLA D'AUTORE PER RIPIENO DI SFOGLIATELLA IN CONFEZIO DA KG 5    Si allergeni - SAIMA S.p.A. n° fatt 1/150800 - 03/09/2025</t>
        </is>
      </c>
      <c r="H213" s="36" t="inlineStr">
        <is>
          <t>GELATINA GELINA A FREDDO NEUTRA IN CONFEZIONE DA KG 6    No allergeni - SAIMA S.p.A. n° fatt 1/145130 - 26/08/2025</t>
        </is>
      </c>
      <c r="I213" s="36" t="inlineStr">
        <is>
          <t>STRUTTO  Si allergeni - F.lli Fiorentino Srl n° fatt 1/10655 - 26/08/2025</t>
        </is>
      </c>
      <c r="J213" s="36" t="n">
        <v>0</v>
      </c>
      <c r="K213" s="36" t="n">
        <v>0</v>
      </c>
      <c r="L213" s="36" t="n">
        <v>0</v>
      </c>
      <c r="M213" s="36" t="n">
        <v>0</v>
      </c>
      <c r="N213" s="36" t="n">
        <v>0</v>
      </c>
      <c r="O213" s="36" t="n">
        <v>0</v>
      </c>
      <c r="P213" s="35" t="n">
        <v>0</v>
      </c>
      <c r="Q213" s="36" t="n">
        <v>0</v>
      </c>
      <c r="R213" s="182" t="n">
        <v>45919</v>
      </c>
      <c r="S213" s="181" t="n">
        <v>45939</v>
      </c>
      <c r="T213" s="35" t="inlineStr">
        <is>
          <t>20250919</t>
        </is>
      </c>
      <c r="U213" s="36" t="inlineStr">
        <is>
          <t>Sfogliatella frolla - contiene allergni - prodotto il giorno 19/09/2025</t>
        </is>
      </c>
    </row>
    <row r="214" ht="126" customHeight="1" s="155">
      <c r="A214" s="28">
        <f>A213+1</f>
        <v/>
      </c>
      <c r="B214" s="35" t="inlineStr">
        <is>
          <t>Sfogliatella riccia</t>
        </is>
      </c>
      <c r="C214" s="36" t="inlineStr">
        <is>
          <t>TAPPI  GRANDI  G 55/60  Si allergeni - Dolciaria Acquaviva S.p.A. sog. all'att. di dir. e coord. di Vandemoortele NV n° fatt 911200 - 02/09/2025</t>
        </is>
      </c>
      <c r="D214" s="36" t="inlineStr">
        <is>
          <t>sale  No allergeni - F.lli Fiorentino Srl n° fatt 1/10655 - 26/08/2025</t>
        </is>
      </c>
      <c r="E214" s="36" t="inlineStr">
        <is>
          <t>ZUCCHERO RAF.SEM.ERIDANIA KG.25    No allergeni - F.lli Fiorentino Srl n° fatt 1/10655 - 26/08/2025</t>
        </is>
      </c>
      <c r="F214" s="36" t="inlineStr">
        <is>
          <t>uova  Si allergeni - NATURISSIME SRL n° fatt 3753 - 04/09/2025</t>
        </is>
      </c>
      <c r="G214" s="36" t="inlineStr">
        <is>
          <t>SEMOLA D'AUTORE PER RIPIENO DI SFOGLIATELLA IN CONFEZIO DA KG 5    Si allergeni - SAIMA S.p.A. n° fatt 1/150800 - 03/09/2025</t>
        </is>
      </c>
      <c r="H214" s="36" t="inlineStr"/>
      <c r="I214" s="36" t="inlineStr">
        <is>
          <t>STRUTTO  Si allergeni - F.lli Fiorentino Srl n° fatt 1/10655 - 26/08/2025</t>
        </is>
      </c>
      <c r="J214" s="36" t="n">
        <v>0</v>
      </c>
      <c r="K214" s="36" t="n">
        <v>0</v>
      </c>
      <c r="L214" s="36" t="n">
        <v>0</v>
      </c>
      <c r="M214" s="36" t="n">
        <v>0</v>
      </c>
      <c r="N214" s="36" t="n">
        <v>0</v>
      </c>
      <c r="O214" s="36" t="n">
        <v>0</v>
      </c>
      <c r="P214" s="35" t="n">
        <v>0</v>
      </c>
      <c r="Q214" s="36" t="n">
        <v>0</v>
      </c>
      <c r="R214" s="182" t="n">
        <v>45919</v>
      </c>
      <c r="S214" s="181" t="n">
        <v>45939</v>
      </c>
      <c r="T214" s="35" t="inlineStr">
        <is>
          <t>20250919</t>
        </is>
      </c>
      <c r="U214" s="36" t="inlineStr">
        <is>
          <t>Sfogliatella riccia - contiene allergni - prodotto il giorno 19/09/2025</t>
        </is>
      </c>
    </row>
    <row r="215" ht="126" customHeight="1" s="155">
      <c r="A215" s="28">
        <f>A214+1</f>
        <v/>
      </c>
      <c r="B215" s="35" t="inlineStr">
        <is>
          <t>Sfogliatella riccia</t>
        </is>
      </c>
      <c r="C215" s="36" t="inlineStr">
        <is>
          <t>TAPPI  GRANDI  Si allergeni - Dolciaria Acquaviva S.p.A. sog. all'att. di dir. e coord. di Vandemoortele NV n° fatt 911200 - 02/09/2025</t>
        </is>
      </c>
      <c r="D215" s="36" t="inlineStr">
        <is>
          <t>sale  No allergeni - F.lli Fiorentino Srl n° fatt 1/10655 - 26/08/2025</t>
        </is>
      </c>
      <c r="E215" s="36" t="inlineStr">
        <is>
          <t>ZUCCHERO SEMOLATO  No allergeni - F.lli Fiorentino Srl n° fatt 1/10655 - 26/08/2025</t>
        </is>
      </c>
      <c r="F215" s="36" t="inlineStr">
        <is>
          <t>uova  Si allergeni - NATURISSIME SRL n° fatt 3753 - 04/09/2025</t>
        </is>
      </c>
      <c r="G215" s="36" t="inlineStr">
        <is>
          <t>SEMOLA   Si allergeni - SAIMA S.p.A. n° fatt 1/150800 - 03/09/2025</t>
        </is>
      </c>
      <c r="H215" s="36" t="inlineStr"/>
      <c r="I215" s="36" t="inlineStr">
        <is>
          <t>STRUTTO  Si allergeni - F.lli Fiorentino Srl n° fatt 1/10655 - 26/08/2025</t>
        </is>
      </c>
      <c r="J215" s="36" t="n">
        <v>0</v>
      </c>
      <c r="K215" s="36" t="n">
        <v>0</v>
      </c>
      <c r="L215" s="36" t="n">
        <v>0</v>
      </c>
      <c r="M215" s="36" t="n">
        <v>0</v>
      </c>
      <c r="N215" s="36" t="n">
        <v>0</v>
      </c>
      <c r="O215" s="36" t="n">
        <v>0</v>
      </c>
      <c r="P215" s="35" t="n">
        <v>0</v>
      </c>
      <c r="Q215" s="36" t="n">
        <v>0</v>
      </c>
      <c r="R215" s="182" t="n">
        <v>45919</v>
      </c>
      <c r="S215" s="181" t="n">
        <v>45939</v>
      </c>
      <c r="T215" s="35" t="inlineStr">
        <is>
          <t>20250919</t>
        </is>
      </c>
      <c r="U215" s="36" t="inlineStr">
        <is>
          <t>Sfogliatella riccia - contiene allergni - prodotto il giorno 19/09/2025</t>
        </is>
      </c>
    </row>
    <row r="216" ht="78.75" customHeight="1" s="155">
      <c r="A216" s="28">
        <f>A215+1</f>
        <v/>
      </c>
      <c r="B216" s="35" t="inlineStr">
        <is>
          <t>Tiramisù</t>
        </is>
      </c>
      <c r="C216" s="36" t="inlineStr"/>
      <c r="D216" s="36" t="inlineStr">
        <is>
          <t>sale  Non contiene allergeni - F.lli Fiorentino Srl n° fatt 1/10655 - 26/08/2025</t>
        </is>
      </c>
      <c r="E216" s="36" t="inlineStr">
        <is>
          <t>ZUCCHERO SEMOLATO  Non contiene allergeni - F.lli Fiorentino Srl n° fatt 1/10655 - 26/08/2025</t>
        </is>
      </c>
      <c r="F216" s="36" t="inlineStr">
        <is>
          <t>uova  Contiene allergeni - NATURISSIME SRL n° fatt 3753 - 04/09/2025</t>
        </is>
      </c>
      <c r="G216" s="36" t="inlineStr"/>
      <c r="H216" s="36" t="inlineStr"/>
      <c r="I216" s="36" t="inlineStr"/>
      <c r="J216" s="36" t="inlineStr"/>
      <c r="K216" s="36" t="inlineStr"/>
      <c r="L216" s="36" t="n">
        <v>0</v>
      </c>
      <c r="M216" s="36" t="n">
        <v>0</v>
      </c>
      <c r="N216" s="36" t="n">
        <v>0</v>
      </c>
      <c r="O216" s="36" t="n">
        <v>0</v>
      </c>
      <c r="P216" s="35" t="n">
        <v>0</v>
      </c>
      <c r="Q216" s="36" t="n">
        <v>0</v>
      </c>
      <c r="R216" s="182" t="n">
        <v>45938</v>
      </c>
      <c r="S216" s="181" t="n">
        <v>45958</v>
      </c>
      <c r="T216" s="35" t="inlineStr">
        <is>
          <t>20251008</t>
        </is>
      </c>
      <c r="U216" s="36" t="inlineStr">
        <is>
          <t>Tiramisù - contiene allergni - prodotto il giorno 08/10/2025</t>
        </is>
      </c>
    </row>
    <row r="217" ht="157.5" customHeight="1" s="155">
      <c r="A217" s="28">
        <f>A216+1</f>
        <v/>
      </c>
      <c r="B217" s="35" t="inlineStr">
        <is>
          <t>cornetto ischitano</t>
        </is>
      </c>
      <c r="C217" s="36" t="inlineStr">
        <is>
          <t>FARINA 0/MAN. CAPUTO DA KG.25    contiene allergeni - F.lli Fiorentino Srl n° fatt 1/12232 - 30/09/2025</t>
        </is>
      </c>
      <c r="D217" s="36" t="inlineStr">
        <is>
          <t>margarina crema  contiene allergeni - saima s.p.a. n° fatt 1/145130 - 26/08/2025</t>
        </is>
      </c>
      <c r="E217" s="36" t="inlineStr">
        <is>
          <t>LIEVITO x 2.5kg  non contiene allergeni - "RONDINELLA MARKET S.R.L." n° fatt 1611 - 15/09/2025</t>
        </is>
      </c>
      <c r="F217" s="36" t="inlineStr">
        <is>
          <t>uova  contiene allergeni - NATURISSIME SRL n° fatt 4371 - 08/10/2025</t>
        </is>
      </c>
      <c r="G217" s="36" t="inlineStr">
        <is>
          <t>AROMA CROISSANT  non contiene allergeni - "RONDINELLA MARKET S.R.L." n° fatt 1504 - 28/08/2025</t>
        </is>
      </c>
      <c r="H217" s="36" t="inlineStr">
        <is>
          <t>LATTE   1000 INT.UHT  YMA  contiene allergeni - G.I.A.L. GENERALE INGROSSO ALIMENTARE S.R.L. n° fatt V1-35110 - 30/09/2025</t>
        </is>
      </c>
      <c r="I217" s="36" t="inlineStr">
        <is>
          <t>SALE SACCHI SALTECHNO KG.25    non contiene allergeni - F.lli Fiorentino Srl n° fatt 1/11430 - 12/09/2025</t>
        </is>
      </c>
      <c r="J217" s="36" t="inlineStr">
        <is>
          <t>margarina sfoglia  contiene allergeni - saima s.p.a. n° fatt 1/145130 - 26/08/2025</t>
        </is>
      </c>
      <c r="K217" s="36" t="inlineStr">
        <is>
          <t>amido  contiene allergeni - "rondinella market s.r.l." n° fatt 1430 - 04/08/2025</t>
        </is>
      </c>
      <c r="L217" s="36" t="inlineStr">
        <is>
          <t>AMARENA INTERA TANTOFRUTTO CAL16/18 IN SCIROPPO KG2,75(02004275)    non contiene allergeni - SAIMA S.p.A. n° fatt 1/167666 - 27/09/2025</t>
        </is>
      </c>
      <c r="M217" s="36" t="n">
        <v>0</v>
      </c>
      <c r="N217" s="36" t="inlineStr"/>
      <c r="O217" s="36" t="inlineStr"/>
      <c r="P217" s="35" t="inlineStr"/>
      <c r="Q217" s="36" t="inlineStr"/>
      <c r="R217" s="182" t="n">
        <v>45938</v>
      </c>
      <c r="S217" s="181" t="n">
        <v>45958</v>
      </c>
      <c r="T217" s="35" t="inlineStr">
        <is>
          <t>20251008</t>
        </is>
      </c>
      <c r="U217" s="36" t="inlineStr">
        <is>
          <t>cornetto ischitano - contiene allergni - prodotto il giorno 08/10/2025</t>
        </is>
      </c>
    </row>
    <row r="218" ht="110.25" customHeight="1" s="155">
      <c r="A218" s="28">
        <f>A217+1</f>
        <v/>
      </c>
      <c r="B218" s="35" t="inlineStr">
        <is>
          <t>sfogliatella frolla</t>
        </is>
      </c>
      <c r="C218" s="36" t="inlineStr">
        <is>
          <t>FARINA 0/MAN. CAPUTO DA KG.25    contiene allergeni - F.lli Fiorentino Srl n° fatt 1/12232 - 30/09/2025</t>
        </is>
      </c>
      <c r="D218" s="36" t="inlineStr">
        <is>
          <t>SALE SACCHI SALTECHNO KG.25    non contiene allergeni - F.lli Fiorentino Srl n° fatt 1/11430 - 12/09/2025</t>
        </is>
      </c>
      <c r="E218" s="36" t="inlineStr">
        <is>
          <t>zucchero semolato  non contiene allergeni - f.lli fiorentino srl n° fatt 1/10655 - 26/08/2025</t>
        </is>
      </c>
      <c r="F218" s="36" t="inlineStr">
        <is>
          <t>uova  contiene allergeni - NATURISSIME SRL n° fatt 4371 - 08/10/2025</t>
        </is>
      </c>
      <c r="G218" s="36" t="inlineStr">
        <is>
          <t>semola   contiene allergeni - saima s.p.a. n° fatt 1/150800 - 03/09/2025</t>
        </is>
      </c>
      <c r="H218" s="36" t="inlineStr">
        <is>
          <t>gelatina neutra  non contiene allergeni - saima s.p.a. n° fatt 1/145130 - 26/08/2025</t>
        </is>
      </c>
      <c r="I218" s="36" t="inlineStr">
        <is>
          <t>STRUTTO RAFFINATO I B VERDE    non contiene allergeni - F.lli Fiorentino Srl n° fatt 1/12232 - 30/09/2025</t>
        </is>
      </c>
      <c r="J218" s="36" t="n">
        <v>0</v>
      </c>
      <c r="K218" s="36" t="inlineStr"/>
      <c r="L218" s="36" t="inlineStr"/>
      <c r="M218" s="36" t="n">
        <v>0</v>
      </c>
      <c r="N218" s="36" t="n">
        <v>0</v>
      </c>
      <c r="O218" s="36" t="inlineStr"/>
      <c r="P218" s="35" t="inlineStr"/>
      <c r="Q218" s="36" t="n">
        <v>0</v>
      </c>
      <c r="R218" s="182" t="n">
        <v>45940</v>
      </c>
      <c r="S218" s="181" t="n">
        <v>45960</v>
      </c>
      <c r="T218" s="35" t="inlineStr">
        <is>
          <t>20251010</t>
        </is>
      </c>
      <c r="U218" s="36" t="inlineStr">
        <is>
          <t>sfogliatella frolla - contiene allergni - prodotto il giorno 10/10/2025</t>
        </is>
      </c>
    </row>
    <row r="219" ht="110.25" customHeight="1" s="155">
      <c r="A219" s="28">
        <f>A218+1</f>
        <v/>
      </c>
      <c r="B219" s="35" t="inlineStr">
        <is>
          <t>babà</t>
        </is>
      </c>
      <c r="C219" s="36" t="inlineStr">
        <is>
          <t>FARINA 0/MAN. CAPUTO DA KG.25    contiene allergeni - F.lli Fiorentino Srl n° fatt 1/12232 - 30/09/2025</t>
        </is>
      </c>
      <c r="D219" s="36" t="inlineStr">
        <is>
          <t>SALE SACCHI SALTECHNO KG.25    non contiene allergeni - F.lli Fiorentino Srl n° fatt 1/11430 - 12/09/2025</t>
        </is>
      </c>
      <c r="E219" s="36" t="inlineStr">
        <is>
          <t>margarina crema  contiene allergeni - saima s.p.a. n° fatt 1/145130 - 26/08/2025</t>
        </is>
      </c>
      <c r="F219" s="36" t="inlineStr">
        <is>
          <t>tuorlo d'uovo pastorizzato  contiene allergeni - saima s.p.a. n° fatt 1/145130 - 26/08/2025</t>
        </is>
      </c>
      <c r="G219" s="36" t="inlineStr">
        <is>
          <t>LIEVITO x 2.5kg  non contiene allergeni - "RONDINELLA MARKET S.R.L." n° fatt 1611 - 15/09/2025</t>
        </is>
      </c>
      <c r="H219" s="36" t="inlineStr"/>
      <c r="I219" s="36" t="inlineStr"/>
      <c r="J219" s="36" t="inlineStr"/>
      <c r="K219" s="36" t="inlineStr"/>
      <c r="L219" s="36" t="inlineStr"/>
      <c r="M219" s="36" t="inlineStr"/>
      <c r="N219" s="36" t="inlineStr"/>
      <c r="O219" s="36" t="inlineStr"/>
      <c r="P219" s="35" t="inlineStr"/>
      <c r="Q219" s="36" t="inlineStr"/>
      <c r="R219" s="182" t="n">
        <v>45940</v>
      </c>
      <c r="S219" s="181" t="n">
        <v>45960</v>
      </c>
      <c r="T219" s="35" t="inlineStr">
        <is>
          <t>20251010</t>
        </is>
      </c>
      <c r="U219" s="36" t="inlineStr">
        <is>
          <t>babà - contiene allergni - prodotto il giorno 10/10/2025</t>
        </is>
      </c>
    </row>
    <row r="220" ht="110.25" customHeight="1" s="155">
      <c r="A220" s="28">
        <f>A219+1</f>
        <v/>
      </c>
      <c r="B220" s="35" t="inlineStr">
        <is>
          <t>babà</t>
        </is>
      </c>
      <c r="C220" s="36" t="inlineStr">
        <is>
          <t>FARINA 0/MAN. CAPUTO DA KG.25    contiene allergeni - F.lli Fiorentino Srl n° fatt 1/12232 - 30/09/2025</t>
        </is>
      </c>
      <c r="D220" s="36" t="inlineStr">
        <is>
          <t>SALE SACCHI SALTECHNO KG.25    non contiene allergeni - F.lli Fiorentino Srl n° fatt 1/11430 - 12/09/2025</t>
        </is>
      </c>
      <c r="E220" s="36" t="inlineStr">
        <is>
          <t>margarina crema  contiene allergeni - saima s.p.a. n° fatt 1/145130 - 26/08/2025</t>
        </is>
      </c>
      <c r="F220" s="36" t="inlineStr">
        <is>
          <t>tuorlo d'uovo pastorizzato  contiene allergeni - saima s.p.a. n° fatt 1/145130 - 26/08/2025</t>
        </is>
      </c>
      <c r="G220" s="36" t="inlineStr">
        <is>
          <t>LIEVITO x 2.5kg  non contiene allergeni - "RONDINELLA MARKET S.R.L." n° fatt 1611 - 15/09/2025</t>
        </is>
      </c>
      <c r="H220" s="36" t="inlineStr"/>
      <c r="I220" s="36" t="inlineStr"/>
      <c r="J220" s="36" t="inlineStr"/>
      <c r="K220" s="36" t="inlineStr"/>
      <c r="L220" s="36" t="inlineStr"/>
      <c r="M220" s="36" t="inlineStr"/>
      <c r="N220" s="36" t="inlineStr"/>
      <c r="O220" s="36" t="inlineStr"/>
      <c r="P220" s="35" t="inlineStr"/>
      <c r="Q220" s="36" t="inlineStr"/>
      <c r="R220" s="182" t="n">
        <v>45940</v>
      </c>
      <c r="S220" s="181" t="n">
        <v>45960</v>
      </c>
      <c r="T220" s="35" t="inlineStr">
        <is>
          <t>20251010</t>
        </is>
      </c>
      <c r="U220" s="36" t="inlineStr">
        <is>
          <t>babà - contiene allergni - prodotto il giorno 10/10/2025</t>
        </is>
      </c>
    </row>
    <row r="221" ht="110.25" customHeight="1" s="155">
      <c r="A221" s="28">
        <f>A220+1</f>
        <v/>
      </c>
      <c r="B221" s="35" t="inlineStr">
        <is>
          <t>sfogliatella riccia</t>
        </is>
      </c>
      <c r="C221" s="36" t="inlineStr">
        <is>
          <t>TAPPI PER RICCE GRANDI DA GR 55/60 SURGELATO    contiene allergeni - SAIMA S.p.A. n° fatt 1/167666 - 27/09/2025</t>
        </is>
      </c>
      <c r="D221" s="36" t="inlineStr">
        <is>
          <t>SALE SACCHI SALTECHNO KG.25    non contiene allergeni - F.lli Fiorentino Srl n° fatt 1/11430 - 12/09/2025</t>
        </is>
      </c>
      <c r="E221" s="36" t="inlineStr">
        <is>
          <t>zucchero semolato  non contiene allergeni - f.lli fiorentino srl n° fatt 1/10655 - 26/08/2025</t>
        </is>
      </c>
      <c r="F221" s="36" t="inlineStr">
        <is>
          <t>uova  contiene allergeni - NATURISSIME SRL n° fatt 4371 - 08/10/2025</t>
        </is>
      </c>
      <c r="G221" s="36" t="inlineStr">
        <is>
          <t>semola   contiene allergeni - saima s.p.a. n° fatt 1/150800 - 03/09/2025</t>
        </is>
      </c>
      <c r="H221" s="36" t="inlineStr"/>
      <c r="I221" s="36" t="inlineStr">
        <is>
          <t>STRUTTO RAFFINATO I B VERDE    non contiene allergeni - F.lli Fiorentino Srl n° fatt 1/12232 - 30/09/2025</t>
        </is>
      </c>
      <c r="J221" s="36" t="n">
        <v>0</v>
      </c>
      <c r="K221" s="36" t="n">
        <v>0</v>
      </c>
      <c r="L221" s="36" t="inlineStr"/>
      <c r="M221" s="36" t="inlineStr"/>
      <c r="N221" s="36" t="n">
        <v>0</v>
      </c>
      <c r="O221" s="36" t="n">
        <v>0</v>
      </c>
      <c r="P221" s="35" t="inlineStr"/>
      <c r="Q221" s="36" t="inlineStr"/>
      <c r="R221" s="182" t="n">
        <v>45948</v>
      </c>
      <c r="S221" s="181" t="n">
        <v>45968</v>
      </c>
      <c r="T221" s="35" t="inlineStr">
        <is>
          <t>20251018</t>
        </is>
      </c>
      <c r="U221" s="36" t="inlineStr">
        <is>
          <t>sfogliatella riccia - contiene allergni - prodotto il giorno 18/10/2025</t>
        </is>
      </c>
    </row>
    <row r="222" ht="110.25" customHeight="1" s="155">
      <c r="A222" s="28">
        <f>A221+1</f>
        <v/>
      </c>
      <c r="B222" s="35" t="inlineStr">
        <is>
          <t>sfogliatella riccia</t>
        </is>
      </c>
      <c r="C222" s="36" t="inlineStr">
        <is>
          <t>TAPPI PER RICCE GRANDI DA GR 55/60 SURGELATO    contiene allergeni - SAIMA S.p.A. n° fatt 1/167666 - 27/09/2025</t>
        </is>
      </c>
      <c r="D222" s="36" t="inlineStr">
        <is>
          <t>SALE SACCHI SALTECHNO KG.25    non contiene allergeni - F.lli Fiorentino Srl n° fatt 1/11430 - 12/09/2025</t>
        </is>
      </c>
      <c r="E222" s="36" t="inlineStr">
        <is>
          <t>zucchero semolato  non contiene allergeni - f.lli fiorentino srl n° fatt 1/10655 - 26/08/2025</t>
        </is>
      </c>
      <c r="F222" s="36" t="inlineStr">
        <is>
          <t>uova  contiene allergeni - NATURISSIME SRL n° fatt 4371 - 08/10/2025</t>
        </is>
      </c>
      <c r="G222" s="36" t="inlineStr">
        <is>
          <t>semola   contiene allergeni - saima s.p.a. n° fatt 1/150800 - 03/09/2025</t>
        </is>
      </c>
      <c r="H222" s="36" t="inlineStr"/>
      <c r="I222" s="36" t="inlineStr">
        <is>
          <t>STRUTTO RAFFINATO I B VERDE    non contiene allergeni - F.lli Fiorentino Srl n° fatt 1/12232 - 30/09/2025</t>
        </is>
      </c>
      <c r="J222" s="36" t="n">
        <v>0</v>
      </c>
      <c r="K222" s="36" t="n">
        <v>0</v>
      </c>
      <c r="L222" s="36" t="inlineStr"/>
      <c r="M222" s="36" t="inlineStr"/>
      <c r="N222" s="36" t="n">
        <v>0</v>
      </c>
      <c r="O222" s="36" t="n">
        <v>0</v>
      </c>
      <c r="P222" s="35" t="inlineStr"/>
      <c r="Q222" s="36" t="inlineStr"/>
      <c r="R222" s="182" t="n">
        <v>45953</v>
      </c>
      <c r="S222" s="181" t="n">
        <v>45973</v>
      </c>
      <c r="T222" s="35" t="inlineStr">
        <is>
          <t>20251023</t>
        </is>
      </c>
      <c r="U222" s="36" t="inlineStr">
        <is>
          <t>sfogliatella riccia - contiene allergni - prodotto il giorno 23/10/2025</t>
        </is>
      </c>
    </row>
    <row r="223" ht="110.25" customHeight="1" s="155">
      <c r="A223" s="28">
        <f>A222+1</f>
        <v/>
      </c>
      <c r="B223" s="35" t="inlineStr">
        <is>
          <t>sfogliatella riccia</t>
        </is>
      </c>
      <c r="C223" s="36" t="inlineStr">
        <is>
          <t>TAPPI PER RICCE GRANDI DA GR 55/60 SURGELATO    contiene allergeni - SAIMA S.p.A. n° fatt 1/167666 - 27/09/2025</t>
        </is>
      </c>
      <c r="D223" s="36" t="inlineStr">
        <is>
          <t>SALE SACCHI SALTECHNO KG.25    non contiene allergeni - F.lli Fiorentino Srl n° fatt 1/11430 - 12/09/2025</t>
        </is>
      </c>
      <c r="E223" s="36" t="inlineStr">
        <is>
          <t>zucchero semolato  non contiene allergeni - f.lli fiorentino srl n° fatt 1/10655 - 26/08/2025</t>
        </is>
      </c>
      <c r="F223" s="36" t="inlineStr">
        <is>
          <t>uova  contiene allergeni - NATURISSIME SRL n° fatt 4371 - 08/10/2025</t>
        </is>
      </c>
      <c r="G223" s="36" t="inlineStr">
        <is>
          <t>semola   contiene allergeni - saima s.p.a. n° fatt 1/150800 - 03/09/2025</t>
        </is>
      </c>
      <c r="H223" s="36" t="inlineStr"/>
      <c r="I223" s="36" t="inlineStr">
        <is>
          <t>STRUTTO RAFFINATO I B VERDE    non contiene allergeni - F.lli Fiorentino Srl n° fatt 1/12232 - 30/09/2025</t>
        </is>
      </c>
      <c r="J223" s="36" t="n">
        <v>0</v>
      </c>
      <c r="K223" s="36" t="n">
        <v>0</v>
      </c>
      <c r="L223" s="36" t="inlineStr"/>
      <c r="M223" s="36" t="inlineStr"/>
      <c r="N223" s="36" t="n">
        <v>0</v>
      </c>
      <c r="O223" s="36" t="n">
        <v>0</v>
      </c>
      <c r="P223" s="35" t="inlineStr"/>
      <c r="Q223" s="36" t="inlineStr"/>
      <c r="R223" s="182" t="n">
        <v>45953</v>
      </c>
      <c r="S223" s="181" t="n">
        <v>45973</v>
      </c>
      <c r="T223" s="35" t="inlineStr">
        <is>
          <t>20251023</t>
        </is>
      </c>
      <c r="U223" s="36" t="inlineStr">
        <is>
          <t>sfogliatella riccia - contiene allergni - prodotto il giorno 23/10/2025</t>
        </is>
      </c>
    </row>
    <row r="224" ht="110.25" customHeight="1" s="155">
      <c r="A224" s="28">
        <f>A223+1</f>
        <v/>
      </c>
      <c r="B224" s="35" t="inlineStr">
        <is>
          <t>delizia al limone</t>
        </is>
      </c>
      <c r="C224" s="36" t="inlineStr">
        <is>
          <t>FARINA 0/MAN. CAPUTO DA KG.25    contiene allergeni - F.lli Fiorentino Srl n° fatt 1/12232 - 30/09/2025</t>
        </is>
      </c>
      <c r="D224" s="36" t="inlineStr">
        <is>
          <t>SALE SACCHI SALTECHNO KG.25    non contiene allergeni - F.lli Fiorentino Srl n° fatt 1/11430 - 12/09/2025</t>
        </is>
      </c>
      <c r="E224" s="36" t="inlineStr">
        <is>
          <t>amido  contiene allergeni - "rondinella market s.r.l." n° fatt 1430 - 04/08/2025</t>
        </is>
      </c>
      <c r="F224" s="36" t="inlineStr"/>
      <c r="G224" s="36" t="inlineStr">
        <is>
          <t>tuorlo d'uovo pastorizzato  contiene allergeni - saima s.p.a. n° fatt 1/145130 - 26/08/2025</t>
        </is>
      </c>
      <c r="H224" s="36" t="inlineStr">
        <is>
          <t>zucchero semolato  non contiene allergeni - f.lli fiorentino srl n° fatt 1/10655 - 26/08/2025</t>
        </is>
      </c>
      <c r="I224" s="36" t="inlineStr">
        <is>
          <t>panna  contiene allergeni - saima s.p.a. n° fatt 1/145130 - 26/08/2025</t>
        </is>
      </c>
      <c r="J224" s="36" t="inlineStr"/>
      <c r="K224" s="36" t="inlineStr"/>
      <c r="L224" s="36" t="inlineStr"/>
      <c r="M224" s="36" t="inlineStr"/>
      <c r="N224" s="36" t="inlineStr"/>
      <c r="O224" s="36" t="inlineStr"/>
      <c r="P224" s="35" t="inlineStr"/>
      <c r="Q224" s="36" t="inlineStr"/>
      <c r="R224" s="182" t="n">
        <v>45953</v>
      </c>
      <c r="S224" s="181" t="n">
        <v>45973</v>
      </c>
      <c r="T224" s="35" t="inlineStr">
        <is>
          <t>20251023</t>
        </is>
      </c>
      <c r="U224" s="36" t="inlineStr">
        <is>
          <t>delizia al limone - contiene allergni - prodotto il giorno 23/10/2025</t>
        </is>
      </c>
    </row>
    <row r="225" ht="110.25" customHeight="1" s="155">
      <c r="A225" s="28">
        <f>A224+1</f>
        <v/>
      </c>
      <c r="B225" s="35" t="inlineStr">
        <is>
          <t>delizia al limone</t>
        </is>
      </c>
      <c r="C225" s="36" t="inlineStr">
        <is>
          <t>FARINA 0/MAN. CAPUTO DA KG.25    contiene allergeni - F.lli Fiorentino Srl n° fatt 1/12232 - 30/09/2025</t>
        </is>
      </c>
      <c r="D225" s="36" t="inlineStr">
        <is>
          <t>SALE SACCHI SALTECHNO KG.25    non contiene allergeni - F.lli Fiorentino Srl n° fatt 1/11430 - 12/09/2025</t>
        </is>
      </c>
      <c r="E225" s="36" t="inlineStr">
        <is>
          <t>amido  contiene allergeni - "rondinella market s.r.l." n° fatt 1430 - 04/08/2025</t>
        </is>
      </c>
      <c r="F225" s="36" t="inlineStr"/>
      <c r="G225" s="36" t="inlineStr">
        <is>
          <t>tuorlo d'uovo pastorizzato  contiene allergeni - saima s.p.a. n° fatt 1/145130 - 26/08/2025</t>
        </is>
      </c>
      <c r="H225" s="36" t="inlineStr">
        <is>
          <t>zucchero semolato  non contiene allergeni - f.lli fiorentino srl n° fatt 1/10655 - 26/08/2025</t>
        </is>
      </c>
      <c r="I225" s="36" t="inlineStr">
        <is>
          <t>panna  contiene allergeni - saima s.p.a. n° fatt 1/145130 - 26/08/2025</t>
        </is>
      </c>
      <c r="J225" s="36" t="inlineStr"/>
      <c r="K225" s="36" t="inlineStr"/>
      <c r="L225" s="36" t="inlineStr"/>
      <c r="M225" s="36" t="inlineStr"/>
      <c r="N225" s="36" t="inlineStr"/>
      <c r="O225" s="36" t="inlineStr"/>
      <c r="P225" s="35" t="inlineStr"/>
      <c r="Q225" s="36" t="inlineStr"/>
      <c r="R225" s="182" t="n">
        <v>45953</v>
      </c>
      <c r="S225" s="181" t="n">
        <v>45973</v>
      </c>
      <c r="T225" s="35" t="inlineStr">
        <is>
          <t>20251023</t>
        </is>
      </c>
      <c r="U225" s="36" t="inlineStr">
        <is>
          <t>delizia al limone - contiene allergni - prodotto il giorno 23/10/2025</t>
        </is>
      </c>
    </row>
    <row r="226" ht="110.25" customHeight="1" s="155">
      <c r="A226" s="28">
        <f>A225+1</f>
        <v/>
      </c>
      <c r="B226" s="35" t="inlineStr">
        <is>
          <t>sfogliatella riccia</t>
        </is>
      </c>
      <c r="C226" s="36" t="inlineStr">
        <is>
          <t>TAPPI PER RICCE GRANDI DA GR 55/60 SURGELATO    contiene allergeni - SAIMA S.p.A. n° fatt 1/167666 - 27/09/2025</t>
        </is>
      </c>
      <c r="D226" s="36" t="inlineStr">
        <is>
          <t>SALE SACCHI SALTECHNO KG.25    non contiene allergeni - F.lli Fiorentino Srl n° fatt 1/11430 - 12/09/2025</t>
        </is>
      </c>
      <c r="E226" s="36" t="inlineStr">
        <is>
          <t>zucchero semolato  non contiene allergeni - f.lli fiorentino srl n° fatt 1/10655 - 26/08/2025</t>
        </is>
      </c>
      <c r="F226" s="36" t="inlineStr">
        <is>
          <t>uova  contiene allergeni - NATURISSIME SRL n° fatt 4371 - 08/10/2025</t>
        </is>
      </c>
      <c r="G226" s="36" t="inlineStr">
        <is>
          <t>semola   contiene allergeni - saima s.p.a. n° fatt 1/150800 - 03/09/2025</t>
        </is>
      </c>
      <c r="H226" s="36" t="inlineStr"/>
      <c r="I226" s="36" t="inlineStr">
        <is>
          <t>STRUTTO RAFFINATO I B VERDE    non contiene allergeni - F.lli Fiorentino Srl n° fatt 1/12232 - 30/09/2025</t>
        </is>
      </c>
      <c r="J226" s="36" t="n">
        <v>0</v>
      </c>
      <c r="K226" s="36" t="n">
        <v>0</v>
      </c>
      <c r="L226" s="36" t="inlineStr"/>
      <c r="M226" s="36" t="inlineStr"/>
      <c r="N226" s="36" t="n">
        <v>0</v>
      </c>
      <c r="O226" s="36" t="n">
        <v>0</v>
      </c>
      <c r="P226" s="35" t="inlineStr"/>
      <c r="Q226" s="36" t="inlineStr"/>
      <c r="R226" s="182" t="n">
        <v>45961</v>
      </c>
      <c r="S226" s="181" t="n">
        <v>45981</v>
      </c>
      <c r="T226" s="35" t="inlineStr">
        <is>
          <t>20251031</t>
        </is>
      </c>
      <c r="U226" s="36" t="inlineStr">
        <is>
          <t>sfogliatella riccia - contiene allergni - prodotto il giorno 31/10/2025</t>
        </is>
      </c>
    </row>
    <row r="227" ht="110.25" customHeight="1" s="155">
      <c r="A227" s="28">
        <f>A226+1</f>
        <v/>
      </c>
      <c r="B227" s="35" t="inlineStr">
        <is>
          <t>sfogliatella riccia</t>
        </is>
      </c>
      <c r="C227" s="36" t="inlineStr">
        <is>
          <t>TAPPI PER RICCE GRANDI DA GR 55/60 SURGELATO    contiene allergeni - SAIMA S.p.A. n° fatt 1/167666 - 27/09/2025</t>
        </is>
      </c>
      <c r="D227" s="36" t="inlineStr">
        <is>
          <t>SALE SACCHI SALTECHNO KG.25    non contiene allergeni - F.lli Fiorentino Srl n° fatt 1/11430 - 12/09/2025</t>
        </is>
      </c>
      <c r="E227" s="36" t="inlineStr">
        <is>
          <t>zucchero semolato  non contiene allergeni - f.lli fiorentino srl n° fatt 1/10655 - 26/08/2025</t>
        </is>
      </c>
      <c r="F227" s="36" t="inlineStr">
        <is>
          <t>uova  contiene allergeni - NATURISSIME SRL n° fatt 4371 - 08/10/2025</t>
        </is>
      </c>
      <c r="G227" s="36" t="inlineStr">
        <is>
          <t>semola   contiene allergeni - saima s.p.a. n° fatt 1/150800 - 03/09/2025</t>
        </is>
      </c>
      <c r="H227" s="36" t="inlineStr"/>
      <c r="I227" s="36" t="inlineStr">
        <is>
          <t>STRUTTO RAFFINATO I B VERDE    non contiene allergeni - F.lli Fiorentino Srl n° fatt 1/12232 - 30/09/2025</t>
        </is>
      </c>
      <c r="J227" s="36" t="n">
        <v>0</v>
      </c>
      <c r="K227" s="36" t="n">
        <v>0</v>
      </c>
      <c r="L227" s="36" t="inlineStr"/>
      <c r="M227" s="36" t="inlineStr"/>
      <c r="N227" s="36" t="n">
        <v>0</v>
      </c>
      <c r="O227" s="36" t="n">
        <v>0</v>
      </c>
      <c r="P227" s="35" t="inlineStr"/>
      <c r="Q227" s="36" t="inlineStr"/>
      <c r="R227" s="182" t="n">
        <v>45961</v>
      </c>
      <c r="S227" s="181" t="n">
        <v>45981</v>
      </c>
      <c r="T227" s="35" t="inlineStr">
        <is>
          <t>20251031</t>
        </is>
      </c>
      <c r="U227" s="36" t="inlineStr">
        <is>
          <t>sfogliatella riccia - contiene allergni - prodotto il giorno 31/10/2025</t>
        </is>
      </c>
    </row>
    <row r="228" ht="126" customHeight="1" s="155">
      <c r="A228" s="28">
        <f>A227+1</f>
        <v/>
      </c>
      <c r="B228" s="35" t="inlineStr">
        <is>
          <t>cassatina</t>
        </is>
      </c>
      <c r="C228" s="36" t="inlineStr">
        <is>
          <t>FARINA 0/MAN. CAPUTO DA KG.25    contiene allergeni - F.lli Fiorentino Srl n° fatt 1/15176 - 01/12/2025</t>
        </is>
      </c>
      <c r="D228" s="36" t="inlineStr">
        <is>
          <t>zucchero semolato  non contiene allergeni - f.lli fiorentino srl n° fatt 1/10655 - 26/08/2025</t>
        </is>
      </c>
      <c r="E228" s="36" t="inlineStr">
        <is>
          <t>LIEVITO x 2.5kg  non contiene allergeni - "RONDINELLA MARKET S.R.L." n° fatt 1611 - 15/09/2025</t>
        </is>
      </c>
      <c r="F228" s="36" t="inlineStr">
        <is>
          <t>mix cake nature da kg 10 (4830)    contiene allergeni - saima s.p.a. n° fatt 1/149709 - 02/09/2025</t>
        </is>
      </c>
      <c r="G228" s="36" t="inlineStr">
        <is>
          <t>tuorlo d'uovo pastorizzato  contiene allergeni - saima s.p.a. n° fatt 1/145130 - 26/08/2025</t>
        </is>
      </c>
      <c r="H228" s="36" t="inlineStr">
        <is>
          <t>RICOTTA ZUCCHERATA CONGELATA CAV.  contiene allergeni - GARGIULO GIUSEPPE n° fatt FPR 416/25 - 31/10/2025</t>
        </is>
      </c>
      <c r="I228" s="36" t="inlineStr"/>
      <c r="J228" s="36" t="inlineStr">
        <is>
          <t>PASSATA VISCIOLA LABO GARDEN FRUIT DA KG 12,5    non contiene allergeni - SAIMA S.p.A. n° fatt 1/149709 - 02/09/2025</t>
        </is>
      </c>
      <c r="K228" s="36" t="inlineStr">
        <is>
          <t>cioccolato  contiene allergeni - saima s.p.a. n° fatt 1/145130 - 26/08/2025</t>
        </is>
      </c>
      <c r="L228" s="36" t="inlineStr"/>
      <c r="M228" s="36" t="inlineStr"/>
      <c r="N228" s="36" t="inlineStr"/>
      <c r="O228" s="36" t="inlineStr"/>
      <c r="P228" s="35" t="inlineStr"/>
      <c r="Q228" s="36" t="inlineStr"/>
      <c r="R228" s="182" t="n">
        <v>46012</v>
      </c>
      <c r="S228" s="181" t="n">
        <v>46032</v>
      </c>
      <c r="T228" s="35" t="inlineStr">
        <is>
          <t>20251221</t>
        </is>
      </c>
      <c r="U228" s="36" t="inlineStr">
        <is>
          <t>cassatina - contiene allergni - prodotto il giorno 21/12/2025</t>
        </is>
      </c>
    </row>
    <row r="229" ht="126" customHeight="1" s="155">
      <c r="A229" s="28">
        <f>A228+1</f>
        <v/>
      </c>
      <c r="B229" s="35" t="inlineStr">
        <is>
          <t>tiramisù</t>
        </is>
      </c>
      <c r="C229" s="36" t="inlineStr">
        <is>
          <t>FARINA 0/MAN. CAPUTO DA KG.25    contiene allergeni - F.lli Fiorentino Srl n° fatt 1/15176 - 01/12/2025</t>
        </is>
      </c>
      <c r="D229" s="36" t="inlineStr">
        <is>
          <t>SALE SACCHI SALTECHNO KG.25    non contiene allergeni - F.lli Fiorentino Srl n° fatt 1/11430 - 12/09/2025</t>
        </is>
      </c>
      <c r="E229" s="36" t="inlineStr">
        <is>
          <t>zucchero semolato  non contiene allergeni - f.lli fiorentino srl n° fatt 1/10655 - 26/08/2025</t>
        </is>
      </c>
      <c r="F229" s="36" t="inlineStr">
        <is>
          <t>uova  contiene allergeni - NATURISSIME SRL n° fatt 5963 - 19/12/2025</t>
        </is>
      </c>
      <c r="G229" s="36" t="inlineStr">
        <is>
          <t>MASCARPONE G.250      YMA  contiene allergeni - G.I.A.L. GENERALE INGROSSO ALIMENTARE S.R.L. n° fatt V1-35110 - 30/09/2025</t>
        </is>
      </c>
      <c r="H229" s="36" t="n">
        <v>0</v>
      </c>
      <c r="I229" s="36" t="inlineStr">
        <is>
          <t>panna  contiene allergeni - saima s.p.a. n° fatt 1/145130 - 26/08/2025</t>
        </is>
      </c>
      <c r="J229" s="36" t="n">
        <v>0</v>
      </c>
      <c r="K229" s="36" t="inlineStr">
        <is>
          <t>cioccolato  contiene allergeni - saima s.p.a. n° fatt 1/145130 - 26/08/2025</t>
        </is>
      </c>
      <c r="L229" s="36" t="n">
        <v>0</v>
      </c>
      <c r="M229" s="36" t="n">
        <v>0</v>
      </c>
      <c r="N229" s="36" t="n">
        <v>0</v>
      </c>
      <c r="O229" s="36" t="n">
        <v>0</v>
      </c>
      <c r="P229" s="35" t="n">
        <v>0</v>
      </c>
      <c r="Q229" s="36" t="n">
        <v>0</v>
      </c>
      <c r="R229" s="182" t="n">
        <v>46012</v>
      </c>
      <c r="S229" s="181" t="n">
        <v>46032</v>
      </c>
      <c r="T229" s="35" t="inlineStr">
        <is>
          <t>20251221</t>
        </is>
      </c>
      <c r="U229" s="36" t="inlineStr">
        <is>
          <t>tiramisù - contiene allergni - prodotto il giorno 21/12/2025</t>
        </is>
      </c>
    </row>
    <row r="230" ht="110.25" customHeight="1" s="155">
      <c r="A230" s="28">
        <f>A229+1</f>
        <v/>
      </c>
      <c r="B230" s="35" t="inlineStr">
        <is>
          <t>vesuvio</t>
        </is>
      </c>
      <c r="C230" s="36" t="inlineStr">
        <is>
          <t>TAPPI PER RICCE GRANDI DA GR 55/60 SURGELATO    contiene allergeni - SAIMA S.p.A. n° fatt 1/215909 - 09/12/2025</t>
        </is>
      </c>
      <c r="D230" s="36" t="inlineStr">
        <is>
          <t>STRUTTO RAFFINATO I B VERDE    non contiene allergeni - F.lli Fiorentino Srl n° fatt 1/12232 - 30/09/2025</t>
        </is>
      </c>
      <c r="E230" s="36" t="n">
        <v>0</v>
      </c>
      <c r="F230" s="36" t="n">
        <v>0</v>
      </c>
      <c r="G230" s="36" t="n">
        <v>0</v>
      </c>
      <c r="H230" s="36" t="n">
        <v>0</v>
      </c>
      <c r="I230" s="36" t="n">
        <v>0</v>
      </c>
      <c r="J230" s="36" t="n">
        <v>0</v>
      </c>
      <c r="K230" s="36" t="n">
        <v>0</v>
      </c>
      <c r="L230" s="36" t="n">
        <v>0</v>
      </c>
      <c r="M230" s="36" t="n">
        <v>0</v>
      </c>
      <c r="N230" s="36" t="n">
        <v>0</v>
      </c>
      <c r="O230" s="36" t="n">
        <v>0</v>
      </c>
      <c r="P230" s="35" t="n">
        <v>0</v>
      </c>
      <c r="Q230" s="36" t="n">
        <v>0</v>
      </c>
      <c r="R230" s="182" t="n">
        <v>46012</v>
      </c>
      <c r="S230" s="181" t="n">
        <v>46032</v>
      </c>
      <c r="T230" s="35" t="inlineStr">
        <is>
          <t>20251221</t>
        </is>
      </c>
      <c r="U230" s="36" t="inlineStr">
        <is>
          <t>vesuvio - contiene allergni - prodotto il giorno 21/12/2025</t>
        </is>
      </c>
    </row>
    <row r="231" ht="110.25" customHeight="1" s="155">
      <c r="A231" s="28">
        <f>A230+1</f>
        <v/>
      </c>
      <c r="B231" s="35" t="inlineStr">
        <is>
          <t>sfogliatella riccia</t>
        </is>
      </c>
      <c r="C231" s="36" t="inlineStr">
        <is>
          <t>TAPPI PER RICCE GRANDI DA GR 55/60 SURGELATO    contiene allergeni - SAIMA S.p.A. n° fatt 1/215909 - 09/12/2025</t>
        </is>
      </c>
      <c r="D231" s="36" t="inlineStr">
        <is>
          <t>SALE SACCHI SALTECHNO KG.25    non contiene allergeni - F.lli Fiorentino Srl n° fatt 1/11430 - 12/09/2025</t>
        </is>
      </c>
      <c r="E231" s="36" t="inlineStr">
        <is>
          <t>zucchero semolato  non contiene allergeni - f.lli fiorentino srl n° fatt 1/10655 - 26/08/2025</t>
        </is>
      </c>
      <c r="F231" s="36" t="inlineStr">
        <is>
          <t>uova  contiene allergeni - NATURISSIME SRL n° fatt 5963 - 19/12/2025</t>
        </is>
      </c>
      <c r="G231" s="36" t="inlineStr">
        <is>
          <t>semola   contiene allergeni - saima s.p.a. n° fatt 1/150800 - 03/09/2025</t>
        </is>
      </c>
      <c r="H231" s="36" t="inlineStr"/>
      <c r="I231" s="36" t="inlineStr">
        <is>
          <t>STRUTTO RAFFINATO I B VERDE    non contiene allergeni - F.lli Fiorentino Srl n° fatt 1/12232 - 30/09/2025</t>
        </is>
      </c>
      <c r="J231" s="36" t="n">
        <v>0</v>
      </c>
      <c r="K231" s="36" t="n">
        <v>0</v>
      </c>
      <c r="L231" s="36" t="inlineStr"/>
      <c r="M231" s="36" t="inlineStr"/>
      <c r="N231" s="36" t="inlineStr"/>
      <c r="O231" s="36" t="n">
        <v>0</v>
      </c>
      <c r="P231" s="35" t="n">
        <v>0</v>
      </c>
      <c r="Q231" s="36" t="inlineStr"/>
      <c r="R231" s="182" t="n">
        <v>46012</v>
      </c>
      <c r="S231" s="181" t="n">
        <v>46032</v>
      </c>
      <c r="T231" s="35" t="inlineStr">
        <is>
          <t>20251221</t>
        </is>
      </c>
      <c r="U231" s="36" t="inlineStr">
        <is>
          <t>sfogliatella riccia - contiene allergni - prodotto il giorno 21/12/2025</t>
        </is>
      </c>
    </row>
    <row r="232" ht="110.25" customHeight="1" s="155">
      <c r="A232" s="28">
        <f>A231+1</f>
        <v/>
      </c>
      <c r="B232" s="35" t="inlineStr">
        <is>
          <t>sfogliatella frolla</t>
        </is>
      </c>
      <c r="C232" s="36" t="inlineStr">
        <is>
          <t>FARINA 0/MAN. CAPUTO DA KG.25    contiene allergeni - F.lli Fiorentino Srl n° fatt 1/15176 - 01/12/2025</t>
        </is>
      </c>
      <c r="D232" s="36" t="inlineStr">
        <is>
          <t>SALE SACCHI SALTECHNO KG.25    non contiene allergeni - F.lli Fiorentino Srl n° fatt 1/11430 - 12/09/2025</t>
        </is>
      </c>
      <c r="E232" s="36" t="inlineStr">
        <is>
          <t>zucchero semolato  non contiene allergeni - f.lli fiorentino srl n° fatt 1/10655 - 26/08/2025</t>
        </is>
      </c>
      <c r="F232" s="36" t="inlineStr">
        <is>
          <t>uova  contiene allergeni - NATURISSIME SRL n° fatt 5963 - 19/12/2025</t>
        </is>
      </c>
      <c r="G232" s="36" t="inlineStr">
        <is>
          <t>semola   contiene allergeni - saima s.p.a. n° fatt 1/150800 - 03/09/2025</t>
        </is>
      </c>
      <c r="H232" s="36" t="inlineStr">
        <is>
          <t>gelatina neutra  non contiene allergeni - saima s.p.a. n° fatt 1/145130 - 26/08/2025</t>
        </is>
      </c>
      <c r="I232" s="36" t="inlineStr">
        <is>
          <t>STRUTTO RAFFINATO I B VERDE    non contiene allergeni - F.lli Fiorentino Srl n° fatt 1/12232 - 30/09/2025</t>
        </is>
      </c>
      <c r="J232" s="36" t="n">
        <v>0</v>
      </c>
      <c r="K232" s="36" t="inlineStr"/>
      <c r="L232" s="36" t="inlineStr"/>
      <c r="M232" s="36" t="inlineStr"/>
      <c r="N232" s="36" t="n">
        <v>0</v>
      </c>
      <c r="O232" s="36" t="inlineStr"/>
      <c r="P232" s="35" t="inlineStr"/>
      <c r="Q232" s="36" t="n">
        <v>0</v>
      </c>
      <c r="R232" s="182" t="n">
        <v>46012</v>
      </c>
      <c r="S232" s="181" t="n">
        <v>46032</v>
      </c>
      <c r="T232" s="35" t="inlineStr">
        <is>
          <t>20251221</t>
        </is>
      </c>
      <c r="U232" s="36" t="inlineStr">
        <is>
          <t>sfogliatella frolla - contiene allergni - prodotto il giorno 21/12/2025</t>
        </is>
      </c>
    </row>
    <row r="233" ht="110.25" customHeight="1" s="155">
      <c r="A233" s="28">
        <f>A232+1</f>
        <v/>
      </c>
      <c r="B233" s="35" t="inlineStr">
        <is>
          <t>strudel di mele</t>
        </is>
      </c>
      <c r="C233" s="36" t="inlineStr">
        <is>
          <t>FARINA 0/MAN. CAPUTO DA KG.25    contiene allergeni - F.lli Fiorentino Srl n° fatt 1/15176 - 01/12/2025</t>
        </is>
      </c>
      <c r="D233" s="36" t="inlineStr">
        <is>
          <t>SALE SACCHI SALTECHNO KG.25    non contiene allergeni - F.lli Fiorentino Srl n° fatt 1/11430 - 12/09/2025</t>
        </is>
      </c>
      <c r="E233" s="36" t="inlineStr">
        <is>
          <t>margarina crema  contiene allergeni - saima s.p.a. n° fatt 1/145130 - 26/08/2025</t>
        </is>
      </c>
      <c r="F233" s="36" t="inlineStr"/>
      <c r="G233" s="36" t="inlineStr"/>
      <c r="H233" s="36" t="inlineStr">
        <is>
          <t>zucchero semolato  non contiene allergeni - f.lli fiorentino srl n° fatt 1/10655 - 26/08/2025</t>
        </is>
      </c>
      <c r="I233" s="36" t="inlineStr">
        <is>
          <t>amido  contiene allergeni - "rondinella market s.r.l." n° fatt 1430 - 04/08/2025</t>
        </is>
      </c>
      <c r="J233" s="36" t="inlineStr">
        <is>
          <t>uova  contiene allergeni - NATURISSIME SRL n° fatt 5963 - 19/12/2025</t>
        </is>
      </c>
      <c r="K233" s="36" t="inlineStr"/>
      <c r="L233" s="36" t="n">
        <v>0</v>
      </c>
      <c r="M233" s="36" t="n">
        <v>0</v>
      </c>
      <c r="N233" s="36" t="inlineStr"/>
      <c r="O233" s="36" t="n">
        <v>0</v>
      </c>
      <c r="P233" s="35" t="n">
        <v>0</v>
      </c>
      <c r="Q233" s="36" t="n">
        <v>0</v>
      </c>
      <c r="R233" s="182" t="n">
        <v>46012</v>
      </c>
      <c r="S233" s="181" t="n">
        <v>46032</v>
      </c>
      <c r="T233" s="35" t="inlineStr">
        <is>
          <t>20251221</t>
        </is>
      </c>
      <c r="U233" s="36" t="inlineStr">
        <is>
          <t>strudel di mele - contiene allergni - prodotto il giorno 21/12/2025</t>
        </is>
      </c>
    </row>
    <row r="234" ht="110.25" customHeight="1" s="155">
      <c r="A234" s="28">
        <f>A233+1</f>
        <v/>
      </c>
      <c r="B234" s="35" t="inlineStr">
        <is>
          <t>rustico</t>
        </is>
      </c>
      <c r="C234" s="36" t="inlineStr">
        <is>
          <t>FARINA 0/MAN. CAPUTO DA KG.25    contiene allergeni - F.lli Fiorentino Srl n° fatt 1/15176 - 01/12/2025</t>
        </is>
      </c>
      <c r="D234" s="36" t="inlineStr">
        <is>
          <t>RICOTTA TIPO ROMA  contiene allergeni - GARGIULO GIUSEPPE n° fatt FPR 371/25 - 30/09/2025</t>
        </is>
      </c>
      <c r="E234" s="36" t="inlineStr">
        <is>
          <t>SALE SACCHI SALTECHNO KG.25    non contiene allergeni - F.lli Fiorentino Srl n° fatt 1/11430 - 12/09/2025</t>
        </is>
      </c>
      <c r="F234" s="36" t="inlineStr">
        <is>
          <t>wrustel  contiene allergeni - g.i.a.l. generale ingrosso alimentare s.r.l. n° fatt v1-31036 - 31/08/2025</t>
        </is>
      </c>
      <c r="G234" s="36" t="inlineStr">
        <is>
          <t>salame  contiene allergeni - g.i.a.l. generale ingrosso alimentare s.r.l. n° fatt v1-31036 - 31/08/2025</t>
        </is>
      </c>
      <c r="H234" s="36" t="inlineStr">
        <is>
          <t>STRUTTO RAFFINATO I B VERDE    non contiene allergeni - F.lli Fiorentino Srl n° fatt 1/12232 - 30/09/2025</t>
        </is>
      </c>
      <c r="I234" s="36" t="inlineStr">
        <is>
          <t>zucchero semolato  non contiene allergeni - f.lli fiorentino srl n° fatt 1/10655 - 26/08/2025</t>
        </is>
      </c>
      <c r="J234" s="36" t="inlineStr"/>
      <c r="K234" s="36" t="inlineStr"/>
      <c r="L234" s="36" t="inlineStr"/>
      <c r="M234" s="36" t="inlineStr"/>
      <c r="N234" s="36" t="n">
        <v>0</v>
      </c>
      <c r="O234" s="36" t="n">
        <v>0</v>
      </c>
      <c r="P234" s="35" t="inlineStr"/>
      <c r="Q234" s="36" t="inlineStr"/>
      <c r="R234" s="182" t="n">
        <v>46012</v>
      </c>
      <c r="S234" s="181" t="n">
        <v>46032</v>
      </c>
      <c r="T234" s="35" t="inlineStr">
        <is>
          <t>20251221</t>
        </is>
      </c>
      <c r="U234" s="36" t="inlineStr">
        <is>
          <t>rustico - contiene allergni - prodotto il giorno 21/12/2025</t>
        </is>
      </c>
    </row>
    <row r="235" ht="110.25" customHeight="1" s="155">
      <c r="A235" s="183" t="n">
        <v>1</v>
      </c>
      <c r="B235" s="35" t="inlineStr">
        <is>
          <t>rustico</t>
        </is>
      </c>
      <c r="C235" s="36" t="inlineStr">
        <is>
          <t>FARINA 0/MAN. CAPUTO DA KG.25    contiene allergeni - F.lli Fiorentino Srl n° fatt 1/15176 - 01/12/2025</t>
        </is>
      </c>
      <c r="D235" s="36" t="inlineStr">
        <is>
          <t>RICOTTA TIPO ROMA  contiene allergeni - GARGIULO GIUSEPPE n° fatt FPR 371/25 - 30/09/2025</t>
        </is>
      </c>
      <c r="E235" s="36" t="inlineStr">
        <is>
          <t>SALE SACCHI SALTECHNO KG.25    non contiene allergeni - F.lli Fiorentino Srl n° fatt 1/11430 - 12/09/2025</t>
        </is>
      </c>
      <c r="F235" s="36" t="inlineStr">
        <is>
          <t>wrustel  contiene allergeni - g.i.a.l. generale ingrosso alimentare s.r.l. n° fatt v1-31036 - 31/08/2025</t>
        </is>
      </c>
      <c r="G235" s="36" t="inlineStr">
        <is>
          <t>salame  contiene allergeni - g.i.a.l. generale ingrosso alimentare s.r.l. n° fatt v1-31036 - 31/08/2025</t>
        </is>
      </c>
      <c r="H235" s="36" t="inlineStr">
        <is>
          <t>STRUTTO RAFFINATO I B VERDE    non contiene allergeni - F.lli Fiorentino Srl n° fatt 1/12232 - 30/09/2025</t>
        </is>
      </c>
      <c r="I235" s="36" t="inlineStr">
        <is>
          <t>zucchero semolato  non contiene allergeni - f.lli fiorentino srl n° fatt 1/10655 - 26/08/2025</t>
        </is>
      </c>
      <c r="J235" s="36" t="n"/>
      <c r="K235" s="36" t="n"/>
      <c r="L235" s="36" t="n"/>
      <c r="M235" s="36" t="n"/>
      <c r="N235" s="36" t="n">
        <v>0</v>
      </c>
      <c r="O235" s="36" t="n">
        <v>0</v>
      </c>
      <c r="P235" s="35" t="inlineStr"/>
      <c r="Q235" s="36" t="n"/>
      <c r="R235" s="182" t="n">
        <v>46012</v>
      </c>
      <c r="S235" s="181" t="n">
        <v>46032</v>
      </c>
      <c r="T235" s="35" t="inlineStr">
        <is>
          <t>20251221</t>
        </is>
      </c>
      <c r="U235" s="36" t="inlineStr">
        <is>
          <t>rustico - contiene allergni - prodotto il giorno 21/12/2025</t>
        </is>
      </c>
    </row>
    <row r="236" ht="94.5" customHeight="1" s="155">
      <c r="A236" s="183" t="n">
        <v>1</v>
      </c>
      <c r="B236" s="35" t="inlineStr">
        <is>
          <t>pasticcino limone</t>
        </is>
      </c>
      <c r="C236" s="36" t="inlineStr">
        <is>
          <t>FARINA 0/MAN. CAPUTO DA KG.25    contiene allergeni - F.lli Fiorentino Srl n° fatt 1/15176 - 01/12/2025</t>
        </is>
      </c>
      <c r="D236" s="36" t="inlineStr">
        <is>
          <t>STRUTTO RAFFINATO I B VERDE    non contiene allergeni - F.lli Fiorentino Srl n° fatt 1/12232 - 30/09/2025</t>
        </is>
      </c>
      <c r="E236" s="36" t="inlineStr">
        <is>
          <t>zucchero semolato  non contiene allergeni - f.lli fiorentino srl n° fatt 1/10655 - 26/08/2025</t>
        </is>
      </c>
      <c r="F236" s="36" t="inlineStr">
        <is>
          <t>SALE SACCHI SALTECHNO KG.25    non contiene allergeni - F.lli Fiorentino Srl n° fatt 1/11430 - 12/09/2025</t>
        </is>
      </c>
      <c r="G236" s="36" t="n"/>
      <c r="H236" s="36" t="n"/>
      <c r="I236" s="36" t="n">
        <v>0</v>
      </c>
      <c r="J236" s="36" t="n">
        <v>0</v>
      </c>
      <c r="K236" s="36" t="n"/>
      <c r="L236" s="36" t="n"/>
      <c r="M236" s="36" t="n"/>
      <c r="N236" s="36" t="n"/>
      <c r="O236" s="36" t="n"/>
      <c r="P236" s="35" t="inlineStr"/>
      <c r="Q236" s="36" t="n">
        <v>0</v>
      </c>
      <c r="R236" s="182" t="n">
        <v>46012</v>
      </c>
      <c r="S236" s="181" t="n">
        <v>46032</v>
      </c>
      <c r="T236" s="184" t="e">
        <v>#VALUE!</v>
      </c>
      <c r="U236" s="36" t="inlineStr">
        <is>
          <t>pasticcino limone - contiene allergni - prodotto il giorno 21/12/2025</t>
        </is>
      </c>
    </row>
    <row r="237">
      <c r="A237" s="183" t="n"/>
      <c r="B237" s="35" t="n"/>
      <c r="C237" s="36" t="n"/>
      <c r="D237" s="36" t="n"/>
      <c r="E237" s="36" t="n"/>
      <c r="F237" s="36" t="n"/>
      <c r="G237" s="36" t="n"/>
      <c r="H237" s="36" t="n"/>
      <c r="I237" s="36" t="n"/>
      <c r="J237" s="36" t="n"/>
      <c r="K237" s="36" t="n"/>
      <c r="L237" s="36" t="n"/>
      <c r="M237" s="36" t="n"/>
      <c r="N237" s="36" t="n"/>
      <c r="O237" s="36" t="n"/>
      <c r="P237" s="35" t="n"/>
      <c r="Q237" s="36" t="n"/>
      <c r="R237" s="185" t="n"/>
      <c r="S237" s="184" t="n"/>
      <c r="T237" s="184" t="n"/>
      <c r="U237" s="36" t="n"/>
    </row>
    <row r="238">
      <c r="A238" s="183" t="n"/>
      <c r="B238" s="35" t="n"/>
      <c r="C238" s="36" t="n"/>
      <c r="D238" s="36" t="n"/>
      <c r="E238" s="36" t="n"/>
      <c r="F238" s="36" t="n"/>
      <c r="G238" s="36" t="n"/>
      <c r="H238" s="36" t="n"/>
      <c r="I238" s="36" t="n"/>
      <c r="J238" s="36" t="n"/>
      <c r="K238" s="36" t="n"/>
      <c r="L238" s="36" t="n"/>
      <c r="M238" s="36" t="n"/>
      <c r="N238" s="36" t="n"/>
      <c r="O238" s="36" t="n"/>
      <c r="P238" s="35" t="n"/>
      <c r="Q238" s="36" t="n"/>
      <c r="R238" s="185" t="n"/>
      <c r="S238" s="184" t="n"/>
      <c r="T238" s="184" t="n"/>
      <c r="U238" s="36" t="n"/>
    </row>
    <row r="239">
      <c r="A239" s="183" t="n"/>
      <c r="B239" s="35" t="n"/>
      <c r="C239" s="36" t="n"/>
      <c r="D239" s="36" t="n"/>
      <c r="E239" s="36" t="n"/>
      <c r="F239" s="36" t="n"/>
      <c r="G239" s="36" t="n"/>
      <c r="H239" s="36" t="n"/>
      <c r="I239" s="36" t="n"/>
      <c r="J239" s="36" t="n"/>
      <c r="K239" s="36" t="n"/>
      <c r="L239" s="36" t="n"/>
      <c r="M239" s="36" t="n"/>
      <c r="N239" s="36" t="n"/>
      <c r="O239" s="36" t="n"/>
      <c r="P239" s="35" t="n"/>
      <c r="Q239" s="36" t="n"/>
      <c r="R239" s="185" t="n"/>
      <c r="S239" s="184" t="n"/>
      <c r="T239" s="184" t="n"/>
      <c r="U239" s="36" t="n"/>
    </row>
    <row r="240">
      <c r="A240" s="183" t="n"/>
      <c r="B240" s="35" t="n"/>
      <c r="C240" s="36" t="n"/>
      <c r="D240" s="36" t="n"/>
      <c r="E240" s="36" t="n"/>
      <c r="F240" s="36" t="n"/>
      <c r="G240" s="36" t="n"/>
      <c r="H240" s="36" t="n"/>
      <c r="I240" s="36" t="n"/>
      <c r="J240" s="36" t="n"/>
      <c r="K240" s="36" t="n"/>
      <c r="L240" s="36" t="n"/>
      <c r="M240" s="36" t="n"/>
      <c r="N240" s="36" t="n"/>
      <c r="O240" s="36" t="n"/>
      <c r="P240" s="35" t="n"/>
      <c r="Q240" s="36" t="n"/>
      <c r="R240" s="185" t="n"/>
      <c r="S240" s="184" t="n"/>
      <c r="T240" s="184" t="n"/>
      <c r="U240" s="36" t="n"/>
    </row>
    <row r="241">
      <c r="A241" s="183" t="n"/>
      <c r="B241" s="35" t="n"/>
      <c r="C241" s="36" t="n"/>
      <c r="D241" s="36" t="n"/>
      <c r="E241" s="36" t="n"/>
      <c r="F241" s="36" t="n"/>
      <c r="G241" s="36" t="n"/>
      <c r="H241" s="36" t="n"/>
      <c r="I241" s="36" t="n"/>
      <c r="J241" s="36" t="n"/>
      <c r="K241" s="36" t="n"/>
      <c r="L241" s="36" t="n"/>
      <c r="M241" s="36" t="n"/>
      <c r="N241" s="36" t="n"/>
      <c r="O241" s="36" t="n"/>
      <c r="P241" s="35" t="n"/>
      <c r="Q241" s="36" t="n"/>
      <c r="R241" s="185" t="n"/>
      <c r="S241" s="184" t="n"/>
      <c r="T241" s="184" t="n"/>
      <c r="U241" s="36" t="n"/>
    </row>
    <row r="242">
      <c r="A242" s="183" t="n"/>
      <c r="B242" s="35" t="n"/>
      <c r="C242" s="36" t="n"/>
      <c r="D242" s="36" t="n"/>
      <c r="E242" s="36" t="n"/>
      <c r="F242" s="36" t="n"/>
      <c r="G242" s="36" t="n"/>
      <c r="H242" s="36" t="n"/>
      <c r="I242" s="36" t="n"/>
      <c r="J242" s="36" t="n"/>
      <c r="K242" s="36" t="n"/>
      <c r="L242" s="36" t="n"/>
      <c r="M242" s="36" t="n"/>
      <c r="N242" s="36" t="n"/>
      <c r="O242" s="36" t="n"/>
      <c r="P242" s="35" t="n"/>
      <c r="Q242" s="36" t="n"/>
      <c r="R242" s="185" t="n"/>
      <c r="S242" s="184" t="n"/>
      <c r="T242" s="184" t="n"/>
      <c r="U242" s="36" t="n"/>
    </row>
    <row r="243">
      <c r="A243" s="183" t="n"/>
      <c r="B243" s="35" t="n"/>
      <c r="C243" s="36" t="n"/>
      <c r="D243" s="36" t="n"/>
      <c r="E243" s="36" t="n"/>
      <c r="F243" s="36" t="n"/>
      <c r="G243" s="36" t="n"/>
      <c r="H243" s="36" t="n"/>
      <c r="I243" s="36" t="n"/>
      <c r="J243" s="36" t="n"/>
      <c r="K243" s="36" t="n"/>
      <c r="L243" s="36" t="n"/>
      <c r="M243" s="36" t="n"/>
      <c r="N243" s="36" t="n"/>
      <c r="O243" s="36" t="n"/>
      <c r="P243" s="35" t="n"/>
      <c r="Q243" s="36" t="n"/>
      <c r="R243" s="185" t="n"/>
      <c r="S243" s="184" t="n"/>
      <c r="T243" s="184" t="n"/>
      <c r="U243" s="36" t="n"/>
    </row>
    <row r="244">
      <c r="A244" s="183" t="n"/>
      <c r="B244" s="35" t="n"/>
      <c r="C244" s="36" t="n"/>
      <c r="D244" s="36" t="n"/>
      <c r="E244" s="36" t="n"/>
      <c r="F244" s="36" t="n"/>
      <c r="G244" s="36" t="n"/>
      <c r="H244" s="36" t="n"/>
      <c r="I244" s="36" t="n"/>
      <c r="J244" s="36" t="n"/>
      <c r="K244" s="36" t="n"/>
      <c r="L244" s="36" t="n"/>
      <c r="M244" s="36" t="n"/>
      <c r="N244" s="36" t="n"/>
      <c r="O244" s="36" t="n"/>
      <c r="P244" s="35" t="n"/>
      <c r="Q244" s="36" t="n"/>
      <c r="R244" s="185" t="n"/>
      <c r="S244" s="184" t="n"/>
      <c r="T244" s="184" t="n"/>
      <c r="U244" s="36" t="n"/>
    </row>
    <row r="245">
      <c r="A245" s="183" t="n"/>
      <c r="B245" s="35" t="n"/>
      <c r="C245" s="36" t="n"/>
      <c r="D245" s="36" t="n"/>
      <c r="E245" s="36" t="n"/>
      <c r="F245" s="36" t="n"/>
      <c r="G245" s="36" t="n"/>
      <c r="H245" s="36" t="n"/>
      <c r="I245" s="36" t="n"/>
      <c r="J245" s="36" t="n"/>
      <c r="K245" s="36" t="n"/>
      <c r="L245" s="36" t="n"/>
      <c r="M245" s="36" t="n"/>
      <c r="N245" s="36" t="n"/>
      <c r="O245" s="36" t="n"/>
      <c r="P245" s="35" t="n"/>
      <c r="Q245" s="36" t="n"/>
      <c r="R245" s="185" t="n"/>
      <c r="S245" s="184" t="n"/>
      <c r="T245" s="184" t="n"/>
      <c r="U245" s="36" t="n"/>
    </row>
    <row r="246">
      <c r="A246" s="183" t="n"/>
      <c r="B246" s="35" t="n"/>
      <c r="C246" s="36" t="n"/>
      <c r="D246" s="36" t="n"/>
      <c r="E246" s="36" t="n"/>
      <c r="F246" s="36" t="n"/>
      <c r="G246" s="36" t="n"/>
      <c r="H246" s="36" t="n"/>
      <c r="I246" s="36" t="n"/>
      <c r="J246" s="36" t="n"/>
      <c r="K246" s="36" t="n"/>
      <c r="L246" s="36" t="n"/>
      <c r="M246" s="36" t="n"/>
      <c r="N246" s="36" t="n"/>
      <c r="O246" s="36" t="n"/>
      <c r="P246" s="35" t="n"/>
      <c r="Q246" s="36" t="n"/>
      <c r="R246" s="185" t="n"/>
      <c r="S246" s="184" t="n"/>
      <c r="T246" s="184" t="n"/>
      <c r="U246" s="36" t="n"/>
    </row>
    <row r="247">
      <c r="A247" s="183" t="n"/>
      <c r="B247" s="35" t="n"/>
      <c r="C247" s="36" t="n"/>
      <c r="D247" s="36" t="n"/>
      <c r="E247" s="36" t="n"/>
      <c r="F247" s="36" t="n"/>
      <c r="G247" s="36" t="n"/>
      <c r="H247" s="36" t="n"/>
      <c r="I247" s="36" t="n"/>
      <c r="J247" s="36" t="n"/>
      <c r="K247" s="36" t="n"/>
      <c r="L247" s="36" t="n"/>
      <c r="M247" s="36" t="n"/>
      <c r="N247" s="36" t="n"/>
      <c r="O247" s="36" t="n"/>
      <c r="P247" s="35" t="n"/>
      <c r="Q247" s="36" t="n"/>
      <c r="R247" s="185" t="n"/>
      <c r="S247" s="184" t="n"/>
      <c r="T247" s="184" t="n"/>
      <c r="U247" s="36" t="n"/>
    </row>
    <row r="248">
      <c r="A248" s="183" t="n"/>
      <c r="B248" s="35" t="n"/>
      <c r="C248" s="36" t="n"/>
      <c r="D248" s="36" t="n"/>
      <c r="E248" s="36" t="n"/>
      <c r="F248" s="36" t="n"/>
      <c r="G248" s="36" t="n"/>
      <c r="H248" s="36" t="n"/>
      <c r="I248" s="36" t="n"/>
      <c r="J248" s="36" t="n"/>
      <c r="K248" s="36" t="n"/>
      <c r="L248" s="36" t="n"/>
      <c r="M248" s="36" t="n"/>
      <c r="N248" s="36" t="n"/>
      <c r="O248" s="36" t="n"/>
      <c r="P248" s="35" t="n"/>
      <c r="Q248" s="36" t="n"/>
      <c r="R248" s="185" t="n"/>
      <c r="S248" s="184" t="n"/>
      <c r="T248" s="184" t="n"/>
      <c r="U248" s="36" t="n"/>
    </row>
  </sheetData>
  <dataValidations count="1">
    <dataValidation sqref="E3:P7" showDropDown="0" showInputMessage="1" showErrorMessage="1" allowBlank="1" type="list">
      <formula1>ARCHIVIO</formula1>
    </dataValidation>
  </dataValidations>
  <printOptions headings="1" gridLines="1"/>
  <pageMargins left="0.7" right="0.7" top="0.75" bottom="0.75" header="0.3" footer="0.3"/>
  <pageSetup orientation="portrait" paperSize="9" scale="11" fitToHeight="0" horizontalDpi="4294967294" verticalDpi="4294967294"/>
  <headerFooter alignWithMargins="0">
    <oddHeader>&amp;L&amp;C&amp;R</oddHeader>
    <oddFooter>&amp;CLibro Archivio Lotti di Produzione della Ceraldi Group S.R.L.</oddFooter>
    <evenHeader/>
    <evenFooter/>
    <firstHeader/>
    <firstFooter/>
  </headerFooter>
  <rowBreaks count="1" manualBreakCount="1">
    <brk id="1" min="0" max="16383" man="1"/>
  </rowBreaks>
  <colBreaks count="1" manualBreakCount="1">
    <brk id="17" min="0" max="1048575" man="1"/>
  </colBreaks>
</worksheet>
</file>

<file path=xl/worksheets/sheet6.xml><?xml version="1.0" encoding="utf-8"?>
<worksheet xmlns="http://schemas.openxmlformats.org/spreadsheetml/2006/main">
  <sheetPr codeName="Foglio4">
    <outlinePr summaryBelow="1" summaryRight="1"/>
    <pageSetUpPr fitToPage="1"/>
  </sheetPr>
  <dimension ref="C2:D21"/>
  <sheetViews>
    <sheetView showGridLines="0" topLeftCell="A2" zoomScale="85" zoomScaleNormal="85" workbookViewId="0">
      <selection activeCell="D2" sqref="D2:D21"/>
    </sheetView>
  </sheetViews>
  <sheetFormatPr baseColWidth="8" defaultColWidth="8.88671875" defaultRowHeight="15.75"/>
  <cols>
    <col width="8.109375" bestFit="1" customWidth="1" style="75" min="1" max="1"/>
    <col width="10.77734375" bestFit="1" customWidth="1" style="73" min="2" max="2"/>
    <col width="6.33203125" bestFit="1" customWidth="1" style="78" min="3" max="3"/>
    <col width="70.77734375" bestFit="1" customWidth="1" style="78" min="4" max="4"/>
    <col width="8.88671875" customWidth="1" style="75" min="5" max="16384"/>
  </cols>
  <sheetData>
    <row r="2">
      <c r="C2" s="74" t="n"/>
      <c r="D2" s="186" t="inlineStr">
        <is>
          <t>pasticcino limone</t>
        </is>
      </c>
    </row>
    <row r="3">
      <c r="C3" s="74" t="inlineStr">
        <is>
          <t>Ingr.</t>
        </is>
      </c>
      <c r="D3" s="108" t="inlineStr">
        <is>
          <t>FARINA 0/MAN. CAPUTO DA KG.25    contiene allergeni - F.lli Fiorentino Srl n° fatt 1/15176 - 01/12/2025</t>
        </is>
      </c>
    </row>
    <row r="4">
      <c r="C4" s="74" t="inlineStr">
        <is>
          <t>Ingr.</t>
        </is>
      </c>
      <c r="D4" s="108" t="inlineStr">
        <is>
          <t>STRUTTO RAFFINATO I B VERDE    non contiene allergeni - F.lli Fiorentino Srl n° fatt 1/12232 - 30/09/2025</t>
        </is>
      </c>
    </row>
    <row r="5">
      <c r="C5" s="74" t="inlineStr">
        <is>
          <t>Ingr.</t>
        </is>
      </c>
      <c r="D5" s="108" t="inlineStr">
        <is>
          <t>zucchero semolato  non contiene allergeni - f.lli fiorentino srl n° fatt 1/10655 - 26/08/2025</t>
        </is>
      </c>
    </row>
    <row r="6">
      <c r="C6" s="74" t="inlineStr">
        <is>
          <t>Ingr.</t>
        </is>
      </c>
      <c r="D6" s="108" t="inlineStr">
        <is>
          <t>SALE SACCHI SALTECHNO KG.25    non contiene allergeni - F.lli Fiorentino Srl n° fatt 1/11430 - 12/09/2025</t>
        </is>
      </c>
    </row>
    <row r="7">
      <c r="C7" s="74" t="inlineStr">
        <is>
          <t>Ingr.</t>
        </is>
      </c>
      <c r="D7" s="108" t="inlineStr"/>
    </row>
    <row r="8">
      <c r="C8" s="74" t="inlineStr">
        <is>
          <t>Ingr.</t>
        </is>
      </c>
      <c r="D8" s="108" t="inlineStr"/>
    </row>
    <row r="9">
      <c r="C9" s="74" t="inlineStr">
        <is>
          <t>Ingr.</t>
        </is>
      </c>
      <c r="D9" s="108" t="n">
        <v>0</v>
      </c>
    </row>
    <row r="10">
      <c r="C10" s="74" t="inlineStr">
        <is>
          <t>Ingr.</t>
        </is>
      </c>
      <c r="D10" s="108" t="n">
        <v>0</v>
      </c>
    </row>
    <row r="11">
      <c r="C11" s="74" t="inlineStr">
        <is>
          <t>Ingr.</t>
        </is>
      </c>
      <c r="D11" s="108" t="inlineStr"/>
    </row>
    <row r="12">
      <c r="C12" s="74" t="inlineStr">
        <is>
          <t>Ingr.</t>
        </is>
      </c>
      <c r="D12" s="108" t="inlineStr"/>
    </row>
    <row r="13">
      <c r="C13" s="74" t="inlineStr">
        <is>
          <t>Ingr.</t>
        </is>
      </c>
      <c r="D13" s="108" t="inlineStr"/>
    </row>
    <row r="14">
      <c r="C14" s="74" t="inlineStr">
        <is>
          <t>Ingr.</t>
        </is>
      </c>
      <c r="D14" s="108" t="inlineStr"/>
    </row>
    <row r="15">
      <c r="C15" s="74" t="inlineStr">
        <is>
          <t>Ingr.</t>
        </is>
      </c>
      <c r="D15" s="108" t="inlineStr"/>
    </row>
    <row r="16">
      <c r="C16" s="74" t="inlineStr">
        <is>
          <t>Ingr.</t>
        </is>
      </c>
      <c r="D16" s="108" t="inlineStr"/>
    </row>
    <row r="17">
      <c r="C17" s="74" t="inlineStr">
        <is>
          <t>Ingr.</t>
        </is>
      </c>
      <c r="D17" s="108" t="n">
        <v>0</v>
      </c>
    </row>
    <row r="18">
      <c r="C18" s="76" t="inlineStr">
        <is>
          <t>Data</t>
        </is>
      </c>
      <c r="D18" s="187" t="n">
        <v>46012</v>
      </c>
    </row>
    <row r="19" ht="31.5" customHeight="1" s="155">
      <c r="C19" s="77" t="inlineStr">
        <is>
          <t>Scadenza</t>
        </is>
      </c>
      <c r="D19" s="187" t="n">
        <v>46032</v>
      </c>
    </row>
    <row r="20">
      <c r="C20" s="77" t="inlineStr">
        <is>
          <t>Lotto</t>
        </is>
      </c>
      <c r="D20" s="187" t="n">
        <v>46012</v>
      </c>
    </row>
    <row r="21" ht="32.25" customHeight="1" s="155" thickBot="1">
      <c r="C21" s="77" t="inlineStr">
        <is>
          <t>Etichetta</t>
        </is>
      </c>
      <c r="D21" s="110" t="inlineStr">
        <is>
          <t>pasticcino limone - contiene allergni - prodotto il giorno 21/12/2025</t>
        </is>
      </c>
    </row>
  </sheetData>
  <dataValidations count="1">
    <dataValidation sqref="D22:D1048576" showDropDown="0" showInputMessage="1" showErrorMessage="1" allowBlank="1"/>
  </dataValidations>
  <printOptions horizontalCentered="1"/>
  <pageMargins left="0" right="0" top="0" bottom="0" header="0" footer="0"/>
  <pageSetup orientation="portrait" paperSize="122" horizontalDpi="203" verticalDpi="203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Foglio8">
    <outlinePr summaryBelow="1" summaryRight="1"/>
    <pageSetUpPr fitToPage="1"/>
  </sheetPr>
  <dimension ref="B3:B23"/>
  <sheetViews>
    <sheetView workbookViewId="0">
      <selection activeCell="E13" sqref="E13"/>
    </sheetView>
  </sheetViews>
  <sheetFormatPr baseColWidth="8" defaultColWidth="8.88671875" defaultRowHeight="15.75"/>
  <cols>
    <col width="8.109375" bestFit="1" customWidth="1" style="1" min="1" max="1"/>
    <col width="67.5546875" bestFit="1" customWidth="1" style="1" min="2" max="2"/>
    <col width="8.109375" bestFit="1" customWidth="1" style="1" min="3" max="3"/>
    <col width="35.77734375" customWidth="1" style="1" min="4" max="4"/>
    <col width="8.88671875" customWidth="1" style="1" min="5" max="16384"/>
  </cols>
  <sheetData>
    <row r="1" ht="12.75" customFormat="1" customHeight="1" s="2"/>
    <row r="2" ht="13.5" customFormat="1" customHeight="1" s="2" thickBot="1"/>
    <row r="3" ht="12.75" customFormat="1" customHeight="1" s="2">
      <c r="B3" s="188" t="n">
        <v>7</v>
      </c>
    </row>
    <row r="4" ht="15.75" customFormat="1" customHeight="1" s="2">
      <c r="B4" s="189" t="n"/>
    </row>
    <row r="5" ht="13.5" customFormat="1" customHeight="1" s="2">
      <c r="B5" s="189" t="n"/>
    </row>
    <row r="6" ht="16.5" customFormat="1" customHeight="1" s="2">
      <c r="B6" s="189" t="n"/>
    </row>
    <row r="7" ht="24.95" customHeight="1" s="155">
      <c r="B7" s="189" t="n"/>
    </row>
    <row r="8" ht="24.95" customHeight="1" s="155">
      <c r="B8" s="189" t="n"/>
    </row>
    <row r="9" ht="24.95" customHeight="1" s="155">
      <c r="B9" s="189" t="n"/>
    </row>
    <row r="10" ht="24.95" customHeight="1" s="155">
      <c r="B10" s="189" t="n"/>
    </row>
    <row r="11" ht="24.95" customHeight="1" s="155">
      <c r="B11" s="189" t="n"/>
    </row>
    <row r="12" ht="24.95" customHeight="1" s="155">
      <c r="B12" s="189" t="n"/>
    </row>
    <row r="13" ht="24.95" customHeight="1" s="155">
      <c r="B13" s="189" t="n"/>
    </row>
    <row r="14" ht="24.95" customHeight="1" s="155">
      <c r="B14" s="189" t="n"/>
    </row>
    <row r="15" ht="24.95" customHeight="1" s="155">
      <c r="B15" s="189" t="n"/>
    </row>
    <row r="16" ht="24.95" customHeight="1" s="155">
      <c r="B16" s="189" t="n"/>
    </row>
    <row r="17" ht="24.95" customHeight="1" s="155">
      <c r="B17" s="189" t="n"/>
    </row>
    <row r="18" ht="24.95" customHeight="1" s="155">
      <c r="B18" s="189" t="n"/>
    </row>
    <row r="19" ht="16.5" customHeight="1" s="155" thickBot="1">
      <c r="B19" s="190" t="n"/>
    </row>
    <row r="23">
      <c r="B23" s="3" t="n"/>
    </row>
  </sheetData>
  <mergeCells count="1">
    <mergeCell ref="B3:B19"/>
  </mergeCells>
  <printOptions horizontalCentered="1" verticalCentered="1"/>
  <pageMargins left="0" right="0" top="0" bottom="0" header="0" footer="0"/>
  <pageSetup orientation="portrait" paperSize="70" scale="55" horizontalDpi="4294967294" verticalDpi="4294967294"/>
</worksheet>
</file>

<file path=xl/worksheets/sheet8.xml><?xml version="1.0" encoding="utf-8"?>
<worksheet xmlns="http://schemas.openxmlformats.org/spreadsheetml/2006/main">
  <sheetPr codeName="Foglio1">
    <outlinePr summaryBelow="1" summaryRight="1"/>
    <pageSetUpPr/>
  </sheetPr>
  <dimension ref="A1:F691"/>
  <sheetViews>
    <sheetView topLeftCell="C27" workbookViewId="0">
      <selection activeCell="F698" sqref="F698"/>
    </sheetView>
  </sheetViews>
  <sheetFormatPr baseColWidth="8" defaultColWidth="16.88671875" defaultRowHeight="12.75"/>
  <cols>
    <col width="34.109375" bestFit="1" customWidth="1" style="64" min="1" max="1"/>
    <col width="17.88671875" customWidth="1" style="191" min="2" max="2"/>
    <col width="18.88671875" bestFit="1" customWidth="1" style="72" min="3" max="3"/>
    <col width="39.21875" bestFit="1" customWidth="1" style="67" min="4" max="4"/>
    <col width="14.5546875" bestFit="1" customWidth="1" style="67" min="5" max="5"/>
    <col width="101.88671875" bestFit="1" customWidth="1" style="67" min="6" max="6"/>
    <col width="16.88671875" customWidth="1" style="64" min="7" max="16384"/>
  </cols>
  <sheetData>
    <row r="1">
      <c r="A1" s="60" t="inlineStr">
        <is>
          <t>azienda</t>
        </is>
      </c>
      <c r="B1" s="192" t="inlineStr">
        <is>
          <t>data fattura</t>
        </is>
      </c>
      <c r="C1" s="62" t="inlineStr">
        <is>
          <t>numero fattura</t>
        </is>
      </c>
      <c r="D1" s="63" t="inlineStr">
        <is>
          <t>materia prima</t>
        </is>
      </c>
      <c r="E1" s="63" t="n"/>
      <c r="F1" s="63" t="inlineStr">
        <is>
          <t>lista</t>
        </is>
      </c>
    </row>
    <row r="2">
      <c r="A2" s="65" t="inlineStr">
        <is>
          <t>ap commerciale s.r.l.</t>
        </is>
      </c>
      <c r="B2" s="193" t="n">
        <v>45897</v>
      </c>
      <c r="C2" s="65" t="inlineStr">
        <is>
          <t>25566525100020@10978</t>
        </is>
      </c>
      <c r="D2" s="65" t="inlineStr">
        <is>
          <t xml:space="preserve">american sandwich </t>
        </is>
      </c>
      <c r="E2" s="65" t="inlineStr">
        <is>
          <t>contiene allergeni</t>
        </is>
      </c>
      <c r="F2" s="67">
        <f>CONCATENATE(D2,"  ",E2," - ",A2," n° fatt ",C2," - ",TEXT(B2,"gg/mm/aaaa"))</f>
        <v/>
      </c>
    </row>
    <row r="3">
      <c r="A3" s="65" t="inlineStr">
        <is>
          <t>AP COMMERCIALE S.R.L.</t>
        </is>
      </c>
      <c r="B3" s="193" t="n">
        <v>45897</v>
      </c>
      <c r="C3" s="65" t="inlineStr">
        <is>
          <t>25566525100020@10978</t>
        </is>
      </c>
      <c r="D3" s="65" t="inlineStr">
        <is>
          <t>AMERICAN SANDWICH CLASSIC G550</t>
        </is>
      </c>
      <c r="E3" s="67" t="inlineStr">
        <is>
          <t>contiene allergeni</t>
        </is>
      </c>
      <c r="F3" s="67">
        <f>CONCATENATE(D3,"  ",E3," - ",A3," n° fatt ",C3," - ",TEXT(B3,"gg/mm/aaaa"))</f>
        <v/>
      </c>
    </row>
    <row r="4" ht="15.75" customHeight="1" s="155">
      <c r="A4" s="111" t="inlineStr">
        <is>
          <t>F.LLI SOMMELLA</t>
        </is>
      </c>
      <c r="B4" s="194" t="n">
        <v>45947</v>
      </c>
      <c r="C4" s="114" t="n">
        <v>1192</v>
      </c>
      <c r="D4" s="111" t="inlineStr">
        <is>
          <t>AMERICAN SANDWICH MORATO</t>
        </is>
      </c>
      <c r="E4" s="67" t="inlineStr">
        <is>
          <t>contiene allergeni</t>
        </is>
      </c>
      <c r="F4" s="67">
        <f>CONCATENATE(D4,"  ",E4," - ",A4," n° fatt ",C4," - ",TEXT(B4,"gg/mm/aaaa"))</f>
        <v/>
      </c>
    </row>
    <row r="5">
      <c r="A5" s="65" t="inlineStr">
        <is>
          <t>"rondinella market s.r.l."</t>
        </is>
      </c>
      <c r="B5" s="193" t="n">
        <v>45873</v>
      </c>
      <c r="C5" s="65" t="n">
        <v>1430</v>
      </c>
      <c r="D5" s="65" t="inlineStr">
        <is>
          <t>amido</t>
        </is>
      </c>
      <c r="E5" s="65" t="inlineStr">
        <is>
          <t>contiene allergeni</t>
        </is>
      </c>
      <c r="F5" s="67">
        <f>CONCATENATE(D5,"  ",E5," - ",A5," n° fatt ",C5," - ",TEXT(B5,"gg/mm/aaaa"))</f>
        <v/>
      </c>
    </row>
    <row r="6" ht="15.75" customHeight="1" s="155">
      <c r="A6" s="111" t="inlineStr">
        <is>
          <t>SAIMA S.p.A.</t>
        </is>
      </c>
      <c r="B6" s="194" t="n">
        <v>45951</v>
      </c>
      <c r="C6" s="114" t="inlineStr">
        <is>
          <t>1/182851</t>
        </is>
      </c>
      <c r="D6" s="111" t="inlineStr">
        <is>
          <t xml:space="preserve">AMIDO DI RISO IN POLVERE 90 MICRON DA KG 1  </t>
        </is>
      </c>
      <c r="E6" s="67" t="inlineStr">
        <is>
          <t>contiene allergeni</t>
        </is>
      </c>
      <c r="F6" s="67">
        <f>CONCATENATE(D6,"  ",E6," - ",A6," n° fatt ",C6," - ",TEXT(B6,"gg/mm/aaaa"))</f>
        <v/>
      </c>
    </row>
    <row r="7">
      <c r="A7" s="65" t="inlineStr">
        <is>
          <t>"RONDINELLA MARKET S.R.L."</t>
        </is>
      </c>
      <c r="B7" s="193" t="n">
        <v>45915</v>
      </c>
      <c r="C7" s="65" t="n">
        <v>1611</v>
      </c>
      <c r="D7" s="65" t="inlineStr">
        <is>
          <t>AMIDO IN POLVERE DA 1Kg</t>
        </is>
      </c>
      <c r="E7" s="67" t="inlineStr">
        <is>
          <t>contiene allergeni</t>
        </is>
      </c>
      <c r="F7" s="67">
        <f>CONCATENATE(D7,"  ",E7," - ",A7," n° fatt ",C7," - ",TEXT(B7,"gg/mm/aaaa"))</f>
        <v/>
      </c>
    </row>
    <row r="8" ht="15.75" customHeight="1" s="155">
      <c r="A8" s="111" t="inlineStr">
        <is>
          <t>"RONDINELLA MARKET S.R.L."</t>
        </is>
      </c>
      <c r="B8" s="194" t="n">
        <v>45965</v>
      </c>
      <c r="C8" s="114" t="n">
        <v>1998</v>
      </c>
      <c r="D8" s="111" t="inlineStr">
        <is>
          <t>AMIDO IN POLVERE DA 1Kg</t>
        </is>
      </c>
      <c r="E8" s="67" t="inlineStr">
        <is>
          <t>contiene allergeni</t>
        </is>
      </c>
      <c r="F8" s="67">
        <f>CONCATENATE(D8,"  ",E8," - ",A8," n° fatt ",C8," - ",TEXT(B8,"gg/mm/aaaa"))</f>
        <v/>
      </c>
    </row>
    <row r="9">
      <c r="A9" s="65" t="inlineStr">
        <is>
          <t>SAIMA S.p.A.</t>
        </is>
      </c>
      <c r="B9" s="193" t="n">
        <v>45903</v>
      </c>
      <c r="C9" s="65" t="inlineStr">
        <is>
          <t>1/150800</t>
        </is>
      </c>
      <c r="D9" s="65" t="inlineStr">
        <is>
          <t xml:space="preserve">AROMA PASTA FRAGOLA  </t>
        </is>
      </c>
      <c r="E9" s="67" t="inlineStr">
        <is>
          <t>contiene allergeni</t>
        </is>
      </c>
      <c r="F9" s="67">
        <f>CONCATENATE(D9,"  ",E9," - ",A9," n° fatt ",C9," - ",TEXT(B9,"gg/mm/aaaa"))</f>
        <v/>
      </c>
    </row>
    <row r="10" ht="15.75" customHeight="1" s="155">
      <c r="A10" s="111" t="inlineStr">
        <is>
          <t>BIG FOOD SRL</t>
        </is>
      </c>
      <c r="B10" s="194" t="n">
        <v>45947</v>
      </c>
      <c r="C10" s="114" t="inlineStr">
        <is>
          <t>V1073762</t>
        </is>
      </c>
      <c r="D10" s="111" t="inlineStr">
        <is>
          <t>AURICCHIO FETTA PICCANTE GR.200</t>
        </is>
      </c>
      <c r="E10" s="67" t="inlineStr">
        <is>
          <t>contiene allergeni</t>
        </is>
      </c>
      <c r="F10" s="67">
        <f>CONCATENATE(D10,"  ",E10," - ",A10," n° fatt ",C10," - ",TEXT(B10,"gg/mm/aaaa"))</f>
        <v/>
      </c>
    </row>
    <row r="11">
      <c r="A11" s="68" t="inlineStr">
        <is>
          <t>G.I.A.L. GENERALE INGROSSO ALIMENTARE S.R.L.</t>
        </is>
      </c>
      <c r="B11" s="195" t="n">
        <v>45930</v>
      </c>
      <c r="C11" s="68" t="inlineStr">
        <is>
          <t>V1-35110</t>
        </is>
      </c>
      <c r="D11" s="68" t="inlineStr">
        <is>
          <t>AVENA  DRINK LT.1 VALSOIA</t>
        </is>
      </c>
      <c r="E11" s="67" t="inlineStr">
        <is>
          <t>contiene allergeni</t>
        </is>
      </c>
      <c r="F11" s="67">
        <f>CONCATENATE(D11,"  ",E11," - ",A11," n° fatt ",C11," - ",TEXT(B11,"gg/mm/aaaa"))</f>
        <v/>
      </c>
    </row>
    <row r="12">
      <c r="A12" s="65" t="inlineStr">
        <is>
          <t>SAIMA S.p.A.</t>
        </is>
      </c>
      <c r="B12" s="193" t="n">
        <v>45931</v>
      </c>
      <c r="C12" s="65" t="inlineStr">
        <is>
          <t>1/169719</t>
        </is>
      </c>
      <c r="D12" s="65" t="inlineStr">
        <is>
          <t xml:space="preserve">BASE PASTA DI MANDORLE MO ORO CONFEZIONE DA KG 12,5  </t>
        </is>
      </c>
      <c r="E12" s="67" t="inlineStr">
        <is>
          <t>contiene allergeni</t>
        </is>
      </c>
      <c r="F12" s="67">
        <f>CONCATENATE(D12,"  ",E12," - ",A12," n° fatt ",C12," - ",TEXT(B12,"gg/mm/aaaa"))</f>
        <v/>
      </c>
    </row>
    <row r="13" ht="31.5" customHeight="1" s="155">
      <c r="A13" s="111" t="inlineStr">
        <is>
          <t>SAIMA S.p.A.</t>
        </is>
      </c>
      <c r="B13" s="194" t="n">
        <v>45931</v>
      </c>
      <c r="C13" s="114" t="inlineStr">
        <is>
          <t>1/169719</t>
        </is>
      </c>
      <c r="D13" s="111" t="inlineStr">
        <is>
          <t xml:space="preserve">BASE PASTA DI MANDORLE MO ORO CONFEZIONE DA KG 12,5  </t>
        </is>
      </c>
      <c r="E13" s="67" t="inlineStr">
        <is>
          <t>contiene allergeni</t>
        </is>
      </c>
      <c r="F13" s="67">
        <f>CONCATENATE(D13,"  ",E13," - ",A13," n° fatt ",C13," - ",TEXT(B13,"gg/mm/aaaa"))</f>
        <v/>
      </c>
    </row>
    <row r="14" ht="15.75" customHeight="1" s="155">
      <c r="A14" s="111" t="inlineStr">
        <is>
          <t>BIG FOOD SRL</t>
        </is>
      </c>
      <c r="B14" s="194" t="n">
        <v>45933</v>
      </c>
      <c r="C14" s="114" t="inlineStr">
        <is>
          <t>V1070379</t>
        </is>
      </c>
      <c r="D14" s="111" t="inlineStr">
        <is>
          <t>BIFFI BUSTINE OLIO EVO ML10 PZ.100</t>
        </is>
      </c>
      <c r="E14" s="67" t="inlineStr">
        <is>
          <t>contiene allergeni</t>
        </is>
      </c>
      <c r="F14" s="67">
        <f>CONCATENATE(D14,"  ",E14," - ",A14," n° fatt ",C14," - ",TEXT(B14,"gg/mm/aaaa"))</f>
        <v/>
      </c>
    </row>
    <row r="15" ht="15.75" customHeight="1" s="155">
      <c r="A15" s="111" t="inlineStr">
        <is>
          <t>BIG FOOD SRL</t>
        </is>
      </c>
      <c r="B15" s="194" t="n">
        <v>45933</v>
      </c>
      <c r="C15" s="114" t="inlineStr">
        <is>
          <t>V1070379</t>
        </is>
      </c>
      <c r="D15" s="111" t="inlineStr">
        <is>
          <t>BIFFI BUSTINE SALE PZ.500</t>
        </is>
      </c>
      <c r="E15" s="67" t="inlineStr">
        <is>
          <t>contiene allergeni</t>
        </is>
      </c>
      <c r="F15" s="67">
        <f>CONCATENATE(D15,"  ",E15," - ",A15," n° fatt ",C15," - ",TEXT(B15,"gg/mm/aaaa"))</f>
        <v/>
      </c>
    </row>
    <row r="16" ht="31.5" customHeight="1" s="155">
      <c r="A16" s="111" t="inlineStr">
        <is>
          <t>G.I.A.L. GENERALE INGROSSO ALIMENTARE S.R.L.</t>
        </is>
      </c>
      <c r="B16" s="194" t="n">
        <v>45961</v>
      </c>
      <c r="C16" s="114" t="inlineStr">
        <is>
          <t>V1-39165</t>
        </is>
      </c>
      <c r="D16" s="111" t="inlineStr">
        <is>
          <t>BIRAGHINI   G.400 BIRAGHI</t>
        </is>
      </c>
      <c r="E16" s="67" t="inlineStr">
        <is>
          <t>contiene allergeni</t>
        </is>
      </c>
      <c r="F16" s="67">
        <f>CONCATENATE(D16,"  ",E16," - ",A16," n° fatt ",C16," - ",TEXT(B16,"gg/mm/aaaa"))</f>
        <v/>
      </c>
    </row>
    <row r="17">
      <c r="A17" s="65" t="inlineStr">
        <is>
          <t>BIG FOOD SRL</t>
        </is>
      </c>
      <c r="B17" s="193" t="n">
        <v>45916</v>
      </c>
      <c r="C17" s="65" t="inlineStr">
        <is>
          <t>V1065528</t>
        </is>
      </c>
      <c r="D17" s="65" t="inlineStr">
        <is>
          <t>BOMBIERI SALAME NAPOLI</t>
        </is>
      </c>
      <c r="E17" s="67" t="inlineStr">
        <is>
          <t>contiene allergeni</t>
        </is>
      </c>
      <c r="F17" s="67">
        <f>CONCATENATE(D17,"  ",E17," - ",A17," n° fatt ",C17," - ",TEXT(B17,"gg/mm/aaaa"))</f>
        <v/>
      </c>
    </row>
    <row r="18" ht="15.75" customHeight="1" s="155">
      <c r="A18" s="111" t="inlineStr">
        <is>
          <t>BIG FOOD SRL</t>
        </is>
      </c>
      <c r="B18" s="194" t="n">
        <v>45973</v>
      </c>
      <c r="C18" s="114" t="inlineStr">
        <is>
          <t>V1080647</t>
        </is>
      </c>
      <c r="D18" s="111" t="inlineStr">
        <is>
          <t>BONTA'DIVINA TIRAMISU' 1' GR.450</t>
        </is>
      </c>
      <c r="E18" s="67" t="inlineStr">
        <is>
          <t>contiene allergeni</t>
        </is>
      </c>
      <c r="F18" s="67">
        <f>CONCATENATE(D18,"  ",E18," - ",A18," n° fatt ",C18," - ",TEXT(B18,"gg/mm/aaaa"))</f>
        <v/>
      </c>
    </row>
    <row r="19">
      <c r="A19" s="65" t="inlineStr">
        <is>
          <t>g.i.a.l. generale ingrosso alimentare s.r.l.</t>
        </is>
      </c>
      <c r="B19" s="193" t="n">
        <v>45900</v>
      </c>
      <c r="C19" s="65" t="inlineStr">
        <is>
          <t>v1-31036</t>
        </is>
      </c>
      <c r="D19" s="65" t="inlineStr">
        <is>
          <t>burro  g.  8 porzioni yma</t>
        </is>
      </c>
      <c r="E19" s="65" t="inlineStr">
        <is>
          <t>contiene allergeni</t>
        </is>
      </c>
      <c r="F19" s="67">
        <f>CONCATENATE(D19,"  ",E19," - ",A19," n° fatt ",C19," - ",TEXT(B19,"gg/mm/aaaa"))</f>
        <v/>
      </c>
    </row>
    <row r="20">
      <c r="A20" s="65" t="inlineStr">
        <is>
          <t>g.i.a.l. generale ingrosso alimentare s.r.l.</t>
        </is>
      </c>
      <c r="B20" s="193" t="n">
        <v>45900</v>
      </c>
      <c r="C20" s="65" t="inlineStr">
        <is>
          <t>V1-31036</t>
        </is>
      </c>
      <c r="D20" s="65" t="inlineStr">
        <is>
          <t>BURRO  G.  8 PORZIONI YMA</t>
        </is>
      </c>
      <c r="E20" s="67" t="inlineStr">
        <is>
          <t>contiene allergeni</t>
        </is>
      </c>
      <c r="F20" s="67">
        <f>CONCATENATE(D20,"  ",E20," - ",A20," n° fatt ",C20," - ",TEXT(B20,"gg/mm/aaaa"))</f>
        <v/>
      </c>
    </row>
    <row r="21">
      <c r="A21" s="68" t="inlineStr">
        <is>
          <t>G.I.A.L. GENERALE INGROSSO ALIMENTARE S.R.L.</t>
        </is>
      </c>
      <c r="B21" s="195" t="n">
        <v>45930</v>
      </c>
      <c r="C21" s="68" t="inlineStr">
        <is>
          <t>V1-35110</t>
        </is>
      </c>
      <c r="D21" s="68" t="inlineStr">
        <is>
          <t>BURRO  G.  8 PORZIONI YMA</t>
        </is>
      </c>
      <c r="E21" s="67" t="inlineStr">
        <is>
          <t>contiene allergeni</t>
        </is>
      </c>
      <c r="F21" s="67">
        <f>CONCATENATE(D21,"  ",E21," - ",A21," n° fatt ",C21," - ",TEXT(B21,"gg/mm/aaaa"))</f>
        <v/>
      </c>
    </row>
    <row r="22" ht="31.5" customHeight="1" s="155">
      <c r="A22" s="111" t="inlineStr">
        <is>
          <t>SAIMA S.p.A.</t>
        </is>
      </c>
      <c r="B22" s="194" t="n">
        <v>45972</v>
      </c>
      <c r="C22" s="114" t="inlineStr">
        <is>
          <t>1/196084</t>
        </is>
      </c>
      <c r="D22" s="111" t="inlineStr">
        <is>
          <t xml:space="preserve">BURRO TRADIZIONALE BLOCCHI M.G. 82% 20665601  </t>
        </is>
      </c>
      <c r="E22" s="67" t="inlineStr">
        <is>
          <t>contiene allergeni</t>
        </is>
      </c>
      <c r="F22" s="67">
        <f>CONCATENATE(D22,"  ",E22," - ",A22," n° fatt ",C22," - ",TEXT(B22,"gg/mm/aaaa"))</f>
        <v/>
      </c>
    </row>
    <row r="23">
      <c r="A23" s="65" t="inlineStr">
        <is>
          <t>"RONDINELLA MARKET S.R.L."</t>
        </is>
      </c>
      <c r="B23" s="193" t="n">
        <v>45897</v>
      </c>
      <c r="C23" s="65" t="n">
        <v>1504</v>
      </c>
      <c r="D23" s="65" t="inlineStr">
        <is>
          <t>CANNOLI MAX SCURI x 100pz</t>
        </is>
      </c>
      <c r="E23" s="67" t="inlineStr">
        <is>
          <t>contiene allergeni</t>
        </is>
      </c>
      <c r="F23" s="67">
        <f>CONCATENATE(D23,"  ",E23," - ",A23," n° fatt ",C23," - ",TEXT(B23,"gg/mm/aaaa"))</f>
        <v/>
      </c>
    </row>
    <row r="24">
      <c r="A24" s="65" t="inlineStr">
        <is>
          <t>"RONDINELLA MARKET S.R.L."</t>
        </is>
      </c>
      <c r="B24" s="193" t="n">
        <v>45915</v>
      </c>
      <c r="C24" s="65" t="n">
        <v>1611</v>
      </c>
      <c r="D24" s="65" t="inlineStr">
        <is>
          <t>CANNOLI MAX SCURI x 100pz</t>
        </is>
      </c>
      <c r="E24" s="67" t="inlineStr">
        <is>
          <t>contiene allergeni</t>
        </is>
      </c>
      <c r="F24" s="67">
        <f>CONCATENATE(D24,"  ",E24," - ",A24," n° fatt ",C24," - ",TEXT(B24,"gg/mm/aaaa"))</f>
        <v/>
      </c>
    </row>
    <row r="25" ht="31.5" customHeight="1" s="155">
      <c r="A25" s="111" t="inlineStr">
        <is>
          <t>GE.FI.AL. SAS DI FIORENZANO GENNARO &amp; C.</t>
        </is>
      </c>
      <c r="B25" s="194" t="n">
        <v>45974</v>
      </c>
      <c r="C25" s="114" t="n">
        <v>277</v>
      </c>
      <c r="D25" s="111" t="inlineStr">
        <is>
          <t>Cannoli medi cioccolattati pz 100</t>
        </is>
      </c>
      <c r="E25" s="67" t="inlineStr">
        <is>
          <t>contiene allergeni</t>
        </is>
      </c>
      <c r="F25" s="67">
        <f>CONCATENATE(D25,"  ",E25," - ",A25," n° fatt ",C25," - ",TEXT(B25,"gg/mm/aaaa"))</f>
        <v/>
      </c>
    </row>
    <row r="26" ht="31.5" customHeight="1" s="155">
      <c r="A26" s="111" t="inlineStr">
        <is>
          <t>GE.FI.AL. SAS DI FIORENZANO GENNARO &amp; C.</t>
        </is>
      </c>
      <c r="B26" s="194" t="n">
        <v>45974</v>
      </c>
      <c r="C26" s="114" t="n">
        <v>277</v>
      </c>
      <c r="D26" s="111" t="inlineStr">
        <is>
          <t>Cannoli mignon cioccolattati kg 3,5</t>
        </is>
      </c>
      <c r="E26" s="67" t="inlineStr">
        <is>
          <t>contiene allergeni</t>
        </is>
      </c>
      <c r="F26" s="67">
        <f>CONCATENATE(D26,"  ",E26," - ",A26," n° fatt ",C26," - ",TEXT(B26,"gg/mm/aaaa"))</f>
        <v/>
      </c>
    </row>
    <row r="27" ht="31.5" customHeight="1" s="155">
      <c r="A27" s="111" t="inlineStr">
        <is>
          <t>GE.FI.AL. SAS DI FIORENZANO GENNARO &amp; C.</t>
        </is>
      </c>
      <c r="B27" s="194" t="n">
        <v>45974</v>
      </c>
      <c r="C27" s="114" t="n">
        <v>277</v>
      </c>
      <c r="D27" s="111" t="inlineStr">
        <is>
          <t>Cassatina Monoporzione Classica Gr. 100 x 12 pz.</t>
        </is>
      </c>
      <c r="E27" s="67" t="inlineStr">
        <is>
          <t>contiene allergeni</t>
        </is>
      </c>
      <c r="F27" s="67">
        <f>CONCATENATE(D27,"  ",E27," - ",A27," n° fatt ",C27," - ",TEXT(B27,"gg/mm/aaaa"))</f>
        <v/>
      </c>
    </row>
    <row r="28" ht="31.5" customHeight="1" s="155">
      <c r="A28" s="111" t="inlineStr">
        <is>
          <t>SAIMA S.p.A.</t>
        </is>
      </c>
      <c r="B28" s="194" t="n">
        <v>45972</v>
      </c>
      <c r="C28" s="114" t="inlineStr">
        <is>
          <t>1/196084</t>
        </is>
      </c>
      <c r="D28" s="111" t="inlineStr">
        <is>
          <t xml:space="preserve">CATEGORIA "A" PIU' TUORLO(PASTA GIALLA)PASTORIZZATO DA ALL.TERRA  </t>
        </is>
      </c>
      <c r="E28" s="67" t="inlineStr">
        <is>
          <t>contiene allergeni</t>
        </is>
      </c>
      <c r="F28" s="67">
        <f>CONCATENATE(D28,"  ",E28," - ",A28," n° fatt ",C28," - ",TEXT(B28,"gg/mm/aaaa"))</f>
        <v/>
      </c>
    </row>
    <row r="29" ht="15.75" customHeight="1" s="155">
      <c r="A29" s="111" t="inlineStr">
        <is>
          <t>GB FOOD SRL</t>
        </is>
      </c>
      <c r="B29" s="194" t="n">
        <v>45974</v>
      </c>
      <c r="C29" s="114" t="inlineStr">
        <is>
          <t>269/PZ</t>
        </is>
      </c>
      <c r="D29" s="111" t="inlineStr">
        <is>
          <t>CIABATTA</t>
        </is>
      </c>
      <c r="E29" s="67" t="inlineStr">
        <is>
          <t>contiene allergeni</t>
        </is>
      </c>
      <c r="F29" s="67">
        <f>CONCATENATE(D29,"  ",E29," - ",A29," n° fatt ",C29," - ",TEXT(B29,"gg/mm/aaaa"))</f>
        <v/>
      </c>
    </row>
    <row r="30">
      <c r="A30" s="65" t="inlineStr">
        <is>
          <t>saima s.p.a.</t>
        </is>
      </c>
      <c r="B30" s="193" t="n">
        <v>45895</v>
      </c>
      <c r="C30" s="65" t="inlineStr">
        <is>
          <t>1/145130</t>
        </is>
      </c>
      <c r="D30" s="65" t="inlineStr">
        <is>
          <t>cioccolato</t>
        </is>
      </c>
      <c r="E30" s="65" t="inlineStr">
        <is>
          <t>contiene allergeni</t>
        </is>
      </c>
      <c r="F30" s="67">
        <f>CONCATENATE(D30,"  ",E30," - ",A30," n° fatt ",C30," - ",TEXT(B30,"gg/mm/aaaa"))</f>
        <v/>
      </c>
    </row>
    <row r="31">
      <c r="A31" s="65" t="inlineStr">
        <is>
          <t>BIG FOOD SRL</t>
        </is>
      </c>
      <c r="B31" s="193" t="n">
        <v>45916</v>
      </c>
      <c r="C31" s="65" t="inlineStr">
        <is>
          <t>V1065528</t>
        </is>
      </c>
      <c r="D31" s="65" t="inlineStr">
        <is>
          <t>CIOLI PORCHETTA ARICCIA IGP 1/2 KG</t>
        </is>
      </c>
      <c r="E31" s="67" t="inlineStr">
        <is>
          <t>contiene allergeni</t>
        </is>
      </c>
      <c r="F31" s="67">
        <f>CONCATENATE(D31,"  ",E31," - ",A31," n° fatt ",C31," - ",TEXT(B31,"gg/mm/aaaa"))</f>
        <v/>
      </c>
    </row>
    <row r="32" ht="25.5" customHeight="1" s="155">
      <c r="A32" s="65" t="inlineStr">
        <is>
          <t>dolciaria acquaviva s.p.a. sog. all'att. di dir. e coord. di vandemoortele nv</t>
        </is>
      </c>
      <c r="B32" s="193" t="n">
        <v>45894</v>
      </c>
      <c r="C32" s="65" t="n">
        <v>910292</v>
      </c>
      <c r="D32" s="65" t="inlineStr">
        <is>
          <t>coda d'aragosta</t>
        </is>
      </c>
      <c r="E32" s="65" t="inlineStr">
        <is>
          <t>contiene allergeni</t>
        </is>
      </c>
      <c r="F32" s="67">
        <f>CONCATENATE(D32,"  ",E32," - ",A32," n° fatt ",C32," - ",TEXT(B32,"gg/mm/aaaa"))</f>
        <v/>
      </c>
    </row>
    <row r="33" ht="25.5" customHeight="1" s="155">
      <c r="A33" s="65" t="inlineStr">
        <is>
          <t>Dolciaria Acquaviva S.p.A. sog. all'att. di dir. e coord. di Vandemoortele NV</t>
        </is>
      </c>
      <c r="B33" s="193" t="n">
        <v>45930</v>
      </c>
      <c r="C33" s="65" t="n">
        <v>914572</v>
      </c>
      <c r="D33" s="65" t="inlineStr">
        <is>
          <t>CODA D'ARAGOSTA MIG.GR.28/30</t>
        </is>
      </c>
      <c r="E33" s="65" t="inlineStr">
        <is>
          <t>contiene allergeni</t>
        </is>
      </c>
      <c r="F33" s="67">
        <f>CONCATENATE(D33,"  ",E33," - ",A33," n° fatt ",C33," - ",TEXT(B33,"gg/mm/aaaa"))</f>
        <v/>
      </c>
    </row>
    <row r="34" ht="31.5" customHeight="1" s="155">
      <c r="A34" s="111" t="inlineStr">
        <is>
          <t>Dolciaria Acquaviva S.p.A. sog. all'att. di dir. e coord. di Vandemoortele NV</t>
        </is>
      </c>
      <c r="B34" s="194" t="n">
        <v>45965</v>
      </c>
      <c r="C34" s="114" t="n">
        <v>918754</v>
      </c>
      <c r="D34" s="111" t="inlineStr">
        <is>
          <t>CODA D'ARAGOSTA MIG.GR.28/30</t>
        </is>
      </c>
      <c r="E34" s="67" t="inlineStr">
        <is>
          <t>contiene allergeni</t>
        </is>
      </c>
      <c r="F34" s="67">
        <f>CONCATENATE(D34,"  ",E34," - ",A34," n° fatt ",C34," - ",TEXT(B34,"gg/mm/aaaa"))</f>
        <v/>
      </c>
    </row>
    <row r="35" ht="31.5" customHeight="1" s="155">
      <c r="A35" s="111" t="inlineStr">
        <is>
          <t>SAIMA S.p.A.</t>
        </is>
      </c>
      <c r="B35" s="194" t="n">
        <v>45951</v>
      </c>
      <c r="C35" s="114" t="inlineStr">
        <is>
          <t>1/182851</t>
        </is>
      </c>
      <c r="D35" s="111" t="inlineStr">
        <is>
          <t xml:space="preserve">CREMA RIO TRADIZIONE PISTACCHIO IN CONFEZIONE DA KG 5 (DC00BM)  </t>
        </is>
      </c>
      <c r="E35" s="67" t="inlineStr">
        <is>
          <t>contiene allergeni</t>
        </is>
      </c>
      <c r="F35" s="67">
        <f>CONCATENATE(D35,"  ",E35," - ",A35," n° fatt ",C35," - ",TEXT(B35,"gg/mm/aaaa"))</f>
        <v/>
      </c>
    </row>
    <row r="36" ht="15.75" customHeight="1" s="155">
      <c r="A36" s="111" t="inlineStr">
        <is>
          <t>BIG FOOD SRL</t>
        </is>
      </c>
      <c r="B36" s="194" t="n">
        <v>45967</v>
      </c>
      <c r="C36" s="114" t="inlineStr">
        <is>
          <t>V1079132</t>
        </is>
      </c>
      <c r="D36" s="111" t="inlineStr">
        <is>
          <t>DE CECCO PAS.GR.500 117MEZ.ZITA TA</t>
        </is>
      </c>
      <c r="E36" s="67" t="inlineStr">
        <is>
          <t>contiene allergeni</t>
        </is>
      </c>
      <c r="F36" s="67">
        <f>CONCATENATE(D36,"  ",E36," - ",A36," n° fatt ",C36," - ",TEXT(B36,"gg/mm/aaaa"))</f>
        <v/>
      </c>
    </row>
    <row r="37" ht="15.75" customHeight="1" s="155">
      <c r="A37" s="111" t="inlineStr">
        <is>
          <t>BIG FOOD SRL</t>
        </is>
      </c>
      <c r="B37" s="194" t="n">
        <v>45967</v>
      </c>
      <c r="C37" s="114" t="inlineStr">
        <is>
          <t>V1079132</t>
        </is>
      </c>
      <c r="D37" s="111" t="inlineStr">
        <is>
          <t>DE CECCO PAS.GR.500 120PASTA MISTA</t>
        </is>
      </c>
      <c r="E37" s="67" t="inlineStr">
        <is>
          <t>contiene allergeni</t>
        </is>
      </c>
      <c r="F37" s="67">
        <f>CONCATENATE(D37,"  ",E37," - ",A37," n° fatt ",C37," - ",TEXT(B37,"gg/mm/aaaa"))</f>
        <v/>
      </c>
    </row>
    <row r="38" ht="15.75" customFormat="1" customHeight="1" s="70">
      <c r="A38" s="111" t="inlineStr">
        <is>
          <t>BIG FOOD SRL</t>
        </is>
      </c>
      <c r="B38" s="194" t="n">
        <v>45967</v>
      </c>
      <c r="C38" s="114" t="inlineStr">
        <is>
          <t>V1079132</t>
        </is>
      </c>
      <c r="D38" s="111" t="inlineStr">
        <is>
          <t>DE CECCO PAS.GR.500 170VERMICELLI</t>
        </is>
      </c>
      <c r="E38" s="67" t="inlineStr">
        <is>
          <t>contiene allergeni</t>
        </is>
      </c>
      <c r="F38" s="67">
        <f>CONCATENATE(D38,"  ",E38," - ",A38," n° fatt ",C38," - ",TEXT(B38,"gg/mm/aaaa"))</f>
        <v/>
      </c>
    </row>
    <row r="39" ht="15.75" customHeight="1" s="155">
      <c r="A39" s="111" t="inlineStr">
        <is>
          <t>BIG FOOD SRL</t>
        </is>
      </c>
      <c r="B39" s="194" t="n">
        <v>45967</v>
      </c>
      <c r="C39" s="114" t="inlineStr">
        <is>
          <t>V1079132</t>
        </is>
      </c>
      <c r="D39" s="111" t="inlineStr">
        <is>
          <t>DE CECCO PAS.GR.500 24RIGATONI</t>
        </is>
      </c>
      <c r="E39" s="67" t="inlineStr">
        <is>
          <t>contiene allergeni</t>
        </is>
      </c>
      <c r="F39" s="67">
        <f>CONCATENATE(D39,"  ",E39," - ",A39," n° fatt ",C39," - ",TEXT(B39,"gg/mm/aaaa"))</f>
        <v/>
      </c>
    </row>
    <row r="40">
      <c r="A40" s="65" t="inlineStr">
        <is>
          <t>F.lli Fiorentino Srl</t>
        </is>
      </c>
      <c r="B40" s="193" t="n">
        <v>45912</v>
      </c>
      <c r="C40" s="65" t="inlineStr">
        <is>
          <t>1/11430</t>
        </is>
      </c>
      <c r="D40" s="65" t="inlineStr">
        <is>
          <t xml:space="preserve">DECECCO MEZZA ZITA 117  </t>
        </is>
      </c>
      <c r="E40" s="67" t="inlineStr">
        <is>
          <t>contiene allergeni</t>
        </is>
      </c>
      <c r="F40" s="67">
        <f>CONCATENATE(D40,"  ",E40," - ",A40," n° fatt ",C40," - ",TEXT(B40,"gg/mm/aaaa"))</f>
        <v/>
      </c>
    </row>
    <row r="41">
      <c r="A41" s="65" t="inlineStr">
        <is>
          <t>F.lli Fiorentino Srl</t>
        </is>
      </c>
      <c r="B41" s="193" t="n">
        <v>45912</v>
      </c>
      <c r="C41" s="65" t="inlineStr">
        <is>
          <t>1/11430</t>
        </is>
      </c>
      <c r="D41" s="65" t="inlineStr">
        <is>
          <t xml:space="preserve">DECECCO SPAGHETTONI 412  </t>
        </is>
      </c>
      <c r="E41" s="67" t="inlineStr">
        <is>
          <t>contiene allergeni</t>
        </is>
      </c>
      <c r="F41" s="67">
        <f>CONCATENATE(D41,"  ",E41," - ",A41," n° fatt ",C41," - ",TEXT(B41,"gg/mm/aaaa"))</f>
        <v/>
      </c>
    </row>
    <row r="42" ht="15.75" customHeight="1" s="155">
      <c r="A42" s="111" t="inlineStr">
        <is>
          <t>BIG FOOD SRL</t>
        </is>
      </c>
      <c r="B42" s="194" t="n">
        <v>45966</v>
      </c>
      <c r="C42" s="114" t="inlineStr">
        <is>
          <t>V1078689</t>
        </is>
      </c>
      <c r="D42" s="111" t="inlineStr">
        <is>
          <t>DIVELLA PASTA GR.500 41MISTA</t>
        </is>
      </c>
      <c r="E42" s="67" t="inlineStr">
        <is>
          <t>contiene allergeni</t>
        </is>
      </c>
      <c r="F42" s="67">
        <f>CONCATENATE(D42,"  ",E42," - ",A42," n° fatt ",C42," - ",TEXT(B42,"gg/mm/aaaa"))</f>
        <v/>
      </c>
    </row>
    <row r="43" ht="15.75" customHeight="1" s="155">
      <c r="A43" s="111" t="inlineStr">
        <is>
          <t>BIG FOOD SRL</t>
        </is>
      </c>
      <c r="B43" s="194" t="n">
        <v>45966</v>
      </c>
      <c r="C43" s="114" t="inlineStr">
        <is>
          <t>V1078689</t>
        </is>
      </c>
      <c r="D43" s="111" t="inlineStr">
        <is>
          <t>DIVELLA PASTA GR.500 62PATERNOSTI</t>
        </is>
      </c>
      <c r="E43" s="67" t="inlineStr">
        <is>
          <t>contiene allergeni</t>
        </is>
      </c>
      <c r="F43" s="67">
        <f>CONCATENATE(D43,"  ",E43," - ",A43," n° fatt ",C43," - ",TEXT(B43,"gg/mm/aaaa"))</f>
        <v/>
      </c>
    </row>
    <row r="44" ht="31.5" customHeight="1" s="155">
      <c r="A44" s="111" t="inlineStr">
        <is>
          <t>SAIMA S.p.A.</t>
        </is>
      </c>
      <c r="B44" s="194" t="n">
        <v>45972</v>
      </c>
      <c r="C44" s="114" t="inlineStr">
        <is>
          <t>1/196084</t>
        </is>
      </c>
      <c r="D44" s="111" t="inlineStr">
        <is>
          <t xml:space="preserve">EUROVO TUORLO STANDARD PASTORIZZATO (NORMALE) (0066)  </t>
        </is>
      </c>
      <c r="E44" s="67" t="inlineStr">
        <is>
          <t>contiene allergeni</t>
        </is>
      </c>
      <c r="F44" s="67">
        <f>CONCATENATE(D44,"  ",E44," - ",A44," n° fatt ",C44," - ",TEXT(B44,"gg/mm/aaaa"))</f>
        <v/>
      </c>
    </row>
    <row r="45">
      <c r="A45" s="68" t="inlineStr">
        <is>
          <t>G.I.A.L. GENERALE INGROSSO ALIMENTARE S.R.L.</t>
        </is>
      </c>
      <c r="B45" s="195" t="n">
        <v>45930</v>
      </c>
      <c r="C45" s="68" t="inlineStr">
        <is>
          <t>V1-35110</t>
        </is>
      </c>
      <c r="D45" s="68" t="inlineStr">
        <is>
          <t>F.NUTELLA K.3</t>
        </is>
      </c>
      <c r="E45" s="67" t="inlineStr">
        <is>
          <t>contiene allergeni</t>
        </is>
      </c>
      <c r="F45" s="67">
        <f>CONCATENATE(D45,"  ",E45," - ",A45," n° fatt ",C45," - ",TEXT(B45,"gg/mm/aaaa"))</f>
        <v/>
      </c>
    </row>
    <row r="46">
      <c r="A46" s="65" t="inlineStr">
        <is>
          <t>BIG FOOD SRL</t>
        </is>
      </c>
      <c r="B46" s="193" t="n">
        <v>45916</v>
      </c>
      <c r="C46" s="65" t="inlineStr">
        <is>
          <t>V1065528</t>
        </is>
      </c>
      <c r="D46" s="65" t="inlineStr">
        <is>
          <t>FINI P/COTTO LUSSO ADDOBBO</t>
        </is>
      </c>
      <c r="E46" s="67" t="inlineStr">
        <is>
          <t>contiene allergeni</t>
        </is>
      </c>
      <c r="F46" s="67">
        <f>CONCATENATE(D46,"  ",E46," - ",A46," n° fatt ",C46," - ",TEXT(B46,"gg/mm/aaaa"))</f>
        <v/>
      </c>
    </row>
    <row r="47">
      <c r="A47" s="65" t="inlineStr">
        <is>
          <t>GARGIULO GIUSEPPE</t>
        </is>
      </c>
      <c r="B47" s="193" t="n">
        <v>45930</v>
      </c>
      <c r="C47" s="65" t="inlineStr">
        <is>
          <t>FPR 371/25</t>
        </is>
      </c>
      <c r="D47" s="65" t="inlineStr">
        <is>
          <t>FIOR DI LATTE</t>
        </is>
      </c>
      <c r="E47" s="67" t="inlineStr">
        <is>
          <t>contiene allergeni</t>
        </is>
      </c>
      <c r="F47" s="67">
        <f>CONCATENATE(D47,"  ",E47," - ",A47," n° fatt ",C47," - ",TEXT(B47,"gg/mm/aaaa"))</f>
        <v/>
      </c>
    </row>
    <row r="48">
      <c r="A48" s="65" t="inlineStr">
        <is>
          <t>CILATTE S.R.L.</t>
        </is>
      </c>
      <c r="B48" s="193" t="n">
        <v>45930</v>
      </c>
      <c r="C48" s="65" t="n">
        <v>404</v>
      </c>
      <c r="D48" s="65" t="inlineStr">
        <is>
          <t>FIORI E PROVOLA</t>
        </is>
      </c>
      <c r="E48" s="67" t="inlineStr">
        <is>
          <t>contiene allergeni</t>
        </is>
      </c>
      <c r="F48" s="67">
        <f>CONCATENATE(D48,"  ",E48," - ",A48," n° fatt ",C48," - ",TEXT(B48,"gg/mm/aaaa"))</f>
        <v/>
      </c>
    </row>
    <row r="49" ht="15.75" customHeight="1" s="155">
      <c r="A49" s="111" t="inlineStr">
        <is>
          <t>CILATTE S.R.L.</t>
        </is>
      </c>
      <c r="B49" s="194" t="n">
        <v>45961</v>
      </c>
      <c r="C49" s="114" t="n">
        <v>451</v>
      </c>
      <c r="D49" s="111" t="inlineStr">
        <is>
          <t>FIORI E PROVOLA</t>
        </is>
      </c>
      <c r="E49" s="67" t="inlineStr">
        <is>
          <t>contiene allergeni</t>
        </is>
      </c>
      <c r="F49" s="67">
        <f>CONCATENATE(D49,"  ",E49," - ",A49," n° fatt ",C49," - ",TEXT(B49,"gg/mm/aaaa"))</f>
        <v/>
      </c>
    </row>
    <row r="50">
      <c r="A50" s="65" t="inlineStr">
        <is>
          <t>BIG FOOD SRL</t>
        </is>
      </c>
      <c r="B50" s="193" t="n">
        <v>45916</v>
      </c>
      <c r="C50" s="65" t="inlineStr">
        <is>
          <t>V1065528</t>
        </is>
      </c>
      <c r="D50" s="65" t="inlineStr">
        <is>
          <t>GOLOSITA'SALUMI/FORMAGGI STV KG.1</t>
        </is>
      </c>
      <c r="E50" s="67" t="inlineStr">
        <is>
          <t>contiene allergeni</t>
        </is>
      </c>
      <c r="F50" s="67">
        <f>CONCATENATE(D50,"  ",E50," - ",A50," n° fatt ",C50," - ",TEXT(B50,"gg/mm/aaaa"))</f>
        <v/>
      </c>
    </row>
    <row r="51" ht="15.75" customHeight="1" s="155">
      <c r="A51" s="111" t="inlineStr">
        <is>
          <t>F.LLI SOMMELLA</t>
        </is>
      </c>
      <c r="B51" s="194" t="n">
        <v>45946</v>
      </c>
      <c r="C51" s="114" t="n">
        <v>1188</v>
      </c>
      <c r="D51" s="111" t="inlineStr">
        <is>
          <t>GRANA TRENTINGRANA S&amp;D 20M FF</t>
        </is>
      </c>
      <c r="E51" s="67" t="inlineStr">
        <is>
          <t>contiene allergeni</t>
        </is>
      </c>
      <c r="F51" s="67">
        <f>CONCATENATE(D51,"  ",E51," - ",A51," n° fatt ",C51," - ",TEXT(B51,"gg/mm/aaaa"))</f>
        <v/>
      </c>
    </row>
    <row r="52">
      <c r="A52" s="65" t="inlineStr">
        <is>
          <t>g.i.a.l. generale ingrosso alimentare s.r.l.</t>
        </is>
      </c>
      <c r="B52" s="193" t="n">
        <v>45900</v>
      </c>
      <c r="C52" s="65" t="inlineStr">
        <is>
          <t>v1-31036</t>
        </is>
      </c>
      <c r="D52" s="65" t="inlineStr">
        <is>
          <t>granapadano</t>
        </is>
      </c>
      <c r="E52" s="65" t="inlineStr">
        <is>
          <t>contiene allergeni</t>
        </is>
      </c>
      <c r="F52" s="67">
        <f>CONCATENATE(D52,"  ",E52," - ",A52," n° fatt ",C52," - ",TEXT(B52,"gg/mm/aaaa"))</f>
        <v/>
      </c>
    </row>
    <row r="53">
      <c r="A53" s="68" t="inlineStr">
        <is>
          <t>G.I.A.L. GENERALE INGROSSO ALIMENTARE S.R.L.</t>
        </is>
      </c>
      <c r="B53" s="195" t="n">
        <v>45930</v>
      </c>
      <c r="C53" s="68" t="inlineStr">
        <is>
          <t>V1-35110</t>
        </is>
      </c>
      <c r="D53" s="68" t="inlineStr">
        <is>
          <t>GRANAPADANO G.900 SORESIN</t>
        </is>
      </c>
      <c r="E53" s="67" t="inlineStr">
        <is>
          <t>contiene allergeni</t>
        </is>
      </c>
      <c r="F53" s="67">
        <f>CONCATENATE(D53,"  ",E53," - ",A53," n° fatt ",C53," - ",TEXT(B53,"gg/mm/aaaa"))</f>
        <v/>
      </c>
    </row>
    <row r="54" ht="31.5" customHeight="1" s="155">
      <c r="A54" s="111" t="inlineStr">
        <is>
          <t>G.I.A.L. GENERALE INGROSSO ALIMENTARE S.R.L.</t>
        </is>
      </c>
      <c r="B54" s="194" t="n">
        <v>45961</v>
      </c>
      <c r="C54" s="114" t="inlineStr">
        <is>
          <t>V1-39165</t>
        </is>
      </c>
      <c r="D54" s="111" t="inlineStr">
        <is>
          <t>GRANAPADANO G.900 SORESIN</t>
        </is>
      </c>
      <c r="E54" s="67" t="inlineStr">
        <is>
          <t>contiene allergeni</t>
        </is>
      </c>
      <c r="F54" s="67">
        <f>CONCATENATE(D54,"  ",E54," - ",A54," n° fatt ",C54," - ",TEXT(B54,"gg/mm/aaaa"))</f>
        <v/>
      </c>
    </row>
    <row r="55">
      <c r="A55" s="65" t="inlineStr">
        <is>
          <t>g.i.a.l. generale ingrosso alimentare s.r.l.</t>
        </is>
      </c>
      <c r="B55" s="193" t="n">
        <v>45900</v>
      </c>
      <c r="C55" s="65" t="inlineStr">
        <is>
          <t>V1-31036</t>
        </is>
      </c>
      <c r="D55" s="65" t="inlineStr">
        <is>
          <t>GRANAPADANO KG.1  SORESIN</t>
        </is>
      </c>
      <c r="E55" s="67" t="inlineStr">
        <is>
          <t>contiene allergeni</t>
        </is>
      </c>
      <c r="F55" s="67">
        <f>CONCATENATE(D55,"  ",E55," - ",A55," n° fatt ",C55," - ",TEXT(B55,"gg/mm/aaaa"))</f>
        <v/>
      </c>
    </row>
    <row r="56">
      <c r="A56" s="65" t="inlineStr">
        <is>
          <t>"RONDINELLA MARKET S.R.L."</t>
        </is>
      </c>
      <c r="B56" s="193" t="n">
        <v>45915</v>
      </c>
      <c r="C56" s="65" t="n">
        <v>1611</v>
      </c>
      <c r="D56" s="65" t="inlineStr">
        <is>
          <t>GRANELLA DI NOCCIOLE TOSTATE</t>
        </is>
      </c>
      <c r="E56" s="67" t="inlineStr">
        <is>
          <t>contiene allergeni</t>
        </is>
      </c>
      <c r="F56" s="67">
        <f>CONCATENATE(D56,"  ",E56," - ",A56," n° fatt ",C56," - ",TEXT(B56,"gg/mm/aaaa"))</f>
        <v/>
      </c>
    </row>
    <row r="57" ht="15.75" customHeight="1" s="155">
      <c r="A57" s="111" t="inlineStr">
        <is>
          <t>"RONDINELLA MARKET S.R.L."</t>
        </is>
      </c>
      <c r="B57" s="194" t="n">
        <v>45965</v>
      </c>
      <c r="C57" s="114" t="n">
        <v>1998</v>
      </c>
      <c r="D57" s="111" t="inlineStr">
        <is>
          <t>GRANELLA DI NOCCIOLE TOSTATE</t>
        </is>
      </c>
      <c r="E57" s="67" t="inlineStr">
        <is>
          <t>contiene allergeni</t>
        </is>
      </c>
      <c r="F57" s="67">
        <f>CONCATENATE(D57,"  ",E57," - ",A57," n° fatt ",C57," - ",TEXT(B57,"gg/mm/aaaa"))</f>
        <v/>
      </c>
    </row>
    <row r="58">
      <c r="A58" s="65" t="inlineStr">
        <is>
          <t>"RONDINELLA MARKET S.R.L."</t>
        </is>
      </c>
      <c r="B58" s="193" t="n">
        <v>45897</v>
      </c>
      <c r="C58" s="65" t="n">
        <v>1504</v>
      </c>
      <c r="D58" s="65" t="inlineStr">
        <is>
          <t>GRANELLA DI PISTACCHI</t>
        </is>
      </c>
      <c r="E58" s="67" t="inlineStr">
        <is>
          <t>contiene allergeni</t>
        </is>
      </c>
      <c r="F58" s="67">
        <f>CONCATENATE(D58,"  ",E58," - ",A58," n° fatt ",C58," - ",TEXT(B58,"gg/mm/aaaa"))</f>
        <v/>
      </c>
    </row>
    <row r="59" ht="15.75" customHeight="1" s="155">
      <c r="A59" s="111" t="inlineStr">
        <is>
          <t>SAIMA S.p.A.</t>
        </is>
      </c>
      <c r="B59" s="194" t="n">
        <v>45937</v>
      </c>
      <c r="C59" s="114" t="inlineStr">
        <is>
          <t>1/173502</t>
        </is>
      </c>
      <c r="D59" s="111" t="inlineStr">
        <is>
          <t xml:space="preserve">GRANELLA PISTACCHIO CALIBRO 2/4 DA KG 1  </t>
        </is>
      </c>
      <c r="E59" s="67" t="inlineStr">
        <is>
          <t>contiene allergeni</t>
        </is>
      </c>
      <c r="F59" s="67">
        <f>CONCATENATE(D59,"  ",E59," - ",A59," n° fatt ",C59," - ",TEXT(B59,"gg/mm/aaaa"))</f>
        <v/>
      </c>
    </row>
    <row r="60">
      <c r="A60" s="68" t="inlineStr">
        <is>
          <t>G.I.A.L. GENERALE INGROSSO ALIMENTARE S.R.L.</t>
        </is>
      </c>
      <c r="B60" s="195" t="n">
        <v>45930</v>
      </c>
      <c r="C60" s="68" t="inlineStr">
        <is>
          <t>V1-35110</t>
        </is>
      </c>
      <c r="D60" s="68" t="inlineStr">
        <is>
          <t>GRATT.GRANB.G.100 BIRAGHI</t>
        </is>
      </c>
      <c r="E60" s="67" t="inlineStr">
        <is>
          <t>contiene allergeni</t>
        </is>
      </c>
      <c r="F60" s="67">
        <f>CONCATENATE(D60,"  ",E60," - ",A60," n° fatt ",C60," - ",TEXT(B60,"gg/mm/aaaa"))</f>
        <v/>
      </c>
    </row>
    <row r="61">
      <c r="A61" s="68" t="inlineStr">
        <is>
          <t>G.I.A.L. GENERALE INGROSSO ALIMENTARE S.R.L.</t>
        </is>
      </c>
      <c r="B61" s="195" t="n">
        <v>45930</v>
      </c>
      <c r="C61" s="68" t="inlineStr">
        <is>
          <t>V1-35110</t>
        </is>
      </c>
      <c r="D61" s="68" t="inlineStr">
        <is>
          <t>GRATT.PECOR.G.100 BIRAGHI</t>
        </is>
      </c>
      <c r="E61" s="67" t="inlineStr">
        <is>
          <t>contiene allergeni</t>
        </is>
      </c>
      <c r="F61" s="67">
        <f>CONCATENATE(D61,"  ",E61," - ",A61," n° fatt ",C61," - ",TEXT(B61,"gg/mm/aaaa"))</f>
        <v/>
      </c>
    </row>
    <row r="62">
      <c r="A62" s="65" t="inlineStr">
        <is>
          <t>g.i.a.l. generale ingrosso alimentare s.r.l.</t>
        </is>
      </c>
      <c r="B62" s="193" t="n">
        <v>45900</v>
      </c>
      <c r="C62" s="65" t="inlineStr">
        <is>
          <t>V1-31036</t>
        </is>
      </c>
      <c r="D62" s="65" t="inlineStr">
        <is>
          <t>IMETTE   GR.200       YMA</t>
        </is>
      </c>
      <c r="E62" s="67" t="inlineStr">
        <is>
          <t>contiene allergeni</t>
        </is>
      </c>
      <c r="F62" s="67">
        <f>CONCATENATE(D62,"  ",E62," - ",A62," n° fatt ",C62," - ",TEXT(B62,"gg/mm/aaaa"))</f>
        <v/>
      </c>
    </row>
    <row r="63">
      <c r="A63" s="68" t="inlineStr">
        <is>
          <t>G.I.A.L. GENERALE INGROSSO ALIMENTARE S.R.L.</t>
        </is>
      </c>
      <c r="B63" s="195" t="n">
        <v>45930</v>
      </c>
      <c r="C63" s="68" t="inlineStr">
        <is>
          <t>V1-35110</t>
        </is>
      </c>
      <c r="D63" s="68" t="inlineStr">
        <is>
          <t>IMETTE   GR.200       YMA</t>
        </is>
      </c>
      <c r="E63" s="67" t="inlineStr">
        <is>
          <t>contiene allergeni</t>
        </is>
      </c>
      <c r="F63" s="67">
        <f>CONCATENATE(D63,"  ",E63," - ",A63," n° fatt ",C63," - ",TEXT(B63,"gg/mm/aaaa"))</f>
        <v/>
      </c>
    </row>
    <row r="64" ht="31.5" customHeight="1" s="155">
      <c r="A64" s="111" t="inlineStr">
        <is>
          <t>G.I.A.L. GENERALE INGROSSO ALIMENTARE S.R.L.</t>
        </is>
      </c>
      <c r="B64" s="194" t="n">
        <v>45961</v>
      </c>
      <c r="C64" s="114" t="inlineStr">
        <is>
          <t>V1-39165</t>
        </is>
      </c>
      <c r="D64" s="111" t="inlineStr">
        <is>
          <t>IMETTE   GR.200       YMA</t>
        </is>
      </c>
      <c r="E64" s="67" t="inlineStr">
        <is>
          <t>contiene allergeni</t>
        </is>
      </c>
      <c r="F64" s="67">
        <f>CONCATENATE(D64,"  ",E64," - ",A64," n° fatt ",C64," - ",TEXT(B64,"gg/mm/aaaa"))</f>
        <v/>
      </c>
    </row>
    <row r="65">
      <c r="A65" s="68" t="inlineStr">
        <is>
          <t>G.I.A.L. GENERALE INGROSSO ALIMENTARE S.R.L.</t>
        </is>
      </c>
      <c r="B65" s="195" t="n">
        <v>45930</v>
      </c>
      <c r="C65" s="68" t="inlineStr">
        <is>
          <t>V1-35110</t>
        </is>
      </c>
      <c r="D65" s="68" t="inlineStr">
        <is>
          <t>INSALATE VASCHET. SENDERO</t>
        </is>
      </c>
      <c r="E65" s="67" t="inlineStr">
        <is>
          <t>contiene allergeni</t>
        </is>
      </c>
      <c r="F65" s="67">
        <f>CONCATENATE(D65,"  ",E65," - ",A65," n° fatt ",C65," - ",TEXT(B65,"gg/mm/aaaa"))</f>
        <v/>
      </c>
    </row>
    <row r="66">
      <c r="A66" s="65" t="inlineStr">
        <is>
          <t>g.i.a.l. generale ingrosso alimentare s.r.l.</t>
        </is>
      </c>
      <c r="B66" s="193" t="n">
        <v>45900</v>
      </c>
      <c r="C66" s="65" t="inlineStr">
        <is>
          <t>v1-31036</t>
        </is>
      </c>
      <c r="D66" s="65" t="inlineStr">
        <is>
          <t>latte</t>
        </is>
      </c>
      <c r="E66" s="65" t="inlineStr">
        <is>
          <t>contiene allergeni</t>
        </is>
      </c>
      <c r="F66" s="67">
        <f>CONCATENATE(D66,"  ",E66," - ",A66," n° fatt ",C66," - ",TEXT(B66,"gg/mm/aaaa"))</f>
        <v/>
      </c>
    </row>
    <row r="67">
      <c r="A67" s="68" t="inlineStr">
        <is>
          <t>G.I.A.L. GENERALE INGROSSO ALIMENTARE S.R.L.</t>
        </is>
      </c>
      <c r="B67" s="195" t="n">
        <v>45930</v>
      </c>
      <c r="C67" s="68" t="inlineStr">
        <is>
          <t>V1-35110</t>
        </is>
      </c>
      <c r="D67" s="68" t="inlineStr">
        <is>
          <t>LATTE   1000 INT.UHT  YMA</t>
        </is>
      </c>
      <c r="E67" s="67" t="inlineStr">
        <is>
          <t>contiene allergeni</t>
        </is>
      </c>
      <c r="F67" s="67">
        <f>CONCATENATE(D67,"  ",E67," - ",A67," n° fatt ",C67," - ",TEXT(B67,"gg/mm/aaaa"))</f>
        <v/>
      </c>
    </row>
    <row r="68">
      <c r="A68" s="68" t="inlineStr">
        <is>
          <t>G.I.A.L. GENERALE INGROSSO ALIMENTARE S.R.L.</t>
        </is>
      </c>
      <c r="B68" s="195" t="n">
        <v>45930</v>
      </c>
      <c r="C68" s="68" t="inlineStr">
        <is>
          <t>V1-35110</t>
        </is>
      </c>
      <c r="D68" s="68" t="inlineStr">
        <is>
          <t>LATTE   1000 SCR.UHT  YMA</t>
        </is>
      </c>
      <c r="E68" s="67" t="inlineStr">
        <is>
          <t>contiene allergeni</t>
        </is>
      </c>
      <c r="F68" s="67">
        <f>CONCATENATE(D68,"  ",E68," - ",A68," n° fatt ",C68," - ",TEXT(B68,"gg/mm/aaaa"))</f>
        <v/>
      </c>
    </row>
    <row r="69">
      <c r="A69" s="68" t="inlineStr">
        <is>
          <t>G.I.A.L. GENERALE INGROSSO ALIMENTARE S.R.L.</t>
        </is>
      </c>
      <c r="B69" s="195" t="n">
        <v>45930</v>
      </c>
      <c r="C69" s="68" t="inlineStr">
        <is>
          <t>V1-35110</t>
        </is>
      </c>
      <c r="D69" s="68" t="inlineStr">
        <is>
          <t>LATTE AP.INT.4/4 DIPIU</t>
        </is>
      </c>
      <c r="E69" s="67" t="inlineStr">
        <is>
          <t>contiene allergeni</t>
        </is>
      </c>
      <c r="F69" s="67">
        <f>CONCATENATE(D69,"  ",E69," - ",A69," n° fatt ",C69," - ",TEXT(B69,"gg/mm/aaaa"))</f>
        <v/>
      </c>
    </row>
    <row r="70">
      <c r="A70" s="68" t="inlineStr">
        <is>
          <t>G.I.A.L. GENERALE INGROSSO ALIMENTARE S.R.L.</t>
        </is>
      </c>
      <c r="B70" s="195" t="n">
        <v>45930</v>
      </c>
      <c r="C70" s="68" t="inlineStr">
        <is>
          <t>V1-35110</t>
        </is>
      </c>
      <c r="D70" s="68" t="inlineStr">
        <is>
          <t>LATTE AP.P.S.4/4 S/LATTOS</t>
        </is>
      </c>
      <c r="E70" s="67" t="inlineStr">
        <is>
          <t>contiene allergeni</t>
        </is>
      </c>
      <c r="F70" s="67">
        <f>CONCATENATE(D70,"  ",E70," - ",A70," n° fatt ",C70," - ",TEXT(B70,"gg/mm/aaaa"))</f>
        <v/>
      </c>
    </row>
    <row r="71">
      <c r="A71" s="68" t="inlineStr">
        <is>
          <t>G.I.A.L. GENERALE INGROSSO ALIMENTARE S.R.L.</t>
        </is>
      </c>
      <c r="B71" s="195" t="n">
        <v>45930</v>
      </c>
      <c r="C71" s="68" t="inlineStr">
        <is>
          <t>V1-35110</t>
        </is>
      </c>
      <c r="D71" s="68" t="inlineStr">
        <is>
          <t>LATTE AQ.INT.4/4 YMA BAR</t>
        </is>
      </c>
      <c r="E71" s="67" t="inlineStr">
        <is>
          <t>contiene allergeni</t>
        </is>
      </c>
      <c r="F71" s="67">
        <f>CONCATENATE(D71,"  ",E71," - ",A71," n° fatt ",C71," - ",TEXT(B71,"gg/mm/aaaa"))</f>
        <v/>
      </c>
    </row>
    <row r="72" ht="31.5" customHeight="1" s="155">
      <c r="A72" s="111" t="inlineStr">
        <is>
          <t>G.I.A.L. GENERALE INGROSSO ALIMENTARE S.R.L.</t>
        </is>
      </c>
      <c r="B72" s="194" t="n">
        <v>45961</v>
      </c>
      <c r="C72" s="114" t="inlineStr">
        <is>
          <t>V1-39165</t>
        </is>
      </c>
      <c r="D72" s="111" t="inlineStr">
        <is>
          <t>LATTE AQ.INT.4/4 YMA BAR</t>
        </is>
      </c>
      <c r="E72" s="67" t="inlineStr">
        <is>
          <t>contiene allergeni</t>
        </is>
      </c>
      <c r="F72" s="67">
        <f>CONCATENATE(D72,"  ",E72," - ",A72," n° fatt ",C72," - ",TEXT(B72,"gg/mm/aaaa"))</f>
        <v/>
      </c>
    </row>
    <row r="73">
      <c r="A73" s="68" t="inlineStr">
        <is>
          <t>G.I.A.L. GENERALE INGROSSO ALIMENTARE S.R.L.</t>
        </is>
      </c>
      <c r="B73" s="195" t="n">
        <v>45930</v>
      </c>
      <c r="C73" s="68" t="inlineStr">
        <is>
          <t>V1-35110</t>
        </is>
      </c>
      <c r="D73" s="68" t="inlineStr">
        <is>
          <t>LATTE FR.P.S.4/4 PET AMOD</t>
        </is>
      </c>
      <c r="E73" s="67" t="inlineStr">
        <is>
          <t>contiene allergeni</t>
        </is>
      </c>
      <c r="F73" s="67">
        <f>CONCATENATE(D73,"  ",E73," - ",A73," n° fatt ",C73," - ",TEXT(B73,"gg/mm/aaaa"))</f>
        <v/>
      </c>
    </row>
    <row r="74" ht="15.75" customHeight="1" s="155">
      <c r="A74" s="111" t="inlineStr">
        <is>
          <t>BIG FOOD SRL</t>
        </is>
      </c>
      <c r="B74" s="194" t="n">
        <v>45947</v>
      </c>
      <c r="C74" s="114" t="inlineStr">
        <is>
          <t>V1073762</t>
        </is>
      </c>
      <c r="D74" s="111" t="inlineStr">
        <is>
          <t>LATTMANTOVA GRANA PADANO 1/8 STV</t>
        </is>
      </c>
      <c r="E74" s="67" t="inlineStr">
        <is>
          <t>contiene allergeni</t>
        </is>
      </c>
      <c r="F74" s="67">
        <f>CONCATENATE(D74,"  ",E74," - ",A74," n° fatt ",C74," - ",TEXT(B74,"gg/mm/aaaa"))</f>
        <v/>
      </c>
    </row>
    <row r="75" ht="15.75" customHeight="1" s="155">
      <c r="A75" s="111" t="inlineStr">
        <is>
          <t>BIG FOOD SRL</t>
        </is>
      </c>
      <c r="B75" s="194" t="n">
        <v>45973</v>
      </c>
      <c r="C75" s="114" t="inlineStr">
        <is>
          <t>V1080647</t>
        </is>
      </c>
      <c r="D75" s="111" t="inlineStr">
        <is>
          <t>LEONCINI CUBETTI P/COTTO GR.100</t>
        </is>
      </c>
      <c r="E75" s="67" t="inlineStr">
        <is>
          <t>contiene allergeni</t>
        </is>
      </c>
      <c r="F75" s="67">
        <f>CONCATENATE(D75,"  ",E75," - ",A75," n° fatt ",C75," - ",TEXT(B75,"gg/mm/aaaa"))</f>
        <v/>
      </c>
    </row>
    <row r="76" ht="31.5" customHeight="1" s="155">
      <c r="A76" s="111" t="inlineStr">
        <is>
          <t>AP COMMERCIALE S.R.L.</t>
        </is>
      </c>
      <c r="B76" s="194" t="n">
        <v>45934</v>
      </c>
      <c r="C76" s="114" t="inlineStr">
        <is>
          <t>25566525100020@12939</t>
        </is>
      </c>
      <c r="D76" s="111" t="inlineStr">
        <is>
          <t>M.B.PANCARRE' 24 FETTE GR.430</t>
        </is>
      </c>
      <c r="E76" s="67" t="inlineStr">
        <is>
          <t>contiene allergeni</t>
        </is>
      </c>
      <c r="F76" s="67">
        <f>CONCATENATE(D76,"  ",E76," - ",A76," n° fatt ",C76," - ",TEXT(B76,"gg/mm/aaaa"))</f>
        <v/>
      </c>
    </row>
    <row r="77">
      <c r="A77" s="65" t="inlineStr">
        <is>
          <t>F.lli Fiorentino Srl</t>
        </is>
      </c>
      <c r="B77" s="193" t="n">
        <v>45930</v>
      </c>
      <c r="C77" s="65" t="inlineStr">
        <is>
          <t>1/12232</t>
        </is>
      </c>
      <c r="D77" s="65" t="inlineStr">
        <is>
          <t xml:space="preserve">MARG WIENER PLUNDERPLAT KG.2X5  </t>
        </is>
      </c>
      <c r="E77" s="67" t="inlineStr">
        <is>
          <t>contiene allergeni</t>
        </is>
      </c>
      <c r="F77" s="67">
        <f>CONCATENATE(D77,"  ",E77," - ",A77," n° fatt ",C77," - ",TEXT(B77,"gg/mm/aaaa"))</f>
        <v/>
      </c>
    </row>
    <row r="78">
      <c r="A78" s="65" t="inlineStr">
        <is>
          <t>saima s.p.a.</t>
        </is>
      </c>
      <c r="B78" s="193" t="n">
        <v>45895</v>
      </c>
      <c r="C78" s="65" t="inlineStr">
        <is>
          <t>1/145130</t>
        </is>
      </c>
      <c r="D78" s="65" t="inlineStr">
        <is>
          <t>margarina crema</t>
        </is>
      </c>
      <c r="E78" s="65" t="inlineStr">
        <is>
          <t>contiene allergeni</t>
        </is>
      </c>
      <c r="F78" s="67">
        <f>CONCATENATE(D78,"  ",E78," - ",A78," n° fatt ",C78," - ",TEXT(B78,"gg/mm/aaaa"))</f>
        <v/>
      </c>
    </row>
    <row r="79">
      <c r="A79" s="65" t="inlineStr">
        <is>
          <t>"rondinella market s.r.l."</t>
        </is>
      </c>
      <c r="B79" s="193" t="n">
        <v>45874</v>
      </c>
      <c r="C79" s="65" t="n">
        <v>1439</v>
      </c>
      <c r="D79" s="65" t="inlineStr">
        <is>
          <t>margarina crema</t>
        </is>
      </c>
      <c r="E79" s="65" t="inlineStr">
        <is>
          <t>contiene allergeni</t>
        </is>
      </c>
      <c r="F79" s="67">
        <f>CONCATENATE(D79,"  ",E79," - ",A79," n° fatt ",C79," - ",TEXT(B79,"gg/mm/aaaa"))</f>
        <v/>
      </c>
    </row>
    <row r="80">
      <c r="A80" s="65" t="inlineStr">
        <is>
          <t>saima s.p.a.</t>
        </is>
      </c>
      <c r="B80" s="193" t="n">
        <v>45895</v>
      </c>
      <c r="C80" s="65" t="inlineStr">
        <is>
          <t>1/145130</t>
        </is>
      </c>
      <c r="D80" s="65" t="inlineStr">
        <is>
          <t>margarina sfoglia</t>
        </is>
      </c>
      <c r="E80" s="65" t="inlineStr">
        <is>
          <t>contiene allergeni</t>
        </is>
      </c>
      <c r="F80" s="67">
        <f>CONCATENATE(D80,"  ",E80," - ",A80," n° fatt ",C80," - ",TEXT(B80,"gg/mm/aaaa"))</f>
        <v/>
      </c>
    </row>
    <row r="81">
      <c r="A81" s="65" t="inlineStr">
        <is>
          <t>"rondinella market s.r.l."</t>
        </is>
      </c>
      <c r="B81" s="193" t="n">
        <v>45874</v>
      </c>
      <c r="C81" s="65" t="n">
        <v>1439</v>
      </c>
      <c r="D81" s="65" t="inlineStr">
        <is>
          <t>margarina sfoglia</t>
        </is>
      </c>
      <c r="E81" s="65" t="inlineStr">
        <is>
          <t>contiene allergeni</t>
        </is>
      </c>
      <c r="F81" s="67">
        <f>CONCATENATE(D81,"  ",E81," - ",A81," n° fatt ",C81," - ",TEXT(B81,"gg/mm/aaaa"))</f>
        <v/>
      </c>
    </row>
    <row r="82">
      <c r="A82" s="68" t="inlineStr">
        <is>
          <t>G.I.A.L. GENERALE INGROSSO ALIMENTARE S.R.L.</t>
        </is>
      </c>
      <c r="B82" s="195" t="n">
        <v>45930</v>
      </c>
      <c r="C82" s="68" t="inlineStr">
        <is>
          <t>V1-35110</t>
        </is>
      </c>
      <c r="D82" s="68" t="inlineStr">
        <is>
          <t>MASCARPONE G.250      YMA</t>
        </is>
      </c>
      <c r="E82" s="67" t="inlineStr">
        <is>
          <t>contiene allergeni</t>
        </is>
      </c>
      <c r="F82" s="67">
        <f>CONCATENATE(D82,"  ",E82," - ",A82," n° fatt ",C82," - ",TEXT(B82,"gg/mm/aaaa"))</f>
        <v/>
      </c>
    </row>
    <row r="83" ht="31.5" customHeight="1" s="155">
      <c r="A83" s="111" t="inlineStr">
        <is>
          <t>G.I.A.L. GENERALE INGROSSO ALIMENTARE S.R.L.</t>
        </is>
      </c>
      <c r="B83" s="194" t="n">
        <v>45961</v>
      </c>
      <c r="C83" s="114" t="inlineStr">
        <is>
          <t>V1-39165</t>
        </is>
      </c>
      <c r="D83" s="111" t="inlineStr">
        <is>
          <t>MASCARPONE G.250      YMA</t>
        </is>
      </c>
      <c r="E83" s="64" t="inlineStr">
        <is>
          <t>contiene allergeni</t>
        </is>
      </c>
      <c r="F83" s="67">
        <f>CONCATENATE(D83,"  ",E83," - ",A83," n° fatt ",C83," - ",TEXT(B83,"gg/mm/aaaa"))</f>
        <v/>
      </c>
    </row>
    <row r="84" ht="15.75" customHeight="1" s="155">
      <c r="A84" s="111" t="inlineStr">
        <is>
          <t>F.lli Fiorentino Srl</t>
        </is>
      </c>
      <c r="B84" s="194" t="n">
        <v>45945</v>
      </c>
      <c r="C84" s="114" t="inlineStr">
        <is>
          <t>1/12975</t>
        </is>
      </c>
      <c r="D84" s="111" t="inlineStr">
        <is>
          <t xml:space="preserve">MAYONESE GAJA da KG.5  </t>
        </is>
      </c>
      <c r="E84" s="67" t="inlineStr">
        <is>
          <t>contiene allergeni</t>
        </is>
      </c>
      <c r="F84" s="67">
        <f>CONCATENATE(D84,"  ",E84," - ",A84," n° fatt ",C84," - ",TEXT(B84,"gg/mm/aaaa"))</f>
        <v/>
      </c>
    </row>
    <row r="85">
      <c r="A85" s="65" t="inlineStr">
        <is>
          <t>SAIMA S.p.A.</t>
        </is>
      </c>
      <c r="B85" s="193" t="n">
        <v>45895</v>
      </c>
      <c r="C85" s="65" t="inlineStr">
        <is>
          <t>1/145130</t>
        </is>
      </c>
      <c r="D85" s="65" t="inlineStr">
        <is>
          <t xml:space="preserve">MELANGE PLUS HOMILLINA GATEAUX DA KG 10 (4156)  </t>
        </is>
      </c>
      <c r="E85" s="67" t="inlineStr">
        <is>
          <t>contiene allergeni</t>
        </is>
      </c>
      <c r="F85" s="67">
        <f>CONCATENATE(D85,"  ",E85," - ",A85," n° fatt ",C85," - ",TEXT(B85,"gg/mm/aaaa"))</f>
        <v/>
      </c>
    </row>
    <row r="86">
      <c r="A86" s="65" t="inlineStr">
        <is>
          <t>SAIMA S.p.A.</t>
        </is>
      </c>
      <c r="B86" s="193" t="n">
        <v>45911</v>
      </c>
      <c r="C86" s="65" t="inlineStr">
        <is>
          <t>1/156298</t>
        </is>
      </c>
      <c r="D86" s="65" t="inlineStr">
        <is>
          <t xml:space="preserve">MELANGE PLUS HOMILLINA GATEAUX DA KG 10 (4156)  </t>
        </is>
      </c>
      <c r="E86" s="67" t="inlineStr">
        <is>
          <t>contiene allergeni</t>
        </is>
      </c>
      <c r="F86" s="67">
        <f>CONCATENATE(D86,"  ",E86," - ",A86," n° fatt ",C86," - ",TEXT(B86,"gg/mm/aaaa"))</f>
        <v/>
      </c>
    </row>
    <row r="87">
      <c r="A87" s="65" t="inlineStr">
        <is>
          <t>SAIMA S.p.A.</t>
        </is>
      </c>
      <c r="B87" s="193" t="n">
        <v>45916</v>
      </c>
      <c r="C87" s="65" t="inlineStr">
        <is>
          <t>1/159105</t>
        </is>
      </c>
      <c r="D87" s="65" t="inlineStr">
        <is>
          <t xml:space="preserve">MELANGE PLUS HOMILLINA GATEAUX DA KG 10 (4156)  </t>
        </is>
      </c>
      <c r="E87" s="67" t="inlineStr">
        <is>
          <t>contiene allergeni</t>
        </is>
      </c>
      <c r="F87" s="67">
        <f>CONCATENATE(D87,"  ",E87," - ",A87," n° fatt ",C87," - ",TEXT(B87,"gg/mm/aaaa"))</f>
        <v/>
      </c>
    </row>
    <row r="88">
      <c r="A88" s="65" t="inlineStr">
        <is>
          <t>SAIMA S.p.A.</t>
        </is>
      </c>
      <c r="B88" s="193" t="n">
        <v>45931</v>
      </c>
      <c r="C88" s="65" t="inlineStr">
        <is>
          <t>1/169719</t>
        </is>
      </c>
      <c r="D88" s="65" t="inlineStr">
        <is>
          <t xml:space="preserve">MELANGE PLUS HOMILLINA GATEAUX DA KG 10 (4156)  </t>
        </is>
      </c>
      <c r="E88" s="67" t="inlineStr">
        <is>
          <t>contiene allergeni</t>
        </is>
      </c>
      <c r="F88" s="67">
        <f>CONCATENATE(D88,"  ",E88," - ",A88," n° fatt ",C88," - ",TEXT(B88,"gg/mm/aaaa"))</f>
        <v/>
      </c>
    </row>
    <row r="89" ht="31.5" customHeight="1" s="155">
      <c r="A89" s="111" t="inlineStr">
        <is>
          <t>SAIMA S.p.A.</t>
        </is>
      </c>
      <c r="B89" s="194" t="n">
        <v>45931</v>
      </c>
      <c r="C89" s="114" t="inlineStr">
        <is>
          <t>1/169719</t>
        </is>
      </c>
      <c r="D89" s="111" t="inlineStr">
        <is>
          <t xml:space="preserve">MELANGE PLUS HOMILLINA GATEAUX DA KG 10 (4156)  </t>
        </is>
      </c>
      <c r="E89" s="67" t="inlineStr">
        <is>
          <t>contiene allergeni</t>
        </is>
      </c>
      <c r="F89" s="67">
        <f>CONCATENATE(D89,"  ",E89," - ",A89," n° fatt ",C89," - ",TEXT(B89,"gg/mm/aaaa"))</f>
        <v/>
      </c>
    </row>
    <row r="90">
      <c r="A90" s="65" t="inlineStr">
        <is>
          <t>SAIMA S.p.A.</t>
        </is>
      </c>
      <c r="B90" s="193" t="n">
        <v>45895</v>
      </c>
      <c r="C90" s="65" t="inlineStr">
        <is>
          <t>1/145130</t>
        </is>
      </c>
      <c r="D90" s="65" t="inlineStr">
        <is>
          <t xml:space="preserve">MELANGE PLUS HOMILLINA PLATTE DA KG 10 (4155)  </t>
        </is>
      </c>
      <c r="E90" s="67" t="inlineStr">
        <is>
          <t>contiene allergeni</t>
        </is>
      </c>
      <c r="F90" s="67">
        <f>CONCATENATE(D90,"  ",E90," - ",A90," n° fatt ",C90," - ",TEXT(B90,"gg/mm/aaaa"))</f>
        <v/>
      </c>
    </row>
    <row r="91">
      <c r="A91" s="65" t="inlineStr">
        <is>
          <t>SAIMA S.p.A.</t>
        </is>
      </c>
      <c r="B91" s="193" t="n">
        <v>45911</v>
      </c>
      <c r="C91" s="65" t="inlineStr">
        <is>
          <t>1/156298</t>
        </is>
      </c>
      <c r="D91" s="65" t="inlineStr">
        <is>
          <t xml:space="preserve">MELANGE PLUS HOMILLINA PLATTE DA KG 10 (4155)  </t>
        </is>
      </c>
      <c r="E91" s="67" t="inlineStr">
        <is>
          <t>contiene allergeni</t>
        </is>
      </c>
      <c r="F91" s="67">
        <f>CONCATENATE(D91,"  ",E91," - ",A91," n° fatt ",C91," - ",TEXT(B91,"gg/mm/aaaa"))</f>
        <v/>
      </c>
    </row>
    <row r="92">
      <c r="A92" s="65" t="inlineStr">
        <is>
          <t>SAIMA S.p.A.</t>
        </is>
      </c>
      <c r="B92" s="193" t="n">
        <v>45916</v>
      </c>
      <c r="C92" s="65" t="inlineStr">
        <is>
          <t>1/159105</t>
        </is>
      </c>
      <c r="D92" s="65" t="inlineStr">
        <is>
          <t xml:space="preserve">MELANGE PLUS HOMILLINA PLATTE DA KG 10 (4155)  </t>
        </is>
      </c>
      <c r="E92" s="67" t="inlineStr">
        <is>
          <t>contiene allergeni</t>
        </is>
      </c>
      <c r="F92" s="67">
        <f>CONCATENATE(D92,"  ",E92," - ",A92," n° fatt ",C92," - ",TEXT(B92,"gg/mm/aaaa"))</f>
        <v/>
      </c>
    </row>
    <row r="93">
      <c r="A93" s="65" t="inlineStr">
        <is>
          <t>SAIMA S.p.A.</t>
        </is>
      </c>
      <c r="B93" s="193" t="n">
        <v>45923</v>
      </c>
      <c r="C93" s="65" t="inlineStr">
        <is>
          <t>1/163854</t>
        </is>
      </c>
      <c r="D93" s="65" t="inlineStr">
        <is>
          <t xml:space="preserve">MELANGE PLUS HOMILLINA PLATTE DA KG 10 (4155)  </t>
        </is>
      </c>
      <c r="E93" s="67" t="inlineStr">
        <is>
          <t>contiene allergeni</t>
        </is>
      </c>
      <c r="F93" s="67">
        <f>CONCATENATE(D93,"  ",E93," - ",A93," n° fatt ",C93," - ",TEXT(B93,"gg/mm/aaaa"))</f>
        <v/>
      </c>
    </row>
    <row r="94">
      <c r="A94" s="65" t="inlineStr">
        <is>
          <t>SAIMA S.p.A.</t>
        </is>
      </c>
      <c r="B94" s="193" t="n">
        <v>45931</v>
      </c>
      <c r="C94" s="65" t="inlineStr">
        <is>
          <t>1/169719</t>
        </is>
      </c>
      <c r="D94" s="65" t="inlineStr">
        <is>
          <t xml:space="preserve">MEZZELUNE DI GELATINA AL LIMONE KG 2  </t>
        </is>
      </c>
      <c r="E94" s="67" t="inlineStr">
        <is>
          <t>contiene allergeni</t>
        </is>
      </c>
      <c r="F94" s="67">
        <f>CONCATENATE(D94,"  ",E94," - ",A94," n° fatt ",C94," - ",TEXT(B94,"gg/mm/aaaa"))</f>
        <v/>
      </c>
    </row>
    <row r="95" ht="31.5" customHeight="1" s="155">
      <c r="A95" s="111" t="inlineStr">
        <is>
          <t>SAIMA S.p.A.</t>
        </is>
      </c>
      <c r="B95" s="194" t="n">
        <v>45945</v>
      </c>
      <c r="C95" s="114" t="inlineStr">
        <is>
          <t>1/179243</t>
        </is>
      </c>
      <c r="D95" s="111" t="inlineStr">
        <is>
          <t xml:space="preserve">MIGLIORATORE XXL FORZA IN CONFEZIONE DA KG 8  </t>
        </is>
      </c>
      <c r="E95" s="67" t="inlineStr">
        <is>
          <t>contiene allergeni</t>
        </is>
      </c>
      <c r="F95" s="67">
        <f>CONCATENATE(D95,"  ",E95," - ",A95," n° fatt ",C95," - ",TEXT(B95,"gg/mm/aaaa"))</f>
        <v/>
      </c>
    </row>
    <row r="96" ht="15.75" customHeight="1" s="155">
      <c r="A96" s="111" t="inlineStr">
        <is>
          <t>SAIMA S.p.A.</t>
        </is>
      </c>
      <c r="B96" s="194" t="n">
        <v>45972</v>
      </c>
      <c r="C96" s="114" t="inlineStr">
        <is>
          <t>1/196084</t>
        </is>
      </c>
      <c r="D96" s="111" t="inlineStr">
        <is>
          <t xml:space="preserve">MIX AFRICANO MIX DA KG 10  </t>
        </is>
      </c>
      <c r="E96" s="67" t="inlineStr">
        <is>
          <t>contiene allergeni</t>
        </is>
      </c>
      <c r="F96" s="67">
        <f>CONCATENATE(D96,"  ",E96," - ",A96," n° fatt ",C96," - ",TEXT(B96,"gg/mm/aaaa"))</f>
        <v/>
      </c>
    </row>
    <row r="97" ht="31.5" customHeight="1" s="155">
      <c r="A97" s="111" t="inlineStr">
        <is>
          <t>G.I.A.L. GENERALE INGROSSO ALIMENTARE S.R.L.</t>
        </is>
      </c>
      <c r="B97" s="194" t="n">
        <v>45961</v>
      </c>
      <c r="C97" s="114" t="inlineStr">
        <is>
          <t>V1-39165</t>
        </is>
      </c>
      <c r="D97" s="111" t="inlineStr">
        <is>
          <t>MIX ALLEGRO G.200 SENDERO</t>
        </is>
      </c>
      <c r="E97" s="67" t="inlineStr">
        <is>
          <t>contiene allergeni</t>
        </is>
      </c>
      <c r="F97" s="67">
        <f>CONCATENATE(D97,"  ",E97," - ",A97," n° fatt ",C97," - ",TEXT(B97,"gg/mm/aaaa"))</f>
        <v/>
      </c>
    </row>
    <row r="98">
      <c r="A98" s="65" t="inlineStr">
        <is>
          <t>saima s.p.a.</t>
        </is>
      </c>
      <c r="B98" s="193" t="n">
        <v>45902</v>
      </c>
      <c r="C98" s="65" t="inlineStr">
        <is>
          <t>1/149709</t>
        </is>
      </c>
      <c r="D98" s="65" t="inlineStr">
        <is>
          <t xml:space="preserve">mix cake nature da kg 10 (4830)  </t>
        </is>
      </c>
      <c r="E98" s="65" t="inlineStr">
        <is>
          <t>contiene allergeni</t>
        </is>
      </c>
      <c r="F98" s="67">
        <f>CONCATENATE(D98,"  ",E98," - ",A98," n° fatt ",C98," - ",TEXT(B98,"gg/mm/aaaa"))</f>
        <v/>
      </c>
    </row>
    <row r="99">
      <c r="A99" s="65" t="inlineStr">
        <is>
          <t>SAIMA S.p.A.</t>
        </is>
      </c>
      <c r="B99" s="193" t="n">
        <v>45902</v>
      </c>
      <c r="C99" s="65" t="inlineStr">
        <is>
          <t>1/149709</t>
        </is>
      </c>
      <c r="D99" s="65" t="inlineStr">
        <is>
          <t xml:space="preserve">MIX CAKE NATURE DA KG 10 (4830)  </t>
        </is>
      </c>
      <c r="E99" s="67" t="inlineStr">
        <is>
          <t>contiene allergeni</t>
        </is>
      </c>
      <c r="F99" s="67">
        <f>CONCATENATE(D99,"  ",E99," - ",A99," n° fatt ",C99," - ",TEXT(B99,"gg/mm/aaaa"))</f>
        <v/>
      </c>
    </row>
    <row r="100" ht="15.75" customHeight="1" s="155">
      <c r="A100" s="111" t="inlineStr">
        <is>
          <t>SAIMA S.p.A.</t>
        </is>
      </c>
      <c r="B100" s="194" t="n">
        <v>45972</v>
      </c>
      <c r="C100" s="114" t="inlineStr">
        <is>
          <t>1/196084</t>
        </is>
      </c>
      <c r="D100" s="111" t="inlineStr">
        <is>
          <t xml:space="preserve">MIX GOLDEN NOW DA KG 15 (4644)  </t>
        </is>
      </c>
      <c r="E100" s="67" t="inlineStr">
        <is>
          <t>contiene allergeni</t>
        </is>
      </c>
      <c r="F100" s="67">
        <f>CONCATENATE(D100,"  ",E100," - ",A100," n° fatt ",C100," - ",TEXT(B100,"gg/mm/aaaa"))</f>
        <v/>
      </c>
    </row>
    <row r="101" ht="15.75" customHeight="1" s="155">
      <c r="A101" s="111" t="inlineStr">
        <is>
          <t>SAIMA S.p.A.</t>
        </is>
      </c>
      <c r="B101" s="194" t="n">
        <v>45945</v>
      </c>
      <c r="C101" s="114" t="inlineStr">
        <is>
          <t>1/179243</t>
        </is>
      </c>
      <c r="D101" s="111" t="inlineStr">
        <is>
          <t xml:space="preserve">MIX YOGOFINE DA KG 15  </t>
        </is>
      </c>
      <c r="E101" s="67" t="inlineStr">
        <is>
          <t>contiene allergeni</t>
        </is>
      </c>
      <c r="F101" s="67">
        <f>CONCATENATE(D101,"  ",E101," - ",A101," n° fatt ",C101," - ",TEXT(B101,"gg/mm/aaaa"))</f>
        <v/>
      </c>
    </row>
    <row r="102" ht="15.75" customHeight="1" s="155">
      <c r="A102" s="111" t="inlineStr">
        <is>
          <t>BIG FOOD SRL</t>
        </is>
      </c>
      <c r="B102" s="194" t="n">
        <v>45966</v>
      </c>
      <c r="C102" s="114" t="inlineStr">
        <is>
          <t>V1078689</t>
        </is>
      </c>
      <c r="D102" s="111" t="inlineStr">
        <is>
          <t>MOND.SOTTILETTE GR.400</t>
        </is>
      </c>
      <c r="E102" s="67" t="inlineStr">
        <is>
          <t>contiene allergeni</t>
        </is>
      </c>
      <c r="F102" s="67">
        <f>CONCATENATE(D102,"  ",E102," - ",A102," n° fatt ",C102," - ",TEXT(B102,"gg/mm/aaaa"))</f>
        <v/>
      </c>
    </row>
    <row r="103" ht="15.75" customHeight="1" s="155">
      <c r="A103" s="111" t="inlineStr">
        <is>
          <t>BIG FOOD SRL</t>
        </is>
      </c>
      <c r="B103" s="194" t="n">
        <v>45947</v>
      </c>
      <c r="C103" s="114" t="inlineStr">
        <is>
          <t>V1073762</t>
        </is>
      </c>
      <c r="D103" s="111" t="inlineStr">
        <is>
          <t>MORATO AMERICAN SANDWICH GR.550</t>
        </is>
      </c>
      <c r="E103" s="67" t="inlineStr">
        <is>
          <t>contiene allergeni</t>
        </is>
      </c>
      <c r="F103" s="67">
        <f>CONCATENATE(D103,"  ",E103," - ",A103," n° fatt ",C103," - ",TEXT(B103,"gg/mm/aaaa"))</f>
        <v/>
      </c>
    </row>
    <row r="104">
      <c r="A104" s="65" t="inlineStr">
        <is>
          <t>"rondinella market s.r.l."</t>
        </is>
      </c>
      <c r="B104" s="193" t="n">
        <v>45873</v>
      </c>
      <c r="C104" s="65" t="n">
        <v>1430</v>
      </c>
      <c r="D104" s="65" t="inlineStr">
        <is>
          <t>nuppy nocciola 12kg</t>
        </is>
      </c>
      <c r="E104" s="65" t="inlineStr">
        <is>
          <t>contiene allergeni</t>
        </is>
      </c>
      <c r="F104" s="67">
        <f>CONCATENATE(D104,"  ",E104," - ",A104," n° fatt ",C104," - ",TEXT(B104,"gg/mm/aaaa"))</f>
        <v/>
      </c>
    </row>
    <row r="105">
      <c r="A105" s="65" t="inlineStr">
        <is>
          <t>"RONDINELLA MARKET S.R.L."</t>
        </is>
      </c>
      <c r="B105" s="193" t="n">
        <v>45873</v>
      </c>
      <c r="C105" s="65" t="n">
        <v>1430</v>
      </c>
      <c r="D105" s="65" t="inlineStr">
        <is>
          <t>NUPPY NOCCIOLA 12KG</t>
        </is>
      </c>
      <c r="E105" s="67" t="inlineStr">
        <is>
          <t>contiene allergeni</t>
        </is>
      </c>
      <c r="F105" s="67">
        <f>CONCATENATE(D105,"  ",E105," - ",A105," n° fatt ",C105," - ",TEXT(B105,"gg/mm/aaaa"))</f>
        <v/>
      </c>
    </row>
    <row r="106">
      <c r="A106" s="65" t="inlineStr">
        <is>
          <t>"RONDINELLA MARKET S.R.L."</t>
        </is>
      </c>
      <c r="B106" s="193" t="n">
        <v>45897</v>
      </c>
      <c r="C106" s="65" t="n">
        <v>1504</v>
      </c>
      <c r="D106" s="65" t="inlineStr">
        <is>
          <t>NUPPY NOCCIOLA 12KG</t>
        </is>
      </c>
      <c r="E106" s="67" t="inlineStr">
        <is>
          <t>contiene allergeni</t>
        </is>
      </c>
      <c r="F106" s="67">
        <f>CONCATENATE(D106,"  ",E106," - ",A106," n° fatt ",C106," - ",TEXT(B106,"gg/mm/aaaa"))</f>
        <v/>
      </c>
    </row>
    <row r="107">
      <c r="A107" s="65" t="inlineStr">
        <is>
          <t>"RONDINELLA MARKET S.R.L."</t>
        </is>
      </c>
      <c r="B107" s="193" t="n">
        <v>45915</v>
      </c>
      <c r="C107" s="65" t="n">
        <v>1611</v>
      </c>
      <c r="D107" s="65" t="inlineStr">
        <is>
          <t>NUPPY NOCCIOLA 12KG</t>
        </is>
      </c>
      <c r="E107" s="67" t="inlineStr">
        <is>
          <t>contiene allergeni</t>
        </is>
      </c>
      <c r="F107" s="67">
        <f>CONCATENATE(D107,"  ",E107," - ",A107," n° fatt ",C107," - ",TEXT(B107,"gg/mm/aaaa"))</f>
        <v/>
      </c>
    </row>
    <row r="108">
      <c r="A108" s="65" t="inlineStr">
        <is>
          <t>"rondinella market s.r.l."</t>
        </is>
      </c>
      <c r="B108" s="193" t="n">
        <v>45873</v>
      </c>
      <c r="C108" s="65" t="n">
        <v>1430</v>
      </c>
      <c r="D108" s="65" t="inlineStr">
        <is>
          <t>nuppy pistacchio piu' 6kg</t>
        </is>
      </c>
      <c r="E108" s="65" t="inlineStr">
        <is>
          <t>contiene allergeni</t>
        </is>
      </c>
      <c r="F108" s="67">
        <f>CONCATENATE(D108,"  ",E108," - ",A108," n° fatt ",C108," - ",TEXT(B108,"gg/mm/aaaa"))</f>
        <v/>
      </c>
    </row>
    <row r="109">
      <c r="A109" s="65" t="inlineStr">
        <is>
          <t>"RONDINELLA MARKET S.R.L."</t>
        </is>
      </c>
      <c r="B109" s="193" t="n">
        <v>45873</v>
      </c>
      <c r="C109" s="65" t="n">
        <v>1430</v>
      </c>
      <c r="D109" s="65" t="inlineStr">
        <is>
          <t>NUPPY PISTACCHIO PIU' 6Kg</t>
        </is>
      </c>
      <c r="E109" s="67" t="inlineStr">
        <is>
          <t>contiene allergeni</t>
        </is>
      </c>
      <c r="F109" s="67">
        <f>CONCATENATE(D109,"  ",E109," - ",A109," n° fatt ",C109," - ",TEXT(B109,"gg/mm/aaaa"))</f>
        <v/>
      </c>
    </row>
    <row r="110">
      <c r="A110" s="65" t="inlineStr">
        <is>
          <t>"RONDINELLA MARKET S.R.L."</t>
        </is>
      </c>
      <c r="B110" s="193" t="n">
        <v>45897</v>
      </c>
      <c r="C110" s="65" t="n">
        <v>1504</v>
      </c>
      <c r="D110" s="65" t="inlineStr">
        <is>
          <t>NUPPY PISTACCHIO PIU' 6Kg</t>
        </is>
      </c>
      <c r="E110" s="67" t="inlineStr">
        <is>
          <t>contiene allergeni</t>
        </is>
      </c>
      <c r="F110" s="67">
        <f>CONCATENATE(D110,"  ",E110," - ",A110," n° fatt ",C110," - ",TEXT(B110,"gg/mm/aaaa"))</f>
        <v/>
      </c>
    </row>
    <row r="111">
      <c r="A111" s="65" t="inlineStr">
        <is>
          <t>"RONDINELLA MARKET S.R.L."</t>
        </is>
      </c>
      <c r="B111" s="193" t="n">
        <v>45915</v>
      </c>
      <c r="C111" s="65" t="n">
        <v>1618</v>
      </c>
      <c r="D111" s="65" t="inlineStr">
        <is>
          <t>NUPPY PISTACCHIO PIU' 6Kg</t>
        </is>
      </c>
      <c r="E111" s="67" t="inlineStr">
        <is>
          <t>contiene allergeni</t>
        </is>
      </c>
      <c r="F111" s="67">
        <f>CONCATENATE(D111,"  ",E111," - ",A111," n° fatt ",C111," - ",TEXT(B111,"gg/mm/aaaa"))</f>
        <v/>
      </c>
    </row>
    <row r="112" ht="15.75" customHeight="1" s="155">
      <c r="A112" s="111" t="inlineStr">
        <is>
          <t>"RONDINELLA MARKET S.R.L."</t>
        </is>
      </c>
      <c r="B112" s="194" t="n">
        <v>45965</v>
      </c>
      <c r="C112" s="114" t="n">
        <v>1998</v>
      </c>
      <c r="D112" s="111" t="inlineStr">
        <is>
          <t>NUPPY PISTACCHIO PIU' 6Kg</t>
        </is>
      </c>
      <c r="E112" s="67" t="inlineStr">
        <is>
          <t>contiene allergeni</t>
        </is>
      </c>
      <c r="F112" s="67">
        <f>CONCATENATE(D112,"  ",E112," - ",A112," n° fatt ",C112," - ",TEXT(B112,"gg/mm/aaaa"))</f>
        <v/>
      </c>
    </row>
    <row r="113">
      <c r="A113" s="65" t="inlineStr">
        <is>
          <t>BIG FOOD SRL</t>
        </is>
      </c>
      <c r="B113" s="193" t="n">
        <v>45874</v>
      </c>
      <c r="C113" s="65" t="inlineStr">
        <is>
          <t>V1056277</t>
        </is>
      </c>
      <c r="D113" s="65" t="inlineStr">
        <is>
          <t>NUTELLA KG.3</t>
        </is>
      </c>
      <c r="E113" s="67" t="inlineStr">
        <is>
          <t>contiene allergeni</t>
        </is>
      </c>
      <c r="F113" s="67">
        <f>CONCATENATE(D113,"  ",E113," - ",A113," n° fatt ",C113," - ",TEXT(B113,"gg/mm/aaaa"))</f>
        <v/>
      </c>
    </row>
    <row r="114" ht="15.75" customHeight="1" s="155">
      <c r="A114" s="111" t="inlineStr">
        <is>
          <t>F.LLI SOMMELLA</t>
        </is>
      </c>
      <c r="B114" s="194" t="n">
        <v>45962</v>
      </c>
      <c r="C114" s="114" t="n">
        <v>1251</v>
      </c>
      <c r="D114" s="111" t="inlineStr">
        <is>
          <t>NUTELLA VASO FERRERO</t>
        </is>
      </c>
      <c r="E114" s="67" t="inlineStr">
        <is>
          <t>contiene allergeni</t>
        </is>
      </c>
      <c r="F114" s="67">
        <f>CONCATENATE(D114,"  ",E114," - ",A114," n° fatt ",C114," - ",TEXT(B114,"gg/mm/aaaa"))</f>
        <v/>
      </c>
    </row>
    <row r="115">
      <c r="A115" s="65" t="inlineStr">
        <is>
          <t>"RONDINELLA MARKET S.R.L."</t>
        </is>
      </c>
      <c r="B115" s="193" t="n">
        <v>45874</v>
      </c>
      <c r="C115" s="65" t="n">
        <v>1439</v>
      </c>
      <c r="D115" s="65" t="inlineStr">
        <is>
          <t>OLVA THERMO CREMA GATEAUX</t>
        </is>
      </c>
      <c r="E115" s="67" t="inlineStr">
        <is>
          <t>contiene allergeni</t>
        </is>
      </c>
      <c r="F115" s="67">
        <f>CONCATENATE(D115,"  ",E115," - ",A115," n° fatt ",C115," - ",TEXT(B115,"gg/mm/aaaa"))</f>
        <v/>
      </c>
    </row>
    <row r="116" ht="15.75" customHeight="1" s="155">
      <c r="A116" s="111" t="inlineStr">
        <is>
          <t>"RONDINELLA MARKET S.R.L."</t>
        </is>
      </c>
      <c r="B116" s="194" t="n">
        <v>45936</v>
      </c>
      <c r="C116" s="114" t="n">
        <v>1768</v>
      </c>
      <c r="D116" s="111" t="inlineStr">
        <is>
          <t>OLVA THERMO CREMA GATEAUX</t>
        </is>
      </c>
      <c r="E116" s="67" t="inlineStr">
        <is>
          <t>contiene allergeni</t>
        </is>
      </c>
      <c r="F116" s="67">
        <f>CONCATENATE(D116,"  ",E116," - ",A116," n° fatt ",C116," - ",TEXT(B116,"gg/mm/aaaa"))</f>
        <v/>
      </c>
    </row>
    <row r="117">
      <c r="A117" s="65" t="inlineStr">
        <is>
          <t>"RONDINELLA MARKET S.R.L."</t>
        </is>
      </c>
      <c r="B117" s="193" t="n">
        <v>45874</v>
      </c>
      <c r="C117" s="65" t="n">
        <v>1439</v>
      </c>
      <c r="D117" s="65" t="inlineStr">
        <is>
          <t>OLVA THERMO QUICK</t>
        </is>
      </c>
      <c r="E117" s="67" t="inlineStr">
        <is>
          <t>contiene allergeni</t>
        </is>
      </c>
      <c r="F117" s="67">
        <f>CONCATENATE(D117,"  ",E117," - ",A117," n° fatt ",C117," - ",TEXT(B117,"gg/mm/aaaa"))</f>
        <v/>
      </c>
    </row>
    <row r="118">
      <c r="A118" s="65" t="inlineStr">
        <is>
          <t>"RONDINELLA MARKET S.R.L."</t>
        </is>
      </c>
      <c r="B118" s="193" t="n">
        <v>45910</v>
      </c>
      <c r="C118" s="65" t="n">
        <v>1580</v>
      </c>
      <c r="D118" s="65" t="inlineStr">
        <is>
          <t>OLVA THERMO QUICK</t>
        </is>
      </c>
      <c r="E118" s="67" t="inlineStr">
        <is>
          <t>contiene allergeni</t>
        </is>
      </c>
      <c r="F118" s="67">
        <f>CONCATENATE(D118,"  ",E118," - ",A118," n° fatt ",C118," - ",TEXT(B118,"gg/mm/aaaa"))</f>
        <v/>
      </c>
    </row>
    <row r="119" ht="15.75" customHeight="1" s="155">
      <c r="A119" s="111" t="inlineStr">
        <is>
          <t>"RONDINELLA MARKET S.R.L."</t>
        </is>
      </c>
      <c r="B119" s="194" t="n">
        <v>45961</v>
      </c>
      <c r="C119" s="114" t="n">
        <v>1974</v>
      </c>
      <c r="D119" s="111" t="inlineStr">
        <is>
          <t>OLVA THERMO QUICK</t>
        </is>
      </c>
      <c r="E119" s="67" t="inlineStr">
        <is>
          <t>contiene allergeni</t>
        </is>
      </c>
      <c r="F119" s="67">
        <f>CONCATENATE(D119,"  ",E119," - ",A119," n° fatt ",C119," - ",TEXT(B119,"gg/mm/aaaa"))</f>
        <v/>
      </c>
    </row>
    <row r="120">
      <c r="A120" s="65" t="inlineStr">
        <is>
          <t>g.i.a.l. generale ingrosso alimentare s.r.l.</t>
        </is>
      </c>
      <c r="B120" s="193" t="n">
        <v>45900</v>
      </c>
      <c r="C120" s="65" t="inlineStr">
        <is>
          <t>v1-31036</t>
        </is>
      </c>
      <c r="D120" s="65" t="inlineStr">
        <is>
          <t>p.cotto s/p.rosso sendero</t>
        </is>
      </c>
      <c r="E120" s="65" t="inlineStr">
        <is>
          <t>contiene allergeni</t>
        </is>
      </c>
      <c r="F120" s="67">
        <f>CONCATENATE(D120,"  ",E120," - ",A120," n° fatt ",C120," - ",TEXT(B120,"gg/mm/aaaa"))</f>
        <v/>
      </c>
    </row>
    <row r="121">
      <c r="A121" s="65" t="inlineStr">
        <is>
          <t>g.i.a.l. generale ingrosso alimentare s.r.l.</t>
        </is>
      </c>
      <c r="B121" s="193" t="n">
        <v>45900</v>
      </c>
      <c r="C121" s="65" t="inlineStr">
        <is>
          <t>V1-31036</t>
        </is>
      </c>
      <c r="D121" s="65" t="inlineStr">
        <is>
          <t>P.COTTO S/P.ROSSO SENDERO</t>
        </is>
      </c>
      <c r="E121" s="67" t="inlineStr">
        <is>
          <t>contiene allergeni</t>
        </is>
      </c>
      <c r="F121" s="67">
        <f>CONCATENATE(D121,"  ",E121," - ",A121," n° fatt ",C121," - ",TEXT(B121,"gg/mm/aaaa"))</f>
        <v/>
      </c>
    </row>
    <row r="122">
      <c r="A122" s="68" t="inlineStr">
        <is>
          <t>G.I.A.L. GENERALE INGROSSO ALIMENTARE S.R.L.</t>
        </is>
      </c>
      <c r="B122" s="195" t="n">
        <v>45930</v>
      </c>
      <c r="C122" s="68" t="inlineStr">
        <is>
          <t>V1-35110</t>
        </is>
      </c>
      <c r="D122" s="68" t="inlineStr">
        <is>
          <t>P.COTTO S/P.ROSSO SENDERO</t>
        </is>
      </c>
      <c r="E122" s="67" t="inlineStr">
        <is>
          <t>contiene allergeni</t>
        </is>
      </c>
      <c r="F122" s="67">
        <f>CONCATENATE(D122,"  ",E122," - ",A122," n° fatt ",C122," - ",TEXT(B122,"gg/mm/aaaa"))</f>
        <v/>
      </c>
    </row>
    <row r="123">
      <c r="A123" s="65" t="inlineStr">
        <is>
          <t>g.i.a.l. generale ingrosso alimentare s.r.l.</t>
        </is>
      </c>
      <c r="B123" s="193" t="n">
        <v>45900</v>
      </c>
      <c r="C123" s="65" t="inlineStr">
        <is>
          <t>v1-31036</t>
        </is>
      </c>
      <c r="D123" s="65" t="inlineStr">
        <is>
          <t>p.cotto verde    rosafino</t>
        </is>
      </c>
      <c r="E123" s="65" t="inlineStr">
        <is>
          <t>contiene allergeni</t>
        </is>
      </c>
      <c r="F123" s="67">
        <f>CONCATENATE(D123,"  ",E123," - ",A123," n° fatt ",C123," - ",TEXT(B123,"gg/mm/aaaa"))</f>
        <v/>
      </c>
    </row>
    <row r="124">
      <c r="A124" s="65" t="inlineStr">
        <is>
          <t>g.i.a.l. generale ingrosso alimentare s.r.l.</t>
        </is>
      </c>
      <c r="B124" s="193" t="n">
        <v>45900</v>
      </c>
      <c r="C124" s="65" t="inlineStr">
        <is>
          <t>V1-31036</t>
        </is>
      </c>
      <c r="D124" s="65" t="inlineStr">
        <is>
          <t>P.COTTO VERDE    ROSAFINO</t>
        </is>
      </c>
      <c r="E124" s="67" t="inlineStr">
        <is>
          <t>contiene allergeni</t>
        </is>
      </c>
      <c r="F124" s="67">
        <f>CONCATENATE(D124,"  ",E124," - ",A124," n° fatt ",C124," - ",TEXT(B124,"gg/mm/aaaa"))</f>
        <v/>
      </c>
    </row>
    <row r="125">
      <c r="A125" s="65" t="inlineStr">
        <is>
          <t>g.i.a.l. generale ingrosso alimentare s.r.l.</t>
        </is>
      </c>
      <c r="B125" s="193" t="n">
        <v>45900</v>
      </c>
      <c r="C125" s="65" t="inlineStr">
        <is>
          <t>V1-31036</t>
        </is>
      </c>
      <c r="D125" s="65" t="inlineStr">
        <is>
          <t>P.CRUDO S/O        ASSISI</t>
        </is>
      </c>
      <c r="E125" s="67" t="inlineStr">
        <is>
          <t>contiene allergeni</t>
        </is>
      </c>
      <c r="F125" s="67">
        <f>CONCATENATE(D125,"  ",E125," - ",A125," n° fatt ",C125," - ",TEXT(B125,"gg/mm/aaaa"))</f>
        <v/>
      </c>
    </row>
    <row r="126">
      <c r="A126" s="68" t="inlineStr">
        <is>
          <t>G.I.A.L. GENERALE INGROSSO ALIMENTARE S.R.L.</t>
        </is>
      </c>
      <c r="B126" s="195" t="n">
        <v>45930</v>
      </c>
      <c r="C126" s="68" t="inlineStr">
        <is>
          <t>V1-35110</t>
        </is>
      </c>
      <c r="D126" s="68" t="inlineStr">
        <is>
          <t>P.CRUDO S/O        ASSISI</t>
        </is>
      </c>
      <c r="E126" s="67" t="inlineStr">
        <is>
          <t>contiene allergeni</t>
        </is>
      </c>
      <c r="F126" s="67">
        <f>CONCATENATE(D126,"  ",E126," - ",A126," n° fatt ",C126," - ",TEXT(B126,"gg/mm/aaaa"))</f>
        <v/>
      </c>
    </row>
    <row r="127">
      <c r="A127" s="65" t="inlineStr">
        <is>
          <t>saima s.p.a.</t>
        </is>
      </c>
      <c r="B127" s="193" t="n">
        <v>45895</v>
      </c>
      <c r="C127" s="65" t="inlineStr">
        <is>
          <t>1/145130</t>
        </is>
      </c>
      <c r="D127" s="65" t="inlineStr">
        <is>
          <t>panna</t>
        </is>
      </c>
      <c r="E127" s="65" t="inlineStr">
        <is>
          <t>contiene allergeni</t>
        </is>
      </c>
      <c r="F127" s="67">
        <f>CONCATENATE(D127,"  ",E127," - ",A127," n° fatt ",C127," - ",TEXT(B127,"gg/mm/aaaa"))</f>
        <v/>
      </c>
    </row>
    <row r="128" ht="15.75" customHeight="1" s="155">
      <c r="A128" s="111" t="inlineStr">
        <is>
          <t>F.lli Fiorentino Srl</t>
        </is>
      </c>
      <c r="B128" s="194" t="n">
        <v>45945</v>
      </c>
      <c r="C128" s="114" t="inlineStr">
        <is>
          <t>1/12975</t>
        </is>
      </c>
      <c r="D128" s="111" t="inlineStr">
        <is>
          <t xml:space="preserve">PANNA VEG GRAN CUCINA ML.500X20  </t>
        </is>
      </c>
      <c r="E128" s="67" t="inlineStr">
        <is>
          <t>contiene allergeni</t>
        </is>
      </c>
      <c r="F128" s="67">
        <f>CONCATENATE(D128,"  ",E128," - ",A128," n° fatt ",C128," - ",TEXT(B128,"gg/mm/aaaa"))</f>
        <v/>
      </c>
    </row>
    <row r="129" ht="15.75" customHeight="1" s="155">
      <c r="A129" s="111" t="inlineStr">
        <is>
          <t>Società Duegi S.r.l.</t>
        </is>
      </c>
      <c r="B129" s="194" t="n">
        <v>45961</v>
      </c>
      <c r="C129" s="114" t="n">
        <v>18747</v>
      </c>
      <c r="D129" s="111" t="inlineStr">
        <is>
          <t xml:space="preserve">Panuozzo 350 g  </t>
        </is>
      </c>
      <c r="E129" s="67" t="inlineStr">
        <is>
          <t>contiene allergeni</t>
        </is>
      </c>
      <c r="F129" s="67">
        <f>CONCATENATE(D129,"  ",E129," - ",A129," n° fatt ",C129," - ",TEXT(B129,"gg/mm/aaaa"))</f>
        <v/>
      </c>
    </row>
    <row r="130">
      <c r="A130" s="68" t="inlineStr">
        <is>
          <t>G.I.A.L. GENERALE INGROSSO ALIMENTARE S.R.L.</t>
        </is>
      </c>
      <c r="B130" s="195" t="n">
        <v>45930</v>
      </c>
      <c r="C130" s="68" t="inlineStr">
        <is>
          <t>V1-35110</t>
        </is>
      </c>
      <c r="D130" s="68" t="inlineStr">
        <is>
          <t>PAR.REGG.   G.900 SORESIN</t>
        </is>
      </c>
      <c r="E130" s="67" t="inlineStr">
        <is>
          <t>contiene allergeni</t>
        </is>
      </c>
      <c r="F130" s="67">
        <f>CONCATENATE(D130,"  ",E130," - ",A130," n° fatt ",C130," - ",TEXT(B130,"gg/mm/aaaa"))</f>
        <v/>
      </c>
    </row>
    <row r="131" ht="15.75" customHeight="1" s="155">
      <c r="A131" s="111" t="inlineStr">
        <is>
          <t>BIG FOOD SRL</t>
        </is>
      </c>
      <c r="B131" s="194" t="n">
        <v>45973</v>
      </c>
      <c r="C131" s="114" t="inlineStr">
        <is>
          <t>V1080647</t>
        </is>
      </c>
      <c r="D131" s="111" t="inlineStr">
        <is>
          <t>PARMAREGGIO SNACK BOX KG.1 MITO</t>
        </is>
      </c>
      <c r="E131" s="67" t="inlineStr">
        <is>
          <t>contiene allergeni</t>
        </is>
      </c>
      <c r="F131" s="67">
        <f>CONCATENATE(D131,"  ",E131," - ",A131," n° fatt ",C131," - ",TEXT(B131,"gg/mm/aaaa"))</f>
        <v/>
      </c>
    </row>
    <row r="132" ht="15.75" customHeight="1" s="155">
      <c r="A132" s="111" t="inlineStr">
        <is>
          <t>F.lli Fiorentino Srl</t>
        </is>
      </c>
      <c r="B132" s="194" t="n">
        <v>45945</v>
      </c>
      <c r="C132" s="114" t="inlineStr">
        <is>
          <t>1/12975</t>
        </is>
      </c>
      <c r="D132" s="111" t="inlineStr">
        <is>
          <t xml:space="preserve">PASTA DE CECCO BUCATINI  </t>
        </is>
      </c>
      <c r="E132" s="67" t="inlineStr">
        <is>
          <t>contiene allergeni</t>
        </is>
      </c>
      <c r="F132" s="67">
        <f>CONCATENATE(D132,"  ",E132," - ",A132," n° fatt ",C132," - ",TEXT(B132,"gg/mm/aaaa"))</f>
        <v/>
      </c>
    </row>
    <row r="133">
      <c r="A133" s="65" t="inlineStr">
        <is>
          <t>F.lli Fiorentino Srl</t>
        </is>
      </c>
      <c r="B133" s="193" t="n">
        <v>45930</v>
      </c>
      <c r="C133" s="65" t="inlineStr">
        <is>
          <t>1/12232</t>
        </is>
      </c>
      <c r="D133" s="65" t="inlineStr">
        <is>
          <t xml:space="preserve">PASTA DE CECCO Mafaldine  </t>
        </is>
      </c>
      <c r="E133" s="67" t="inlineStr">
        <is>
          <t>contiene allergeni</t>
        </is>
      </c>
      <c r="F133" s="67">
        <f>CONCATENATE(D133,"  ",E133," - ",A133," n° fatt ",C133," - ",TEXT(B133,"gg/mm/aaaa"))</f>
        <v/>
      </c>
    </row>
    <row r="134">
      <c r="A134" s="65" t="inlineStr">
        <is>
          <t>F.lli Fiorentino Srl</t>
        </is>
      </c>
      <c r="B134" s="193" t="n">
        <v>45912</v>
      </c>
      <c r="C134" s="65" t="inlineStr">
        <is>
          <t>1/11430</t>
        </is>
      </c>
      <c r="D134" s="65" t="inlineStr">
        <is>
          <t xml:space="preserve">PASTA DE CECCO P.LISCE 140  </t>
        </is>
      </c>
      <c r="E134" s="67" t="inlineStr">
        <is>
          <t>contiene allergeni</t>
        </is>
      </c>
      <c r="F134" s="67">
        <f>CONCATENATE(D134,"  ",E134," - ",A134," n° fatt ",C134," - ",TEXT(B134,"gg/mm/aaaa"))</f>
        <v/>
      </c>
    </row>
    <row r="135">
      <c r="A135" s="65" t="inlineStr">
        <is>
          <t>F.lli Fiorentino Srl</t>
        </is>
      </c>
      <c r="B135" s="193" t="n">
        <v>45912</v>
      </c>
      <c r="C135" s="65" t="inlineStr">
        <is>
          <t>1/11430</t>
        </is>
      </c>
      <c r="D135" s="65" t="inlineStr">
        <is>
          <t xml:space="preserve">PASTA DE CECCO RIGATONI  </t>
        </is>
      </c>
      <c r="E135" s="67" t="inlineStr">
        <is>
          <t>contiene allergeni</t>
        </is>
      </c>
      <c r="F135" s="67">
        <f>CONCATENATE(D135,"  ",E135," - ",A135," n° fatt ",C135," - ",TEXT(B135,"gg/mm/aaaa"))</f>
        <v/>
      </c>
    </row>
    <row r="136" ht="15.75" customHeight="1" s="155">
      <c r="A136" s="111" t="inlineStr">
        <is>
          <t>"RONDINELLA MARKET S.R.L."</t>
        </is>
      </c>
      <c r="B136" s="194" t="n">
        <v>45957</v>
      </c>
      <c r="C136" s="114" t="n">
        <v>1941</v>
      </c>
      <c r="D136" s="111" t="inlineStr">
        <is>
          <t>PASTA DI MANDORLA MANDOLPAN 15kg</t>
        </is>
      </c>
      <c r="E136" s="67" t="inlineStr">
        <is>
          <t>contiene allergeni</t>
        </is>
      </c>
      <c r="F136" s="67">
        <f>CONCATENATE(D136,"  ",E136," - ",A136," n° fatt ",C136," - ",TEXT(B136,"gg/mm/aaaa"))</f>
        <v/>
      </c>
    </row>
    <row r="137">
      <c r="A137" s="65" t="inlineStr">
        <is>
          <t>saima s.p.a.</t>
        </is>
      </c>
      <c r="B137" s="193" t="n">
        <v>45895</v>
      </c>
      <c r="C137" s="65" t="inlineStr">
        <is>
          <t>1/145130</t>
        </is>
      </c>
      <c r="D137" s="65" t="inlineStr">
        <is>
          <t>pasta di mandorle</t>
        </is>
      </c>
      <c r="E137" s="65" t="inlineStr">
        <is>
          <t>contiene allergeni</t>
        </is>
      </c>
      <c r="F137" s="67">
        <f>CONCATENATE(D137,"  ",E137," - ",A137," n° fatt ",C137," - ",TEXT(B137,"gg/mm/aaaa"))</f>
        <v/>
      </c>
    </row>
    <row r="138">
      <c r="A138" s="65" t="inlineStr">
        <is>
          <t>saima s.p.a.</t>
        </is>
      </c>
      <c r="B138" s="193" t="n">
        <v>45903</v>
      </c>
      <c r="C138" s="65" t="inlineStr">
        <is>
          <t>1/150800</t>
        </is>
      </c>
      <c r="D138" s="65" t="inlineStr">
        <is>
          <t xml:space="preserve">pasta fragola  </t>
        </is>
      </c>
      <c r="E138" s="65" t="inlineStr">
        <is>
          <t>contiene allergeni</t>
        </is>
      </c>
      <c r="F138" s="67">
        <f>CONCATENATE(D138,"  ",E138," - ",A138," n° fatt ",C138," - ",TEXT(B138,"gg/mm/aaaa"))</f>
        <v/>
      </c>
    </row>
    <row r="139" ht="15.75" customHeight="1" s="155">
      <c r="A139" s="111" t="inlineStr">
        <is>
          <t>"RONDINELLA MARKET S.R.L."</t>
        </is>
      </c>
      <c r="B139" s="194" t="n">
        <v>45951</v>
      </c>
      <c r="C139" s="114" t="n">
        <v>1893</v>
      </c>
      <c r="D139" s="111" t="inlineStr">
        <is>
          <t>PASTA NOCCIOLA 5,5kg</t>
        </is>
      </c>
      <c r="E139" s="67" t="inlineStr">
        <is>
          <t>contiene allergeni</t>
        </is>
      </c>
      <c r="F139" s="67">
        <f>CONCATENATE(D139,"  ",E139," - ",A139," n° fatt ",C139," - ",TEXT(B139,"gg/mm/aaaa"))</f>
        <v/>
      </c>
    </row>
    <row r="140">
      <c r="A140" s="65" t="inlineStr">
        <is>
          <t>"RONDINELLA MARKET S.R.L."</t>
        </is>
      </c>
      <c r="B140" s="193" t="n">
        <v>45898</v>
      </c>
      <c r="C140" s="65" t="n">
        <v>1508</v>
      </c>
      <c r="D140" s="65" t="inlineStr">
        <is>
          <t>PASTA PISTACCHIO PURO 2,5KG</t>
        </is>
      </c>
      <c r="E140" s="67" t="inlineStr">
        <is>
          <t>contiene allergeni</t>
        </is>
      </c>
      <c r="F140" s="67">
        <f>CONCATENATE(D140,"  ",E140," - ",A140," n° fatt ",C140," - ",TEXT(B140,"gg/mm/aaaa"))</f>
        <v/>
      </c>
    </row>
    <row r="141" ht="15.75" customHeight="1" s="155">
      <c r="A141" s="111" t="inlineStr">
        <is>
          <t>SAIMA S.p.A.</t>
        </is>
      </c>
      <c r="B141" s="194" t="n">
        <v>45972</v>
      </c>
      <c r="C141" s="114" t="inlineStr">
        <is>
          <t>1/196084</t>
        </is>
      </c>
      <c r="D141" s="111" t="inlineStr">
        <is>
          <t xml:space="preserve">PASTA TIRAMISU' DA KG 1 (0227.1)  </t>
        </is>
      </c>
      <c r="E141" s="67" t="inlineStr">
        <is>
          <t>contiene allergeni</t>
        </is>
      </c>
      <c r="F141" s="67">
        <f>CONCATENATE(D141,"  ",E141," - ",A141," n° fatt ",C141," - ",TEXT(B141,"gg/mm/aaaa"))</f>
        <v/>
      </c>
    </row>
    <row r="142" ht="15.75" customHeight="1" s="155">
      <c r="A142" s="111" t="inlineStr">
        <is>
          <t>BIG FOOD SRL</t>
        </is>
      </c>
      <c r="B142" s="194" t="n">
        <v>45947</v>
      </c>
      <c r="C142" s="114" t="inlineStr">
        <is>
          <t>V1073762</t>
        </is>
      </c>
      <c r="D142" s="111" t="inlineStr">
        <is>
          <t>PINNA PECORINO TORO BIANCO 1/8 SV</t>
        </is>
      </c>
      <c r="E142" s="67" t="inlineStr">
        <is>
          <t>contiene allergeni</t>
        </is>
      </c>
      <c r="F142" s="67">
        <f>CONCATENATE(D142,"  ",E142," - ",A142," n° fatt ",C142," - ",TEXT(B142,"gg/mm/aaaa"))</f>
        <v/>
      </c>
    </row>
    <row r="143">
      <c r="A143" s="65" t="inlineStr">
        <is>
          <t>F.lli Fiorentino Srl</t>
        </is>
      </c>
      <c r="B143" s="193" t="n">
        <v>45912</v>
      </c>
      <c r="C143" s="65" t="inlineStr">
        <is>
          <t>1/11430</t>
        </is>
      </c>
      <c r="D143" s="65" t="inlineStr">
        <is>
          <t xml:space="preserve">PISELLI BONDUELLE GR.580X12  </t>
        </is>
      </c>
      <c r="E143" s="67" t="inlineStr">
        <is>
          <t>contiene allergeni</t>
        </is>
      </c>
      <c r="F143" s="67">
        <f>CONCATENATE(D143,"  ",E143," - ",A143," n° fatt ",C143," - ",TEXT(B143,"gg/mm/aaaa"))</f>
        <v/>
      </c>
    </row>
    <row r="144">
      <c r="A144" s="68" t="inlineStr">
        <is>
          <t>G.I.A.L. GENERALE INGROSSO ALIMENTARE S.R.L.</t>
        </is>
      </c>
      <c r="B144" s="195" t="n">
        <v>45930</v>
      </c>
      <c r="C144" s="68" t="inlineStr">
        <is>
          <t>V1-35110</t>
        </is>
      </c>
      <c r="D144" s="68" t="inlineStr">
        <is>
          <t>PORCH.MONTAGNA1/2 SENFTER</t>
        </is>
      </c>
      <c r="E144" s="67" t="inlineStr">
        <is>
          <t>contiene allergeni</t>
        </is>
      </c>
      <c r="F144" s="67">
        <f>CONCATENATE(D144,"  ",E144," - ",A144," n° fatt ",C144," - ",TEXT(B144,"gg/mm/aaaa"))</f>
        <v/>
      </c>
    </row>
    <row r="145">
      <c r="A145" s="68" t="inlineStr">
        <is>
          <t>G.I.A.L. GENERALE INGROSSO ALIMENTARE S.R.L.</t>
        </is>
      </c>
      <c r="B145" s="195" t="n">
        <v>45930</v>
      </c>
      <c r="C145" s="68" t="inlineStr">
        <is>
          <t>V1-35110</t>
        </is>
      </c>
      <c r="D145" s="68" t="inlineStr">
        <is>
          <t>PREP.VEGETA.M.1000 HOPLA</t>
        </is>
      </c>
      <c r="E145" s="67" t="inlineStr">
        <is>
          <t>contiene allergeni</t>
        </is>
      </c>
      <c r="F145" s="67">
        <f>CONCATENATE(D145,"  ",E145," - ",A145," n° fatt ",C145," - ",TEXT(B145,"gg/mm/aaaa"))</f>
        <v/>
      </c>
    </row>
    <row r="146">
      <c r="A146" s="65" t="inlineStr">
        <is>
          <t>g.i.a.l. generale ingrosso alimentare s.r.l.</t>
        </is>
      </c>
      <c r="B146" s="193" t="n">
        <v>45900</v>
      </c>
      <c r="C146" s="65" t="inlineStr">
        <is>
          <t>v1-31036</t>
        </is>
      </c>
      <c r="D146" s="65" t="inlineStr">
        <is>
          <t>prep.vegeta.ml.500 hopla</t>
        </is>
      </c>
      <c r="E146" s="65" t="inlineStr">
        <is>
          <t>contiene allergeni</t>
        </is>
      </c>
      <c r="F146" s="67">
        <f>CONCATENATE(D146,"  ",E146," - ",A146," n° fatt ",C146," - ",TEXT(B146,"gg/mm/aaaa"))</f>
        <v/>
      </c>
    </row>
    <row r="147">
      <c r="A147" s="65" t="inlineStr">
        <is>
          <t>g.i.a.l. generale ingrosso alimentare s.r.l.</t>
        </is>
      </c>
      <c r="B147" s="193" t="n">
        <v>45900</v>
      </c>
      <c r="C147" s="65" t="inlineStr">
        <is>
          <t>V1-31036</t>
        </is>
      </c>
      <c r="D147" s="65" t="inlineStr">
        <is>
          <t>PREP.VEGETA.ML.500 HOPLA</t>
        </is>
      </c>
      <c r="E147" s="67" t="inlineStr">
        <is>
          <t>contiene allergeni</t>
        </is>
      </c>
      <c r="F147" s="67">
        <f>CONCATENATE(D147,"  ",E147," - ",A147," n° fatt ",C147," - ",TEXT(B147,"gg/mm/aaaa"))</f>
        <v/>
      </c>
    </row>
    <row r="148">
      <c r="A148" s="68" t="inlineStr">
        <is>
          <t>G.I.A.L. GENERALE INGROSSO ALIMENTARE S.R.L.</t>
        </is>
      </c>
      <c r="B148" s="195" t="n">
        <v>45930</v>
      </c>
      <c r="C148" s="68" t="inlineStr">
        <is>
          <t>V1-35110</t>
        </is>
      </c>
      <c r="D148" s="68" t="inlineStr">
        <is>
          <t>PREP.VEGETA.ML.500 HOPLA</t>
        </is>
      </c>
      <c r="E148" s="67" t="inlineStr">
        <is>
          <t>contiene allergeni</t>
        </is>
      </c>
      <c r="F148" s="67">
        <f>CONCATENATE(D148,"  ",E148," - ",A148," n° fatt ",C148," - ",TEXT(B148,"gg/mm/aaaa"))</f>
        <v/>
      </c>
    </row>
    <row r="149" ht="31.5" customHeight="1" s="155">
      <c r="A149" s="111" t="inlineStr">
        <is>
          <t>G.I.A.L. GENERALE INGROSSO ALIMENTARE S.R.L.</t>
        </is>
      </c>
      <c r="B149" s="194" t="n">
        <v>45961</v>
      </c>
      <c r="C149" s="114" t="inlineStr">
        <is>
          <t>V1-39165</t>
        </is>
      </c>
      <c r="D149" s="111" t="inlineStr">
        <is>
          <t>PREP.VEGETA.ML.500 HOPLA</t>
        </is>
      </c>
      <c r="E149" s="67" t="inlineStr">
        <is>
          <t>contiene allergeni</t>
        </is>
      </c>
      <c r="F149" s="67">
        <f>CONCATENATE(D149,"  ",E149," - ",A149," n° fatt ",C149," - ",TEXT(B149,"gg/mm/aaaa"))</f>
        <v/>
      </c>
    </row>
    <row r="150" ht="31.5" customHeight="1" s="155">
      <c r="A150" s="111" t="inlineStr">
        <is>
          <t>GE.FI.AL. SAS DI FIORENZANO GENNARO &amp; C.</t>
        </is>
      </c>
      <c r="B150" s="194" t="n">
        <v>45974</v>
      </c>
      <c r="C150" s="114" t="n">
        <v>277</v>
      </c>
      <c r="D150" s="111" t="inlineStr">
        <is>
          <t>Ricotta di Pecora Zuccherata Congelata x 6 - Ricocrem-</t>
        </is>
      </c>
      <c r="E150" s="67" t="inlineStr">
        <is>
          <t>contiene allergeni</t>
        </is>
      </c>
      <c r="F150" s="67">
        <f>CONCATENATE(D150,"  ",E150," - ",A150," n° fatt ",C150," - ",TEXT(B150,"gg/mm/aaaa"))</f>
        <v/>
      </c>
    </row>
    <row r="151" ht="15.75" customHeight="1" s="155">
      <c r="A151" s="111" t="inlineStr">
        <is>
          <t>GARGIULO GIUSEPPE</t>
        </is>
      </c>
      <c r="B151" s="194" t="n">
        <v>45961</v>
      </c>
      <c r="C151" s="114" t="inlineStr">
        <is>
          <t>FPR 416/25</t>
        </is>
      </c>
      <c r="D151" s="111" t="inlineStr">
        <is>
          <t>RICOTTA FULVI INCARTATA</t>
        </is>
      </c>
      <c r="E151" s="67" t="inlineStr">
        <is>
          <t>contiene allergeni</t>
        </is>
      </c>
      <c r="F151" s="67">
        <f>CONCATENATE(D151,"  ",E151," - ",A151," n° fatt ",C151," - ",TEXT(B151,"gg/mm/aaaa"))</f>
        <v/>
      </c>
    </row>
    <row r="152">
      <c r="A152" s="65" t="inlineStr">
        <is>
          <t>GARGIULO GIUSEPPE</t>
        </is>
      </c>
      <c r="B152" s="193" t="n">
        <v>45930</v>
      </c>
      <c r="C152" s="65" t="inlineStr">
        <is>
          <t>FPR 371/25</t>
        </is>
      </c>
      <c r="D152" s="65" t="inlineStr">
        <is>
          <t>RICOTTA OMOGENEIZZATA II 5KG</t>
        </is>
      </c>
      <c r="E152" s="67" t="inlineStr">
        <is>
          <t>contiene allergeni</t>
        </is>
      </c>
      <c r="F152" s="67">
        <f>CONCATENATE(D152,"  ",E152," - ",A152," n° fatt ",C152," - ",TEXT(B152,"gg/mm/aaaa"))</f>
        <v/>
      </c>
    </row>
    <row r="153" ht="15.75" customHeight="1" s="155">
      <c r="A153" s="111" t="inlineStr">
        <is>
          <t>GARGIULO GIUSEPPE</t>
        </is>
      </c>
      <c r="B153" s="194" t="n">
        <v>45961</v>
      </c>
      <c r="C153" s="114" t="inlineStr">
        <is>
          <t>FPR 416/25</t>
        </is>
      </c>
      <c r="D153" s="111" t="inlineStr">
        <is>
          <t>RICOTTA OMOGENEIZZATA II 5KG</t>
        </is>
      </c>
      <c r="E153" s="67" t="inlineStr">
        <is>
          <t>contiene allergeni</t>
        </is>
      </c>
      <c r="F153" s="67">
        <f>CONCATENATE(D153,"  ",E153," - ",A153," n° fatt ",C153," - ",TEXT(B153,"gg/mm/aaaa"))</f>
        <v/>
      </c>
    </row>
    <row r="154">
      <c r="A154" s="65" t="inlineStr">
        <is>
          <t>GARGIULO GIUSEPPE</t>
        </is>
      </c>
      <c r="B154" s="193" t="n">
        <v>45930</v>
      </c>
      <c r="C154" s="65" t="inlineStr">
        <is>
          <t>FPR 371/25</t>
        </is>
      </c>
      <c r="D154" s="65" t="inlineStr">
        <is>
          <t>RICOTTA TIPO ROMA</t>
        </is>
      </c>
      <c r="E154" s="67" t="inlineStr">
        <is>
          <t>contiene allergeni</t>
        </is>
      </c>
      <c r="F154" s="67">
        <f>CONCATENATE(D154,"  ",E154," - ",A154," n° fatt ",C154," - ",TEXT(B154,"gg/mm/aaaa"))</f>
        <v/>
      </c>
    </row>
    <row r="155">
      <c r="A155" s="65" t="inlineStr">
        <is>
          <t>GARGIULO GIUSEPPE</t>
        </is>
      </c>
      <c r="B155" s="193" t="n">
        <v>45930</v>
      </c>
      <c r="C155" s="65" t="inlineStr">
        <is>
          <t>FPR 371/25</t>
        </is>
      </c>
      <c r="D155" s="65" t="inlineStr">
        <is>
          <t>Ricotta Zuccherata Congelata</t>
        </is>
      </c>
      <c r="E155" s="67" t="inlineStr">
        <is>
          <t>contiene allergeni</t>
        </is>
      </c>
      <c r="F155" s="67">
        <f>CONCATENATE(D155,"  ",E155," - ",A155," n° fatt ",C155," - ",TEXT(B155,"gg/mm/aaaa"))</f>
        <v/>
      </c>
    </row>
    <row r="156" ht="15.75" customHeight="1" s="155">
      <c r="A156" s="111" t="inlineStr">
        <is>
          <t>GARGIULO GIUSEPPE</t>
        </is>
      </c>
      <c r="B156" s="194" t="n">
        <v>45961</v>
      </c>
      <c r="C156" s="114" t="inlineStr">
        <is>
          <t>FPR 416/25</t>
        </is>
      </c>
      <c r="D156" s="111" t="inlineStr">
        <is>
          <t>RICOTTA ZUCCHERATA CONGELATA CAV.</t>
        </is>
      </c>
      <c r="E156" s="67" t="inlineStr">
        <is>
          <t>contiene allergeni</t>
        </is>
      </c>
      <c r="F156" s="67">
        <f>CONCATENATE(D156,"  ",E156," - ",A156," n° fatt ",C156," - ",TEXT(B156,"gg/mm/aaaa"))</f>
        <v/>
      </c>
    </row>
    <row r="157" ht="15.75" customHeight="1" s="155">
      <c r="A157" s="111" t="inlineStr">
        <is>
          <t>BIG FOOD SRL</t>
        </is>
      </c>
      <c r="B157" s="194" t="n">
        <v>45966</v>
      </c>
      <c r="C157" s="114" t="inlineStr">
        <is>
          <t>V1078689</t>
        </is>
      </c>
      <c r="D157" s="111" t="inlineStr">
        <is>
          <t>RIGAMONTI BRES.VALTEL.ORO.IGP 1/2</t>
        </is>
      </c>
      <c r="E157" s="67" t="inlineStr">
        <is>
          <t>contiene allergeni</t>
        </is>
      </c>
      <c r="F157" s="67">
        <f>CONCATENATE(D157,"  ",E157," - ",A157," n° fatt ",C157," - ",TEXT(B157,"gg/mm/aaaa"))</f>
        <v/>
      </c>
    </row>
    <row r="158" ht="15.75" customHeight="1" s="155">
      <c r="A158" s="111" t="inlineStr">
        <is>
          <t>GB FOOD SRL</t>
        </is>
      </c>
      <c r="B158" s="194" t="n">
        <v>45974</v>
      </c>
      <c r="C158" s="114" t="inlineStr">
        <is>
          <t>269/PZ</t>
        </is>
      </c>
      <c r="D158" s="111" t="inlineStr">
        <is>
          <t>ROSETTINE</t>
        </is>
      </c>
      <c r="E158" s="67" t="inlineStr">
        <is>
          <t>contiene allergeni</t>
        </is>
      </c>
      <c r="F158" s="67">
        <f>CONCATENATE(D158,"  ",E158," - ",A158," n° fatt ",C158," - ",TEXT(B158,"gg/mm/aaaa"))</f>
        <v/>
      </c>
    </row>
    <row r="159">
      <c r="A159" s="65" t="inlineStr">
        <is>
          <t>g.i.a.l. generale ingrosso alimentare s.r.l.</t>
        </is>
      </c>
      <c r="B159" s="193" t="n">
        <v>45900</v>
      </c>
      <c r="C159" s="65" t="inlineStr">
        <is>
          <t>v1-31036</t>
        </is>
      </c>
      <c r="D159" s="65" t="inlineStr">
        <is>
          <t>salame</t>
        </is>
      </c>
      <c r="E159" s="65" t="inlineStr">
        <is>
          <t>contiene allergeni</t>
        </is>
      </c>
      <c r="F159" s="67">
        <f>CONCATENATE(D159,"  ",E159," - ",A159," n° fatt ",C159," - ",TEXT(B159,"gg/mm/aaaa"))</f>
        <v/>
      </c>
    </row>
    <row r="160">
      <c r="A160" s="65" t="inlineStr">
        <is>
          <t>g.i.a.l. generale ingrosso alimentare s.r.l.</t>
        </is>
      </c>
      <c r="B160" s="193" t="n">
        <v>45900</v>
      </c>
      <c r="C160" s="65" t="inlineStr">
        <is>
          <t>V1-31036</t>
        </is>
      </c>
      <c r="D160" s="65" t="inlineStr">
        <is>
          <t>SALAME NAPOLI SV. SENDERO</t>
        </is>
      </c>
      <c r="E160" s="67" t="inlineStr">
        <is>
          <t>contiene allergeni</t>
        </is>
      </c>
      <c r="F160" s="67">
        <f>CONCATENATE(D160,"  ",E160," - ",A160," n° fatt ",C160," - ",TEXT(B160,"gg/mm/aaaa"))</f>
        <v/>
      </c>
    </row>
    <row r="161">
      <c r="A161" s="68" t="inlineStr">
        <is>
          <t>G.I.A.L. GENERALE INGROSSO ALIMENTARE S.R.L.</t>
        </is>
      </c>
      <c r="B161" s="195" t="n">
        <v>45930</v>
      </c>
      <c r="C161" s="68" t="inlineStr">
        <is>
          <t>V1-35110</t>
        </is>
      </c>
      <c r="D161" s="68" t="inlineStr">
        <is>
          <t>SALAME SUINO      SENDERO</t>
        </is>
      </c>
      <c r="E161" s="67" t="inlineStr">
        <is>
          <t>contiene allergeni</t>
        </is>
      </c>
      <c r="F161" s="67">
        <f>CONCATENATE(D161,"  ",E161," - ",A161," n° fatt ",C161," - ",TEXT(B161,"gg/mm/aaaa"))</f>
        <v/>
      </c>
    </row>
    <row r="162" ht="15.75" customHeight="1" s="155">
      <c r="A162" s="111" t="inlineStr">
        <is>
          <t>F.LLI SOMMELLA</t>
        </is>
      </c>
      <c r="B162" s="194" t="n">
        <v>45950</v>
      </c>
      <c r="C162" s="114" t="n">
        <v>1200</v>
      </c>
      <c r="D162" s="111" t="inlineStr">
        <is>
          <t>SALTIMBOCCA</t>
        </is>
      </c>
      <c r="E162" s="67" t="inlineStr">
        <is>
          <t>contiene allergeni</t>
        </is>
      </c>
      <c r="F162" s="67">
        <f>CONCATENATE(D162,"  ",E162," - ",A162," n° fatt ",C162," - ",TEXT(B162,"gg/mm/aaaa"))</f>
        <v/>
      </c>
    </row>
    <row r="163">
      <c r="A163" s="65" t="inlineStr">
        <is>
          <t>"RONDINELLA MARKET S.R.L."</t>
        </is>
      </c>
      <c r="B163" s="193" t="n">
        <v>45897</v>
      </c>
      <c r="C163" s="65" t="n">
        <v>1504</v>
      </c>
      <c r="D163" s="65" t="inlineStr">
        <is>
          <t>SCAGLIETTA FONDENTE x 1kg</t>
        </is>
      </c>
      <c r="E163" s="67" t="inlineStr">
        <is>
          <t>contiene allergeni</t>
        </is>
      </c>
      <c r="F163" s="67">
        <f>CONCATENATE(D163,"  ",E163," - ",A163," n° fatt ",C163," - ",TEXT(B163,"gg/mm/aaaa"))</f>
        <v/>
      </c>
    </row>
    <row r="164">
      <c r="A164" s="65" t="inlineStr">
        <is>
          <t>SAIMA S.p.A.</t>
        </is>
      </c>
      <c r="B164" s="193" t="n">
        <v>45931</v>
      </c>
      <c r="C164" s="65" t="inlineStr">
        <is>
          <t>1/169719</t>
        </is>
      </c>
      <c r="D164" s="65" t="inlineStr">
        <is>
          <t xml:space="preserve">SCORZA PALERMO MEDIA PZ 100 (145 MM)  </t>
        </is>
      </c>
      <c r="E164" s="67" t="inlineStr">
        <is>
          <t>contiene allergeni</t>
        </is>
      </c>
      <c r="F164" s="67">
        <f>CONCATENATE(D164,"  ",E164," - ",A164," n° fatt ",C164," - ",TEXT(B164,"gg/mm/aaaa"))</f>
        <v/>
      </c>
    </row>
    <row r="165" ht="15.75" customHeight="1" s="155">
      <c r="A165" s="111" t="inlineStr">
        <is>
          <t>SAIMA S.p.A.</t>
        </is>
      </c>
      <c r="B165" s="194" t="n">
        <v>45931</v>
      </c>
      <c r="C165" s="114" t="inlineStr">
        <is>
          <t>1/169719</t>
        </is>
      </c>
      <c r="D165" s="111" t="inlineStr">
        <is>
          <t xml:space="preserve">SCORZA PALERMO MEDIA PZ 100 (145 MM)  </t>
        </is>
      </c>
      <c r="E165" s="67" t="inlineStr">
        <is>
          <t>contiene allergeni</t>
        </is>
      </c>
      <c r="F165" s="67">
        <f>CONCATENATE(D165,"  ",E165," - ",A165," n° fatt ",C165," - ",TEXT(B165,"gg/mm/aaaa"))</f>
        <v/>
      </c>
    </row>
    <row r="166">
      <c r="A166" s="65" t="inlineStr">
        <is>
          <t>SAIMA S.p.A.</t>
        </is>
      </c>
      <c r="B166" s="193" t="n">
        <v>45909</v>
      </c>
      <c r="C166" s="65" t="inlineStr">
        <is>
          <t>1/154431</t>
        </is>
      </c>
      <c r="D166" s="65" t="inlineStr">
        <is>
          <t xml:space="preserve">SCORZA PALERMO MIGNON DA KG 3,5 (85MM)  </t>
        </is>
      </c>
      <c r="E166" s="67" t="inlineStr">
        <is>
          <t>contiene allergeni</t>
        </is>
      </c>
      <c r="F166" s="67">
        <f>CONCATENATE(D166,"  ",E166," - ",A166," n° fatt ",C166," - ",TEXT(B166,"gg/mm/aaaa"))</f>
        <v/>
      </c>
    </row>
    <row r="167">
      <c r="A167" s="65" t="inlineStr">
        <is>
          <t>SAIMA S.p.A.</t>
        </is>
      </c>
      <c r="B167" s="193" t="n">
        <v>45931</v>
      </c>
      <c r="C167" s="65" t="inlineStr">
        <is>
          <t>1/169719</t>
        </is>
      </c>
      <c r="D167" s="65" t="inlineStr">
        <is>
          <t xml:space="preserve">SCORZA PALERMO MIGNON DA KG 3,5 (85MM)  </t>
        </is>
      </c>
      <c r="E167" s="67" t="inlineStr">
        <is>
          <t>contiene allergeni</t>
        </is>
      </c>
      <c r="F167" s="67">
        <f>CONCATENATE(D167,"  ",E167," - ",A167," n° fatt ",C167," - ",TEXT(B167,"gg/mm/aaaa"))</f>
        <v/>
      </c>
    </row>
    <row r="168" ht="15.75" customHeight="1" s="155">
      <c r="A168" s="111" t="inlineStr">
        <is>
          <t>SAIMA S.p.A.</t>
        </is>
      </c>
      <c r="B168" s="194" t="n">
        <v>45931</v>
      </c>
      <c r="C168" s="114" t="inlineStr">
        <is>
          <t>1/169719</t>
        </is>
      </c>
      <c r="D168" s="111" t="inlineStr">
        <is>
          <t xml:space="preserve">SCORZA PALERMO MIGNON DA KG 3,5 (85MM)  </t>
        </is>
      </c>
      <c r="E168" s="67" t="inlineStr">
        <is>
          <t>contiene allergeni</t>
        </is>
      </c>
      <c r="F168" s="67">
        <f>CONCATENATE(D168,"  ",E168," - ",A168," n° fatt ",C168," - ",TEXT(B168,"gg/mm/aaaa"))</f>
        <v/>
      </c>
    </row>
    <row r="169">
      <c r="A169" s="65" t="inlineStr">
        <is>
          <t>saima s.p.a.</t>
        </is>
      </c>
      <c r="B169" s="193" t="n">
        <v>45903</v>
      </c>
      <c r="C169" s="65" t="inlineStr">
        <is>
          <t>1/150800</t>
        </is>
      </c>
      <c r="D169" s="65" t="inlineStr">
        <is>
          <t xml:space="preserve">semola </t>
        </is>
      </c>
      <c r="E169" s="65" t="inlineStr">
        <is>
          <t>contiene allergeni</t>
        </is>
      </c>
      <c r="F169" s="67">
        <f>CONCATENATE(D169,"  ",E169," - ",A169," n° fatt ",C169," - ",TEXT(B169,"gg/mm/aaaa"))</f>
        <v/>
      </c>
    </row>
    <row r="170" ht="15.75" customHeight="1" s="155">
      <c r="A170" s="111" t="inlineStr">
        <is>
          <t>F.lli Fiorentino Srl</t>
        </is>
      </c>
      <c r="B170" s="194" t="n">
        <v>45961</v>
      </c>
      <c r="C170" s="114" t="inlineStr">
        <is>
          <t>1/13772</t>
        </is>
      </c>
      <c r="D170" s="111" t="inlineStr">
        <is>
          <t xml:space="preserve">SEMOLA 0 G.MEDIA MAD da KG.12.5  </t>
        </is>
      </c>
      <c r="E170" s="67" t="inlineStr">
        <is>
          <t>contiene allergeni</t>
        </is>
      </c>
      <c r="F170" s="67">
        <f>CONCATENATE(D170,"  ",E170," - ",A170," n° fatt ",C170," - ",TEXT(B170,"gg/mm/aaaa"))</f>
        <v/>
      </c>
    </row>
    <row r="171" ht="25.5" customHeight="1" s="155">
      <c r="A171" s="65" t="inlineStr">
        <is>
          <t>SAIMA S.p.A.</t>
        </is>
      </c>
      <c r="B171" s="193" t="n">
        <v>45903</v>
      </c>
      <c r="C171" s="65" t="inlineStr">
        <is>
          <t>1/150800</t>
        </is>
      </c>
      <c r="D171" s="65" t="inlineStr">
        <is>
          <t xml:space="preserve">SEMOLA D'AUTORE PER RIPIENO DI SFOGLIATELLA IN CONFEZIO DA KG 5  </t>
        </is>
      </c>
      <c r="E171" s="67" t="inlineStr">
        <is>
          <t>contiene allergeni</t>
        </is>
      </c>
      <c r="F171" s="67">
        <f>CONCATENATE(D171,"  ",E171," - ",A171," n° fatt ",C171," - ",TEXT(B171,"gg/mm/aaaa"))</f>
        <v/>
      </c>
    </row>
    <row r="172" ht="25.5" customHeight="1" s="155">
      <c r="A172" s="65" t="inlineStr">
        <is>
          <t>SAIMA S.p.A.</t>
        </is>
      </c>
      <c r="B172" s="193" t="n">
        <v>45923</v>
      </c>
      <c r="C172" s="65" t="inlineStr">
        <is>
          <t>1/163854</t>
        </is>
      </c>
      <c r="D172" s="65" t="inlineStr">
        <is>
          <t xml:space="preserve">SEMOLA D'AUTORE PER RIPIENO DI SFOGLIATELLA IN CONFEZIO DA KG 5  </t>
        </is>
      </c>
      <c r="E172" s="67" t="inlineStr">
        <is>
          <t>contiene allergeni</t>
        </is>
      </c>
      <c r="F172" s="67">
        <f>CONCATENATE(D172,"  ",E172," - ",A172," n° fatt ",C172," - ",TEXT(B172,"gg/mm/aaaa"))</f>
        <v/>
      </c>
    </row>
    <row r="173" ht="15.75" customHeight="1" s="155">
      <c r="A173" s="111" t="inlineStr">
        <is>
          <t>"RONDINELLA MARKET S.R.L."</t>
        </is>
      </c>
      <c r="B173" s="194" t="n">
        <v>45943</v>
      </c>
      <c r="C173" s="114" t="n">
        <v>1824</v>
      </c>
      <c r="D173" s="111" t="inlineStr">
        <is>
          <t>SEMOLA DI GRANO DURO x 5kg</t>
        </is>
      </c>
      <c r="E173" s="67" t="inlineStr">
        <is>
          <t>contiene allergeni</t>
        </is>
      </c>
      <c r="F173" s="67">
        <f>CONCATENATE(D173,"  ",E173," - ",A173," n° fatt ",C173," - ",TEXT(B173,"gg/mm/aaaa"))</f>
        <v/>
      </c>
    </row>
    <row r="174" ht="25.5" customHeight="1" s="155">
      <c r="A174" s="65" t="inlineStr">
        <is>
          <t>Dolciaria Acquaviva S.p.A. sog. all'att. di dir. e coord. di Vandemoortele NV</t>
        </is>
      </c>
      <c r="B174" s="193" t="n">
        <v>45923</v>
      </c>
      <c r="C174" s="65" t="n">
        <v>913716</v>
      </c>
      <c r="D174" s="65" t="inlineStr">
        <is>
          <t>SFOGL.NAP.MIGNON GR.30</t>
        </is>
      </c>
      <c r="E174" s="65" t="inlineStr">
        <is>
          <t>contiene allergeni</t>
        </is>
      </c>
      <c r="F174" s="67">
        <f>CONCATENATE(D174,"  ",E174," - ",A174," n° fatt ",C174," - ",TEXT(B174,"gg/mm/aaaa"))</f>
        <v/>
      </c>
    </row>
    <row r="175" ht="31.5" customHeight="1" s="155">
      <c r="A175" s="111" t="inlineStr">
        <is>
          <t>AP COMMERCIALE S.R.L.</t>
        </is>
      </c>
      <c r="B175" s="194" t="n">
        <v>45941</v>
      </c>
      <c r="C175" s="114" t="inlineStr">
        <is>
          <t>25566525100020@13346</t>
        </is>
      </c>
      <c r="D175" s="111" t="inlineStr">
        <is>
          <t>SLX FETTINE X16 GR.400</t>
        </is>
      </c>
      <c r="E175" s="67" t="inlineStr">
        <is>
          <t>contiene allergeni</t>
        </is>
      </c>
      <c r="F175" s="67">
        <f>CONCATENATE(D175,"  ",E175," - ",A175," n° fatt ",C175," - ",TEXT(B175,"gg/mm/aaaa"))</f>
        <v/>
      </c>
    </row>
    <row r="176">
      <c r="A176" s="65" t="inlineStr">
        <is>
          <t>g.i.a.l. generale ingrosso alimentare s.r.l.</t>
        </is>
      </c>
      <c r="B176" s="193" t="n">
        <v>45900</v>
      </c>
      <c r="C176" s="65" t="inlineStr">
        <is>
          <t>v1-31036</t>
        </is>
      </c>
      <c r="D176" s="65" t="inlineStr">
        <is>
          <t>sottilette</t>
        </is>
      </c>
      <c r="E176" s="65" t="inlineStr">
        <is>
          <t>contiene allergeni</t>
        </is>
      </c>
      <c r="F176" s="67">
        <f>CONCATENATE(D176,"  ",E176," - ",A176," n° fatt ",C176," - ",TEXT(B176,"gg/mm/aaaa"))</f>
        <v/>
      </c>
    </row>
    <row r="177">
      <c r="A177" s="65" t="inlineStr">
        <is>
          <t>g.i.a.l. generale ingrosso alimentare s.r.l.</t>
        </is>
      </c>
      <c r="B177" s="193" t="n">
        <v>45900</v>
      </c>
      <c r="C177" s="65" t="inlineStr">
        <is>
          <t>v1-31036</t>
        </is>
      </c>
      <c r="D177" s="65" t="inlineStr">
        <is>
          <t>soya classic lt.1 valsoia</t>
        </is>
      </c>
      <c r="E177" s="65" t="inlineStr">
        <is>
          <t>contiene allergeni</t>
        </is>
      </c>
      <c r="F177" s="67">
        <f>CONCATENATE(D177,"  ",E177," - ",A177," n° fatt ",C177," - ",TEXT(B177,"gg/mm/aaaa"))</f>
        <v/>
      </c>
    </row>
    <row r="178">
      <c r="A178" s="65" t="inlineStr">
        <is>
          <t>g.i.a.l. generale ingrosso alimentare s.r.l.</t>
        </is>
      </c>
      <c r="B178" s="193" t="n">
        <v>45900</v>
      </c>
      <c r="C178" s="65" t="inlineStr">
        <is>
          <t>V1-31036</t>
        </is>
      </c>
      <c r="D178" s="65" t="inlineStr">
        <is>
          <t>SOYA CLASSIC LT.1 VALSOIA</t>
        </is>
      </c>
      <c r="E178" s="67" t="inlineStr">
        <is>
          <t>contiene allergeni</t>
        </is>
      </c>
      <c r="F178" s="67">
        <f>CONCATENATE(D178,"  ",E178," - ",A178," n° fatt ",C178," - ",TEXT(B178,"gg/mm/aaaa"))</f>
        <v/>
      </c>
    </row>
    <row r="179">
      <c r="A179" s="68" t="inlineStr">
        <is>
          <t>G.I.A.L. GENERALE INGROSSO ALIMENTARE S.R.L.</t>
        </is>
      </c>
      <c r="B179" s="195" t="n">
        <v>45930</v>
      </c>
      <c r="C179" s="68" t="inlineStr">
        <is>
          <t>V1-35110</t>
        </is>
      </c>
      <c r="D179" s="68" t="inlineStr">
        <is>
          <t>SOYA CLASSIC LT.1 VALSOIA</t>
        </is>
      </c>
      <c r="E179" s="67" t="inlineStr">
        <is>
          <t>contiene allergeni</t>
        </is>
      </c>
      <c r="F179" s="67">
        <f>CONCATENATE(D179,"  ",E179," - ",A179," n° fatt ",C179," - ",TEXT(B179,"gg/mm/aaaa"))</f>
        <v/>
      </c>
    </row>
    <row r="180" ht="31.5" customHeight="1" s="155">
      <c r="A180" s="111" t="inlineStr">
        <is>
          <t>G.I.A.L. GENERALE INGROSSO ALIMENTARE S.R.L.</t>
        </is>
      </c>
      <c r="B180" s="194" t="n">
        <v>45961</v>
      </c>
      <c r="C180" s="114" t="inlineStr">
        <is>
          <t>V1-39165</t>
        </is>
      </c>
      <c r="D180" s="111" t="inlineStr">
        <is>
          <t>SOYA CLASSIC LT.1 VALSOIA</t>
        </is>
      </c>
      <c r="E180" s="67" t="inlineStr">
        <is>
          <t>contiene allergeni</t>
        </is>
      </c>
      <c r="F180" s="67">
        <f>CONCATENATE(D180,"  ",E180," - ",A180," n° fatt ",C180," - ",TEXT(B180,"gg/mm/aaaa"))</f>
        <v/>
      </c>
    </row>
    <row r="181">
      <c r="A181" s="65" t="inlineStr">
        <is>
          <t>SAIMA S.p.A.</t>
        </is>
      </c>
      <c r="B181" s="193" t="n">
        <v>45895</v>
      </c>
      <c r="C181" s="65" t="inlineStr">
        <is>
          <t>1/145130</t>
        </is>
      </c>
      <c r="D181" s="65" t="inlineStr">
        <is>
          <t xml:space="preserve">SURROGATO FONDENTE SUPERBRILL250 IN CONFEZIONE DA KG 10  </t>
        </is>
      </c>
      <c r="E181" s="67" t="inlineStr">
        <is>
          <t>contiene allergeni</t>
        </is>
      </c>
      <c r="F181" s="67">
        <f>CONCATENATE(D181,"  ",E181," - ",A181," n° fatt ",C181," - ",TEXT(B181,"gg/mm/aaaa"))</f>
        <v/>
      </c>
    </row>
    <row r="182">
      <c r="A182" s="65" t="inlineStr">
        <is>
          <t>saima s.p.a.</t>
        </is>
      </c>
      <c r="B182" s="193" t="n">
        <v>45895</v>
      </c>
      <c r="C182" s="65" t="inlineStr">
        <is>
          <t>1/145130</t>
        </is>
      </c>
      <c r="D182" s="65" t="inlineStr">
        <is>
          <t>tartalletta</t>
        </is>
      </c>
      <c r="E182" s="65" t="inlineStr">
        <is>
          <t>contiene allergeni</t>
        </is>
      </c>
      <c r="F182" s="67">
        <f>CONCATENATE(D182,"  ",E182," - ",A182," n° fatt ",C182," - ",TEXT(B182,"gg/mm/aaaa"))</f>
        <v/>
      </c>
    </row>
    <row r="183" ht="15.75" customHeight="1" s="155">
      <c r="A183" s="111" t="inlineStr">
        <is>
          <t>"RONDINELLA MARKET S.R.L."</t>
        </is>
      </c>
      <c r="B183" s="194" t="n">
        <v>45950</v>
      </c>
      <c r="C183" s="114" t="n">
        <v>1885</v>
      </c>
      <c r="D183" s="111" t="inlineStr">
        <is>
          <t>TARTALLETTE MIGNON x 250Pz</t>
        </is>
      </c>
      <c r="E183" s="67" t="inlineStr">
        <is>
          <t>contiene allergeni</t>
        </is>
      </c>
      <c r="F183" s="67">
        <f>CONCATENATE(D183,"  ",E183," - ",A183," n° fatt ",C183," - ",TEXT(B183,"gg/mm/aaaa"))</f>
        <v/>
      </c>
    </row>
    <row r="184" ht="25.5" customHeight="1" s="155">
      <c r="A184" s="65" t="inlineStr">
        <is>
          <t>SAIMA S.p.A.</t>
        </is>
      </c>
      <c r="B184" s="193" t="n">
        <v>45895</v>
      </c>
      <c r="C184" s="65" t="inlineStr">
        <is>
          <t>1/145130</t>
        </is>
      </c>
      <c r="D184" s="65" t="inlineStr">
        <is>
          <t xml:space="preserve">TARTELLETTA (063213) MODERN DOLCE C/BURRO 43MM PZ 250 (SFUSO)  </t>
        </is>
      </c>
      <c r="E184" s="67" t="inlineStr">
        <is>
          <t>contiene allergeni</t>
        </is>
      </c>
      <c r="F184" s="67">
        <f>CONCATENATE(D184,"  ",E184," - ",A184," n° fatt ",C184," - ",TEXT(B184,"gg/mm/aaaa"))</f>
        <v/>
      </c>
    </row>
    <row r="185" ht="25.5" customHeight="1" s="155">
      <c r="A185" s="65" t="inlineStr">
        <is>
          <t>SAIMA S.p.A.</t>
        </is>
      </c>
      <c r="B185" s="193" t="n">
        <v>45923</v>
      </c>
      <c r="C185" s="65" t="inlineStr">
        <is>
          <t>1/163854</t>
        </is>
      </c>
      <c r="D185" s="65" t="inlineStr">
        <is>
          <t xml:space="preserve">TARTELLETTA (063213) MODERN DOLCE C/BURRO 43MM PZ 250 (SFUSO)  </t>
        </is>
      </c>
      <c r="E185" s="67" t="inlineStr">
        <is>
          <t>contiene allergeni</t>
        </is>
      </c>
      <c r="F185" s="67">
        <f>CONCATENATE(D185,"  ",E185," - ",A185," n° fatt ",C185," - ",TEXT(B185,"gg/mm/aaaa"))</f>
        <v/>
      </c>
    </row>
    <row r="186" ht="25.5" customHeight="1" s="155">
      <c r="A186" s="65" t="inlineStr">
        <is>
          <t>SAIMA S.p.A.</t>
        </is>
      </c>
      <c r="B186" s="193" t="n">
        <v>45895</v>
      </c>
      <c r="C186" s="65" t="inlineStr">
        <is>
          <t>1/145130</t>
        </is>
      </c>
      <c r="D186" s="65" t="inlineStr">
        <is>
          <t xml:space="preserve">TARTELLETTA (063915) MODERN DOLCE CON BURRO 65MM PZ 90(BLISTER)  </t>
        </is>
      </c>
      <c r="E186" s="67" t="inlineStr">
        <is>
          <t>contiene allergeni</t>
        </is>
      </c>
      <c r="F186" s="67">
        <f>CONCATENATE(D186,"  ",E186," - ",A186," n° fatt ",C186," - ",TEXT(B186,"gg/mm/aaaa"))</f>
        <v/>
      </c>
    </row>
    <row r="187" ht="25.5" customHeight="1" s="155">
      <c r="A187" s="65" t="inlineStr">
        <is>
          <t>SAIMA S.p.A.</t>
        </is>
      </c>
      <c r="B187" s="193" t="n">
        <v>45909</v>
      </c>
      <c r="C187" s="65" t="inlineStr">
        <is>
          <t>1/154431</t>
        </is>
      </c>
      <c r="D187" s="65" t="inlineStr">
        <is>
          <t xml:space="preserve">TARTELLETTA (063915) MODERN DOLCE CON BURRO 65MM PZ 90(BLISTER)  </t>
        </is>
      </c>
      <c r="E187" s="67" t="inlineStr">
        <is>
          <t>contiene allergeni</t>
        </is>
      </c>
      <c r="F187" s="67">
        <f>CONCATENATE(D187,"  ",E187," - ",A187," n° fatt ",C187," - ",TEXT(B187,"gg/mm/aaaa"))</f>
        <v/>
      </c>
    </row>
    <row r="188" ht="25.5" customHeight="1" s="155">
      <c r="A188" s="65" t="inlineStr">
        <is>
          <t>SAIMA S.p.A.</t>
        </is>
      </c>
      <c r="B188" s="193" t="n">
        <v>45923</v>
      </c>
      <c r="C188" s="65" t="inlineStr">
        <is>
          <t>1/163854</t>
        </is>
      </c>
      <c r="D188" s="65" t="inlineStr">
        <is>
          <t xml:space="preserve">TARTELLETTA (063915) MODERN DOLCE CON BURRO 65MM PZ 90(BLISTER)  </t>
        </is>
      </c>
      <c r="E188" s="67" t="inlineStr">
        <is>
          <t>contiene allergeni</t>
        </is>
      </c>
      <c r="F188" s="67">
        <f>CONCATENATE(D188,"  ",E188," - ",A188," n° fatt ",C188," - ",TEXT(B188,"gg/mm/aaaa"))</f>
        <v/>
      </c>
    </row>
    <row r="189" ht="31.5" customHeight="1" s="155">
      <c r="A189" s="111" t="inlineStr">
        <is>
          <t>SAIMA S.p.A.</t>
        </is>
      </c>
      <c r="B189" s="194" t="n">
        <v>45961</v>
      </c>
      <c r="C189" s="114" t="inlineStr">
        <is>
          <t>1/190009</t>
        </is>
      </c>
      <c r="D189" s="111" t="inlineStr">
        <is>
          <t xml:space="preserve">TARTELLETTA (063915) MODERN DOLCE CON BURRO 65MM PZ 90(BLISTER)  </t>
        </is>
      </c>
      <c r="E189" s="67" t="inlineStr">
        <is>
          <t>contiene allergeni</t>
        </is>
      </c>
      <c r="F189" s="67">
        <f>CONCATENATE(D189,"  ",E189," - ",A189," n° fatt ",C189," - ",TEXT(B189,"gg/mm/aaaa"))</f>
        <v/>
      </c>
    </row>
    <row r="190" ht="15.75" customHeight="1" s="155">
      <c r="A190" s="111" t="inlineStr">
        <is>
          <t>"RONDINELLA MARKET S.R.L."</t>
        </is>
      </c>
      <c r="B190" s="194" t="n">
        <v>45950</v>
      </c>
      <c r="C190" s="114" t="n">
        <v>1885</v>
      </c>
      <c r="D190" s="111" t="inlineStr">
        <is>
          <t>TARTELLETTE GRANDI</t>
        </is>
      </c>
      <c r="E190" s="67" t="inlineStr">
        <is>
          <t>contiene allergeni</t>
        </is>
      </c>
      <c r="F190" s="67">
        <f>CONCATENATE(D190,"  ",E190," - ",A190," n° fatt ",C190," - ",TEXT(B190,"gg/mm/aaaa"))</f>
        <v/>
      </c>
    </row>
    <row r="191">
      <c r="A191" s="65" t="inlineStr">
        <is>
          <t>F.lli Fiorentino Srl</t>
        </is>
      </c>
      <c r="B191" s="193" t="n">
        <v>45912</v>
      </c>
      <c r="C191" s="65" t="inlineStr">
        <is>
          <t>1/11430</t>
        </is>
      </c>
      <c r="D191" s="65" t="inlineStr">
        <is>
          <t xml:space="preserve">TONNO CALLIPO OL.OLIVA G.80x48  </t>
        </is>
      </c>
      <c r="E191" s="67" t="inlineStr">
        <is>
          <t>contiene allergeni</t>
        </is>
      </c>
      <c r="F191" s="67">
        <f>CONCATENATE(D191,"  ",E191," - ",A191," n° fatt ",C191," - ",TEXT(B191,"gg/mm/aaaa"))</f>
        <v/>
      </c>
    </row>
    <row r="192">
      <c r="A192" s="65" t="inlineStr">
        <is>
          <t>F.lli Fiorentino Srl</t>
        </is>
      </c>
      <c r="B192" s="193" t="n">
        <v>45930</v>
      </c>
      <c r="C192" s="65" t="inlineStr">
        <is>
          <t>1/12232</t>
        </is>
      </c>
      <c r="D192" s="65" t="inlineStr">
        <is>
          <t xml:space="preserve">TONNO CALLIPO OL.OLIVA G.80x48  </t>
        </is>
      </c>
      <c r="E192" s="67" t="inlineStr">
        <is>
          <t>contiene allergeni</t>
        </is>
      </c>
      <c r="F192" s="67">
        <f>CONCATENATE(D192,"  ",E192," - ",A192," n° fatt ",C192," - ",TEXT(B192,"gg/mm/aaaa"))</f>
        <v/>
      </c>
    </row>
    <row r="193">
      <c r="A193" s="65" t="inlineStr">
        <is>
          <t>BIG FOOD SRL</t>
        </is>
      </c>
      <c r="B193" s="193" t="n">
        <v>45933</v>
      </c>
      <c r="C193" s="65" t="inlineStr">
        <is>
          <t>V1070379</t>
        </is>
      </c>
      <c r="D193" s="65" t="inlineStr">
        <is>
          <t>TULIP.BACON/PANCETTA AFFUM.KG.1</t>
        </is>
      </c>
      <c r="E193" s="67" t="inlineStr">
        <is>
          <t>contiene allergeni</t>
        </is>
      </c>
      <c r="F193" s="67">
        <f>CONCATENATE(D193,"  ",E193," - ",A193," n° fatt ",C193," - ",TEXT(B193,"gg/mm/aaaa"))</f>
        <v/>
      </c>
    </row>
    <row r="194">
      <c r="A194" s="65" t="inlineStr">
        <is>
          <t>saima s.p.a.</t>
        </is>
      </c>
      <c r="B194" s="193" t="n">
        <v>45895</v>
      </c>
      <c r="C194" s="65" t="inlineStr">
        <is>
          <t>1/145130</t>
        </is>
      </c>
      <c r="D194" s="65" t="inlineStr">
        <is>
          <t>tuorlo d'uovo pastorizzato</t>
        </is>
      </c>
      <c r="E194" s="65" t="inlineStr">
        <is>
          <t>contiene allergeni</t>
        </is>
      </c>
      <c r="F194" s="67">
        <f>CONCATENATE(D194,"  ",E194," - ",A194," n° fatt ",C194," - ",TEXT(B194,"gg/mm/aaaa"))</f>
        <v/>
      </c>
    </row>
    <row r="195">
      <c r="A195" s="65" t="inlineStr">
        <is>
          <t>SAIMA S.p.A.</t>
        </is>
      </c>
      <c r="B195" s="193" t="n">
        <v>45931</v>
      </c>
      <c r="C195" s="65" t="inlineStr">
        <is>
          <t>1/169719</t>
        </is>
      </c>
      <c r="D195" s="65" t="inlineStr">
        <is>
          <t xml:space="preserve">TUORLO D'UOVO PASTORIZZATO DA ALLEVAMENTO A TERRA  </t>
        </is>
      </c>
      <c r="E195" s="67" t="inlineStr">
        <is>
          <t>contiene allergeni</t>
        </is>
      </c>
      <c r="F195" s="67">
        <f>CONCATENATE(D195,"  ",E195," - ",A195," n° fatt ",C195," - ",TEXT(B195,"gg/mm/aaaa"))</f>
        <v/>
      </c>
    </row>
    <row r="196" ht="31.5" customHeight="1" s="155">
      <c r="A196" s="111" t="inlineStr">
        <is>
          <t>SAIMA S.p.A.</t>
        </is>
      </c>
      <c r="B196" s="194" t="n">
        <v>45958</v>
      </c>
      <c r="C196" s="114" t="inlineStr">
        <is>
          <t>1/187383</t>
        </is>
      </c>
      <c r="D196" s="111" t="inlineStr">
        <is>
          <t xml:space="preserve">TUORLO D'UOVO PASTORIZZATO DA ALLEVAMENTO A TERRA  </t>
        </is>
      </c>
      <c r="E196" s="67" t="inlineStr">
        <is>
          <t>contiene allergeni</t>
        </is>
      </c>
      <c r="F196" s="67">
        <f>CONCATENATE(D196,"  ",E196," - ",A196," n° fatt ",C196," - ",TEXT(B196,"gg/mm/aaaa"))</f>
        <v/>
      </c>
    </row>
    <row r="197">
      <c r="A197" s="65" t="inlineStr">
        <is>
          <t>"RONDINELLA MARKET S.R.L."</t>
        </is>
      </c>
      <c r="B197" s="193" t="n">
        <v>45910</v>
      </c>
      <c r="C197" s="65" t="n">
        <v>1580</v>
      </c>
      <c r="D197" s="65" t="inlineStr">
        <is>
          <t>VISCIOLA PER PASTICCERIA 5Kg</t>
        </is>
      </c>
      <c r="E197" s="67" t="inlineStr">
        <is>
          <t>contiene allergeni</t>
        </is>
      </c>
      <c r="F197" s="67">
        <f>CONCATENATE(D197,"  ",E197," - ",A197," n° fatt ",C197," - ",TEXT(B197,"gg/mm/aaaa"))</f>
        <v/>
      </c>
    </row>
    <row r="198" ht="15.75" customHeight="1" s="155">
      <c r="A198" s="111" t="inlineStr">
        <is>
          <t>BIG FOOD SRL</t>
        </is>
      </c>
      <c r="B198" s="194" t="n">
        <v>45947</v>
      </c>
      <c r="C198" s="114" t="inlineStr">
        <is>
          <t>V1073762</t>
        </is>
      </c>
      <c r="D198" s="111" t="inlineStr">
        <is>
          <t>WELCOME FETTE GR.800</t>
        </is>
      </c>
      <c r="E198" s="67" t="inlineStr">
        <is>
          <t>contiene allergeni</t>
        </is>
      </c>
      <c r="F198" s="67">
        <f>CONCATENATE(D198,"  ",E198," - ",A198," n° fatt ",C198," - ",TEXT(B198,"gg/mm/aaaa"))</f>
        <v/>
      </c>
    </row>
    <row r="199">
      <c r="A199" s="65" t="inlineStr">
        <is>
          <t>g.i.a.l. generale ingrosso alimentare s.r.l.</t>
        </is>
      </c>
      <c r="B199" s="193" t="n">
        <v>45900</v>
      </c>
      <c r="C199" s="65" t="inlineStr">
        <is>
          <t>v1-31036</t>
        </is>
      </c>
      <c r="D199" s="65" t="inlineStr">
        <is>
          <t>wrustel</t>
        </is>
      </c>
      <c r="E199" s="65" t="inlineStr">
        <is>
          <t>contiene allergeni</t>
        </is>
      </c>
      <c r="F199" s="67">
        <f>CONCATENATE(D199,"  ",E199," - ",A199," n° fatt ",C199," - ",TEXT(B199,"gg/mm/aaaa"))</f>
        <v/>
      </c>
    </row>
    <row r="200">
      <c r="A200" s="65" t="inlineStr">
        <is>
          <t>g.i.a.l. generale ingrosso alimentare s.r.l.</t>
        </is>
      </c>
      <c r="B200" s="193" t="n">
        <v>45900</v>
      </c>
      <c r="C200" s="65" t="inlineStr">
        <is>
          <t>V1-31036</t>
        </is>
      </c>
      <c r="D200" s="65" t="inlineStr">
        <is>
          <t>wrustel</t>
        </is>
      </c>
      <c r="E200" s="67" t="inlineStr">
        <is>
          <t>contiene allergeni</t>
        </is>
      </c>
      <c r="F200" s="67">
        <f>CONCATENATE(D200,"  ",E200," - ",A200," n° fatt ",C200," - ",TEXT(B200,"gg/mm/aaaa"))</f>
        <v/>
      </c>
    </row>
    <row r="201">
      <c r="A201" s="68" t="inlineStr">
        <is>
          <t>G.I.A.L. GENERALE INGROSSO ALIMENTARE S.R.L.</t>
        </is>
      </c>
      <c r="B201" s="195" t="n">
        <v>45930</v>
      </c>
      <c r="C201" s="68" t="inlineStr">
        <is>
          <t>V1-35110</t>
        </is>
      </c>
      <c r="D201" s="68" t="inlineStr">
        <is>
          <t>WUDY CLAS.4XG.125 AIA</t>
        </is>
      </c>
      <c r="E201" s="67" t="inlineStr">
        <is>
          <t>contiene allergeni</t>
        </is>
      </c>
      <c r="F201" s="67">
        <f>CONCATENATE(D201,"  ",E201," - ",A201," n° fatt ",C201," - ",TEXT(B201,"gg/mm/aaaa"))</f>
        <v/>
      </c>
    </row>
    <row r="202">
      <c r="A202" s="68" t="inlineStr">
        <is>
          <t>G.I.A.L. GENERALE INGROSSO ALIMENTARE S.R.L.</t>
        </is>
      </c>
      <c r="B202" s="195" t="n">
        <v>45930</v>
      </c>
      <c r="C202" s="68" t="inlineStr">
        <is>
          <t>V1-35110</t>
        </is>
      </c>
      <c r="D202" s="68" t="inlineStr">
        <is>
          <t>WUDY CLASS. G.300 AIA</t>
        </is>
      </c>
      <c r="E202" s="67" t="inlineStr">
        <is>
          <t>contiene allergeni</t>
        </is>
      </c>
      <c r="F202" s="67">
        <f>CONCATENATE(D202,"  ",E202," - ",A202," n° fatt ",C202," - ",TEXT(B202,"gg/mm/aaaa"))</f>
        <v/>
      </c>
    </row>
    <row r="203" ht="15.75" customHeight="1" s="155">
      <c r="A203" s="111" t="inlineStr">
        <is>
          <t>SAIMA S.p.A.</t>
        </is>
      </c>
      <c r="B203" s="194" t="n">
        <v>46000</v>
      </c>
      <c r="C203" s="111" t="inlineStr">
        <is>
          <t>1/215909</t>
        </is>
      </c>
      <c r="D203" s="111" t="inlineStr">
        <is>
          <t xml:space="preserve">PANNA TENUTAPIU' DA LT 1 (M.G. 38%)  </t>
        </is>
      </c>
      <c r="E203" s="67" t="inlineStr">
        <is>
          <t>contiene allergeni</t>
        </is>
      </c>
      <c r="F203" s="67">
        <f>CONCATENATE(D203,"  ",E203," - ",A203," n° fatt ",C203," - ",TEXT(B203,"gg/mm/aaaa"))</f>
        <v/>
      </c>
    </row>
    <row r="204" ht="31.5" customHeight="1" s="155">
      <c r="A204" s="111" t="inlineStr">
        <is>
          <t>SAIMA S.p.A.</t>
        </is>
      </c>
      <c r="B204" s="194" t="n">
        <v>46000</v>
      </c>
      <c r="C204" s="111" t="inlineStr">
        <is>
          <t>1/215909</t>
        </is>
      </c>
      <c r="D204" s="111" t="inlineStr">
        <is>
          <t xml:space="preserve">MELANGE PLUS HOMILLINA GATEAUX DA KG 10 (4156)  </t>
        </is>
      </c>
      <c r="E204" s="67" t="inlineStr">
        <is>
          <t>contiene allergeni</t>
        </is>
      </c>
      <c r="F204" s="67">
        <f>CONCATENATE(D204,"  ",E204," - ",A204," n° fatt ",C204," - ",TEXT(B204,"gg/mm/aaaa"))</f>
        <v/>
      </c>
    </row>
    <row r="205" ht="31.5" customHeight="1" s="155">
      <c r="A205" s="111" t="inlineStr">
        <is>
          <t>SAIMA S.p.A.</t>
        </is>
      </c>
      <c r="B205" s="194" t="n">
        <v>46000</v>
      </c>
      <c r="C205" s="111" t="inlineStr">
        <is>
          <t>1/215909</t>
        </is>
      </c>
      <c r="D205" s="111" t="inlineStr">
        <is>
          <t xml:space="preserve">MELANGE PLUS HOMILLINA PLATTE DA KG 10 (4155)  </t>
        </is>
      </c>
      <c r="E205" s="67" t="inlineStr">
        <is>
          <t>contiene allergeni</t>
        </is>
      </c>
      <c r="F205" s="67">
        <f>CONCATENATE(D205,"  ",E205," - ",A205," n° fatt ",C205," - ",TEXT(B205,"gg/mm/aaaa"))</f>
        <v/>
      </c>
    </row>
    <row r="206" ht="15.75" customHeight="1" s="155">
      <c r="A206" s="111" t="inlineStr">
        <is>
          <t>SAIMA S.p.A.</t>
        </is>
      </c>
      <c r="B206" s="194" t="n">
        <v>46000</v>
      </c>
      <c r="C206" s="111" t="inlineStr">
        <is>
          <t>1/215909</t>
        </is>
      </c>
      <c r="D206" s="111" t="inlineStr">
        <is>
          <t xml:space="preserve">MIX CAKE NATURE DA KG 10 (4830)  </t>
        </is>
      </c>
      <c r="E206" s="67" t="inlineStr">
        <is>
          <t>contiene allergeni</t>
        </is>
      </c>
      <c r="F206" s="67">
        <f>CONCATENATE(D206,"  ",E206," - ",A206," n° fatt ",C206," - ",TEXT(B206,"gg/mm/aaaa"))</f>
        <v/>
      </c>
    </row>
    <row r="207" ht="31.5" customHeight="1" s="155">
      <c r="A207" s="111" t="inlineStr">
        <is>
          <t>SAIMA S.p.A.</t>
        </is>
      </c>
      <c r="B207" s="194" t="n">
        <v>46000</v>
      </c>
      <c r="C207" s="111" t="inlineStr">
        <is>
          <t>1/215909</t>
        </is>
      </c>
      <c r="D207" s="111" t="inlineStr">
        <is>
          <t xml:space="preserve">CREMA RIO TRADIZIONE PISTACCHIO IN CONFEZIONE DA KG 5 (DC00BM)  </t>
        </is>
      </c>
      <c r="E207" s="67" t="inlineStr">
        <is>
          <t>contiene allergeni</t>
        </is>
      </c>
      <c r="F207" s="67">
        <f>CONCATENATE(D207,"  ",E207," - ",A207," n° fatt ",C207," - ",TEXT(B207,"gg/mm/aaaa"))</f>
        <v/>
      </c>
    </row>
    <row r="208" ht="31.5" customHeight="1" s="155">
      <c r="A208" s="111" t="inlineStr">
        <is>
          <t>SAIMA S.p.A.</t>
        </is>
      </c>
      <c r="B208" s="194" t="n">
        <v>46000</v>
      </c>
      <c r="C208" s="111" t="inlineStr">
        <is>
          <t>1/215909</t>
        </is>
      </c>
      <c r="D208" s="111" t="inlineStr">
        <is>
          <t xml:space="preserve">TARTELLETTA (063915) MODERN DOLCE CON BURRO 65MM PZ 90(BLISTER)  </t>
        </is>
      </c>
      <c r="E208" s="67" t="inlineStr">
        <is>
          <t>contiene allergeni</t>
        </is>
      </c>
      <c r="F208" s="67">
        <f>CONCATENATE(D208,"  ",E208," - ",A208," n° fatt ",C208," - ",TEXT(B208,"gg/mm/aaaa"))</f>
        <v/>
      </c>
    </row>
    <row r="209" ht="31.5" customHeight="1" s="155">
      <c r="A209" s="111" t="inlineStr">
        <is>
          <t>AP COMMERCIALE S.R.L.</t>
        </is>
      </c>
      <c r="B209" s="194" t="n">
        <v>46009</v>
      </c>
      <c r="C209" s="111" t="inlineStr">
        <is>
          <t>25566525100020@16913</t>
        </is>
      </c>
      <c r="D209" s="111" t="inlineStr">
        <is>
          <t>CUORE DI FORMAGGIO R</t>
        </is>
      </c>
      <c r="E209" s="67" t="inlineStr">
        <is>
          <t>contiene allergeni</t>
        </is>
      </c>
      <c r="F209" s="67">
        <f>CONCATENATE(D209,"  ",E209," - ",A209," n° fatt ",C209," - ",TEXT(B209,"gg/mm/aaaa"))</f>
        <v/>
      </c>
    </row>
    <row r="210" ht="31.5" customHeight="1" s="155">
      <c r="A210" s="111" t="inlineStr">
        <is>
          <t>AP COMMERCIALE S.R.L.</t>
        </is>
      </c>
      <c r="B210" s="194" t="n">
        <v>46009</v>
      </c>
      <c r="C210" s="111" t="inlineStr">
        <is>
          <t>25566525100020@16913</t>
        </is>
      </c>
      <c r="D210" s="111" t="inlineStr">
        <is>
          <t>PANDELGIORNO PANE MEZZO AGNANO</t>
        </is>
      </c>
      <c r="E210" s="67" t="inlineStr">
        <is>
          <t>contiene allergeni</t>
        </is>
      </c>
      <c r="F210" s="67">
        <f>CONCATENATE(D210,"  ",E210," - ",A210," n° fatt ",C210," - ",TEXT(B210,"gg/mm/aaaa"))</f>
        <v/>
      </c>
    </row>
    <row r="211" ht="31.5" customHeight="1" s="155">
      <c r="A211" s="111" t="inlineStr">
        <is>
          <t>Dolciaria Acquaviva S.p.A. sog. all'att. di dir. e coord. di Vandemoortele NV</t>
        </is>
      </c>
      <c r="B211" s="194" t="n">
        <v>46007</v>
      </c>
      <c r="C211" s="111" t="n">
        <v>923284</v>
      </c>
      <c r="D211" s="111" t="inlineStr">
        <is>
          <t>CIAMBELLA MAXI ZUCCHERATA G. 100</t>
        </is>
      </c>
      <c r="E211" s="67" t="inlineStr">
        <is>
          <t>contiene allergeni</t>
        </is>
      </c>
      <c r="F211" s="67">
        <f>CONCATENATE(D211,"  ",E211," - ",A211," n° fatt ",C211," - ",TEXT(B211,"gg/mm/aaaa"))</f>
        <v/>
      </c>
    </row>
    <row r="212" ht="31.5" customHeight="1" s="155">
      <c r="A212" s="111" t="inlineStr">
        <is>
          <t>Dolciaria Acquaviva S.p.A. sog. all'att. di dir. e coord. di Vandemoortele NV</t>
        </is>
      </c>
      <c r="B212" s="194" t="n">
        <v>46007</v>
      </c>
      <c r="C212" s="111" t="n">
        <v>923284</v>
      </c>
      <c r="D212" s="111" t="inlineStr">
        <is>
          <t>CIAMBELLA MINI ZUCCHERATA g. 22/25</t>
        </is>
      </c>
      <c r="E212" s="67" t="inlineStr">
        <is>
          <t>contiene allergeni</t>
        </is>
      </c>
      <c r="F212" s="67">
        <f>CONCATENATE(D212,"  ",E212," - ",A212," n° fatt ",C212," - ",TEXT(B212,"gg/mm/aaaa"))</f>
        <v/>
      </c>
    </row>
    <row r="213" ht="31.5" customHeight="1" s="155">
      <c r="A213" s="111" t="inlineStr">
        <is>
          <t>SAIMA S.p.A.</t>
        </is>
      </c>
      <c r="B213" s="194" t="n">
        <v>46000</v>
      </c>
      <c r="C213" s="111" t="inlineStr">
        <is>
          <t>1/215909</t>
        </is>
      </c>
      <c r="D213" s="111" t="inlineStr">
        <is>
          <t xml:space="preserve">TAPPI PER RICCE GRANDI DA GR 55/60 SURGELATO  </t>
        </is>
      </c>
      <c r="E213" s="67" t="inlineStr">
        <is>
          <t>contiene allergeni</t>
        </is>
      </c>
      <c r="F213" s="67">
        <f>CONCATENATE(D213,"  ",E213," - ",A213," n° fatt ",C213," - ",TEXT(B213,"gg/mm/aaaa"))</f>
        <v/>
      </c>
    </row>
    <row r="214" ht="15.75" customHeight="1" s="155">
      <c r="A214" s="111" t="inlineStr">
        <is>
          <t>SAIMA S.p.A.</t>
        </is>
      </c>
      <c r="B214" s="194" t="n">
        <v>46000</v>
      </c>
      <c r="C214" s="111" t="inlineStr">
        <is>
          <t>1/215909</t>
        </is>
      </c>
      <c r="D214" s="111" t="inlineStr">
        <is>
          <t xml:space="preserve">TAPPI PER RICCE MIGNON DA GR 18 SURGELATO  </t>
        </is>
      </c>
      <c r="E214" s="67" t="inlineStr">
        <is>
          <t>contiene allergeni</t>
        </is>
      </c>
      <c r="F214" s="67">
        <f>CONCATENATE(D214,"  ",E214," - ",A214," n° fatt ",C214," - ",TEXT(B214,"gg/mm/aaaa"))</f>
        <v/>
      </c>
    </row>
    <row r="215" ht="31.5" customHeight="1" s="155">
      <c r="A215" s="111" t="inlineStr">
        <is>
          <t>Dolciaria Acquaviva S.p.A. sog. all'att. di dir. e coord. di Vandemoortele NV</t>
        </is>
      </c>
      <c r="B215" s="194" t="n">
        <v>46007</v>
      </c>
      <c r="C215" s="111" t="n">
        <v>923284</v>
      </c>
      <c r="D215" s="111" t="inlineStr">
        <is>
          <t>TAPPI  GRANDI  G 55/60</t>
        </is>
      </c>
      <c r="E215" s="67" t="inlineStr">
        <is>
          <t>contiene allergeni</t>
        </is>
      </c>
      <c r="F215" s="67">
        <f>CONCATENATE(D215,"  ",E215," - ",A215," n° fatt ",C215," - ",TEXT(B215,"gg/mm/aaaa"))</f>
        <v/>
      </c>
    </row>
    <row r="216" ht="31.5" customHeight="1" s="155">
      <c r="A216" s="111" t="inlineStr">
        <is>
          <t>Dolciaria Acquaviva S.p.A. sog. all'att. di dir. e coord. di Vandemoortele NV</t>
        </is>
      </c>
      <c r="B216" s="194" t="n">
        <v>46007</v>
      </c>
      <c r="C216" s="111" t="n">
        <v>923284</v>
      </c>
      <c r="D216" s="111" t="inlineStr">
        <is>
          <t>TAPPI MIGNON PER SFOGLIATE GR.20</t>
        </is>
      </c>
      <c r="E216" s="67" t="inlineStr">
        <is>
          <t>contiene allergeni</t>
        </is>
      </c>
      <c r="F216" s="67">
        <f>CONCATENATE(D216,"  ",E216," - ",A216," n° fatt ",C216," - ",TEXT(B216,"gg/mm/aaaa"))</f>
        <v/>
      </c>
    </row>
    <row r="217" ht="15.75" customHeight="1" s="155">
      <c r="A217" s="111" t="inlineStr">
        <is>
          <t>I COZZOLINO SRL</t>
        </is>
      </c>
      <c r="B217" s="194" t="n">
        <v>46006</v>
      </c>
      <c r="C217" s="111" t="inlineStr">
        <is>
          <t>D3394</t>
        </is>
      </c>
      <c r="D217" s="111" t="inlineStr">
        <is>
          <t>Sedano L.F.183/A</t>
        </is>
      </c>
      <c r="E217" s="67" t="inlineStr">
        <is>
          <t>contiene allergeni</t>
        </is>
      </c>
      <c r="F217" s="67">
        <f>CONCATENATE(D217,"  ",E217," - ",A217," n° fatt ",C217," - ",TEXT(B217,"gg/mm/aaaa"))</f>
        <v/>
      </c>
    </row>
    <row r="218" ht="15.75" customHeight="1" s="155">
      <c r="A218" s="111" t="inlineStr">
        <is>
          <t>SAIMA S.p.A.</t>
        </is>
      </c>
      <c r="B218" s="194" t="n">
        <v>46007</v>
      </c>
      <c r="C218" s="111" t="inlineStr">
        <is>
          <t>1/221664</t>
        </is>
      </c>
      <c r="D218" s="111" t="inlineStr">
        <is>
          <t xml:space="preserve">NUOVA BIANCALIEVE CREMA DA MONTARE  </t>
        </is>
      </c>
      <c r="E218" s="67" t="inlineStr">
        <is>
          <t>contiene allergeni</t>
        </is>
      </c>
      <c r="F218" s="67">
        <f>CONCATENATE(D218,"  ",E218," - ",A218," n° fatt ",C218," - ",TEXT(B218,"gg/mm/aaaa"))</f>
        <v/>
      </c>
    </row>
    <row r="219" ht="15.75" customHeight="1" s="155">
      <c r="A219" s="111" t="inlineStr">
        <is>
          <t>NATURISSIME SRL</t>
        </is>
      </c>
      <c r="B219" s="194" t="n">
        <v>46010</v>
      </c>
      <c r="C219" s="111" t="n">
        <v>5963</v>
      </c>
      <c r="D219" s="111" t="inlineStr">
        <is>
          <t>uova</t>
        </is>
      </c>
      <c r="E219" s="67" t="inlineStr">
        <is>
          <t>contiene allergeni</t>
        </is>
      </c>
      <c r="F219" s="67">
        <f>CONCATENATE(D219,"  ",E219," - ",A219," n° fatt ",C219," - ",TEXT(B219,"gg/mm/aaaa"))</f>
        <v/>
      </c>
    </row>
    <row r="220" ht="15.75" customHeight="1" s="155">
      <c r="A220" s="111" t="inlineStr">
        <is>
          <t>F.lli Fiorentino Srl</t>
        </is>
      </c>
      <c r="B220" s="194" t="n">
        <v>45992</v>
      </c>
      <c r="C220" s="111" t="inlineStr">
        <is>
          <t>1/15176</t>
        </is>
      </c>
      <c r="D220" s="111" t="inlineStr">
        <is>
          <t xml:space="preserve">FARINA 00 CAPUTO RINFORZ.KG.25  </t>
        </is>
      </c>
      <c r="E220" s="67" t="inlineStr">
        <is>
          <t>contiene allergeni</t>
        </is>
      </c>
      <c r="F220" s="67">
        <f>CONCATENATE(D220,"  ",E220," - ",A220," n° fatt ",C220," - ",TEXT(B220,"gg/mm/aaaa"))</f>
        <v/>
      </c>
    </row>
    <row r="221" ht="15.75" customHeight="1" s="155">
      <c r="A221" s="111" t="inlineStr">
        <is>
          <t>F.lli Fiorentino Srl</t>
        </is>
      </c>
      <c r="B221" s="194" t="n">
        <v>45992</v>
      </c>
      <c r="C221" s="111" t="inlineStr">
        <is>
          <t>1/15176</t>
        </is>
      </c>
      <c r="D221" s="111" t="inlineStr">
        <is>
          <t xml:space="preserve">FARINA 0/MAN. CAPUTO DA KG.25  </t>
        </is>
      </c>
      <c r="E221" s="67" t="inlineStr">
        <is>
          <t>contiene allergeni</t>
        </is>
      </c>
      <c r="F221" s="67">
        <f>CONCATENATE(D221,"  ",E221," - ",A221," n° fatt ",C221," - ",TEXT(B221,"gg/mm/aaaa"))</f>
        <v/>
      </c>
    </row>
    <row r="222" ht="15.75" customHeight="1" s="155">
      <c r="A222" s="111" t="inlineStr">
        <is>
          <t>BIG FOOD SRL</t>
        </is>
      </c>
      <c r="B222" s="194" t="n">
        <v>45967</v>
      </c>
      <c r="C222" s="114" t="inlineStr">
        <is>
          <t>V1079132</t>
        </is>
      </c>
      <c r="D222" s="111" t="inlineStr">
        <is>
          <t>AIA. WUDY GR.300 WURSTEL POLLO</t>
        </is>
      </c>
      <c r="E222" s="67" t="inlineStr">
        <is>
          <t>non contiene allergeni</t>
        </is>
      </c>
      <c r="F222" s="67">
        <f>CONCATENATE(D222,"  ",E222," - ",A222," n° fatt ",C222," - ",TEXT(B222,"gg/mm/aaaa"))</f>
        <v/>
      </c>
    </row>
    <row r="223" ht="25.5" customHeight="1" s="155">
      <c r="A223" s="65" t="inlineStr">
        <is>
          <t>SAIMA S.p.A.</t>
        </is>
      </c>
      <c r="B223" s="193" t="n">
        <v>45927</v>
      </c>
      <c r="C223" s="65" t="inlineStr">
        <is>
          <t>1/167666</t>
        </is>
      </c>
      <c r="D223" s="65" t="inlineStr">
        <is>
          <t xml:space="preserve">AMARENA INTERA TANTOFRUTTO CAL16/18 IN SCIROPPO KG2,75(02004275)  </t>
        </is>
      </c>
      <c r="E223" s="67" t="inlineStr">
        <is>
          <t>non contiene allergeni</t>
        </is>
      </c>
      <c r="F223" s="67">
        <f>CONCATENATE(D223,"  ",E223," - ",A223," n° fatt ",C223," - ",TEXT(B223,"gg/mm/aaaa"))</f>
        <v/>
      </c>
    </row>
    <row r="224">
      <c r="A224" s="65" t="inlineStr">
        <is>
          <t>SAIMA S.p.A.</t>
        </is>
      </c>
      <c r="B224" s="193" t="n">
        <v>45903</v>
      </c>
      <c r="C224" s="65" t="inlineStr">
        <is>
          <t>1/150800</t>
        </is>
      </c>
      <c r="D224" s="65" t="inlineStr">
        <is>
          <t xml:space="preserve">AMARENA NATURALE INTERA IN SCIROPPO DA KG 3  </t>
        </is>
      </c>
      <c r="E224" s="67" t="inlineStr">
        <is>
          <t>non contiene allergeni</t>
        </is>
      </c>
      <c r="F224" s="67">
        <f>CONCATENATE(D224,"  ",E224," - ",A224," n° fatt ",C224," - ",TEXT(B224,"gg/mm/aaaa"))</f>
        <v/>
      </c>
    </row>
    <row r="225" ht="15.75" customHeight="1" s="155">
      <c r="A225" s="111" t="inlineStr">
        <is>
          <t>"RONDINELLA MARKET S.R.L."</t>
        </is>
      </c>
      <c r="B225" s="194" t="n">
        <v>45936</v>
      </c>
      <c r="C225" s="114" t="n">
        <v>1768</v>
      </c>
      <c r="D225" s="111" t="inlineStr">
        <is>
          <t>AMARENA VISCIOLA 15Kg</t>
        </is>
      </c>
      <c r="E225" s="67" t="inlineStr">
        <is>
          <t>non contiene allergeni</t>
        </is>
      </c>
      <c r="F225" s="67">
        <f>CONCATENATE(D225,"  ",E225," - ",A225," n° fatt ",C225," - ",TEXT(B225,"gg/mm/aaaa"))</f>
        <v/>
      </c>
    </row>
    <row r="226">
      <c r="A226" s="65" t="inlineStr">
        <is>
          <t>saima s.p.a.</t>
        </is>
      </c>
      <c r="B226" s="193" t="n">
        <v>45903</v>
      </c>
      <c r="C226" s="65" t="inlineStr">
        <is>
          <t>1/150800</t>
        </is>
      </c>
      <c r="D226" s="65" t="inlineStr">
        <is>
          <t>amarene</t>
        </is>
      </c>
      <c r="E226" s="65" t="inlineStr">
        <is>
          <t>non contiene allergeni</t>
        </is>
      </c>
      <c r="F226" s="67">
        <f>CONCATENATE(D226,"  ",E226," - ",A226," n° fatt ",C226," - ",TEXT(B226,"gg/mm/aaaa"))</f>
        <v/>
      </c>
    </row>
    <row r="227">
      <c r="A227" s="65" t="inlineStr">
        <is>
          <t>SAIMA S.p.A.</t>
        </is>
      </c>
      <c r="B227" s="193" t="n">
        <v>45923</v>
      </c>
      <c r="C227" s="65" t="inlineStr">
        <is>
          <t>1/163854</t>
        </is>
      </c>
      <c r="D227" s="65" t="inlineStr">
        <is>
          <t xml:space="preserve">AROMA ALCOLICO CUBANO SCURO 70^ LT 2  </t>
        </is>
      </c>
      <c r="E227" s="67" t="inlineStr">
        <is>
          <t>non contiene allergeni</t>
        </is>
      </c>
      <c r="F227" s="67">
        <f>CONCATENATE(D227,"  ",E227," - ",A227," n° fatt ",C227," - ",TEXT(B227,"gg/mm/aaaa"))</f>
        <v/>
      </c>
    </row>
    <row r="228">
      <c r="A228" s="65" t="inlineStr">
        <is>
          <t>"RONDINELLA MARKET S.R.L."</t>
        </is>
      </c>
      <c r="B228" s="193" t="n">
        <v>45897</v>
      </c>
      <c r="C228" s="65" t="n">
        <v>1504</v>
      </c>
      <c r="D228" s="65" t="inlineStr">
        <is>
          <t>AROMA CROISSANT</t>
        </is>
      </c>
      <c r="E228" s="67" t="inlineStr">
        <is>
          <t>non contiene allergeni</t>
        </is>
      </c>
      <c r="F228" s="67">
        <f>CONCATENATE(D228,"  ",E228," - ",A228," n° fatt ",C228," - ",TEXT(B228,"gg/mm/aaaa"))</f>
        <v/>
      </c>
    </row>
    <row r="229" ht="15.75" customHeight="1" s="155">
      <c r="A229" s="111" t="inlineStr">
        <is>
          <t>SAIMA S.p.A.</t>
        </is>
      </c>
      <c r="B229" s="194" t="n">
        <v>45972</v>
      </c>
      <c r="C229" s="114" t="inlineStr">
        <is>
          <t>1/196084</t>
        </is>
      </c>
      <c r="D229" s="111" t="inlineStr">
        <is>
          <t xml:space="preserve">AROMA EMULSIONE BURRO NATURALE  </t>
        </is>
      </c>
      <c r="E229" s="67" t="inlineStr">
        <is>
          <t>non contiene allergeni</t>
        </is>
      </c>
      <c r="F229" s="67">
        <f>CONCATENATE(D229,"  ",E229," - ",A229," n° fatt ",C229," - ",TEXT(B229,"gg/mm/aaaa"))</f>
        <v/>
      </c>
    </row>
    <row r="230" ht="15.75" customHeight="1" s="155">
      <c r="A230" s="111" t="inlineStr">
        <is>
          <t>"RONDINELLA MARKET S.R.L."</t>
        </is>
      </c>
      <c r="B230" s="194" t="n">
        <v>45965</v>
      </c>
      <c r="C230" s="114" t="n">
        <v>1998</v>
      </c>
      <c r="D230" s="111" t="inlineStr">
        <is>
          <t>AROMA IN PASTA LIMONE 1kg</t>
        </is>
      </c>
      <c r="E230" s="67" t="inlineStr">
        <is>
          <t>non contiene allergeni</t>
        </is>
      </c>
      <c r="F230" s="67">
        <f>CONCATENATE(D230,"  ",E230," - ",A230," n° fatt ",C230," - ",TEXT(B230,"gg/mm/aaaa"))</f>
        <v/>
      </c>
    </row>
    <row r="231" ht="15.75" customHeight="1" s="155">
      <c r="A231" s="111" t="inlineStr">
        <is>
          <t>BIG FOOD SRL</t>
        </is>
      </c>
      <c r="B231" s="194" t="n">
        <v>45966</v>
      </c>
      <c r="C231" s="114" t="inlineStr">
        <is>
          <t>V1078689</t>
        </is>
      </c>
      <c r="D231" s="111" t="inlineStr">
        <is>
          <t>BONAZZA WURSTEL KG.1 GRIGLIA&amp;FAMIG</t>
        </is>
      </c>
      <c r="E231" s="67" t="inlineStr">
        <is>
          <t>non contiene allergeni</t>
        </is>
      </c>
      <c r="F231" s="67">
        <f>CONCATENATE(D231,"  ",E231," - ",A231," n° fatt ",C231," - ",TEXT(B231,"gg/mm/aaaa"))</f>
        <v/>
      </c>
    </row>
    <row r="232" ht="15.75" customHeight="1" s="155">
      <c r="A232" s="111" t="inlineStr">
        <is>
          <t>"RONDINELLA MARKET S.R.L."</t>
        </is>
      </c>
      <c r="B232" s="194" t="n">
        <v>45951</v>
      </c>
      <c r="C232" s="114" t="n">
        <v>1893</v>
      </c>
      <c r="D232" s="111" t="inlineStr">
        <is>
          <t>CACAO AMARO IN POLVERE x 1kg</t>
        </is>
      </c>
      <c r="E232" s="67" t="inlineStr">
        <is>
          <t>non contiene allergeni</t>
        </is>
      </c>
      <c r="F232" s="67">
        <f>CONCATENATE(D232,"  ",E232," - ",A232," n° fatt ",C232," - ",TEXT(B232,"gg/mm/aaaa"))</f>
        <v/>
      </c>
    </row>
    <row r="233" ht="15.75" customHeight="1" s="155">
      <c r="A233" s="111" t="inlineStr">
        <is>
          <t>F.LLI SOMMELLA</t>
        </is>
      </c>
      <c r="B233" s="194" t="n">
        <v>45952</v>
      </c>
      <c r="C233" s="114" t="n">
        <v>1202</v>
      </c>
      <c r="D233" s="111" t="inlineStr">
        <is>
          <t>CERVELLATINE MAIALINO NERO</t>
        </is>
      </c>
      <c r="E233" s="67" t="inlineStr">
        <is>
          <t>non contiene allergeni</t>
        </is>
      </c>
      <c r="F233" s="67">
        <f>CONCATENATE(D233,"  ",E233," - ",A233," n° fatt ",C233," - ",TEXT(B233,"gg/mm/aaaa"))</f>
        <v/>
      </c>
    </row>
    <row r="234" ht="15.75" customHeight="1" s="155">
      <c r="A234" s="111" t="inlineStr">
        <is>
          <t>F.LLI SOMMELLA</t>
        </is>
      </c>
      <c r="B234" s="194" t="n">
        <v>45946</v>
      </c>
      <c r="C234" s="114" t="n">
        <v>1188</v>
      </c>
      <c r="D234" s="111" t="inlineStr">
        <is>
          <t>CICCIOLI NAPOLETANI SCHETTINO</t>
        </is>
      </c>
      <c r="E234" s="67" t="inlineStr">
        <is>
          <t>non contiene allergeni</t>
        </is>
      </c>
      <c r="F234" s="67">
        <f>CONCATENATE(D234,"  ",E234," - ",A234," n° fatt ",C234," - ",TEXT(B234,"gg/mm/aaaa"))</f>
        <v/>
      </c>
    </row>
    <row r="235" ht="15.75" customHeight="1" s="155">
      <c r="A235" s="111" t="inlineStr">
        <is>
          <t>BIG FOOD SRL</t>
        </is>
      </c>
      <c r="B235" s="194" t="n">
        <v>45947</v>
      </c>
      <c r="C235" s="114" t="inlineStr">
        <is>
          <t>V1073762</t>
        </is>
      </c>
      <c r="D235" s="111" t="inlineStr">
        <is>
          <t>COATI SALAME NAPOLI SV</t>
        </is>
      </c>
      <c r="E235" s="67" t="inlineStr">
        <is>
          <t>non contiene allergeni</t>
        </is>
      </c>
      <c r="F235" s="67">
        <f>CONCATENATE(D235,"  ",E235," - ",A235," n° fatt ",C235," - ",TEXT(B235,"gg/mm/aaaa"))</f>
        <v/>
      </c>
    </row>
    <row r="236" ht="15.75" customHeight="1" s="155">
      <c r="A236" s="111" t="inlineStr">
        <is>
          <t>"RONDINELLA MARKET S.R.L."</t>
        </is>
      </c>
      <c r="B236" s="194" t="n">
        <v>45961</v>
      </c>
      <c r="C236" s="114" t="n">
        <v>1974</v>
      </c>
      <c r="D236" s="111" t="inlineStr">
        <is>
          <t>CUBETTI MISTI 3X3 5kg</t>
        </is>
      </c>
      <c r="E236" s="67" t="inlineStr">
        <is>
          <t>non contiene allergeni</t>
        </is>
      </c>
      <c r="F236" s="67">
        <f>CONCATENATE(D236,"  ",E236," - ",A236," n° fatt ",C236," - ",TEXT(B236,"gg/mm/aaaa"))</f>
        <v/>
      </c>
    </row>
    <row r="237">
      <c r="A237" s="65" t="inlineStr">
        <is>
          <t>"RONDINELLA MARKET S.R.L."</t>
        </is>
      </c>
      <c r="B237" s="193" t="n">
        <v>45910</v>
      </c>
      <c r="C237" s="65" t="n">
        <v>1580</v>
      </c>
      <c r="D237" s="65" t="inlineStr">
        <is>
          <t>CUBETTI MISTI 5kg</t>
        </is>
      </c>
      <c r="E237" s="67" t="inlineStr">
        <is>
          <t>non contiene allergeni</t>
        </is>
      </c>
      <c r="F237" s="67">
        <f>CONCATENATE(D237,"  ",E237," - ",A237," n° fatt ",C237," - ",TEXT(B237,"gg/mm/aaaa"))</f>
        <v/>
      </c>
    </row>
    <row r="238">
      <c r="A238" s="65" t="inlineStr">
        <is>
          <t>SAIMA S.p.A.</t>
        </is>
      </c>
      <c r="B238" s="193" t="n">
        <v>45911</v>
      </c>
      <c r="C238" s="65" t="inlineStr">
        <is>
          <t>1/156298</t>
        </is>
      </c>
      <c r="D238" s="65" t="inlineStr">
        <is>
          <t xml:space="preserve">CUBETTI SCORZA ARANCIA 3X3 KG 5  </t>
        </is>
      </c>
      <c r="E238" s="67" t="inlineStr">
        <is>
          <t>non contiene allergeni</t>
        </is>
      </c>
      <c r="F238" s="67">
        <f>CONCATENATE(D238,"  ",E238," - ",A238," n° fatt ",C238," - ",TEXT(B238,"gg/mm/aaaa"))</f>
        <v/>
      </c>
    </row>
    <row r="239" ht="15.75" customHeight="1" s="155">
      <c r="A239" s="111" t="inlineStr">
        <is>
          <t>SAIMA S.p.A.</t>
        </is>
      </c>
      <c r="B239" s="194" t="n">
        <v>45937</v>
      </c>
      <c r="C239" s="114" t="inlineStr">
        <is>
          <t>1/173502</t>
        </is>
      </c>
      <c r="D239" s="111" t="inlineStr">
        <is>
          <t xml:space="preserve">CUBETTI SCORZA ARANCIA 3X3 KG 5  </t>
        </is>
      </c>
      <c r="E239" s="67" t="inlineStr">
        <is>
          <t>non contiene allergeni</t>
        </is>
      </c>
      <c r="F239" s="67">
        <f>CONCATENATE(D239,"  ",E239," - ",A239," n° fatt ",C239," - ",TEXT(B239,"gg/mm/aaaa"))</f>
        <v/>
      </c>
    </row>
    <row r="240" ht="15.75" customHeight="1" s="155">
      <c r="A240" s="111" t="inlineStr">
        <is>
          <t>BIG FOOD SRL</t>
        </is>
      </c>
      <c r="B240" s="194" t="n">
        <v>45966</v>
      </c>
      <c r="C240" s="114" t="inlineStr">
        <is>
          <t>V1078689</t>
        </is>
      </c>
      <c r="D240" s="111" t="inlineStr">
        <is>
          <t>CURTIRISO KG.1 CARNAROLI</t>
        </is>
      </c>
      <c r="E240" s="67" t="inlineStr">
        <is>
          <t>non contiene allergeni</t>
        </is>
      </c>
      <c r="F240" s="67">
        <f>CONCATENATE(D240,"  ",E240," - ",A240," n° fatt ",C240," - ",TEXT(B240,"gg/mm/aaaa"))</f>
        <v/>
      </c>
    </row>
    <row r="241" ht="15.75" customHeight="1" s="155">
      <c r="A241" s="111" t="inlineStr">
        <is>
          <t>SAIMA S.p.A.</t>
        </is>
      </c>
      <c r="B241" s="194" t="n">
        <v>45937</v>
      </c>
      <c r="C241" s="114" t="inlineStr">
        <is>
          <t>1/173502</t>
        </is>
      </c>
      <c r="D241" s="111" t="inlineStr">
        <is>
          <t xml:space="preserve">ESSENZA BRIOCHE ML 500  </t>
        </is>
      </c>
      <c r="E241" s="67" t="inlineStr">
        <is>
          <t>non contiene allergeni</t>
        </is>
      </c>
      <c r="F241" s="67">
        <f>CONCATENATE(D241,"  ",E241," - ",A241," n° fatt ",C241," - ",TEXT(B241,"gg/mm/aaaa"))</f>
        <v/>
      </c>
    </row>
    <row r="242" ht="15.75" customHeight="1" s="155">
      <c r="A242" s="111" t="inlineStr">
        <is>
          <t>SAIMA S.p.A.</t>
        </is>
      </c>
      <c r="B242" s="194" t="n">
        <v>45937</v>
      </c>
      <c r="C242" s="114" t="inlineStr">
        <is>
          <t>1/173502</t>
        </is>
      </c>
      <c r="D242" s="111" t="inlineStr">
        <is>
          <t xml:space="preserve">ESSENZA BURRO ML 500  </t>
        </is>
      </c>
      <c r="E242" s="67" t="inlineStr">
        <is>
          <t>non contiene allergeni</t>
        </is>
      </c>
      <c r="F242" s="67">
        <f>CONCATENATE(D242,"  ",E242," - ",A242," n° fatt ",C242," - ",TEXT(B242,"gg/mm/aaaa"))</f>
        <v/>
      </c>
    </row>
    <row r="243" ht="15.75" customHeight="1" s="155">
      <c r="A243" s="111" t="inlineStr">
        <is>
          <t>"RONDINELLA MARKET S.R.L."</t>
        </is>
      </c>
      <c r="B243" s="194" t="n">
        <v>45936</v>
      </c>
      <c r="C243" s="114" t="n">
        <v>1768</v>
      </c>
      <c r="D243" s="111" t="inlineStr">
        <is>
          <t>EST.ZUPPA INGLESE</t>
        </is>
      </c>
      <c r="E243" s="67" t="inlineStr">
        <is>
          <t>non contiene allergeni</t>
        </is>
      </c>
      <c r="F243" s="67">
        <f>CONCATENATE(D243,"  ",E243," - ",A243," n° fatt ",C243," - ",TEXT(B243,"gg/mm/aaaa"))</f>
        <v/>
      </c>
    </row>
    <row r="244">
      <c r="A244" s="65" t="inlineStr">
        <is>
          <t>F.lli Fiorentino Srl</t>
        </is>
      </c>
      <c r="B244" s="193" t="n">
        <v>45912</v>
      </c>
      <c r="C244" s="65" t="inlineStr">
        <is>
          <t>1/11430</t>
        </is>
      </c>
      <c r="D244" s="65" t="inlineStr">
        <is>
          <t xml:space="preserve">FAGIOLI BORLOTTI da KG.3X6  </t>
        </is>
      </c>
      <c r="E244" s="67" t="inlineStr">
        <is>
          <t>non contiene allergeni</t>
        </is>
      </c>
      <c r="F244" s="67">
        <f>CONCATENATE(D244,"  ",E244," - ",A244," n° fatt ",C244," - ",TEXT(B244,"gg/mm/aaaa"))</f>
        <v/>
      </c>
    </row>
    <row r="245" ht="15.75" customHeight="1" s="155">
      <c r="A245" s="111" t="inlineStr">
        <is>
          <t>BIG FOOD SRL</t>
        </is>
      </c>
      <c r="B245" s="194" t="n">
        <v>45966</v>
      </c>
      <c r="C245" s="114" t="inlineStr">
        <is>
          <t>V1078689</t>
        </is>
      </c>
      <c r="D245" s="111" t="inlineStr">
        <is>
          <t>FIORUCCI MORTADELLA AROMA C.P.</t>
        </is>
      </c>
      <c r="E245" s="67" t="inlineStr">
        <is>
          <t>non contiene allergeni</t>
        </is>
      </c>
      <c r="F245" s="67">
        <f>CONCATENATE(D245,"  ",E245," - ",A245," n° fatt ",C245," - ",TEXT(B245,"gg/mm/aaaa"))</f>
        <v/>
      </c>
    </row>
    <row r="246" ht="15.75" customHeight="1" s="155">
      <c r="A246" s="111" t="inlineStr">
        <is>
          <t>BIG FOOD SRL</t>
        </is>
      </c>
      <c r="B246" s="194" t="n">
        <v>45947</v>
      </c>
      <c r="C246" s="114" t="inlineStr">
        <is>
          <t>V1073762</t>
        </is>
      </c>
      <c r="D246" s="111" t="inlineStr">
        <is>
          <t>FIORUCCI P/COTTO VELLUTATO</t>
        </is>
      </c>
      <c r="E246" s="67" t="inlineStr">
        <is>
          <t>non contiene allergeni</t>
        </is>
      </c>
      <c r="F246" s="67">
        <f>CONCATENATE(D246,"  ",E246," - ",A246," n° fatt ",C246," - ",TEXT(B246,"gg/mm/aaaa"))</f>
        <v/>
      </c>
    </row>
    <row r="247">
      <c r="A247" s="65" t="inlineStr">
        <is>
          <t>"RONDINELLA MARKET S.R.L."</t>
        </is>
      </c>
      <c r="B247" s="193" t="n">
        <v>45897</v>
      </c>
      <c r="C247" s="65" t="n">
        <v>1504</v>
      </c>
      <c r="D247" s="65" t="inlineStr">
        <is>
          <t>FORM STAC 400ml</t>
        </is>
      </c>
      <c r="E247" s="67" t="inlineStr">
        <is>
          <t>non contiene allergeni</t>
        </is>
      </c>
      <c r="F247" s="67">
        <f>CONCATENATE(D247,"  ",E247," - ",A247," n° fatt ",C247," - ",TEXT(B247,"gg/mm/aaaa"))</f>
        <v/>
      </c>
    </row>
    <row r="248" ht="15.75" customHeight="1" s="155">
      <c r="A248" s="111" t="inlineStr">
        <is>
          <t>F.lli Fiorentino Srl</t>
        </is>
      </c>
      <c r="B248" s="194" t="n">
        <v>45961</v>
      </c>
      <c r="C248" s="114" t="inlineStr">
        <is>
          <t>1/13772</t>
        </is>
      </c>
      <c r="D248" s="111" t="inlineStr">
        <is>
          <t xml:space="preserve">FUNGHI CHAMP CASARECCIA KG.3X6  </t>
        </is>
      </c>
      <c r="E248" s="67" t="inlineStr">
        <is>
          <t>non contiene allergeni</t>
        </is>
      </c>
      <c r="F248" s="67">
        <f>CONCATENATE(D248,"  ",E248," - ",A248," n° fatt ",C248," - ",TEXT(B248,"gg/mm/aaaa"))</f>
        <v/>
      </c>
    </row>
    <row r="249" ht="15.75" customHeight="1" s="155">
      <c r="A249" s="111" t="inlineStr">
        <is>
          <t>"RONDINELLA MARKET S.R.L."</t>
        </is>
      </c>
      <c r="B249" s="194" t="n">
        <v>45965</v>
      </c>
      <c r="C249" s="114" t="n">
        <v>1998</v>
      </c>
      <c r="D249" s="111" t="inlineStr">
        <is>
          <t>GELATINA A FREDDO</t>
        </is>
      </c>
      <c r="E249" s="67" t="inlineStr">
        <is>
          <t>non contiene allergeni</t>
        </is>
      </c>
      <c r="F249" s="67">
        <f>CONCATENATE(D249,"  ",E249," - ",A249," n° fatt ",C249," - ",TEXT(B249,"gg/mm/aaaa"))</f>
        <v/>
      </c>
    </row>
    <row r="250">
      <c r="A250" s="65" t="inlineStr">
        <is>
          <t>SAIMA S.p.A.</t>
        </is>
      </c>
      <c r="B250" s="193" t="n">
        <v>45916</v>
      </c>
      <c r="C250" s="65" t="inlineStr">
        <is>
          <t>1/159105</t>
        </is>
      </c>
      <c r="D250" s="65" t="inlineStr">
        <is>
          <t xml:space="preserve">GELATINA GELINA A FREDDO NEUTRA IN CONFEZIONE DA KG 6  </t>
        </is>
      </c>
      <c r="E250" s="67" t="inlineStr">
        <is>
          <t>non contiene allergeni</t>
        </is>
      </c>
      <c r="F250" s="67">
        <f>CONCATENATE(D250,"  ",E250," - ",A250," n° fatt ",C250," - ",TEXT(B250,"gg/mm/aaaa"))</f>
        <v/>
      </c>
    </row>
    <row r="251">
      <c r="A251" s="65" t="inlineStr">
        <is>
          <t>saima s.p.a.</t>
        </is>
      </c>
      <c r="B251" s="193" t="n">
        <v>45895</v>
      </c>
      <c r="C251" s="65" t="inlineStr">
        <is>
          <t>1/145130</t>
        </is>
      </c>
      <c r="D251" s="65" t="inlineStr">
        <is>
          <t>gelatina neutra</t>
        </is>
      </c>
      <c r="E251" s="65" t="inlineStr">
        <is>
          <t>non contiene allergeni</t>
        </is>
      </c>
      <c r="F251" s="67">
        <f>CONCATENATE(D251,"  ",E251," - ",A251," n° fatt ",C251," - ",TEXT(B251,"gg/mm/aaaa"))</f>
        <v/>
      </c>
    </row>
    <row r="252" ht="15.75" customHeight="1" s="155">
      <c r="A252" s="111" t="inlineStr">
        <is>
          <t>BIG FOOD SRL</t>
        </is>
      </c>
      <c r="B252" s="194" t="n">
        <v>45967</v>
      </c>
      <c r="C252" s="114" t="inlineStr">
        <is>
          <t>V1079132</t>
        </is>
      </c>
      <c r="D252" s="111" t="inlineStr">
        <is>
          <t>GEPI PORCHETTA ARROSTO AROM.STV KG</t>
        </is>
      </c>
      <c r="E252" s="67" t="inlineStr">
        <is>
          <t>non contiene allergeni</t>
        </is>
      </c>
      <c r="F252" s="67">
        <f>CONCATENATE(D252,"  ",E252," - ",A252," n° fatt ",C252," - ",TEXT(B252,"gg/mm/aaaa"))</f>
        <v/>
      </c>
    </row>
    <row r="253">
      <c r="A253" s="65" t="inlineStr">
        <is>
          <t>SAIMA S.p.A.</t>
        </is>
      </c>
      <c r="B253" s="193" t="n">
        <v>45931</v>
      </c>
      <c r="C253" s="65" t="inlineStr">
        <is>
          <t>1/169719</t>
        </is>
      </c>
      <c r="D253" s="65" t="inlineStr">
        <is>
          <t xml:space="preserve">GOCCINE MIGNON DI SURROGATO FONDENTE 1000/HG DA KG 12  </t>
        </is>
      </c>
      <c r="E253" s="67" t="inlineStr">
        <is>
          <t>non contiene allergeni</t>
        </is>
      </c>
      <c r="F253" s="67">
        <f>CONCATENATE(D253,"  ",E253," - ",A253," n° fatt ",C253," - ",TEXT(B253,"gg/mm/aaaa"))</f>
        <v/>
      </c>
    </row>
    <row r="254" ht="31.5" customHeight="1" s="155">
      <c r="A254" s="111" t="inlineStr">
        <is>
          <t>SAIMA S.p.A.</t>
        </is>
      </c>
      <c r="B254" s="194" t="n">
        <v>45931</v>
      </c>
      <c r="C254" s="114" t="inlineStr">
        <is>
          <t>1/169719</t>
        </is>
      </c>
      <c r="D254" s="111" t="inlineStr">
        <is>
          <t xml:space="preserve">GOCCINE MIGNON DI SURROGATO FONDENTE 1000/HG DA KG 12  </t>
        </is>
      </c>
      <c r="E254" s="67" t="inlineStr">
        <is>
          <t>non contiene allergeni</t>
        </is>
      </c>
      <c r="F254" s="67">
        <f>CONCATENATE(D254,"  ",E254," - ",A254," n° fatt ",C254," - ",TEXT(B254,"gg/mm/aaaa"))</f>
        <v/>
      </c>
    </row>
    <row r="255" ht="15.75" customHeight="1" s="155">
      <c r="A255" s="111" t="inlineStr">
        <is>
          <t>"RONDINELLA MARKET S.R.L."</t>
        </is>
      </c>
      <c r="B255" s="194" t="n">
        <v>45950</v>
      </c>
      <c r="C255" s="114" t="n">
        <v>1885</v>
      </c>
      <c r="D255" s="111" t="inlineStr">
        <is>
          <t>GRANO COTTO x 2.5kg</t>
        </is>
      </c>
      <c r="E255" s="67" t="inlineStr">
        <is>
          <t>non contiene allergeni</t>
        </is>
      </c>
      <c r="F255" s="67">
        <f>CONCATENATE(D255,"  ",E255," - ",A255," n° fatt ",C255," - ",TEXT(B255,"gg/mm/aaaa"))</f>
        <v/>
      </c>
    </row>
    <row r="256" ht="15.75" customHeight="1" s="155">
      <c r="A256" s="111" t="inlineStr">
        <is>
          <t>BIG FOOD SRL</t>
        </is>
      </c>
      <c r="B256" s="194" t="n">
        <v>45967</v>
      </c>
      <c r="C256" s="114" t="inlineStr">
        <is>
          <t>V1079132</t>
        </is>
      </c>
      <c r="D256" s="111" t="inlineStr">
        <is>
          <t>HERO POKER MIELE DI FIORI GR.100</t>
        </is>
      </c>
      <c r="E256" s="67" t="inlineStr">
        <is>
          <t>non contiene allergeni</t>
        </is>
      </c>
      <c r="F256" s="67">
        <f>CONCATENATE(D256,"  ",E256," - ",A256," n° fatt ",C256," - ",TEXT(B256,"gg/mm/aaaa"))</f>
        <v/>
      </c>
    </row>
    <row r="257">
      <c r="A257" s="68" t="inlineStr">
        <is>
          <t>G.I.A.L. GENERALE INGROSSO ALIMENTARE S.R.L.</t>
        </is>
      </c>
      <c r="B257" s="195" t="n">
        <v>45930</v>
      </c>
      <c r="C257" s="68" t="inlineStr">
        <is>
          <t>V1-35110</t>
        </is>
      </c>
      <c r="D257" s="68" t="inlineStr">
        <is>
          <t>ICEBERG     G.200 SENDERO</t>
        </is>
      </c>
      <c r="E257" s="67" t="inlineStr">
        <is>
          <t>non contiene allergeni</t>
        </is>
      </c>
      <c r="F257" s="67">
        <f>CONCATENATE(D257,"  ",E257," - ",A257," n° fatt ",C257," - ",TEXT(B257,"gg/mm/aaaa"))</f>
        <v/>
      </c>
    </row>
    <row r="258">
      <c r="A258" s="65" t="inlineStr">
        <is>
          <t>BIG FOOD SRL</t>
        </is>
      </c>
      <c r="B258" s="193" t="n">
        <v>45898</v>
      </c>
      <c r="C258" s="65" t="inlineStr">
        <is>
          <t>V1060917</t>
        </is>
      </c>
      <c r="D258" s="65" t="inlineStr">
        <is>
          <t>ITALPEPE V.ERBA CIPOLLINA GR.4</t>
        </is>
      </c>
      <c r="E258" s="67" t="inlineStr">
        <is>
          <t>non contiene allergeni</t>
        </is>
      </c>
      <c r="F258" s="67">
        <f>CONCATENATE(D258,"  ",E258," - ",A258," n° fatt ",C258," - ",TEXT(B258,"gg/mm/aaaa"))</f>
        <v/>
      </c>
    </row>
    <row r="259" ht="15.75" customHeight="1" s="155">
      <c r="A259" s="111" t="inlineStr">
        <is>
          <t>SAIMA S.p.A.</t>
        </is>
      </c>
      <c r="B259" s="194" t="n">
        <v>45972</v>
      </c>
      <c r="C259" s="114" t="inlineStr">
        <is>
          <t>1/196084</t>
        </is>
      </c>
      <c r="D259" s="111" t="inlineStr">
        <is>
          <t xml:space="preserve">LIEVITO DA KG 5 NATURALE NATURVI-S (4849)  </t>
        </is>
      </c>
      <c r="E259" s="67" t="inlineStr">
        <is>
          <t>non contiene allergeni</t>
        </is>
      </c>
      <c r="F259" s="67">
        <f>CONCATENATE(D259,"  ",E259," - ",A259," n° fatt ",C259," - ",TEXT(B259,"gg/mm/aaaa"))</f>
        <v/>
      </c>
    </row>
    <row r="260">
      <c r="A260" s="65" t="inlineStr">
        <is>
          <t>"RONDINELLA MARKET S.R.L."</t>
        </is>
      </c>
      <c r="B260" s="193" t="n">
        <v>45915</v>
      </c>
      <c r="C260" s="65" t="n">
        <v>1611</v>
      </c>
      <c r="D260" s="65" t="inlineStr">
        <is>
          <t>LIEVITO x 2.5kg</t>
        </is>
      </c>
      <c r="E260" s="67" t="inlineStr">
        <is>
          <t>non contiene allergeni</t>
        </is>
      </c>
      <c r="F260" s="67">
        <f>CONCATENATE(D260,"  ",E260," - ",A260," n° fatt ",C260," - ",TEXT(B260,"gg/mm/aaaa"))</f>
        <v/>
      </c>
    </row>
    <row r="261" ht="15.75" customHeight="1" s="155">
      <c r="A261" s="111" t="inlineStr">
        <is>
          <t>F.lli Fiorentino Srl</t>
        </is>
      </c>
      <c r="B261" s="194" t="n">
        <v>45945</v>
      </c>
      <c r="C261" s="114" t="inlineStr">
        <is>
          <t>1/12975</t>
        </is>
      </c>
      <c r="D261" s="111" t="inlineStr">
        <is>
          <t xml:space="preserve">MARG WIENER PLUNDERPLAT KG.2X5  </t>
        </is>
      </c>
      <c r="E261" s="67" t="inlineStr">
        <is>
          <t>non contiene allergeni</t>
        </is>
      </c>
      <c r="F261" s="67">
        <f>CONCATENATE(D261,"  ",E261," - ",A261," n° fatt ",C261," - ",TEXT(B261,"gg/mm/aaaa"))</f>
        <v/>
      </c>
    </row>
    <row r="262" ht="15.75" customHeight="1" s="155">
      <c r="A262" s="111" t="inlineStr">
        <is>
          <t>F.lli Fiorentino Srl</t>
        </is>
      </c>
      <c r="B262" s="194" t="n">
        <v>45945</v>
      </c>
      <c r="C262" s="114" t="inlineStr">
        <is>
          <t>1/12975</t>
        </is>
      </c>
      <c r="D262" s="111" t="inlineStr">
        <is>
          <t xml:space="preserve">MARGAR WIENERCREME DA KG.2,5X4  </t>
        </is>
      </c>
      <c r="E262" s="67" t="inlineStr">
        <is>
          <t>non contiene allergeni</t>
        </is>
      </c>
      <c r="F262" s="67">
        <f>CONCATENATE(D262,"  ",E262," - ",A262," n° fatt ",C262," - ",TEXT(B262,"gg/mm/aaaa"))</f>
        <v/>
      </c>
    </row>
    <row r="263" ht="15.75" customHeight="1" s="155">
      <c r="A263" s="111" t="inlineStr">
        <is>
          <t>SAIMA S.p.A.</t>
        </is>
      </c>
      <c r="B263" s="194" t="n">
        <v>45931</v>
      </c>
      <c r="C263" s="114" t="inlineStr">
        <is>
          <t>1/169719</t>
        </is>
      </c>
      <c r="D263" s="111" t="inlineStr">
        <is>
          <t xml:space="preserve">MEZZELUNE DI GELATINA AL LIMONE KG 2  </t>
        </is>
      </c>
      <c r="E263" s="67" t="inlineStr">
        <is>
          <t>non contiene allergeni</t>
        </is>
      </c>
      <c r="F263" s="67">
        <f>CONCATENATE(D263,"  ",E263," - ",A263," n° fatt ",C263," - ",TEXT(B263,"gg/mm/aaaa"))</f>
        <v/>
      </c>
    </row>
    <row r="264" ht="15.75" customHeight="1" s="155">
      <c r="A264" s="111" t="inlineStr">
        <is>
          <t>BIG FOOD SRL</t>
        </is>
      </c>
      <c r="B264" s="194" t="n">
        <v>45966</v>
      </c>
      <c r="C264" s="114" t="inlineStr">
        <is>
          <t>V1078689</t>
        </is>
      </c>
      <c r="D264" s="111" t="inlineStr">
        <is>
          <t>MORGANTE WURSTEL GR.100 MORGHÌ</t>
        </is>
      </c>
      <c r="E264" s="67" t="inlineStr">
        <is>
          <t>non contiene allergeni</t>
        </is>
      </c>
      <c r="F264" s="67">
        <f>CONCATENATE(D264,"  ",E264," - ",A264," n° fatt ",C264," - ",TEXT(B264,"gg/mm/aaaa"))</f>
        <v/>
      </c>
    </row>
    <row r="265" ht="15.75" customHeight="1" s="155">
      <c r="A265" s="111" t="inlineStr">
        <is>
          <t>F.LLI SOMMELLA</t>
        </is>
      </c>
      <c r="B265" s="194" t="n">
        <v>45946</v>
      </c>
      <c r="C265" s="114" t="n">
        <v>1188</v>
      </c>
      <c r="D265" s="111" t="inlineStr">
        <is>
          <t>MORTADELLA BOLOGNA IGP CONAD C/PIST</t>
        </is>
      </c>
      <c r="E265" s="67" t="inlineStr">
        <is>
          <t>non contiene allergeni</t>
        </is>
      </c>
      <c r="F265" s="67">
        <f>CONCATENATE(D265,"  ",E265," - ",A265," n° fatt ",C265," - ",TEXT(B265,"gg/mm/aaaa"))</f>
        <v/>
      </c>
    </row>
    <row r="266">
      <c r="A266" s="65" t="inlineStr">
        <is>
          <t>f.lli fiorentino srl</t>
        </is>
      </c>
      <c r="B266" s="193" t="n">
        <v>45895</v>
      </c>
      <c r="C266" s="65" t="inlineStr">
        <is>
          <t>1/10655</t>
        </is>
      </c>
      <c r="D266" s="65" t="inlineStr">
        <is>
          <t>olio extravergine oliva</t>
        </is>
      </c>
      <c r="E266" s="65" t="inlineStr">
        <is>
          <t>non contiene allergeni</t>
        </is>
      </c>
      <c r="F266" s="67">
        <f>CONCATENATE(D266,"  ",E266," - ",A266," n° fatt ",C266," - ",TEXT(B266,"gg/mm/aaaa"))</f>
        <v/>
      </c>
    </row>
    <row r="267">
      <c r="A267" s="65" t="inlineStr">
        <is>
          <t>F.lli Fiorentino Srl</t>
        </is>
      </c>
      <c r="B267" s="193" t="n">
        <v>45912</v>
      </c>
      <c r="C267" s="65" t="inlineStr">
        <is>
          <t>1/11430</t>
        </is>
      </c>
      <c r="D267" s="65" t="inlineStr">
        <is>
          <t xml:space="preserve">OLIO EXTRAVERGINE OLIVA L.5  </t>
        </is>
      </c>
      <c r="E267" s="67" t="inlineStr">
        <is>
          <t>non contiene allergeni</t>
        </is>
      </c>
      <c r="F267" s="67">
        <f>CONCATENATE(D267,"  ",E267," - ",A267," n° fatt ",C267," - ",TEXT(B267,"gg/mm/aaaa"))</f>
        <v/>
      </c>
    </row>
    <row r="268">
      <c r="A268" s="65" t="inlineStr">
        <is>
          <t>F.lli Fiorentino Srl</t>
        </is>
      </c>
      <c r="B268" s="193" t="n">
        <v>45912</v>
      </c>
      <c r="C268" s="65" t="inlineStr">
        <is>
          <t>1/11430</t>
        </is>
      </c>
      <c r="D268" s="65" t="inlineStr">
        <is>
          <t xml:space="preserve">OLIO SEMI GIRASOLE SORRENTO L.25  </t>
        </is>
      </c>
      <c r="E268" s="67" t="inlineStr">
        <is>
          <t>non contiene allergeni</t>
        </is>
      </c>
      <c r="F268" s="67">
        <f>CONCATENATE(D268,"  ",E268," - ",A268," n° fatt ",C268," - ",TEXT(B268,"gg/mm/aaaa"))</f>
        <v/>
      </c>
    </row>
    <row r="269" ht="15.75" customHeight="1" s="155">
      <c r="A269" s="111" t="inlineStr">
        <is>
          <t>F.lli Fiorentino Srl</t>
        </is>
      </c>
      <c r="B269" s="194" t="n">
        <v>45945</v>
      </c>
      <c r="C269" s="114" t="inlineStr">
        <is>
          <t>1/12975</t>
        </is>
      </c>
      <c r="D269" s="111" t="inlineStr">
        <is>
          <t xml:space="preserve">OLIO SEMI GIRASOLE SORRENTO L.25  </t>
        </is>
      </c>
      <c r="E269" s="67" t="inlineStr">
        <is>
          <t>non contiene allergeni</t>
        </is>
      </c>
      <c r="F269" s="67">
        <f>CONCATENATE(D269,"  ",E269," - ",A269," n° fatt ",C269," - ",TEXT(B269,"gg/mm/aaaa"))</f>
        <v/>
      </c>
    </row>
    <row r="270" ht="15.75" customHeight="1" s="155">
      <c r="A270" s="111" t="inlineStr">
        <is>
          <t>Olive Miraglia s.r.l. 1890</t>
        </is>
      </c>
      <c r="B270" s="194" t="n">
        <v>45974</v>
      </c>
      <c r="C270" s="114" t="inlineStr">
        <is>
          <t>FPR 2451/25</t>
        </is>
      </c>
      <c r="D270" s="111" t="inlineStr">
        <is>
          <t>OLIOVE NERE</t>
        </is>
      </c>
      <c r="E270" s="67" t="inlineStr">
        <is>
          <t>non contiene allergeni</t>
        </is>
      </c>
      <c r="F270" s="67">
        <f>CONCATENATE(D270,"  ",E270," - ",A270," n° fatt ",C270," - ",TEXT(B270,"gg/mm/aaaa"))</f>
        <v/>
      </c>
    </row>
    <row r="271" ht="47.25" customHeight="1" s="155">
      <c r="A271" s="111" t="inlineStr">
        <is>
          <t>Olive Miraglia s.r.l. 1890</t>
        </is>
      </c>
      <c r="B271" s="194" t="n">
        <v>45939</v>
      </c>
      <c r="C271" s="114" t="inlineStr">
        <is>
          <t>FPR 2140/25</t>
        </is>
      </c>
      <c r="D271" s="111" t="inlineStr">
        <is>
          <t>OLIVE VERDI TONDE 0000 MSM IN ACQUA E SALE PROVENIENZA ITALIA,SICILIA,CAMPOBELLO DI MAZARA (TP)</t>
        </is>
      </c>
      <c r="E271" s="67" t="inlineStr">
        <is>
          <t>non contiene allergeni</t>
        </is>
      </c>
      <c r="F271" s="67">
        <f>CONCATENATE(D271,"  ",E271," - ",A271," n° fatt ",C271," - ",TEXT(B271,"gg/mm/aaaa"))</f>
        <v/>
      </c>
    </row>
    <row r="272" ht="47.25" customHeight="1" s="155">
      <c r="A272" s="111" t="inlineStr">
        <is>
          <t>Olive Miraglia s.r.l. 1890</t>
        </is>
      </c>
      <c r="B272" s="194" t="n">
        <v>45960</v>
      </c>
      <c r="C272" s="114" t="inlineStr">
        <is>
          <t>FPR 2317/25</t>
        </is>
      </c>
      <c r="D272" s="111" t="inlineStr">
        <is>
          <t>OLIVE VERDI TONDE 0000 MSM IN ACQUA E SALE PROVENIENZA ITALIA,SICILIA,CAMPOBELLO DI MAZARA (TP)</t>
        </is>
      </c>
      <c r="E272" s="67" t="inlineStr">
        <is>
          <t>non contiene allergeni</t>
        </is>
      </c>
      <c r="F272" s="67">
        <f>CONCATENATE(D272,"  ",E272," - ",A272," n° fatt ",C272," - ",TEXT(B272,"gg/mm/aaaa"))</f>
        <v/>
      </c>
    </row>
    <row r="273" ht="31.5" customHeight="1" s="155">
      <c r="A273" s="111" t="inlineStr">
        <is>
          <t>G.I.A.L. GENERALE INGROSSO ALIMENTARE S.R.L.</t>
        </is>
      </c>
      <c r="B273" s="194" t="n">
        <v>45961</v>
      </c>
      <c r="C273" s="114" t="inlineStr">
        <is>
          <t>V1-39165</t>
        </is>
      </c>
      <c r="D273" s="111" t="inlineStr">
        <is>
          <t>P.COTTO S/P.ROSSO SENDERO</t>
        </is>
      </c>
      <c r="E273" s="67" t="inlineStr">
        <is>
          <t>non contiene allergeni</t>
        </is>
      </c>
      <c r="F273" s="67">
        <f>CONCATENATE(D273,"  ",E273," - ",A273," n° fatt ",C273," - ",TEXT(B273,"gg/mm/aaaa"))</f>
        <v/>
      </c>
    </row>
    <row r="274">
      <c r="A274" s="65" t="inlineStr">
        <is>
          <t>g.i.a.l. generale ingrosso alimentare s.r.l.</t>
        </is>
      </c>
      <c r="B274" s="193" t="n">
        <v>45900</v>
      </c>
      <c r="C274" s="65" t="inlineStr">
        <is>
          <t>v1-31036</t>
        </is>
      </c>
      <c r="D274" s="65" t="inlineStr">
        <is>
          <t>p.crudo s/o        assisi</t>
        </is>
      </c>
      <c r="E274" s="65" t="inlineStr">
        <is>
          <t>non contiene allergeni</t>
        </is>
      </c>
      <c r="F274" s="67">
        <f>CONCATENATE(D274,"  ",E274," - ",A274," n° fatt ",C274," - ",TEXT(B274,"gg/mm/aaaa"))</f>
        <v/>
      </c>
    </row>
    <row r="275" ht="31.5" customHeight="1" s="155">
      <c r="A275" s="111" t="inlineStr">
        <is>
          <t>G.I.A.L. GENERALE INGROSSO ALIMENTARE S.R.L.</t>
        </is>
      </c>
      <c r="B275" s="194" t="n">
        <v>45961</v>
      </c>
      <c r="C275" s="114" t="inlineStr">
        <is>
          <t>V1-39165</t>
        </is>
      </c>
      <c r="D275" s="111" t="inlineStr">
        <is>
          <t>P.CRUDO S/O MEC   SENDERO</t>
        </is>
      </c>
      <c r="E275" s="67" t="inlineStr">
        <is>
          <t>non contiene allergeni</t>
        </is>
      </c>
      <c r="F275" s="67">
        <f>CONCATENATE(D275,"  ",E275," - ",A275," n° fatt ",C275," - ",TEXT(B275,"gg/mm/aaaa"))</f>
        <v/>
      </c>
    </row>
    <row r="276">
      <c r="A276" s="65" t="inlineStr">
        <is>
          <t>"RONDINELLA MARKET S.R.L."</t>
        </is>
      </c>
      <c r="B276" s="193" t="n">
        <v>45897</v>
      </c>
      <c r="C276" s="65" t="n">
        <v>1504</v>
      </c>
      <c r="D276" s="65" t="inlineStr">
        <is>
          <t>PASSATA ALBICOCCA x 10kg</t>
        </is>
      </c>
      <c r="E276" s="67" t="inlineStr">
        <is>
          <t>non contiene allergeni</t>
        </is>
      </c>
      <c r="F276" s="67">
        <f>CONCATENATE(D276,"  ",E276," - ",A276," n° fatt ",C276," - ",TEXT(B276,"gg/mm/aaaa"))</f>
        <v/>
      </c>
    </row>
    <row r="277">
      <c r="A277" s="65" t="inlineStr">
        <is>
          <t>"RONDINELLA MARKET S.R.L."</t>
        </is>
      </c>
      <c r="B277" s="193" t="n">
        <v>45915</v>
      </c>
      <c r="C277" s="65" t="n">
        <v>1611</v>
      </c>
      <c r="D277" s="65" t="inlineStr">
        <is>
          <t>PASSATA ALBICOCCA x 10kg</t>
        </is>
      </c>
      <c r="E277" s="67" t="inlineStr">
        <is>
          <t>non contiene allergeni</t>
        </is>
      </c>
      <c r="F277" s="67">
        <f>CONCATENATE(D277,"  ",E277," - ",A277," n° fatt ",C277," - ",TEXT(B277,"gg/mm/aaaa"))</f>
        <v/>
      </c>
    </row>
    <row r="278" ht="15.75" customHeight="1" s="155">
      <c r="A278" s="111" t="inlineStr">
        <is>
          <t>"RONDINELLA MARKET S.R.L."</t>
        </is>
      </c>
      <c r="B278" s="194" t="n">
        <v>45950</v>
      </c>
      <c r="C278" s="114" t="n">
        <v>1885</v>
      </c>
      <c r="D278" s="111" t="inlineStr">
        <is>
          <t>PASSATA ALBICOCCA x 10kg</t>
        </is>
      </c>
      <c r="E278" s="67" t="inlineStr">
        <is>
          <t>non contiene allergeni</t>
        </is>
      </c>
      <c r="F278" s="67">
        <f>CONCATENATE(D278,"  ",E278," - ",A278," n° fatt ",C278," - ",TEXT(B278,"gg/mm/aaaa"))</f>
        <v/>
      </c>
    </row>
    <row r="279">
      <c r="A279" s="65" t="inlineStr">
        <is>
          <t>F.lli Fiorentino Srl</t>
        </is>
      </c>
      <c r="B279" s="193" t="n">
        <v>45930</v>
      </c>
      <c r="C279" s="65" t="inlineStr">
        <is>
          <t>1/12232</t>
        </is>
      </c>
      <c r="D279" s="65" t="inlineStr">
        <is>
          <t xml:space="preserve">PASSATA POMODORO G.700 TORRENTE  </t>
        </is>
      </c>
      <c r="E279" s="67" t="inlineStr">
        <is>
          <t>non contiene allergeni</t>
        </is>
      </c>
      <c r="F279" s="67">
        <f>CONCATENATE(D279,"  ",E279," - ",A279," n° fatt ",C279," - ",TEXT(B279,"gg/mm/aaaa"))</f>
        <v/>
      </c>
    </row>
    <row r="280">
      <c r="A280" s="65" t="inlineStr">
        <is>
          <t>SAIMA S.p.A.</t>
        </is>
      </c>
      <c r="B280" s="193" t="n">
        <v>45902</v>
      </c>
      <c r="C280" s="65" t="inlineStr">
        <is>
          <t>1/149709</t>
        </is>
      </c>
      <c r="D280" s="65" t="inlineStr">
        <is>
          <t xml:space="preserve">PASSATA VISCIOLA LABO GARDEN FRUIT DA KG 12,5  </t>
        </is>
      </c>
      <c r="E280" s="67" t="inlineStr">
        <is>
          <t>non contiene allergeni</t>
        </is>
      </c>
      <c r="F280" s="67">
        <f>CONCATENATE(D280,"  ",E280," - ",A280," n° fatt ",C280," - ",TEXT(B280,"gg/mm/aaaa"))</f>
        <v/>
      </c>
    </row>
    <row r="281" ht="15.75" customHeight="1" s="155">
      <c r="A281" s="111" t="inlineStr">
        <is>
          <t>F.lli Fiorentino Srl</t>
        </is>
      </c>
      <c r="B281" s="194" t="n">
        <v>45945</v>
      </c>
      <c r="C281" s="114" t="inlineStr">
        <is>
          <t>1/12975</t>
        </is>
      </c>
      <c r="D281" s="111" t="inlineStr">
        <is>
          <t xml:space="preserve">PEPE NERO MACINATO BUSTA KG.1  </t>
        </is>
      </c>
      <c r="E281" s="67" t="inlineStr">
        <is>
          <t>non contiene allergeni</t>
        </is>
      </c>
      <c r="F281" s="67">
        <f>CONCATENATE(D281,"  ",E281," - ",A281," n° fatt ",C281," - ",TEXT(B281,"gg/mm/aaaa"))</f>
        <v/>
      </c>
    </row>
    <row r="282" ht="31.5" customHeight="1" s="155">
      <c r="A282" s="111" t="inlineStr">
        <is>
          <t>SAIMA S.p.A.</t>
        </is>
      </c>
      <c r="B282" s="194" t="n">
        <v>45937</v>
      </c>
      <c r="C282" s="114" t="inlineStr">
        <is>
          <t>1/173502</t>
        </is>
      </c>
      <c r="D282" s="111" t="inlineStr">
        <is>
          <t xml:space="preserve">PERE A CUBETTI 10X10 SEMICANDITE IN SCIROPPO KG 3  </t>
        </is>
      </c>
      <c r="E282" s="67" t="inlineStr">
        <is>
          <t>non contiene allergeni</t>
        </is>
      </c>
      <c r="F282" s="67">
        <f>CONCATENATE(D282,"  ",E282," - ",A282," n° fatt ",C282," - ",TEXT(B282,"gg/mm/aaaa"))</f>
        <v/>
      </c>
    </row>
    <row r="283">
      <c r="A283" s="65" t="inlineStr">
        <is>
          <t>F.lli Fiorentino Srl</t>
        </is>
      </c>
      <c r="B283" s="193" t="n">
        <v>45930</v>
      </c>
      <c r="C283" s="65" t="inlineStr">
        <is>
          <t>1/12232</t>
        </is>
      </c>
      <c r="D283" s="65" t="inlineStr">
        <is>
          <t xml:space="preserve">POMODORI PELATI KG.3 TORRENTE  </t>
        </is>
      </c>
      <c r="E283" s="67" t="inlineStr">
        <is>
          <t>non contiene allergeni</t>
        </is>
      </c>
      <c r="F283" s="67">
        <f>CONCATENATE(D283,"  ",E283," - ",A283," n° fatt ",C283," - ",TEXT(B283,"gg/mm/aaaa"))</f>
        <v/>
      </c>
    </row>
    <row r="284" ht="15.75" customHeight="1" s="155">
      <c r="A284" s="111" t="inlineStr">
        <is>
          <t>F.lli Fiorentino Srl</t>
        </is>
      </c>
      <c r="B284" s="194" t="n">
        <v>45945</v>
      </c>
      <c r="C284" s="114" t="inlineStr">
        <is>
          <t>1/12975</t>
        </is>
      </c>
      <c r="D284" s="111" t="inlineStr">
        <is>
          <t xml:space="preserve">POMODORI PELATI KG.3 TORRENTE  </t>
        </is>
      </c>
      <c r="E284" s="67" t="inlineStr">
        <is>
          <t>non contiene allergeni</t>
        </is>
      </c>
      <c r="F284" s="67">
        <f>CONCATENATE(D284,"  ",E284," - ",A284," n° fatt ",C284," - ",TEXT(B284,"gg/mm/aaaa"))</f>
        <v/>
      </c>
    </row>
    <row r="285">
      <c r="A285" s="65" t="inlineStr">
        <is>
          <t>g.i.a.l. generale ingrosso alimentare s.r.l.</t>
        </is>
      </c>
      <c r="B285" s="193" t="n">
        <v>45900</v>
      </c>
      <c r="C285" s="65" t="inlineStr">
        <is>
          <t>v1-31036</t>
        </is>
      </c>
      <c r="D285" s="65" t="inlineStr">
        <is>
          <t>porch.montagna1/2 senfter</t>
        </is>
      </c>
      <c r="E285" s="65" t="inlineStr">
        <is>
          <t>non contiene allergeni</t>
        </is>
      </c>
      <c r="F285" s="67">
        <f>CONCATENATE(D285,"  ",E285," - ",A285," n° fatt ",C285," - ",TEXT(B285,"gg/mm/aaaa"))</f>
        <v/>
      </c>
    </row>
    <row r="286" ht="31.5" customHeight="1" s="155">
      <c r="A286" s="111" t="inlineStr">
        <is>
          <t>G.I.A.L. GENERALE INGROSSO ALIMENTARE S.R.L.</t>
        </is>
      </c>
      <c r="B286" s="194" t="n">
        <v>45961</v>
      </c>
      <c r="C286" s="114" t="inlineStr">
        <is>
          <t>V1-39165</t>
        </is>
      </c>
      <c r="D286" s="111" t="inlineStr">
        <is>
          <t>PORCH.MONTAGNA1/2 SENFTER</t>
        </is>
      </c>
      <c r="E286" s="67" t="inlineStr">
        <is>
          <t>non contiene allergeni</t>
        </is>
      </c>
      <c r="F286" s="67">
        <f>CONCATENATE(D286,"  ",E286," - ",A286," n° fatt ",C286," - ",TEXT(B286,"gg/mm/aaaa"))</f>
        <v/>
      </c>
    </row>
    <row r="287" ht="15.75" customHeight="1" s="155">
      <c r="A287" s="111" t="inlineStr">
        <is>
          <t>F.lli Fiorentino Srl</t>
        </is>
      </c>
      <c r="B287" s="194" t="n">
        <v>45961</v>
      </c>
      <c r="C287" s="114" t="inlineStr">
        <is>
          <t>1/13772</t>
        </is>
      </c>
      <c r="D287" s="111" t="inlineStr">
        <is>
          <t xml:space="preserve">SALE FINO ITALKALI DA KG.1X12  </t>
        </is>
      </c>
      <c r="E287" s="67" t="inlineStr">
        <is>
          <t>non contiene allergeni</t>
        </is>
      </c>
      <c r="F287" s="67">
        <f>CONCATENATE(D287,"  ",E287," - ",A287," n° fatt ",C287," - ",TEXT(B287,"gg/mm/aaaa"))</f>
        <v/>
      </c>
    </row>
    <row r="288">
      <c r="A288" s="65" t="inlineStr">
        <is>
          <t>F.lli Fiorentino Srl</t>
        </is>
      </c>
      <c r="B288" s="193" t="n">
        <v>45912</v>
      </c>
      <c r="C288" s="65" t="inlineStr">
        <is>
          <t>1/11430</t>
        </is>
      </c>
      <c r="D288" s="65" t="inlineStr">
        <is>
          <t xml:space="preserve">SALE SACCHI SALTECHNO KG.25  </t>
        </is>
      </c>
      <c r="E288" s="67" t="inlineStr">
        <is>
          <t>non contiene allergeni</t>
        </is>
      </c>
      <c r="F288" s="67">
        <f>CONCATENATE(D288,"  ",E288," - ",A288," n° fatt ",C288," - ",TEXT(B288,"gg/mm/aaaa"))</f>
        <v/>
      </c>
    </row>
    <row r="289" ht="15.75" customHeight="1" s="155">
      <c r="A289" s="111" t="inlineStr">
        <is>
          <t>F.lli Fiorentino Srl</t>
        </is>
      </c>
      <c r="B289" s="194" t="n">
        <v>45961</v>
      </c>
      <c r="C289" s="114" t="inlineStr">
        <is>
          <t>1/13772</t>
        </is>
      </c>
      <c r="D289" s="111" t="inlineStr">
        <is>
          <t xml:space="preserve">SALE SACCHI SALTECHNO KG.25  </t>
        </is>
      </c>
      <c r="E289" s="67" t="inlineStr">
        <is>
          <t>non contiene allergeni</t>
        </is>
      </c>
      <c r="F289" s="67">
        <f>CONCATENATE(D289,"  ",E289," - ",A289," n° fatt ",C289," - ",TEXT(B289,"gg/mm/aaaa"))</f>
        <v/>
      </c>
    </row>
    <row r="290" ht="15.75" customHeight="1" s="155">
      <c r="A290" s="111" t="inlineStr">
        <is>
          <t>F.LLI SOMMELLA</t>
        </is>
      </c>
      <c r="B290" s="194" t="n">
        <v>45954</v>
      </c>
      <c r="C290" s="114" t="n">
        <v>1206</v>
      </c>
      <c r="D290" s="111" t="inlineStr">
        <is>
          <t>SALT/PANUOZZO ANTICO FORNO GR. 450</t>
        </is>
      </c>
      <c r="E290" s="67" t="inlineStr">
        <is>
          <t>non contiene allergeni</t>
        </is>
      </c>
      <c r="F290" s="67">
        <f>CONCATENATE(D290,"  ",E290," - ",A290," n° fatt ",C290," - ",TEXT(B290,"gg/mm/aaaa"))</f>
        <v/>
      </c>
    </row>
    <row r="291" ht="15.75" customHeight="1" s="155">
      <c r="A291" s="111" t="inlineStr">
        <is>
          <t>BIG FOOD SRL</t>
        </is>
      </c>
      <c r="B291" s="194" t="n">
        <v>45967</v>
      </c>
      <c r="C291" s="114" t="inlineStr">
        <is>
          <t>V1079132</t>
        </is>
      </c>
      <c r="D291" s="111" t="inlineStr">
        <is>
          <t>SARDANELLI MAREVIVO O.S. GR.80X3</t>
        </is>
      </c>
      <c r="E291" s="67" t="inlineStr">
        <is>
          <t>non contiene allergeni</t>
        </is>
      </c>
      <c r="F291" s="67">
        <f>CONCATENATE(D291,"  ",E291," - ",A291," n° fatt ",C291," - ",TEXT(B291,"gg/mm/aaaa"))</f>
        <v/>
      </c>
    </row>
    <row r="292">
      <c r="A292" s="65" t="inlineStr">
        <is>
          <t>SAIMA S.p.A.</t>
        </is>
      </c>
      <c r="B292" s="193" t="n">
        <v>45923</v>
      </c>
      <c r="C292" s="65" t="inlineStr">
        <is>
          <t>1/163854</t>
        </is>
      </c>
      <c r="D292" s="65" t="inlineStr">
        <is>
          <t xml:space="preserve">SCAGLIETTA DI SURROGATO FONDENTE RIO DA KG 2 (DS00AG)  </t>
        </is>
      </c>
      <c r="E292" s="67" t="inlineStr">
        <is>
          <t>non contiene allergeni</t>
        </is>
      </c>
      <c r="F292" s="67">
        <f>CONCATENATE(D292,"  ",E292," - ",A292," n° fatt ",C292," - ",TEXT(B292,"gg/mm/aaaa"))</f>
        <v/>
      </c>
    </row>
    <row r="293" ht="31.5" customHeight="1" s="155">
      <c r="A293" s="111" t="inlineStr">
        <is>
          <t>SAIMA S.p.A.</t>
        </is>
      </c>
      <c r="B293" s="194" t="n">
        <v>45958</v>
      </c>
      <c r="C293" s="114" t="inlineStr">
        <is>
          <t>1/187383</t>
        </is>
      </c>
      <c r="D293" s="111" t="inlineStr">
        <is>
          <t xml:space="preserve">SCAGLIETTA DI SURROGATO FONDENTE RIO DA KG 2 (DS00AG)  </t>
        </is>
      </c>
      <c r="E293" s="67" t="inlineStr">
        <is>
          <t>non contiene allergeni</t>
        </is>
      </c>
      <c r="F293" s="67">
        <f>CONCATENATE(D293,"  ",E293," - ",A293," n° fatt ",C293," - ",TEXT(B293,"gg/mm/aaaa"))</f>
        <v/>
      </c>
    </row>
    <row r="294" ht="31.5" customHeight="1" s="155">
      <c r="A294" s="111" t="inlineStr">
        <is>
          <t>AP COMMERCIALE S.R.L.</t>
        </is>
      </c>
      <c r="B294" s="194" t="n">
        <v>45941</v>
      </c>
      <c r="C294" s="114" t="inlineStr">
        <is>
          <t>25566525100020@13346</t>
        </is>
      </c>
      <c r="D294" s="111" t="inlineStr">
        <is>
          <t>SPECK FUME' MORGANTE 1/2 SV</t>
        </is>
      </c>
      <c r="E294" s="67" t="inlineStr">
        <is>
          <t>non contiene allergeni</t>
        </is>
      </c>
      <c r="F294" s="67">
        <f>CONCATENATE(D294,"  ",E294," - ",A294," n° fatt ",C294," - ",TEXT(B294,"gg/mm/aaaa"))</f>
        <v/>
      </c>
    </row>
    <row r="295" ht="15.75" customHeight="1" s="155">
      <c r="A295" s="111" t="inlineStr">
        <is>
          <t>"RONDINELLA MARKET S.R.L."</t>
        </is>
      </c>
      <c r="B295" s="194" t="n">
        <v>45957</v>
      </c>
      <c r="C295" s="114" t="n">
        <v>1941</v>
      </c>
      <c r="D295" s="111" t="inlineStr">
        <is>
          <t>STRUTTO</t>
        </is>
      </c>
      <c r="E295" s="67" t="inlineStr">
        <is>
          <t>non contiene allergeni</t>
        </is>
      </c>
      <c r="F295" s="67">
        <f>CONCATENATE(D295,"  ",E295," - ",A295," n° fatt ",C295," - ",TEXT(B295,"gg/mm/aaaa"))</f>
        <v/>
      </c>
    </row>
    <row r="296">
      <c r="A296" s="65" t="inlineStr">
        <is>
          <t>F.lli Fiorentino Srl</t>
        </is>
      </c>
      <c r="B296" s="193" t="n">
        <v>45930</v>
      </c>
      <c r="C296" s="65" t="inlineStr">
        <is>
          <t>1/12232</t>
        </is>
      </c>
      <c r="D296" s="65" t="inlineStr">
        <is>
          <t xml:space="preserve">STRUTTO RAFFINATO I B VERDE  </t>
        </is>
      </c>
      <c r="E296" s="67" t="inlineStr">
        <is>
          <t>non contiene allergeni</t>
        </is>
      </c>
      <c r="F296" s="67">
        <f>CONCATENATE(D296,"  ",E296," - ",A296," n° fatt ",C296," - ",TEXT(B296,"gg/mm/aaaa"))</f>
        <v/>
      </c>
    </row>
    <row r="297" ht="15.75" customHeight="1" s="155">
      <c r="A297" s="111" t="inlineStr">
        <is>
          <t>F.lli Fiorentino Srl</t>
        </is>
      </c>
      <c r="B297" s="194" t="n">
        <v>45945</v>
      </c>
      <c r="C297" s="114" t="inlineStr">
        <is>
          <t>1/12975</t>
        </is>
      </c>
      <c r="D297" s="111" t="inlineStr">
        <is>
          <t xml:space="preserve">STRUTTO RAFFINATO I B VERDE  </t>
        </is>
      </c>
      <c r="E297" s="67" t="inlineStr">
        <is>
          <t>non contiene allergeni</t>
        </is>
      </c>
      <c r="F297" s="67">
        <f>CONCATENATE(D297,"  ",E297," - ",A297," n° fatt ",C297," - ",TEXT(B297,"gg/mm/aaaa"))</f>
        <v/>
      </c>
    </row>
    <row r="298" ht="15.75" customHeight="1" s="155">
      <c r="A298" s="111" t="inlineStr">
        <is>
          <t>"RONDINELLA MARKET S.R.L."</t>
        </is>
      </c>
      <c r="B298" s="194" t="n">
        <v>45957</v>
      </c>
      <c r="C298" s="114" t="n">
        <v>1941</v>
      </c>
      <c r="D298" s="111" t="inlineStr">
        <is>
          <t>SURROGATO CIOCCOLATO FONDENTE</t>
        </is>
      </c>
      <c r="E298" s="67" t="inlineStr">
        <is>
          <t>non contiene allergeni</t>
        </is>
      </c>
      <c r="F298" s="67">
        <f>CONCATENATE(D298,"  ",E298," - ",A298," n° fatt ",C298," - ",TEXT(B298,"gg/mm/aaaa"))</f>
        <v/>
      </c>
    </row>
    <row r="299">
      <c r="A299" s="65" t="inlineStr">
        <is>
          <t>SAIMA S.p.A.</t>
        </is>
      </c>
      <c r="B299" s="193" t="n">
        <v>45931</v>
      </c>
      <c r="C299" s="65" t="inlineStr">
        <is>
          <t>1/169719</t>
        </is>
      </c>
      <c r="D299" s="65" t="inlineStr">
        <is>
          <t xml:space="preserve">SURROGATO FONDENTE SUPERBRILL250 IN CONFEZIONE DA KG 10  </t>
        </is>
      </c>
      <c r="E299" s="67" t="inlineStr">
        <is>
          <t>non contiene allergeni</t>
        </is>
      </c>
      <c r="F299" s="67">
        <f>CONCATENATE(D299,"  ",E299," - ",A299," n° fatt ",C299," - ",TEXT(B299,"gg/mm/aaaa"))</f>
        <v/>
      </c>
    </row>
    <row r="300" ht="31.5" customHeight="1" s="155">
      <c r="A300" s="111" t="inlineStr">
        <is>
          <t>SAIMA S.p.A.</t>
        </is>
      </c>
      <c r="B300" s="194" t="n">
        <v>45931</v>
      </c>
      <c r="C300" s="114" t="inlineStr">
        <is>
          <t>1/169719</t>
        </is>
      </c>
      <c r="D300" s="111" t="inlineStr">
        <is>
          <t xml:space="preserve">SURROGATO FONDENTE SUPERBRILL250 IN CONFEZIONE DA KG 10  </t>
        </is>
      </c>
      <c r="E300" s="67" t="inlineStr">
        <is>
          <t>non contiene allergeni</t>
        </is>
      </c>
      <c r="F300" s="67">
        <f>CONCATENATE(D300,"  ",E300," - ",A300," n° fatt ",C300," - ",TEXT(B300,"gg/mm/aaaa"))</f>
        <v/>
      </c>
    </row>
    <row r="301" ht="31.5" customHeight="1" s="155">
      <c r="A301" s="111" t="inlineStr">
        <is>
          <t>SAIMA S.p.A.</t>
        </is>
      </c>
      <c r="B301" s="194" t="n">
        <v>45958</v>
      </c>
      <c r="C301" s="114" t="inlineStr">
        <is>
          <t>1/187383</t>
        </is>
      </c>
      <c r="D301" s="111" t="inlineStr">
        <is>
          <t xml:space="preserve">SURROGATO FONDENTE SUPERBRILL250 IN CONFEZIONE DA KG 10  </t>
        </is>
      </c>
      <c r="E301" s="67" t="inlineStr">
        <is>
          <t>non contiene allergeni</t>
        </is>
      </c>
      <c r="F301" s="67">
        <f>CONCATENATE(D301,"  ",E301," - ",A301," n° fatt ",C301," - ",TEXT(B301,"gg/mm/aaaa"))</f>
        <v/>
      </c>
    </row>
    <row r="302" ht="15.75" customHeight="1" s="155">
      <c r="A302" s="111" t="inlineStr">
        <is>
          <t>F.lli Fiorentino Srl</t>
        </is>
      </c>
      <c r="B302" s="194" t="n">
        <v>45945</v>
      </c>
      <c r="C302" s="114" t="inlineStr">
        <is>
          <t>1/12975</t>
        </is>
      </c>
      <c r="D302" s="111" t="inlineStr">
        <is>
          <t xml:space="preserve">TONNO CALLIPO OL.OLIVA G.80x48  </t>
        </is>
      </c>
      <c r="E302" s="67" t="inlineStr">
        <is>
          <t>non contiene allergeni</t>
        </is>
      </c>
      <c r="F302" s="67">
        <f>CONCATENATE(D302,"  ",E302," - ",A302," n° fatt ",C302," - ",TEXT(B302,"gg/mm/aaaa"))</f>
        <v/>
      </c>
    </row>
    <row r="303">
      <c r="A303" s="65" t="inlineStr">
        <is>
          <t>saima s.p.a.</t>
        </is>
      </c>
      <c r="B303" s="193" t="n">
        <v>45895</v>
      </c>
      <c r="C303" s="65" t="inlineStr">
        <is>
          <t>1/145130</t>
        </is>
      </c>
      <c r="D303" s="65" t="inlineStr">
        <is>
          <t>topping caramell</t>
        </is>
      </c>
      <c r="E303" s="65" t="inlineStr">
        <is>
          <t>non contiene allergeni</t>
        </is>
      </c>
      <c r="F303" s="67">
        <f>CONCATENATE(D303,"  ",E303," - ",A303," n° fatt ",C303," - ",TEXT(B303,"gg/mm/aaaa"))</f>
        <v/>
      </c>
    </row>
    <row r="304">
      <c r="A304" s="65" t="inlineStr">
        <is>
          <t>SAIMA S.p.A.</t>
        </is>
      </c>
      <c r="B304" s="193" t="n">
        <v>45895</v>
      </c>
      <c r="C304" s="65" t="inlineStr">
        <is>
          <t>1/145130</t>
        </is>
      </c>
      <c r="D304" s="65" t="inlineStr">
        <is>
          <t xml:space="preserve">TOPPING CARAMELLO DA KG 1 (PC315)  </t>
        </is>
      </c>
      <c r="E304" s="67" t="inlineStr">
        <is>
          <t>non contiene allergeni</t>
        </is>
      </c>
      <c r="F304" s="67">
        <f>CONCATENATE(D304,"  ",E304," - ",A304," n° fatt ",C304," - ",TEXT(B304,"gg/mm/aaaa"))</f>
        <v/>
      </c>
    </row>
    <row r="305" ht="15.75" customHeight="1" s="155">
      <c r="A305" s="111" t="inlineStr">
        <is>
          <t>BIG FOOD SRL</t>
        </is>
      </c>
      <c r="B305" s="194" t="n">
        <v>45967</v>
      </c>
      <c r="C305" s="114" t="inlineStr">
        <is>
          <t>V1079132</t>
        </is>
      </c>
      <c r="D305" s="111" t="inlineStr">
        <is>
          <t>TULIP.BACON/PANCETTA AFFUM.KG.1</t>
        </is>
      </c>
      <c r="E305" s="67" t="inlineStr">
        <is>
          <t>non contiene allergeni</t>
        </is>
      </c>
      <c r="F305" s="67">
        <f>CONCATENATE(D305,"  ",E305," - ",A305," n° fatt ",C305," - ",TEXT(B305,"gg/mm/aaaa"))</f>
        <v/>
      </c>
    </row>
    <row r="306">
      <c r="A306" s="65" t="inlineStr">
        <is>
          <t>saima s.p.a.</t>
        </is>
      </c>
      <c r="B306" s="193" t="n">
        <v>45902</v>
      </c>
      <c r="C306" s="65" t="inlineStr">
        <is>
          <t>1/149709</t>
        </is>
      </c>
      <c r="D306" s="65" t="inlineStr">
        <is>
          <t xml:space="preserve">turbo da kg 5  </t>
        </is>
      </c>
      <c r="E306" s="65" t="inlineStr">
        <is>
          <t>non contiene allergeni</t>
        </is>
      </c>
      <c r="F306" s="67">
        <f>CONCATENATE(D306,"  ",E306," - ",A306," n° fatt ",C306," - ",TEXT(B306,"gg/mm/aaaa"))</f>
        <v/>
      </c>
    </row>
    <row r="307">
      <c r="A307" s="65" t="inlineStr">
        <is>
          <t>SAIMA S.p.A.</t>
        </is>
      </c>
      <c r="B307" s="193" t="n">
        <v>45916</v>
      </c>
      <c r="C307" s="65" t="inlineStr">
        <is>
          <t>1/159105</t>
        </is>
      </c>
      <c r="D307" s="65" t="inlineStr">
        <is>
          <t xml:space="preserve">UVA DA KG 1 SULTANINA AUSTRALIANA VINTAGE  </t>
        </is>
      </c>
      <c r="E307" s="67" t="inlineStr">
        <is>
          <t>non contiene allergeni</t>
        </is>
      </c>
      <c r="F307" s="67">
        <f>CONCATENATE(D307,"  ",E307," - ",A307," n° fatt ",C307," - ",TEXT(B307,"gg/mm/aaaa"))</f>
        <v/>
      </c>
    </row>
    <row r="308" ht="15.75" customHeight="1" s="155">
      <c r="A308" s="111" t="inlineStr">
        <is>
          <t>SAIMA S.p.A.</t>
        </is>
      </c>
      <c r="B308" s="194" t="n">
        <v>45972</v>
      </c>
      <c r="C308" s="114" t="inlineStr">
        <is>
          <t>1/196084</t>
        </is>
      </c>
      <c r="D308" s="111" t="inlineStr">
        <is>
          <t xml:space="preserve">UVA DA KG 1 SULTANINA AUSTRALIANA VINTAGE  </t>
        </is>
      </c>
      <c r="E308" s="67" t="inlineStr">
        <is>
          <t>non contiene allergeni</t>
        </is>
      </c>
      <c r="F308" s="67">
        <f>CONCATENATE(D308,"  ",E308," - ",A308," n° fatt ",C308," - ",TEXT(B308,"gg/mm/aaaa"))</f>
        <v/>
      </c>
    </row>
    <row r="309">
      <c r="A309" s="65" t="inlineStr">
        <is>
          <t>"rondinella market s.r.l."</t>
        </is>
      </c>
      <c r="B309" s="193" t="n">
        <v>45873</v>
      </c>
      <c r="C309" s="65" t="n">
        <v>1430</v>
      </c>
      <c r="D309" s="65" t="inlineStr">
        <is>
          <t>uva sultanina</t>
        </is>
      </c>
      <c r="E309" s="65" t="inlineStr">
        <is>
          <t>non contiene allergeni</t>
        </is>
      </c>
      <c r="F309" s="67">
        <f>CONCATENATE(D309,"  ",E309," - ",A309," n° fatt ",C309," - ",TEXT(B309,"gg/mm/aaaa"))</f>
        <v/>
      </c>
    </row>
    <row r="310">
      <c r="A310" s="65" t="inlineStr">
        <is>
          <t>"RONDINELLA MARKET S.R.L."</t>
        </is>
      </c>
      <c r="B310" s="193" t="n">
        <v>45873</v>
      </c>
      <c r="C310" s="65" t="n">
        <v>1430</v>
      </c>
      <c r="D310" s="65" t="inlineStr">
        <is>
          <t>UVA SULTANINA</t>
        </is>
      </c>
      <c r="E310" s="67" t="inlineStr">
        <is>
          <t>non contiene allergeni</t>
        </is>
      </c>
      <c r="F310" s="67">
        <f>CONCATENATE(D310,"  ",E310," - ",A310," n° fatt ",C310," - ",TEXT(B310,"gg/mm/aaaa"))</f>
        <v/>
      </c>
    </row>
    <row r="311" ht="31.5" customHeight="1" s="155">
      <c r="A311" s="111" t="inlineStr">
        <is>
          <t>AP COMMERCIALE S.R.L.</t>
        </is>
      </c>
      <c r="B311" s="194" t="n">
        <v>45941</v>
      </c>
      <c r="C311" s="114" t="inlineStr">
        <is>
          <t>25566525100020@13346</t>
        </is>
      </c>
      <c r="D311" s="111" t="inlineStr">
        <is>
          <t>V.CERVELLATINA</t>
        </is>
      </c>
      <c r="E311" s="67" t="inlineStr">
        <is>
          <t>non contiene allergeni</t>
        </is>
      </c>
      <c r="F311" s="67">
        <f>CONCATENATE(D311,"  ",E311," - ",A311," n° fatt ",C311," - ",TEXT(B311,"gg/mm/aaaa"))</f>
        <v/>
      </c>
    </row>
    <row r="312">
      <c r="A312" s="65" t="inlineStr">
        <is>
          <t>saima s.p.a.</t>
        </is>
      </c>
      <c r="B312" s="193" t="n">
        <v>45902</v>
      </c>
      <c r="C312" s="65" t="inlineStr">
        <is>
          <t>1/149709</t>
        </is>
      </c>
      <c r="D312" s="65" t="inlineStr">
        <is>
          <t>visciola</t>
        </is>
      </c>
      <c r="E312" s="65" t="inlineStr">
        <is>
          <t>non contiene allergeni</t>
        </is>
      </c>
      <c r="F312" s="67">
        <f>CONCATENATE(D312,"  ",E312," - ",A312," n° fatt ",C312," - ",TEXT(B312,"gg/mm/aaaa"))</f>
        <v/>
      </c>
    </row>
    <row r="313" ht="15.75" customHeight="1" s="155">
      <c r="A313" s="111" t="inlineStr">
        <is>
          <t>"RONDINELLA MARKET S.R.L."</t>
        </is>
      </c>
      <c r="B313" s="194" t="n">
        <v>45936</v>
      </c>
      <c r="C313" s="114" t="n">
        <v>1768</v>
      </c>
      <c r="D313" s="111" t="inlineStr">
        <is>
          <t>VISCIOLA PER PASTICCERIA 5Kg</t>
        </is>
      </c>
      <c r="E313" s="67" t="inlineStr">
        <is>
          <t>non contiene allergeni</t>
        </is>
      </c>
      <c r="F313" s="67">
        <f>CONCATENATE(D313,"  ",E313," - ",A313," n° fatt ",C313," - ",TEXT(B313,"gg/mm/aaaa"))</f>
        <v/>
      </c>
    </row>
    <row r="314" ht="15.75" customHeight="1" s="155">
      <c r="A314" s="111" t="inlineStr">
        <is>
          <t>BIG FOOD SRL</t>
        </is>
      </c>
      <c r="B314" s="194" t="n">
        <v>45966</v>
      </c>
      <c r="C314" s="114" t="inlineStr">
        <is>
          <t>V1078689</t>
        </is>
      </c>
      <c r="D314" s="111" t="inlineStr">
        <is>
          <t>VITTORIA GR.250 LUPINI AL SALE</t>
        </is>
      </c>
      <c r="E314" s="67" t="inlineStr">
        <is>
          <t>non contiene allergeni</t>
        </is>
      </c>
      <c r="F314" s="67">
        <f>CONCATENATE(D314,"  ",E314," - ",A314," n° fatt ",C314," - ",TEXT(B314,"gg/mm/aaaa"))</f>
        <v/>
      </c>
    </row>
    <row r="315" ht="31.5" customHeight="1" s="155">
      <c r="A315" s="111" t="inlineStr">
        <is>
          <t>G.I.A.L. GENERALE INGROSSO ALIMENTARE S.R.L.</t>
        </is>
      </c>
      <c r="B315" s="194" t="n">
        <v>45961</v>
      </c>
      <c r="C315" s="114" t="inlineStr">
        <is>
          <t>V1-39165</t>
        </is>
      </c>
      <c r="D315" s="111" t="inlineStr">
        <is>
          <t>WUDY CLASS. G.300 AIA</t>
        </is>
      </c>
      <c r="E315" s="67" t="inlineStr">
        <is>
          <t>non contiene allergeni</t>
        </is>
      </c>
      <c r="F315" s="67">
        <f>CONCATENATE(D315,"  ",E315," - ",A315," n° fatt ",C315," - ",TEXT(B315,"gg/mm/aaaa"))</f>
        <v/>
      </c>
    </row>
    <row r="316">
      <c r="A316" s="65" t="inlineStr">
        <is>
          <t>saima s.p.a.</t>
        </is>
      </c>
      <c r="B316" s="193" t="n">
        <v>45902</v>
      </c>
      <c r="C316" s="65" t="inlineStr">
        <is>
          <t>1/149709</t>
        </is>
      </c>
      <c r="D316" s="65" t="inlineStr">
        <is>
          <t>zucchero a velo</t>
        </is>
      </c>
      <c r="E316" s="65" t="inlineStr">
        <is>
          <t>non contiene allergeni</t>
        </is>
      </c>
      <c r="F316" s="67">
        <f>CONCATENATE(D316,"  ",E316," - ",A316," n° fatt ",C316," - ",TEXT(B316,"gg/mm/aaaa"))</f>
        <v/>
      </c>
    </row>
    <row r="317">
      <c r="A317" s="65" t="inlineStr">
        <is>
          <t>SAIMA S.p.A.</t>
        </is>
      </c>
      <c r="B317" s="193" t="n">
        <v>45902</v>
      </c>
      <c r="C317" s="65" t="inlineStr">
        <is>
          <t>1/149709</t>
        </is>
      </c>
      <c r="D317" s="65" t="inlineStr">
        <is>
          <t xml:space="preserve">ZUCCHERO A VELO IMPALPABILE DA 5 KG  </t>
        </is>
      </c>
      <c r="E317" s="67" t="inlineStr">
        <is>
          <t>non contiene allergeni</t>
        </is>
      </c>
      <c r="F317" s="67">
        <f>CONCATENATE(D317,"  ",E317," - ",A317," n° fatt ",C317," - ",TEXT(B317,"gg/mm/aaaa"))</f>
        <v/>
      </c>
    </row>
    <row r="318">
      <c r="A318" s="65" t="inlineStr">
        <is>
          <t>SAIMA S.p.A.</t>
        </is>
      </c>
      <c r="B318" s="193" t="n">
        <v>45916</v>
      </c>
      <c r="C318" s="65" t="inlineStr">
        <is>
          <t>1/159105</t>
        </is>
      </c>
      <c r="D318" s="65" t="inlineStr">
        <is>
          <t xml:space="preserve">ZUCCHERO A VELO IMPALPABILE DA 5 KG  </t>
        </is>
      </c>
      <c r="E318" s="67" t="inlineStr">
        <is>
          <t>non contiene allergeni</t>
        </is>
      </c>
      <c r="F318" s="67">
        <f>CONCATENATE(D318,"  ",E318," - ",A318," n° fatt ",C318," - ",TEXT(B318,"gg/mm/aaaa"))</f>
        <v/>
      </c>
    </row>
    <row r="319">
      <c r="A319" s="65" t="inlineStr">
        <is>
          <t>SAIMA S.p.A.</t>
        </is>
      </c>
      <c r="B319" s="193" t="n">
        <v>45923</v>
      </c>
      <c r="C319" s="65" t="inlineStr">
        <is>
          <t>1/163854</t>
        </is>
      </c>
      <c r="D319" s="65" t="inlineStr">
        <is>
          <t xml:space="preserve">ZUCCHERO A VELO IMPALPABILE DA 5 KG  </t>
        </is>
      </c>
      <c r="E319" s="67" t="inlineStr">
        <is>
          <t>non contiene allergeni</t>
        </is>
      </c>
      <c r="F319" s="67">
        <f>CONCATENATE(D319,"  ",E319," - ",A319," n° fatt ",C319," - ",TEXT(B319,"gg/mm/aaaa"))</f>
        <v/>
      </c>
    </row>
    <row r="320" ht="15.75" customHeight="1" s="155">
      <c r="A320" s="111" t="inlineStr">
        <is>
          <t>"RONDINELLA MARKET S.R.L."</t>
        </is>
      </c>
      <c r="B320" s="194" t="n">
        <v>45943</v>
      </c>
      <c r="C320" s="114" t="n">
        <v>1824</v>
      </c>
      <c r="D320" s="111" t="inlineStr">
        <is>
          <t>ZUCCHERO A VELO x 5kg</t>
        </is>
      </c>
      <c r="E320" s="67" t="inlineStr">
        <is>
          <t>non contiene allergeni</t>
        </is>
      </c>
      <c r="F320" s="67">
        <f>CONCATENATE(D320,"  ",E320," - ",A320," n° fatt ",C320," - ",TEXT(B320,"gg/mm/aaaa"))</f>
        <v/>
      </c>
    </row>
    <row r="321">
      <c r="A321" s="65" t="inlineStr">
        <is>
          <t>SAIMA S.p.A.</t>
        </is>
      </c>
      <c r="B321" s="193" t="n">
        <v>45916</v>
      </c>
      <c r="C321" s="65" t="inlineStr">
        <is>
          <t>1/159105</t>
        </is>
      </c>
      <c r="D321" s="65" t="inlineStr">
        <is>
          <t xml:space="preserve">ZUCCHERO IN GRANELLA MEDIA  </t>
        </is>
      </c>
      <c r="E321" s="67" t="inlineStr">
        <is>
          <t>non contiene allergeni</t>
        </is>
      </c>
      <c r="F321" s="67">
        <f>CONCATENATE(D321,"  ",E321," - ",A321," n° fatt ",C321," - ",TEXT(B321,"gg/mm/aaaa"))</f>
        <v/>
      </c>
    </row>
    <row r="322" ht="15.75" customHeight="1" s="155">
      <c r="A322" s="111" t="inlineStr">
        <is>
          <t>F.lli Fiorentino Srl</t>
        </is>
      </c>
      <c r="B322" s="194" t="n">
        <v>45945</v>
      </c>
      <c r="C322" s="114" t="inlineStr">
        <is>
          <t>1/12975</t>
        </is>
      </c>
      <c r="D322" s="111" t="inlineStr">
        <is>
          <t xml:space="preserve">ZUCCHERO RAF.SEM. ERIDANIA KG.25  </t>
        </is>
      </c>
      <c r="E322" s="67" t="inlineStr">
        <is>
          <t>non contiene allergeni</t>
        </is>
      </c>
      <c r="F322" s="67">
        <f>CONCATENATE(D322,"  ",E322," - ",A322," n° fatt ",C322," - ",TEXT(B322,"gg/mm/aaaa"))</f>
        <v/>
      </c>
    </row>
    <row r="323">
      <c r="A323" s="65" t="inlineStr">
        <is>
          <t>F.lli Fiorentino Srl</t>
        </is>
      </c>
      <c r="B323" s="193" t="n">
        <v>45895</v>
      </c>
      <c r="C323" s="65" t="inlineStr">
        <is>
          <t>1/10655</t>
        </is>
      </c>
      <c r="D323" s="65" t="inlineStr">
        <is>
          <t xml:space="preserve">ZUCCHERO RAF.SEM.ERIDANIA KG.25  </t>
        </is>
      </c>
      <c r="E323" s="67" t="inlineStr">
        <is>
          <t>non contiene allergeni</t>
        </is>
      </c>
      <c r="F323" s="67">
        <f>CONCATENATE(D323,"  ",E323," - ",A323," n° fatt ",C323," - ",TEXT(B323,"gg/mm/aaaa"))</f>
        <v/>
      </c>
    </row>
    <row r="324">
      <c r="A324" s="65" t="inlineStr">
        <is>
          <t>F.lli Fiorentino Srl</t>
        </is>
      </c>
      <c r="B324" s="193" t="n">
        <v>45895</v>
      </c>
      <c r="C324" s="65" t="inlineStr">
        <is>
          <t>1/10655</t>
        </is>
      </c>
      <c r="D324" s="65" t="inlineStr">
        <is>
          <t xml:space="preserve">ZUCCHERO RAF.SEM.ERIDANIA KG.25  </t>
        </is>
      </c>
      <c r="E324" s="67" t="inlineStr">
        <is>
          <t>non contiene allergeni</t>
        </is>
      </c>
      <c r="F324" s="67">
        <f>CONCATENATE(D324,"  ",E324," - ",A324," n° fatt ",C324," - ",TEXT(B324,"gg/mm/aaaa"))</f>
        <v/>
      </c>
    </row>
    <row r="325">
      <c r="A325" s="65" t="inlineStr">
        <is>
          <t>F.lli Fiorentino Srl</t>
        </is>
      </c>
      <c r="B325" s="193" t="n">
        <v>45912</v>
      </c>
      <c r="C325" s="65" t="inlineStr">
        <is>
          <t>1/11430</t>
        </is>
      </c>
      <c r="D325" s="65" t="inlineStr">
        <is>
          <t xml:space="preserve">ZUCCHERO RAF.SEM.ERIDANIA KG.25  </t>
        </is>
      </c>
      <c r="E325" s="67" t="inlineStr">
        <is>
          <t>non contiene allergeni</t>
        </is>
      </c>
      <c r="F325" s="67">
        <f>CONCATENATE(D325,"  ",E325," - ",A325," n° fatt ",C325," - ",TEXT(B325,"gg/mm/aaaa"))</f>
        <v/>
      </c>
    </row>
    <row r="326">
      <c r="A326" s="65" t="inlineStr">
        <is>
          <t>F.lli Fiorentino Srl</t>
        </is>
      </c>
      <c r="B326" s="193" t="n">
        <v>45930</v>
      </c>
      <c r="C326" s="65" t="inlineStr">
        <is>
          <t>1/12232</t>
        </is>
      </c>
      <c r="D326" s="65" t="inlineStr">
        <is>
          <t xml:space="preserve">ZUCCHERO RAF.SEM.ERIDANIA KG.25  </t>
        </is>
      </c>
      <c r="E326" s="67" t="inlineStr">
        <is>
          <t>non contiene allergeni</t>
        </is>
      </c>
      <c r="F326" s="67">
        <f>CONCATENATE(D326,"  ",E326," - ",A326," n° fatt ",C326," - ",TEXT(B326,"gg/mm/aaaa"))</f>
        <v/>
      </c>
    </row>
    <row r="327">
      <c r="A327" s="65" t="inlineStr">
        <is>
          <t>f.lli fiorentino srl</t>
        </is>
      </c>
      <c r="B327" s="193" t="n">
        <v>45895</v>
      </c>
      <c r="C327" s="65" t="inlineStr">
        <is>
          <t>1/10655</t>
        </is>
      </c>
      <c r="D327" s="65" t="inlineStr">
        <is>
          <t>zucchero semolato</t>
        </is>
      </c>
      <c r="E327" s="65" t="inlineStr">
        <is>
          <t>non contiene allergeni</t>
        </is>
      </c>
      <c r="F327" s="67">
        <f>CONCATENATE(D327,"  ",E327," - ",A327," n° fatt ",C327," - ",TEXT(B327,"gg/mm/aaaa"))</f>
        <v/>
      </c>
    </row>
    <row r="328" ht="31.5" customHeight="1" s="155">
      <c r="A328" s="111" t="inlineStr">
        <is>
          <t>SAIMA S.p.A.</t>
        </is>
      </c>
      <c r="B328" s="194" t="n">
        <v>46000</v>
      </c>
      <c r="C328" s="111" t="inlineStr">
        <is>
          <t>1/215909</t>
        </is>
      </c>
      <c r="D328" s="111" t="inlineStr">
        <is>
          <t xml:space="preserve">CACAO DA 1 KG ROSSO BRUNO 22/24 CORPO PIENO VAN HOUTEN  </t>
        </is>
      </c>
      <c r="E328" s="67" t="inlineStr">
        <is>
          <t>non contiene allergeni</t>
        </is>
      </c>
      <c r="F328" s="67">
        <f>CONCATENATE(D328,"  ",E328," - ",A328," n° fatt ",C328," - ",TEXT(B328,"gg/mm/aaaa"))</f>
        <v/>
      </c>
    </row>
    <row r="329" ht="15.75" customHeight="1" s="155">
      <c r="A329" s="111" t="inlineStr">
        <is>
          <t>SAIMA S.p.A.</t>
        </is>
      </c>
      <c r="B329" s="194" t="n">
        <v>46000</v>
      </c>
      <c r="C329" s="111" t="inlineStr">
        <is>
          <t>1/215909</t>
        </is>
      </c>
      <c r="D329" s="111" t="inlineStr">
        <is>
          <t xml:space="preserve">AROMA PISTO SUPER EXTRA IN POLVERE  </t>
        </is>
      </c>
      <c r="E329" s="67" t="inlineStr">
        <is>
          <t>non contiene allergeni</t>
        </is>
      </c>
      <c r="F329" s="67">
        <f>CONCATENATE(D329,"  ",E329," - ",A329," n° fatt ",C329," - ",TEXT(B329,"gg/mm/aaaa"))</f>
        <v/>
      </c>
    </row>
    <row r="330" ht="31.5" customHeight="1" s="155">
      <c r="A330" s="111" t="inlineStr">
        <is>
          <t>SAIMA S.p.A.</t>
        </is>
      </c>
      <c r="B330" s="194" t="n">
        <v>46000</v>
      </c>
      <c r="C330" s="111" t="inlineStr">
        <is>
          <t>1/215909</t>
        </is>
      </c>
      <c r="D330" s="111" t="inlineStr">
        <is>
          <t xml:space="preserve">SURROGATO FONDENTE SUPERBRILL250 IN CONFEZIONE DA KG 10  </t>
        </is>
      </c>
      <c r="E330" s="67" t="inlineStr">
        <is>
          <t>non contiene allergeni</t>
        </is>
      </c>
      <c r="F330" s="67">
        <f>CONCATENATE(D330,"  ",E330," - ",A330," n° fatt ",C330," - ",TEXT(B330,"gg/mm/aaaa"))</f>
        <v/>
      </c>
    </row>
    <row r="331" ht="31.5" customHeight="1" s="155">
      <c r="A331" s="111" t="inlineStr">
        <is>
          <t>SAIMA S.p.A.</t>
        </is>
      </c>
      <c r="B331" s="194" t="n">
        <v>46000</v>
      </c>
      <c r="C331" s="111" t="inlineStr">
        <is>
          <t>1/215909</t>
        </is>
      </c>
      <c r="D331" s="111" t="inlineStr">
        <is>
          <t xml:space="preserve">GELATINA GELINA A FREDDO NEUTRA IN CONFEZIONE DA KG 6  </t>
        </is>
      </c>
      <c r="E331" s="67" t="inlineStr">
        <is>
          <t>non contiene allergeni</t>
        </is>
      </c>
      <c r="F331" s="67">
        <f>CONCATENATE(D331,"  ",E331," - ",A331," n° fatt ",C331," - ",TEXT(B331,"gg/mm/aaaa"))</f>
        <v/>
      </c>
    </row>
    <row r="332" ht="15.75" customHeight="1" s="155">
      <c r="A332" s="111" t="inlineStr">
        <is>
          <t>SAIMA S.p.A.</t>
        </is>
      </c>
      <c r="B332" s="194" t="n">
        <v>46000</v>
      </c>
      <c r="C332" s="111" t="inlineStr">
        <is>
          <t>1/215909</t>
        </is>
      </c>
      <c r="D332" s="111" t="inlineStr">
        <is>
          <t xml:space="preserve">MIX YOGOFINE DA KG 15  </t>
        </is>
      </c>
      <c r="E332" s="67" t="inlineStr">
        <is>
          <t>non contiene allergeni</t>
        </is>
      </c>
      <c r="F332" s="67">
        <f>CONCATENATE(D332,"  ",E332," - ",A332," n° fatt ",C332," - ",TEXT(B332,"gg/mm/aaaa"))</f>
        <v/>
      </c>
    </row>
    <row r="333" ht="31.5" customHeight="1" s="155">
      <c r="A333" s="111" t="inlineStr">
        <is>
          <t>SAIMA S.p.A.</t>
        </is>
      </c>
      <c r="B333" s="194" t="n">
        <v>46000</v>
      </c>
      <c r="C333" s="111" t="inlineStr">
        <is>
          <t>1/215909</t>
        </is>
      </c>
      <c r="D333" s="111" t="inlineStr">
        <is>
          <t xml:space="preserve">AMARENA NATURALE INTERA IN SCIROPPO DA KG 3  </t>
        </is>
      </c>
      <c r="E333" s="67" t="inlineStr">
        <is>
          <t>non contiene allergeni</t>
        </is>
      </c>
      <c r="F333" s="67">
        <f>CONCATENATE(D333,"  ",E333," - ",A333," n° fatt ",C333," - ",TEXT(B333,"gg/mm/aaaa"))</f>
        <v/>
      </c>
    </row>
    <row r="334" ht="15.75" customHeight="1" s="155">
      <c r="A334" s="111" t="inlineStr">
        <is>
          <t>SAIMA S.p.A.</t>
        </is>
      </c>
      <c r="B334" s="194" t="n">
        <v>46000</v>
      </c>
      <c r="C334" s="111" t="inlineStr">
        <is>
          <t>1/215909</t>
        </is>
      </c>
      <c r="D334" s="111" t="inlineStr">
        <is>
          <t xml:space="preserve">LIEVITO DI BIRRA PER PANIFICAZIONE  </t>
        </is>
      </c>
      <c r="E334" s="67" t="inlineStr">
        <is>
          <t>non contiene allergeni</t>
        </is>
      </c>
      <c r="F334" s="67">
        <f>CONCATENATE(D334,"  ",E334," - ",A334," n° fatt ",C334," - ",TEXT(B334,"gg/mm/aaaa"))</f>
        <v/>
      </c>
    </row>
    <row r="335" ht="31.5" customHeight="1" s="155">
      <c r="A335" s="111" t="inlineStr">
        <is>
          <t>AP COMMERCIALE S.R.L.</t>
        </is>
      </c>
      <c r="B335" s="194" t="n">
        <v>46009</v>
      </c>
      <c r="C335" s="111" t="inlineStr">
        <is>
          <t>25566525100020@16913</t>
        </is>
      </c>
      <c r="D335" s="111" t="inlineStr">
        <is>
          <t>MUSCOLO DI SCOTTONA</t>
        </is>
      </c>
      <c r="E335" s="67" t="inlineStr">
        <is>
          <t>non contiene allergeni</t>
        </is>
      </c>
      <c r="F335" s="67">
        <f>CONCATENATE(D335,"  ",E335," - ",A335," n° fatt ",C335," - ",TEXT(B335,"gg/mm/aaaa"))</f>
        <v/>
      </c>
    </row>
    <row r="336" ht="47.25" customHeight="1" s="155">
      <c r="A336" s="111" t="inlineStr">
        <is>
          <t>Olive Miraglia s.r.l. 1890</t>
        </is>
      </c>
      <c r="B336" s="194" t="n">
        <v>46002</v>
      </c>
      <c r="C336" s="111" t="inlineStr">
        <is>
          <t>FPR 2669/25</t>
        </is>
      </c>
      <c r="D336" s="111" t="inlineStr">
        <is>
          <t>OLIVE VERDI TONDE 0000 MSM IN ACQUA E SALE PROVENIENZA ITALIA,SICILIA,CAMPOBELLO DI MAZARA (TP)</t>
        </is>
      </c>
      <c r="E336" s="67" t="inlineStr">
        <is>
          <t>non contiene allergeni</t>
        </is>
      </c>
      <c r="F336" s="67">
        <f>CONCATENATE(D336,"  ",E336," - ",A336," n° fatt ",C336," - ",TEXT(B336,"gg/mm/aaaa"))</f>
        <v/>
      </c>
    </row>
    <row r="337" ht="15.75" customHeight="1" s="155">
      <c r="A337" s="111" t="inlineStr">
        <is>
          <t>I COZZOLINO SRL</t>
        </is>
      </c>
      <c r="B337" s="194" t="n">
        <v>46006</v>
      </c>
      <c r="C337" s="111" t="inlineStr">
        <is>
          <t>D3394</t>
        </is>
      </c>
      <c r="D337" s="111" t="inlineStr">
        <is>
          <t>Ananas L. 055-000857-0003014</t>
        </is>
      </c>
      <c r="E337" s="67" t="inlineStr">
        <is>
          <t>non contiene allergeni</t>
        </is>
      </c>
      <c r="F337" s="67">
        <f>CONCATENATE(D337,"  ",E337," - ",A337," n° fatt ",C337," - ",TEXT(B337,"gg/mm/aaaa"))</f>
        <v/>
      </c>
    </row>
    <row r="338" ht="15.75" customHeight="1" s="155">
      <c r="A338" s="111" t="inlineStr">
        <is>
          <t>I COZZOLINO SRL</t>
        </is>
      </c>
      <c r="B338" s="194" t="n">
        <v>46006</v>
      </c>
      <c r="C338" s="111" t="inlineStr">
        <is>
          <t>D3394</t>
        </is>
      </c>
      <c r="D338" s="111" t="inlineStr">
        <is>
          <t>Basilico orig.ita L.4206</t>
        </is>
      </c>
      <c r="E338" s="67" t="inlineStr">
        <is>
          <t>non contiene allergeni</t>
        </is>
      </c>
      <c r="F338" s="67">
        <f>CONCATENATE(D338,"  ",E338," - ",A338," n° fatt ",C338," - ",TEXT(B338,"gg/mm/aaaa"))</f>
        <v/>
      </c>
    </row>
    <row r="339" ht="15.75" customHeight="1" s="155">
      <c r="A339" s="111" t="inlineStr">
        <is>
          <t>I COZZOLINO SRL</t>
        </is>
      </c>
      <c r="B339" s="194" t="n">
        <v>46006</v>
      </c>
      <c r="C339" s="111" t="inlineStr">
        <is>
          <t>D3394</t>
        </is>
      </c>
      <c r="D339" s="111" t="inlineStr">
        <is>
          <t>Friarielli Orig.Campania L.51/F FVI/49</t>
        </is>
      </c>
      <c r="E339" s="67" t="inlineStr">
        <is>
          <t>non contiene allergeni</t>
        </is>
      </c>
      <c r="F339" s="67">
        <f>CONCATENATE(D339,"  ",E339," - ",A339," n° fatt ",C339," - ",TEXT(B339,"gg/mm/aaaa"))</f>
        <v/>
      </c>
    </row>
    <row r="340" ht="15.75" customHeight="1" s="155">
      <c r="A340" s="111" t="inlineStr">
        <is>
          <t>I COZZOLINO SRL</t>
        </is>
      </c>
      <c r="B340" s="194" t="n">
        <v>46006</v>
      </c>
      <c r="C340" s="111" t="inlineStr">
        <is>
          <t>D3394</t>
        </is>
      </c>
      <c r="D340" s="111" t="inlineStr">
        <is>
          <t>Frutta Mista</t>
        </is>
      </c>
      <c r="E340" s="67" t="inlineStr">
        <is>
          <t>non contiene allergeni</t>
        </is>
      </c>
      <c r="F340" s="67">
        <f>CONCATENATE(D340,"  ",E340," - ",A340," n° fatt ",C340," - ",TEXT(B340,"gg/mm/aaaa"))</f>
        <v/>
      </c>
    </row>
    <row r="341" ht="15.75" customHeight="1" s="155">
      <c r="A341" s="111" t="inlineStr">
        <is>
          <t>I COZZOLINO SRL</t>
        </is>
      </c>
      <c r="B341" s="194" t="n">
        <v>46006</v>
      </c>
      <c r="C341" s="111" t="inlineStr">
        <is>
          <t>D3393</t>
        </is>
      </c>
      <c r="D341" s="111" t="inlineStr">
        <is>
          <t>Iceberg L. 258-000743-0010367</t>
        </is>
      </c>
      <c r="E341" s="67" t="inlineStr">
        <is>
          <t>non contiene allergeni</t>
        </is>
      </c>
      <c r="F341" s="67">
        <f>CONCATENATE(D341,"  ",E341," - ",A341," n° fatt ",C341," - ",TEXT(B341,"gg/mm/aaaa"))</f>
        <v/>
      </c>
    </row>
    <row r="342" ht="15.75" customHeight="1" s="155">
      <c r="A342" s="111" t="inlineStr">
        <is>
          <t>I COZZOLINO SRL</t>
        </is>
      </c>
      <c r="B342" s="194" t="n">
        <v>46006</v>
      </c>
      <c r="C342" s="111" t="inlineStr">
        <is>
          <t>D3394</t>
        </is>
      </c>
      <c r="D342" s="111" t="inlineStr">
        <is>
          <t>Kiwi L. 060-000015-0000091</t>
        </is>
      </c>
      <c r="E342" s="67" t="inlineStr">
        <is>
          <t>non contiene allergeni</t>
        </is>
      </c>
      <c r="F342" s="67">
        <f>CONCATENATE(D342,"  ",E342," - ",A342," n° fatt ",C342," - ",TEXT(B342,"gg/mm/aaaa"))</f>
        <v/>
      </c>
    </row>
    <row r="343" ht="15.75" customHeight="1" s="155">
      <c r="A343" s="111" t="inlineStr">
        <is>
          <t>I COZZOLINO SRL</t>
        </is>
      </c>
      <c r="B343" s="194" t="n">
        <v>46006</v>
      </c>
      <c r="C343" s="111" t="inlineStr">
        <is>
          <t>D3394</t>
        </is>
      </c>
      <c r="D343" s="111" t="inlineStr">
        <is>
          <t>Limes L.35219030060240253</t>
        </is>
      </c>
      <c r="E343" s="67" t="inlineStr">
        <is>
          <t>non contiene allergeni</t>
        </is>
      </c>
      <c r="F343" s="67">
        <f>CONCATENATE(D343,"  ",E343," - ",A343," n° fatt ",C343," - ",TEXT(B343,"gg/mm/aaaa"))</f>
        <v/>
      </c>
    </row>
    <row r="344" ht="15.75" customHeight="1" s="155">
      <c r="A344" s="111" t="inlineStr">
        <is>
          <t>I COZZOLINO SRL</t>
        </is>
      </c>
      <c r="B344" s="194" t="n">
        <v>46006</v>
      </c>
      <c r="C344" s="111" t="inlineStr">
        <is>
          <t>D3393</t>
        </is>
      </c>
      <c r="D344" s="111" t="inlineStr">
        <is>
          <t>Melanzane L.197-002155-0008629</t>
        </is>
      </c>
      <c r="E344" s="67" t="inlineStr">
        <is>
          <t>non contiene allergeni</t>
        </is>
      </c>
      <c r="F344" s="67">
        <f>CONCATENATE(D344,"  ",E344," - ",A344," n° fatt ",C344," - ",TEXT(B344,"gg/mm/aaaa"))</f>
        <v/>
      </c>
    </row>
    <row r="345" ht="15.75" customHeight="1" s="155">
      <c r="A345" s="111" t="inlineStr">
        <is>
          <t>I COZZOLINO SRL</t>
        </is>
      </c>
      <c r="B345" s="194" t="n">
        <v>46006</v>
      </c>
      <c r="C345" s="111" t="inlineStr">
        <is>
          <t>D3394</t>
        </is>
      </c>
      <c r="D345" s="111" t="inlineStr">
        <is>
          <t>Mele Stark Orig.Ita L.027-003659-0000799</t>
        </is>
      </c>
      <c r="E345" s="67" t="inlineStr">
        <is>
          <t>non contiene allergeni</t>
        </is>
      </c>
      <c r="F345" s="67">
        <f>CONCATENATE(D345,"  ",E345," - ",A345," n° fatt ",C345," - ",TEXT(B345,"gg/mm/aaaa"))</f>
        <v/>
      </c>
    </row>
    <row r="346" ht="15.75" customHeight="1" s="155">
      <c r="A346" s="111" t="inlineStr">
        <is>
          <t>I COZZOLINO SRL</t>
        </is>
      </c>
      <c r="B346" s="194" t="n">
        <v>46006</v>
      </c>
      <c r="C346" s="111" t="inlineStr">
        <is>
          <t>D3394</t>
        </is>
      </c>
      <c r="D346" s="111" t="inlineStr">
        <is>
          <t>Melone Giall orig. ita  L.05/42</t>
        </is>
      </c>
      <c r="E346" s="67" t="inlineStr">
        <is>
          <t>non contiene allergeni</t>
        </is>
      </c>
      <c r="F346" s="67">
        <f>CONCATENATE(D346,"  ",E346," - ",A346," n° fatt ",C346," - ",TEXT(B346,"gg/mm/aaaa"))</f>
        <v/>
      </c>
    </row>
    <row r="347" ht="15.75" customHeight="1" s="155">
      <c r="A347" s="111" t="inlineStr">
        <is>
          <t>I COZZOLINO SRL</t>
        </is>
      </c>
      <c r="B347" s="194" t="n">
        <v>46006</v>
      </c>
      <c r="C347" s="111" t="inlineStr">
        <is>
          <t>D3394</t>
        </is>
      </c>
      <c r="D347" s="111" t="inlineStr">
        <is>
          <t>Patata da Consumo L.469/93</t>
        </is>
      </c>
      <c r="E347" s="67" t="inlineStr">
        <is>
          <t>non contiene allergeni</t>
        </is>
      </c>
      <c r="F347" s="67">
        <f>CONCATENATE(D347,"  ",E347," - ",A347," n° fatt ",C347," - ",TEXT(B347,"gg/mm/aaaa"))</f>
        <v/>
      </c>
    </row>
    <row r="348" ht="15.75" customHeight="1" s="155">
      <c r="A348" s="111" t="inlineStr">
        <is>
          <t>I COZZOLINO SRL</t>
        </is>
      </c>
      <c r="B348" s="194" t="n">
        <v>46006</v>
      </c>
      <c r="C348" s="111" t="inlineStr">
        <is>
          <t>D3393</t>
        </is>
      </c>
      <c r="D348" s="111" t="inlineStr">
        <is>
          <t>Patata da Consumo L.469/93</t>
        </is>
      </c>
      <c r="E348" s="67" t="inlineStr">
        <is>
          <t>non contiene allergeni</t>
        </is>
      </c>
      <c r="F348" s="67">
        <f>CONCATENATE(D348,"  ",E348," - ",A348," n° fatt ",C348," - ",TEXT(B348,"gg/mm/aaaa"))</f>
        <v/>
      </c>
    </row>
    <row r="349" ht="15.75" customHeight="1" s="155">
      <c r="A349" s="111" t="inlineStr">
        <is>
          <t>I COZZOLINO SRL</t>
        </is>
      </c>
      <c r="B349" s="194" t="n">
        <v>46006</v>
      </c>
      <c r="C349" s="111" t="inlineStr">
        <is>
          <t>D3394</t>
        </is>
      </c>
      <c r="D349" s="111" t="inlineStr">
        <is>
          <t>Peperoni  L.031-004226-0000007</t>
        </is>
      </c>
      <c r="E349" s="67" t="inlineStr">
        <is>
          <t>non contiene allergeni</t>
        </is>
      </c>
      <c r="F349" s="67">
        <f>CONCATENATE(D349,"  ",E349," - ",A349," n° fatt ",C349," - ",TEXT(B349,"gg/mm/aaaa"))</f>
        <v/>
      </c>
    </row>
    <row r="350" ht="15.75" customHeight="1" s="155">
      <c r="A350" s="111" t="inlineStr">
        <is>
          <t>I COZZOLINO SRL</t>
        </is>
      </c>
      <c r="B350" s="194" t="n">
        <v>46006</v>
      </c>
      <c r="C350" s="111" t="inlineStr">
        <is>
          <t>D3394</t>
        </is>
      </c>
      <c r="D350" s="111" t="inlineStr">
        <is>
          <t>Pere Conferenze L. 059-004082-0001270</t>
        </is>
      </c>
      <c r="E350" s="67" t="inlineStr">
        <is>
          <t>non contiene allergeni</t>
        </is>
      </c>
      <c r="F350" s="67">
        <f>CONCATENATE(D350,"  ",E350," - ",A350," n° fatt ",C350," - ",TEXT(B350,"gg/mm/aaaa"))</f>
        <v/>
      </c>
    </row>
    <row r="351" ht="15.75" customHeight="1" s="155">
      <c r="A351" s="111" t="inlineStr">
        <is>
          <t>I COZZOLINO SRL</t>
        </is>
      </c>
      <c r="B351" s="194" t="n">
        <v>46006</v>
      </c>
      <c r="C351" s="111" t="inlineStr">
        <is>
          <t>D3394</t>
        </is>
      </c>
      <c r="D351" s="111" t="inlineStr">
        <is>
          <t>Pomodori Insalata Orig.Ita L89/F455</t>
        </is>
      </c>
      <c r="E351" s="67" t="inlineStr">
        <is>
          <t>non contiene allergeni</t>
        </is>
      </c>
      <c r="F351" s="67">
        <f>CONCATENATE(D351,"  ",E351," - ",A351," n° fatt ",C351," - ",TEXT(B351,"gg/mm/aaaa"))</f>
        <v/>
      </c>
    </row>
    <row r="352" ht="15.75" customHeight="1" s="155">
      <c r="A352" s="111" t="inlineStr">
        <is>
          <t>I COZZOLINO SRL</t>
        </is>
      </c>
      <c r="B352" s="194" t="n">
        <v>46006</v>
      </c>
      <c r="C352" s="111" t="inlineStr">
        <is>
          <t>D3393</t>
        </is>
      </c>
      <c r="D352" s="111" t="inlineStr">
        <is>
          <t>Pomodori Insalata Orig.Ita L89/F455</t>
        </is>
      </c>
      <c r="E352" s="67" t="inlineStr">
        <is>
          <t>non contiene allergeni</t>
        </is>
      </c>
      <c r="F352" s="67">
        <f>CONCATENATE(D352,"  ",E352," - ",A352," n° fatt ",C352," - ",TEXT(B352,"gg/mm/aaaa"))</f>
        <v/>
      </c>
    </row>
    <row r="353" ht="15.75" customHeight="1" s="155">
      <c r="A353" s="111" t="inlineStr">
        <is>
          <t>I COZZOLINO SRL</t>
        </is>
      </c>
      <c r="B353" s="194" t="n">
        <v>46006</v>
      </c>
      <c r="C353" s="111" t="inlineStr">
        <is>
          <t>D3394</t>
        </is>
      </c>
      <c r="D353" s="111" t="inlineStr">
        <is>
          <t>Pomodorini Sicilia L. 291-002759-0000021</t>
        </is>
      </c>
      <c r="E353" s="67" t="inlineStr">
        <is>
          <t>non contiene allergeni</t>
        </is>
      </c>
      <c r="F353" s="67">
        <f>CONCATENATE(D353,"  ",E353," - ",A353," n° fatt ",C353," - ",TEXT(B353,"gg/mm/aaaa"))</f>
        <v/>
      </c>
    </row>
    <row r="354" ht="15.75" customHeight="1" s="155">
      <c r="A354" s="111" t="inlineStr">
        <is>
          <t>I COZZOLINO SRL</t>
        </is>
      </c>
      <c r="B354" s="194" t="n">
        <v>46006</v>
      </c>
      <c r="C354" s="111" t="inlineStr">
        <is>
          <t>D3394</t>
        </is>
      </c>
      <c r="D354" s="111" t="inlineStr">
        <is>
          <t>Rosmarino L4204 289</t>
        </is>
      </c>
      <c r="E354" s="67" t="inlineStr">
        <is>
          <t>non contiene allergeni</t>
        </is>
      </c>
      <c r="F354" s="67">
        <f>CONCATENATE(D354,"  ",E354," - ",A354," n° fatt ",C354," - ",TEXT(B354,"gg/mm/aaaa"))</f>
        <v/>
      </c>
    </row>
    <row r="355" ht="15.75" customHeight="1" s="155">
      <c r="A355" s="111" t="inlineStr">
        <is>
          <t>I COZZOLINO SRL</t>
        </is>
      </c>
      <c r="B355" s="194" t="n">
        <v>46006</v>
      </c>
      <c r="C355" s="111" t="inlineStr">
        <is>
          <t>D3394</t>
        </is>
      </c>
      <c r="D355" s="111" t="inlineStr">
        <is>
          <t>Scarola Liscia L.349/1483</t>
        </is>
      </c>
      <c r="E355" s="67" t="inlineStr">
        <is>
          <t>non contiene allergeni</t>
        </is>
      </c>
      <c r="F355" s="67">
        <f>CONCATENATE(D355,"  ",E355," - ",A355," n° fatt ",C355," - ",TEXT(B355,"gg/mm/aaaa"))</f>
        <v/>
      </c>
    </row>
    <row r="356" ht="15.75" customHeight="1" s="155">
      <c r="A356" s="111" t="inlineStr">
        <is>
          <t>I COZZOLINO SRL</t>
        </is>
      </c>
      <c r="B356" s="194" t="n">
        <v>46006</v>
      </c>
      <c r="C356" s="111" t="inlineStr">
        <is>
          <t>D3394</t>
        </is>
      </c>
      <c r="D356" s="111" t="inlineStr">
        <is>
          <t>Zucchine L.0950-04/21-000040IT</t>
        </is>
      </c>
      <c r="E356" s="67" t="inlineStr">
        <is>
          <t>non contiene allergeni</t>
        </is>
      </c>
      <c r="F356" s="67">
        <f>CONCATENATE(D356,"  ",E356," - ",A356," n° fatt ",C356," - ",TEXT(B356,"gg/mm/aaaa"))</f>
        <v/>
      </c>
    </row>
    <row r="357" ht="31.5" customHeight="1" s="155">
      <c r="A357" s="111" t="inlineStr">
        <is>
          <t>Dolciaria Acquaviva S.p.A. sog. all'att. di dir. e coord. di Vandemoortele NV</t>
        </is>
      </c>
      <c r="B357" s="194" t="n">
        <v>46007</v>
      </c>
      <c r="C357" s="111" t="n">
        <v>923284</v>
      </c>
      <c r="D357" s="111" t="inlineStr">
        <is>
          <t>CODA D'ARAGOSTA MIG.GR.28/30</t>
        </is>
      </c>
      <c r="E357" s="67" t="inlineStr">
        <is>
          <t>contiene allergeni</t>
        </is>
      </c>
      <c r="F357" s="67">
        <f>CONCATENATE(D357,"  ",E357," - ",A357," n° fatt ",C357," - ",TEXT(B357,"gg/mm/aaaa"))</f>
        <v/>
      </c>
    </row>
    <row r="358" ht="15.75" customHeight="1" s="155">
      <c r="A358" s="111" t="inlineStr">
        <is>
          <t>GB FOOD SRL</t>
        </is>
      </c>
      <c r="B358" s="194" t="n">
        <v>46005</v>
      </c>
      <c r="C358" s="111" t="inlineStr">
        <is>
          <t>323/PZ</t>
        </is>
      </c>
      <c r="D358" s="111" t="inlineStr">
        <is>
          <t>CIABATTA</t>
        </is>
      </c>
      <c r="E358" s="67" t="inlineStr">
        <is>
          <t>contiene allergeni</t>
        </is>
      </c>
      <c r="F358" s="67">
        <f>CONCATENATE(D358,"  ",E358," - ",A358," n° fatt ",C358," - ",TEXT(B358,"gg/mm/aaaa"))</f>
        <v/>
      </c>
    </row>
    <row r="359" ht="15.75" customHeight="1" s="155">
      <c r="A359" s="111" t="inlineStr">
        <is>
          <t>GB FOOD SRL</t>
        </is>
      </c>
      <c r="B359" s="194" t="n">
        <v>46005</v>
      </c>
      <c r="C359" s="111" t="inlineStr">
        <is>
          <t>323/PZ</t>
        </is>
      </c>
      <c r="D359" s="111" t="inlineStr">
        <is>
          <t>ROSETTINE</t>
        </is>
      </c>
      <c r="E359" s="67" t="inlineStr">
        <is>
          <t>contiene allergeni</t>
        </is>
      </c>
      <c r="F359" s="67">
        <f>CONCATENATE(D359,"  ",E359," - ",A359," n° fatt ",C359," - ",TEXT(B359,"gg/mm/aaaa"))</f>
        <v/>
      </c>
    </row>
    <row r="360" ht="15.75" customHeight="1" s="155">
      <c r="A360" s="111" t="inlineStr">
        <is>
          <t>BIG FOOD SRL</t>
        </is>
      </c>
      <c r="B360" s="194" t="n">
        <v>46001</v>
      </c>
      <c r="C360" s="111" t="inlineStr">
        <is>
          <t>V1088382</t>
        </is>
      </c>
      <c r="D360" s="111" t="inlineStr">
        <is>
          <t>BERNI FUNGHI CHAMPIGNON NAT.GR.400</t>
        </is>
      </c>
      <c r="E360" s="67" t="inlineStr">
        <is>
          <t>non contiene allergeni</t>
        </is>
      </c>
      <c r="F360" s="67">
        <f>CONCATENATE(D360,"  ",E360," - ",A360," n° fatt ",C360," - ",TEXT(B360,"gg/mm/aaaa"))</f>
        <v/>
      </c>
    </row>
    <row r="361" ht="15.75" customHeight="1" s="155">
      <c r="A361" s="111" t="inlineStr">
        <is>
          <t>BIG FOOD SRL</t>
        </is>
      </c>
      <c r="B361" s="194" t="n">
        <v>46001</v>
      </c>
      <c r="C361" s="111" t="inlineStr">
        <is>
          <t>V1088382</t>
        </is>
      </c>
      <c r="D361" s="111" t="inlineStr">
        <is>
          <t>GRANAROLO LATTE P.S. LT.1 BRIK</t>
        </is>
      </c>
      <c r="E361" s="67" t="inlineStr">
        <is>
          <t>contiene allergeni</t>
        </is>
      </c>
      <c r="F361" s="67">
        <f>CONCATENATE(D361,"  ",E361," - ",A361," n° fatt ",C361," - ",TEXT(B361,"gg/mm/aaaa"))</f>
        <v/>
      </c>
    </row>
    <row r="362" ht="15.75" customHeight="1" s="155">
      <c r="A362" s="111" t="inlineStr">
        <is>
          <t>BIG FOOD SRL</t>
        </is>
      </c>
      <c r="B362" s="194" t="n">
        <v>46001</v>
      </c>
      <c r="C362" s="111" t="inlineStr">
        <is>
          <t>V1088382</t>
        </is>
      </c>
      <c r="D362" s="111" t="inlineStr">
        <is>
          <t>VIGNOLA KG.1 RISO RIBE</t>
        </is>
      </c>
      <c r="E362" s="67" t="inlineStr">
        <is>
          <t>non contiene allergeni</t>
        </is>
      </c>
      <c r="F362" s="67">
        <f>CONCATENATE(D362,"  ",E362," - ",A362," n° fatt ",C362," - ",TEXT(B362,"gg/mm/aaaa"))</f>
        <v/>
      </c>
    </row>
    <row r="363" ht="15.75" customHeight="1" s="155">
      <c r="A363" s="111" t="inlineStr">
        <is>
          <t>BIG FOOD SRL</t>
        </is>
      </c>
      <c r="B363" s="194" t="n">
        <v>46001</v>
      </c>
      <c r="C363" s="111" t="inlineStr">
        <is>
          <t>V1088382</t>
        </is>
      </c>
      <c r="D363" s="111" t="inlineStr">
        <is>
          <t>POMÌ PASSATA BRICK GR.750</t>
        </is>
      </c>
      <c r="E363" s="67" t="inlineStr">
        <is>
          <t>non contiene allergeni</t>
        </is>
      </c>
      <c r="F363" s="67">
        <f>CONCATENATE(D363,"  ",E363," - ",A363," n° fatt ",C363," - ",TEXT(B363,"gg/mm/aaaa"))</f>
        <v/>
      </c>
    </row>
    <row r="364" ht="15.75" customHeight="1" s="155">
      <c r="A364" s="111" t="inlineStr">
        <is>
          <t>BIG FOOD SRL</t>
        </is>
      </c>
      <c r="B364" s="194" t="n">
        <v>46001</v>
      </c>
      <c r="C364" s="111" t="inlineStr">
        <is>
          <t>V1088382</t>
        </is>
      </c>
      <c r="D364" s="111" t="inlineStr">
        <is>
          <t>DESANTIS OLIO EXTRAV.ITALIANO LT.1</t>
        </is>
      </c>
      <c r="E364" s="67" t="inlineStr">
        <is>
          <t>non contiene allergeni</t>
        </is>
      </c>
      <c r="F364" s="67">
        <f>CONCATENATE(D364,"  ",E364," - ",A364," n° fatt ",C364," - ",TEXT(B364,"gg/mm/aaaa"))</f>
        <v/>
      </c>
    </row>
    <row r="365" ht="15.75" customHeight="1" s="155">
      <c r="A365" s="111" t="inlineStr">
        <is>
          <t>BIG FOOD SRL</t>
        </is>
      </c>
      <c r="B365" s="194" t="n">
        <v>46001</v>
      </c>
      <c r="C365" s="111" t="inlineStr">
        <is>
          <t>V1088382</t>
        </is>
      </c>
      <c r="D365" s="111" t="inlineStr">
        <is>
          <t>DAMICO LATTA GR.400 PEPERONI ARROS</t>
        </is>
      </c>
      <c r="E365" s="67" t="inlineStr">
        <is>
          <t>contiene allergeni</t>
        </is>
      </c>
      <c r="F365" s="67">
        <f>CONCATENATE(D365,"  ",E365," - ",A365," n° fatt ",C365," - ",TEXT(B365,"gg/mm/aaaa"))</f>
        <v/>
      </c>
    </row>
    <row r="366" ht="15.75" customHeight="1" s="155">
      <c r="A366" s="111" t="inlineStr">
        <is>
          <t>BIG FOOD SRL</t>
        </is>
      </c>
      <c r="B366" s="194" t="n">
        <v>46001</v>
      </c>
      <c r="C366" s="111" t="inlineStr">
        <is>
          <t>V1088382</t>
        </is>
      </c>
      <c r="D366" s="111" t="inlineStr">
        <is>
          <t>DESANTIS PET LT.1 OLIO GIRASOLE</t>
        </is>
      </c>
      <c r="E366" s="67" t="inlineStr">
        <is>
          <t>non contiene allergeni</t>
        </is>
      </c>
      <c r="F366" s="67">
        <f>CONCATENATE(D366,"  ",E366," - ",A366," n° fatt ",C366," - ",TEXT(B366,"gg/mm/aaaa"))</f>
        <v/>
      </c>
    </row>
    <row r="367" ht="15.75" customHeight="1" s="155">
      <c r="A367" s="111" t="inlineStr">
        <is>
          <t>BIG FOOD SRL</t>
        </is>
      </c>
      <c r="B367" s="194" t="n">
        <v>46001</v>
      </c>
      <c r="C367" s="111" t="inlineStr">
        <is>
          <t>V1088382</t>
        </is>
      </c>
      <c r="D367" s="111" t="inlineStr">
        <is>
          <t>DESANTIS PET LT.1 OLIO MAIS</t>
        </is>
      </c>
      <c r="E367" s="67" t="inlineStr">
        <is>
          <t>non contiene allergeni</t>
        </is>
      </c>
      <c r="F367" s="67">
        <f>CONCATENATE(D367,"  ",E367," - ",A367," n° fatt ",C367," - ",TEXT(B367,"gg/mm/aaaa"))</f>
        <v/>
      </c>
    </row>
    <row r="368" ht="15.75" customHeight="1" s="155">
      <c r="A368" s="111" t="inlineStr">
        <is>
          <t>BIG FOOD SRL</t>
        </is>
      </c>
      <c r="B368" s="194" t="n">
        <v>46001</v>
      </c>
      <c r="C368" s="111" t="inlineStr">
        <is>
          <t>V1088382</t>
        </is>
      </c>
      <c r="D368" s="111" t="inlineStr">
        <is>
          <t>BONDUELLE GR.330 VETRO CANNELLINI</t>
        </is>
      </c>
      <c r="E368" s="67" t="inlineStr">
        <is>
          <t>non contiene allergeni</t>
        </is>
      </c>
      <c r="F368" s="67">
        <f>CONCATENATE(D368,"  ",E368," - ",A368," n° fatt ",C368," - ",TEXT(B368,"gg/mm/aaaa"))</f>
        <v/>
      </c>
    </row>
    <row r="369" ht="15.75" customHeight="1" s="155">
      <c r="A369" s="111" t="inlineStr">
        <is>
          <t>BIG FOOD SRL</t>
        </is>
      </c>
      <c r="B369" s="194" t="n">
        <v>46001</v>
      </c>
      <c r="C369" s="111" t="inlineStr">
        <is>
          <t>V1088382</t>
        </is>
      </c>
      <c r="D369" s="111" t="inlineStr">
        <is>
          <t>ERIDANIA KG.1 ZUCCH.CLASSICO ASTUC</t>
        </is>
      </c>
      <c r="E369" s="67" t="inlineStr">
        <is>
          <t>non contiene allergeni</t>
        </is>
      </c>
      <c r="F369" s="67">
        <f>CONCATENATE(D369,"  ",E369," - ",A369," n° fatt ",C369," - ",TEXT(B369,"gg/mm/aaaa"))</f>
        <v/>
      </c>
    </row>
    <row r="370" ht="15.75" customHeight="1" s="155">
      <c r="A370" s="111" t="inlineStr">
        <is>
          <t>BIG FOOD SRL</t>
        </is>
      </c>
      <c r="B370" s="194" t="n">
        <v>46001</v>
      </c>
      <c r="C370" s="111" t="inlineStr">
        <is>
          <t>V1088382</t>
        </is>
      </c>
      <c r="D370" s="111" t="inlineStr">
        <is>
          <t>BUONDÌ GR.198 CLASSICO X6</t>
        </is>
      </c>
      <c r="E370" s="67" t="inlineStr">
        <is>
          <t>contiene allergeni</t>
        </is>
      </c>
      <c r="F370" s="67">
        <f>CONCATENATE(D370,"  ",E370," - ",A370," n° fatt ",C370," - ",TEXT(B370,"gg/mm/aaaa"))</f>
        <v/>
      </c>
    </row>
    <row r="371" ht="15.75" customHeight="1" s="155">
      <c r="A371" s="111" t="inlineStr">
        <is>
          <t>BIG FOOD SRL</t>
        </is>
      </c>
      <c r="B371" s="194" t="n">
        <v>46001</v>
      </c>
      <c r="C371" s="111" t="inlineStr">
        <is>
          <t>V1088382</t>
        </is>
      </c>
      <c r="D371" s="111" t="inlineStr">
        <is>
          <t>DE CECCO.OLIO LT.1 EVO CLASSICO</t>
        </is>
      </c>
      <c r="E371" s="67" t="inlineStr">
        <is>
          <t>non contiene allergeni</t>
        </is>
      </c>
      <c r="F371" s="67">
        <f>CONCATENATE(D371,"  ",E371," - ",A371," n° fatt ",C371," - ",TEXT(B371,"gg/mm/aaaa"))</f>
        <v/>
      </c>
    </row>
    <row r="372" ht="15.75" customHeight="1" s="155">
      <c r="A372" s="111" t="inlineStr">
        <is>
          <t>BIG FOOD SRL</t>
        </is>
      </c>
      <c r="B372" s="194" t="n">
        <v>46001</v>
      </c>
      <c r="C372" s="111" t="inlineStr">
        <is>
          <t>V1088382</t>
        </is>
      </c>
      <c r="D372" s="111" t="inlineStr">
        <is>
          <t>KNORR GRANPURE'GR.225</t>
        </is>
      </c>
      <c r="E372" s="67" t="inlineStr">
        <is>
          <t>contiene allergeni</t>
        </is>
      </c>
      <c r="F372" s="67">
        <f>CONCATENATE(D372,"  ",E372," - ",A372," n° fatt ",C372," - ",TEXT(B372,"gg/mm/aaaa"))</f>
        <v/>
      </c>
    </row>
    <row r="373" ht="15.75" customHeight="1" s="155">
      <c r="A373" s="111" t="inlineStr">
        <is>
          <t>BIG FOOD SRL</t>
        </is>
      </c>
      <c r="B373" s="194" t="n">
        <v>46001</v>
      </c>
      <c r="C373" s="111" t="inlineStr">
        <is>
          <t>V1088382</t>
        </is>
      </c>
      <c r="D373" s="111" t="inlineStr">
        <is>
          <t>SORESINA GR.100 GRATT.GRANAPADANO</t>
        </is>
      </c>
      <c r="E373" s="67" t="inlineStr">
        <is>
          <t>contiene allergeni</t>
        </is>
      </c>
      <c r="F373" s="67">
        <f>CONCATENATE(D373,"  ",E373," - ",A373," n° fatt ",C373," - ",TEXT(B373,"gg/mm/aaaa"))</f>
        <v/>
      </c>
    </row>
    <row r="374" ht="15.75" customHeight="1" s="155">
      <c r="A374" s="111" t="inlineStr">
        <is>
          <t>BIG FOOD SRL</t>
        </is>
      </c>
      <c r="B374" s="194" t="n">
        <v>46001</v>
      </c>
      <c r="C374" s="111" t="inlineStr">
        <is>
          <t>V1088382</t>
        </is>
      </c>
      <c r="D374" s="111" t="inlineStr">
        <is>
          <t>WELCOME FETTE GR.200</t>
        </is>
      </c>
      <c r="E374" s="67" t="inlineStr">
        <is>
          <t>contiene allergeni</t>
        </is>
      </c>
      <c r="F374" s="67">
        <f>CONCATENATE(D374,"  ",E374," - ",A374," n° fatt ",C374," - ",TEXT(B374,"gg/mm/aaaa"))</f>
        <v/>
      </c>
    </row>
    <row r="375" ht="31.5" customHeight="1" s="155">
      <c r="A375" s="111" t="inlineStr">
        <is>
          <t>GE.FI.AL. SAS DI FIORENZANO GENNARO &amp; C.</t>
        </is>
      </c>
      <c r="B375" s="194" t="n">
        <v>46007</v>
      </c>
      <c r="C375" s="111" t="n">
        <v>336</v>
      </c>
      <c r="D375" s="111" t="inlineStr">
        <is>
          <t>Ricotta di Pecora Zuccherata Congelata x 6 - Ricocrem-</t>
        </is>
      </c>
      <c r="E375" s="67" t="inlineStr">
        <is>
          <t>contiene allergeni</t>
        </is>
      </c>
      <c r="F375" s="67">
        <f>CONCATENATE(D375,"  ",E375," - ",A375," n° fatt ",C375," - ",TEXT(B375,"gg/mm/aaaa"))</f>
        <v/>
      </c>
    </row>
    <row r="376" ht="31.5" customHeight="1" s="155">
      <c r="A376" s="111" t="inlineStr">
        <is>
          <t>SAIMA S.p.A.</t>
        </is>
      </c>
      <c r="B376" s="194" t="n">
        <v>46007</v>
      </c>
      <c r="C376" s="111" t="inlineStr">
        <is>
          <t>1/221664</t>
        </is>
      </c>
      <c r="D376" s="111" t="inlineStr">
        <is>
          <t xml:space="preserve">MELA CANNELLA A CUBETTI 14X14 SEMICANDITA IN SCIROPPO DA KG 3  </t>
        </is>
      </c>
      <c r="E376" s="67" t="inlineStr">
        <is>
          <t>non contiene allergeni</t>
        </is>
      </c>
      <c r="F376" s="67">
        <f>CONCATENATE(D376,"  ",E376," - ",A376," n° fatt ",C376," - ",TEXT(B376,"gg/mm/aaaa"))</f>
        <v/>
      </c>
    </row>
    <row r="377" ht="31.5" customHeight="1" s="155">
      <c r="A377" s="111" t="inlineStr">
        <is>
          <t>SAIMA S.p.A.</t>
        </is>
      </c>
      <c r="B377" s="194" t="n">
        <v>46007</v>
      </c>
      <c r="C377" s="111" t="inlineStr">
        <is>
          <t>1/221664</t>
        </is>
      </c>
      <c r="D377" s="111" t="inlineStr">
        <is>
          <t xml:space="preserve">CREMA RIO TRADIZIONE PISTACCHIO IN CONFEZIONE DA KG 5 (DC00BM)  </t>
        </is>
      </c>
      <c r="E377" s="67" t="inlineStr">
        <is>
          <t>contiene allergeni</t>
        </is>
      </c>
      <c r="F377" s="67">
        <f>CONCATENATE(D377,"  ",E377," - ",A377," n° fatt ",C377," - ",TEXT(B377,"gg/mm/aaaa"))</f>
        <v/>
      </c>
    </row>
    <row r="378" ht="15.75" customHeight="1" s="155">
      <c r="A378" s="111" t="inlineStr">
        <is>
          <t>SAIMA S.p.A.</t>
        </is>
      </c>
      <c r="B378" s="194" t="n">
        <v>46007</v>
      </c>
      <c r="C378" s="111" t="inlineStr">
        <is>
          <t>1/221664</t>
        </is>
      </c>
      <c r="D378" s="111" t="inlineStr">
        <is>
          <t xml:space="preserve">MIX GOLDEN NOW DA KG 15 (4644)  </t>
        </is>
      </c>
      <c r="E378" s="67" t="inlineStr">
        <is>
          <t>contiene allergeni</t>
        </is>
      </c>
      <c r="F378" s="67">
        <f>CONCATENATE(D378,"  ",E378," - ",A378," n° fatt ",C378," - ",TEXT(B378,"gg/mm/aaaa"))</f>
        <v/>
      </c>
    </row>
    <row r="379" ht="15.75" customHeight="1" s="155">
      <c r="A379" s="111" t="inlineStr">
        <is>
          <t>SAIMA S.p.A.</t>
        </is>
      </c>
      <c r="B379" s="194" t="n">
        <v>46007</v>
      </c>
      <c r="C379" s="111" t="inlineStr">
        <is>
          <t>1/221664</t>
        </is>
      </c>
      <c r="D379" s="111" t="inlineStr">
        <is>
          <t xml:space="preserve">ESSENZA NEROLY BIGARADE GR 80  </t>
        </is>
      </c>
      <c r="E379" s="67" t="inlineStr">
        <is>
          <t>non contiene allergeni</t>
        </is>
      </c>
      <c r="F379" s="67">
        <f>CONCATENATE(D379,"  ",E379," - ",A379," n° fatt ",C379," - ",TEXT(B379,"gg/mm/aaaa"))</f>
        <v/>
      </c>
    </row>
    <row r="380" ht="15.75" customHeight="1" s="155">
      <c r="A380" s="111" t="inlineStr">
        <is>
          <t>SAIMA S.p.A.</t>
        </is>
      </c>
      <c r="B380" s="194" t="n">
        <v>46007</v>
      </c>
      <c r="C380" s="111" t="inlineStr">
        <is>
          <t>1/221664</t>
        </is>
      </c>
      <c r="D380" s="111" t="inlineStr">
        <is>
          <t xml:space="preserve">ZUCCHERO A VELO IMPALPABILE DA 5 KG  </t>
        </is>
      </c>
      <c r="E380" s="67" t="inlineStr">
        <is>
          <t>non contiene allergeni</t>
        </is>
      </c>
      <c r="F380" s="67">
        <f>CONCATENATE(D380,"  ",E380," - ",A380," n° fatt ",C380," - ",TEXT(B380,"gg/mm/aaaa"))</f>
        <v/>
      </c>
    </row>
    <row r="381" ht="15.75" customHeight="1" s="155">
      <c r="A381" s="111" t="inlineStr">
        <is>
          <t>SAIMA S.p.A.</t>
        </is>
      </c>
      <c r="B381" s="194" t="n">
        <v>46007</v>
      </c>
      <c r="C381" s="111" t="inlineStr">
        <is>
          <t>1/221664</t>
        </is>
      </c>
      <c r="D381" s="111" t="inlineStr">
        <is>
          <t xml:space="preserve">DIAVOLINI COLORATI IN CONFEZIONE DA GR 500  </t>
        </is>
      </c>
      <c r="E381" s="67" t="inlineStr">
        <is>
          <t>non contiene allergeni</t>
        </is>
      </c>
      <c r="F381" s="67">
        <f>CONCATENATE(D381,"  ",E381," - ",A381," n° fatt ",C381," - ",TEXT(B381,"gg/mm/aaaa"))</f>
        <v/>
      </c>
    </row>
    <row r="382" ht="31.5" customHeight="1" s="155">
      <c r="A382" s="111" t="inlineStr">
        <is>
          <t>SAIMA S.p.A.</t>
        </is>
      </c>
      <c r="B382" s="194" t="n">
        <v>46007</v>
      </c>
      <c r="C382" s="111" t="inlineStr">
        <is>
          <t>1/221664</t>
        </is>
      </c>
      <c r="D382" s="111" t="inlineStr">
        <is>
          <t xml:space="preserve">AMARENA NATURALE INTERA IN SCIROPPO DA KG 3  </t>
        </is>
      </c>
      <c r="E382" s="67" t="inlineStr">
        <is>
          <t>non contiene allergeni</t>
        </is>
      </c>
      <c r="F382" s="67">
        <f>CONCATENATE(D382,"  ",E382," - ",A382," n° fatt ",C382," - ",TEXT(B382,"gg/mm/aaaa"))</f>
        <v/>
      </c>
    </row>
    <row r="383" ht="31.5" customHeight="1" s="155">
      <c r="A383" s="111" t="inlineStr">
        <is>
          <t>SAIMA S.p.A.</t>
        </is>
      </c>
      <c r="B383" s="194" t="n">
        <v>46007</v>
      </c>
      <c r="C383" s="111" t="inlineStr">
        <is>
          <t>1/221664</t>
        </is>
      </c>
      <c r="D383" s="111" t="inlineStr">
        <is>
          <t xml:space="preserve">MELANGE PLUS HOMILLINA PLATTE DA KG 10 (4155)  </t>
        </is>
      </c>
      <c r="E383" s="67" t="inlineStr">
        <is>
          <t>contiene allergeni</t>
        </is>
      </c>
      <c r="F383" s="67">
        <f>CONCATENATE(D383,"  ",E383," - ",A383," n° fatt ",C383," - ",TEXT(B383,"gg/mm/aaaa"))</f>
        <v/>
      </c>
    </row>
    <row r="384" ht="31.5" customHeight="1" s="155">
      <c r="A384" s="111" t="inlineStr">
        <is>
          <t>SAIMA S.p.A.</t>
        </is>
      </c>
      <c r="B384" s="194" t="n">
        <v>46007</v>
      </c>
      <c r="C384" s="111" t="inlineStr">
        <is>
          <t>1/221664</t>
        </is>
      </c>
      <c r="D384" s="111" t="inlineStr">
        <is>
          <t xml:space="preserve">MELANGE PLUS HOMILLINA GATEAUX DA KG 10 (4156)  </t>
        </is>
      </c>
      <c r="E384" s="67" t="inlineStr">
        <is>
          <t>contiene allergeni</t>
        </is>
      </c>
      <c r="F384" s="67">
        <f>CONCATENATE(D384,"  ",E384," - ",A384," n° fatt ",C384," - ",TEXT(B384,"gg/mm/aaaa"))</f>
        <v/>
      </c>
    </row>
    <row r="385" ht="31.5" customHeight="1" s="155">
      <c r="A385" s="111" t="inlineStr">
        <is>
          <t>SAIMA S.p.A.</t>
        </is>
      </c>
      <c r="B385" s="194" t="n">
        <v>46007</v>
      </c>
      <c r="C385" s="111" t="inlineStr">
        <is>
          <t>1/221664</t>
        </is>
      </c>
      <c r="D385" s="111" t="inlineStr">
        <is>
          <t xml:space="preserve">CACAO DA 1 KG ROSSO BRUNO 22/24 CORPO PIENO VAN HOUTEN  </t>
        </is>
      </c>
      <c r="E385" s="67" t="inlineStr">
        <is>
          <t>non contiene allergeni</t>
        </is>
      </c>
      <c r="F385" s="67">
        <f>CONCATENATE(D385,"  ",E385," - ",A385," n° fatt ",C385," - ",TEXT(B385,"gg/mm/aaaa"))</f>
        <v/>
      </c>
    </row>
    <row r="386" ht="31.5" customHeight="1" s="155">
      <c r="A386" s="111" t="inlineStr">
        <is>
          <t>SAIMA S.p.A.</t>
        </is>
      </c>
      <c r="B386" s="194" t="n">
        <v>46007</v>
      </c>
      <c r="C386" s="111" t="inlineStr">
        <is>
          <t>1/221664</t>
        </is>
      </c>
      <c r="D386" s="111" t="inlineStr">
        <is>
          <t xml:space="preserve">SURROGATO BIANCO SUPERBRILL IN CONFEZIONE DA KG 10  </t>
        </is>
      </c>
      <c r="E386" s="67" t="inlineStr">
        <is>
          <t>non contiene allergeni</t>
        </is>
      </c>
      <c r="F386" s="67">
        <f>CONCATENATE(D386,"  ",E386," - ",A386," n° fatt ",C386," - ",TEXT(B386,"gg/mm/aaaa"))</f>
        <v/>
      </c>
    </row>
    <row r="387" ht="31.5" customHeight="1" s="155">
      <c r="A387" s="111" t="inlineStr">
        <is>
          <t>G.I.A.L. GENERALE INGROSSO ALIMENTARE S.R.L.</t>
        </is>
      </c>
      <c r="B387" s="194" t="n">
        <v>45991</v>
      </c>
      <c r="C387" s="111" t="inlineStr">
        <is>
          <t>V1-43044</t>
        </is>
      </c>
      <c r="D387" s="111" t="inlineStr">
        <is>
          <t>LATTE AQ.INT.4/4 YMA BAR</t>
        </is>
      </c>
      <c r="E387" s="67" t="inlineStr">
        <is>
          <t>contiene allergeni</t>
        </is>
      </c>
      <c r="F387" s="67">
        <f>CONCATENATE(D387,"  ",E387," - ",A387," n° fatt ",C387," - ",TEXT(B387,"gg/mm/aaaa"))</f>
        <v/>
      </c>
    </row>
    <row r="388" ht="31.5" customHeight="1" s="155">
      <c r="A388" s="111" t="inlineStr">
        <is>
          <t>G.I.A.L. GENERALE INGROSSO ALIMENTARE S.R.L.</t>
        </is>
      </c>
      <c r="B388" s="194" t="n">
        <v>45991</v>
      </c>
      <c r="C388" s="111" t="inlineStr">
        <is>
          <t>V1-43044</t>
        </is>
      </c>
      <c r="D388" s="111" t="inlineStr">
        <is>
          <t>LATTE AP.P.S.4/4 S/LATTOS</t>
        </is>
      </c>
      <c r="E388" s="67" t="inlineStr">
        <is>
          <t>contiene allergeni</t>
        </is>
      </c>
      <c r="F388" s="67">
        <f>CONCATENATE(D388,"  ",E388," - ",A388," n° fatt ",C388," - ",TEXT(B388,"gg/mm/aaaa"))</f>
        <v/>
      </c>
    </row>
    <row r="389" ht="31.5" customHeight="1" s="155">
      <c r="A389" s="111" t="inlineStr">
        <is>
          <t>G.I.A.L. GENERALE INGROSSO ALIMENTARE S.R.L.</t>
        </is>
      </c>
      <c r="B389" s="194" t="n">
        <v>45991</v>
      </c>
      <c r="C389" s="111" t="inlineStr">
        <is>
          <t>V1-43044</t>
        </is>
      </c>
      <c r="D389" s="111" t="inlineStr">
        <is>
          <t>PREP.VEGETA.ML.500 HOPLA</t>
        </is>
      </c>
      <c r="E389" s="67" t="inlineStr">
        <is>
          <t>contiene allergeni</t>
        </is>
      </c>
      <c r="F389" s="67">
        <f>CONCATENATE(D389,"  ",E389," - ",A389," n° fatt ",C389," - ",TEXT(B389,"gg/mm/aaaa"))</f>
        <v/>
      </c>
    </row>
    <row r="390" ht="31.5" customHeight="1" s="155">
      <c r="A390" s="111" t="inlineStr">
        <is>
          <t>G.I.A.L. GENERALE INGROSSO ALIMENTARE S.R.L.</t>
        </is>
      </c>
      <c r="B390" s="194" t="n">
        <v>45991</v>
      </c>
      <c r="C390" s="111" t="inlineStr">
        <is>
          <t>V1-43044</t>
        </is>
      </c>
      <c r="D390" s="111" t="inlineStr">
        <is>
          <t>IMETTE   GR.200       YMA</t>
        </is>
      </c>
      <c r="E390" s="67" t="inlineStr">
        <is>
          <t>contiene allergeni</t>
        </is>
      </c>
      <c r="F390" s="67">
        <f>CONCATENATE(D390,"  ",E390," - ",A390," n° fatt ",C390," - ",TEXT(B390,"gg/mm/aaaa"))</f>
        <v/>
      </c>
    </row>
    <row r="391" ht="31.5" customHeight="1" s="155">
      <c r="A391" s="111" t="inlineStr">
        <is>
          <t>G.I.A.L. GENERALE INGROSSO ALIMENTARE S.R.L.</t>
        </is>
      </c>
      <c r="B391" s="194" t="n">
        <v>45991</v>
      </c>
      <c r="C391" s="111" t="inlineStr">
        <is>
          <t>V1-43044</t>
        </is>
      </c>
      <c r="D391" s="111" t="inlineStr">
        <is>
          <t>BURRO  G.  8 PORZIONI YMA</t>
        </is>
      </c>
      <c r="E391" s="67" t="inlineStr">
        <is>
          <t>contiene allergeni</t>
        </is>
      </c>
      <c r="F391" s="67">
        <f>CONCATENATE(D391,"  ",E391," - ",A391," n° fatt ",C391," - ",TEXT(B391,"gg/mm/aaaa"))</f>
        <v/>
      </c>
    </row>
    <row r="392" ht="31.5" customHeight="1" s="155">
      <c r="A392" s="111" t="inlineStr">
        <is>
          <t>G.I.A.L. GENERALE INGROSSO ALIMENTARE S.R.L.</t>
        </is>
      </c>
      <c r="B392" s="194" t="n">
        <v>45991</v>
      </c>
      <c r="C392" s="111" t="inlineStr">
        <is>
          <t>V1-43044</t>
        </is>
      </c>
      <c r="D392" s="111" t="inlineStr">
        <is>
          <t>PANNA ML.200 CUCINA   YMA</t>
        </is>
      </c>
      <c r="E392" s="67" t="inlineStr">
        <is>
          <t>contiene allergeni</t>
        </is>
      </c>
      <c r="F392" s="67">
        <f>CONCATENATE(D392,"  ",E392," - ",A392," n° fatt ",C392," - ",TEXT(B392,"gg/mm/aaaa"))</f>
        <v/>
      </c>
    </row>
    <row r="393" ht="31.5" customHeight="1" s="155">
      <c r="A393" s="111" t="inlineStr">
        <is>
          <t>G.I.A.L. GENERALE INGROSSO ALIMENTARE S.R.L.</t>
        </is>
      </c>
      <c r="B393" s="194" t="n">
        <v>45991</v>
      </c>
      <c r="C393" s="111" t="inlineStr">
        <is>
          <t>V1-43044</t>
        </is>
      </c>
      <c r="D393" s="111" t="inlineStr">
        <is>
          <t>MASCARPONE G.250      YMA</t>
        </is>
      </c>
      <c r="E393" s="67" t="inlineStr">
        <is>
          <t>contiene allergeni</t>
        </is>
      </c>
      <c r="F393" s="67">
        <f>CONCATENATE(D393,"  ",E393," - ",A393," n° fatt ",C393," - ",TEXT(B393,"gg/mm/aaaa"))</f>
        <v/>
      </c>
    </row>
    <row r="394" ht="31.5" customHeight="1" s="155">
      <c r="A394" s="111" t="inlineStr">
        <is>
          <t>G.I.A.L. GENERALE INGROSSO ALIMENTARE S.R.L.</t>
        </is>
      </c>
      <c r="B394" s="194" t="n">
        <v>45991</v>
      </c>
      <c r="C394" s="111" t="inlineStr">
        <is>
          <t>V1-43044</t>
        </is>
      </c>
      <c r="D394" s="111" t="inlineStr">
        <is>
          <t>LATTE   1000 INT.UHT  YMA</t>
        </is>
      </c>
      <c r="E394" s="67" t="inlineStr">
        <is>
          <t>contiene allergeni</t>
        </is>
      </c>
      <c r="F394" s="67">
        <f>CONCATENATE(D394,"  ",E394," - ",A394," n° fatt ",C394," - ",TEXT(B394,"gg/mm/aaaa"))</f>
        <v/>
      </c>
    </row>
    <row r="395" ht="31.5" customHeight="1" s="155">
      <c r="A395" s="111" t="inlineStr">
        <is>
          <t>G.I.A.L. GENERALE INGROSSO ALIMENTARE S.R.L.</t>
        </is>
      </c>
      <c r="B395" s="194" t="n">
        <v>45991</v>
      </c>
      <c r="C395" s="111" t="inlineStr">
        <is>
          <t>V1-43044</t>
        </is>
      </c>
      <c r="D395" s="111" t="inlineStr">
        <is>
          <t>LATTE   1000 SCR.UHT  YMA</t>
        </is>
      </c>
      <c r="E395" s="67" t="inlineStr">
        <is>
          <t>contiene allergeni</t>
        </is>
      </c>
      <c r="F395" s="67">
        <f>CONCATENATE(D395,"  ",E395," - ",A395," n° fatt ",C395," - ",TEXT(B395,"gg/mm/aaaa"))</f>
        <v/>
      </c>
    </row>
    <row r="396" ht="31.5" customHeight="1" s="155">
      <c r="A396" s="111" t="inlineStr">
        <is>
          <t>G.I.A.L. GENERALE INGROSSO ALIMENTARE S.R.L.</t>
        </is>
      </c>
      <c r="B396" s="194" t="n">
        <v>45991</v>
      </c>
      <c r="C396" s="111" t="inlineStr">
        <is>
          <t>V1-43044</t>
        </is>
      </c>
      <c r="D396" s="111" t="inlineStr">
        <is>
          <t>SOYA CLASSIC LT.1 VALSOIA</t>
        </is>
      </c>
      <c r="E396" s="67" t="inlineStr">
        <is>
          <t>contiene allergeni</t>
        </is>
      </c>
      <c r="F396" s="67">
        <f>CONCATENATE(D396,"  ",E396," - ",A396," n° fatt ",C396," - ",TEXT(B396,"gg/mm/aaaa"))</f>
        <v/>
      </c>
    </row>
    <row r="397" ht="31.5" customHeight="1" s="155">
      <c r="A397" s="111" t="inlineStr">
        <is>
          <t>G.I.A.L. GENERALE INGROSSO ALIMENTARE S.R.L.</t>
        </is>
      </c>
      <c r="B397" s="194" t="n">
        <v>45991</v>
      </c>
      <c r="C397" s="111" t="inlineStr">
        <is>
          <t>V1-43044</t>
        </is>
      </c>
      <c r="D397" s="111" t="inlineStr">
        <is>
          <t>P.CRUDO S/O MEC   SENDERO</t>
        </is>
      </c>
      <c r="E397" s="67" t="inlineStr">
        <is>
          <t>non contiene allergeni</t>
        </is>
      </c>
      <c r="F397" s="67">
        <f>CONCATENATE(D397,"  ",E397," - ",A397," n° fatt ",C397," - ",TEXT(B397,"gg/mm/aaaa"))</f>
        <v/>
      </c>
    </row>
    <row r="398" ht="31.5" customHeight="1" s="155">
      <c r="A398" s="111" t="inlineStr">
        <is>
          <t>G.I.A.L. GENERALE INGROSSO ALIMENTARE S.R.L.</t>
        </is>
      </c>
      <c r="B398" s="194" t="n">
        <v>45991</v>
      </c>
      <c r="C398" s="111" t="inlineStr">
        <is>
          <t>V1-43044</t>
        </is>
      </c>
      <c r="D398" s="111" t="inlineStr">
        <is>
          <t>P.COTTO S/P.ROSSO SENDERO</t>
        </is>
      </c>
      <c r="E398" s="67" t="inlineStr">
        <is>
          <t>non contiene allergeni</t>
        </is>
      </c>
      <c r="F398" s="67">
        <f>CONCATENATE(D398,"  ",E398," - ",A398," n° fatt ",C398," - ",TEXT(B398,"gg/mm/aaaa"))</f>
        <v/>
      </c>
    </row>
    <row r="399" ht="31.5" customHeight="1" s="155">
      <c r="A399" s="111" t="inlineStr">
        <is>
          <t>G.I.A.L. GENERALE INGROSSO ALIMENTARE S.R.L.</t>
        </is>
      </c>
      <c r="B399" s="194" t="n">
        <v>45991</v>
      </c>
      <c r="C399" s="111" t="inlineStr">
        <is>
          <t>V1-43044</t>
        </is>
      </c>
      <c r="D399" s="111" t="inlineStr">
        <is>
          <t>WUDY CLAS.4XG.125 AIA</t>
        </is>
      </c>
      <c r="E399" s="67" t="inlineStr">
        <is>
          <t>non contiene allergeni</t>
        </is>
      </c>
      <c r="F399" s="67">
        <f>CONCATENATE(D399,"  ",E399," - ",A399," n° fatt ",C399," - ",TEXT(B399,"gg/mm/aaaa"))</f>
        <v/>
      </c>
    </row>
    <row r="400" ht="31.5" customHeight="1" s="155">
      <c r="A400" s="111" t="inlineStr">
        <is>
          <t>G.I.A.L. GENERALE INGROSSO ALIMENTARE S.R.L.</t>
        </is>
      </c>
      <c r="B400" s="194" t="n">
        <v>45991</v>
      </c>
      <c r="C400" s="111" t="inlineStr">
        <is>
          <t>V1-43044</t>
        </is>
      </c>
      <c r="D400" s="111" t="inlineStr">
        <is>
          <t>WUDY CLASS. G.300 AIA</t>
        </is>
      </c>
      <c r="E400" s="67" t="inlineStr">
        <is>
          <t>non contiene allergeni</t>
        </is>
      </c>
      <c r="F400" s="67">
        <f>CONCATENATE(D400,"  ",E400," - ",A400," n° fatt ",C400," - ",TEXT(B400,"gg/mm/aaaa"))</f>
        <v/>
      </c>
    </row>
    <row r="401" ht="31.5" customHeight="1" s="155">
      <c r="A401" s="111" t="inlineStr">
        <is>
          <t>G.I.A.L. GENERALE INGROSSO ALIMENTARE S.R.L.</t>
        </is>
      </c>
      <c r="B401" s="194" t="n">
        <v>45991</v>
      </c>
      <c r="C401" s="111" t="inlineStr">
        <is>
          <t>V1-43044</t>
        </is>
      </c>
      <c r="D401" s="111" t="inlineStr">
        <is>
          <t>F.NUTELLA K.3</t>
        </is>
      </c>
      <c r="E401" s="67" t="inlineStr">
        <is>
          <t>contiene allergeni</t>
        </is>
      </c>
      <c r="F401" s="67">
        <f>CONCATENATE(D401,"  ",E401," - ",A401," n° fatt ",C401," - ",TEXT(B401,"gg/mm/aaaa"))</f>
        <v/>
      </c>
    </row>
    <row r="402" ht="15.75" customHeight="1" s="155">
      <c r="A402" s="111" t="inlineStr">
        <is>
          <t>GARGIULO GIUSEPPE</t>
        </is>
      </c>
      <c r="B402" s="194" t="n">
        <v>45990</v>
      </c>
      <c r="C402" s="111" t="inlineStr">
        <is>
          <t>FPR 459/25</t>
        </is>
      </c>
      <c r="D402" s="111" t="inlineStr">
        <is>
          <t>RICOTTA OMOGENEIZZATA II 5KG</t>
        </is>
      </c>
      <c r="E402" s="67" t="inlineStr">
        <is>
          <t>contiene allergeni</t>
        </is>
      </c>
      <c r="F402" s="67">
        <f>CONCATENATE(D402,"  ",E402," - ",A402," n° fatt ",C402," - ",TEXT(B402,"gg/mm/aaaa"))</f>
        <v/>
      </c>
    </row>
    <row r="403" ht="15.75" customHeight="1" s="155">
      <c r="A403" s="111" t="inlineStr">
        <is>
          <t>GARGIULO GIUSEPPE</t>
        </is>
      </c>
      <c r="B403" s="194" t="n">
        <v>45990</v>
      </c>
      <c r="C403" s="111" t="inlineStr">
        <is>
          <t>FPR 459/25</t>
        </is>
      </c>
      <c r="D403" s="111" t="inlineStr">
        <is>
          <t>RICOTTA OMOGENEIZZATA II 5KG</t>
        </is>
      </c>
      <c r="E403" s="67" t="inlineStr">
        <is>
          <t>contiene allergeni</t>
        </is>
      </c>
      <c r="F403" s="67">
        <f>CONCATENATE(D403,"  ",E403," - ",A403," n° fatt ",C403," - ",TEXT(B403,"gg/mm/aaaa"))</f>
        <v/>
      </c>
    </row>
    <row r="404" ht="15.75" customHeight="1" s="155">
      <c r="A404" s="111" t="inlineStr">
        <is>
          <t>GARGIULO GIUSEPPE</t>
        </is>
      </c>
      <c r="B404" s="194" t="n">
        <v>45990</v>
      </c>
      <c r="C404" s="111" t="inlineStr">
        <is>
          <t>FPR 459/25</t>
        </is>
      </c>
      <c r="D404" s="111" t="inlineStr">
        <is>
          <t>RICOTTA FULVI INCART.</t>
        </is>
      </c>
      <c r="E404" s="67" t="inlineStr">
        <is>
          <t>contiene allergeni</t>
        </is>
      </c>
      <c r="F404" s="67">
        <f>CONCATENATE(D404,"  ",E404," - ",A404," n° fatt ",C404," - ",TEXT(B404,"gg/mm/aaaa"))</f>
        <v/>
      </c>
    </row>
    <row r="405" ht="15.75" customHeight="1" s="155">
      <c r="A405" s="111" t="inlineStr">
        <is>
          <t>GARGIULO GIUSEPPE</t>
        </is>
      </c>
      <c r="B405" s="194" t="n">
        <v>45990</v>
      </c>
      <c r="C405" s="111" t="inlineStr">
        <is>
          <t>FPR 459/25</t>
        </is>
      </c>
      <c r="D405" s="111" t="inlineStr">
        <is>
          <t>RICOTTA OMOGENEIZZATA II 5KG</t>
        </is>
      </c>
      <c r="E405" s="67" t="inlineStr">
        <is>
          <t>contiene allergeni</t>
        </is>
      </c>
      <c r="F405" s="67">
        <f>CONCATENATE(D405,"  ",E405," - ",A405," n° fatt ",C405," - ",TEXT(B405,"gg/mm/aaaa"))</f>
        <v/>
      </c>
    </row>
    <row r="406" ht="15.75" customHeight="1" s="155">
      <c r="A406" s="111" t="inlineStr">
        <is>
          <t>GARGIULO GIUSEPPE</t>
        </is>
      </c>
      <c r="B406" s="194" t="n">
        <v>45990</v>
      </c>
      <c r="C406" s="111" t="inlineStr">
        <is>
          <t>FPR 459/25</t>
        </is>
      </c>
      <c r="D406" s="111" t="inlineStr">
        <is>
          <t>RICOTTA FULVI INCART.</t>
        </is>
      </c>
      <c r="E406" s="67" t="inlineStr">
        <is>
          <t>contiene allergeni</t>
        </is>
      </c>
      <c r="F406" s="67">
        <f>CONCATENATE(D406,"  ",E406," - ",A406," n° fatt ",C406," - ",TEXT(B406,"gg/mm/aaaa"))</f>
        <v/>
      </c>
    </row>
    <row r="407" ht="15.75" customHeight="1" s="155">
      <c r="A407" s="111" t="inlineStr">
        <is>
          <t>GARGIULO GIUSEPPE</t>
        </is>
      </c>
      <c r="B407" s="194" t="n">
        <v>45990</v>
      </c>
      <c r="C407" s="111" t="inlineStr">
        <is>
          <t>FPR 459/25</t>
        </is>
      </c>
      <c r="D407" s="111" t="inlineStr">
        <is>
          <t>RICOTTA OMOGENEIZZATA II 5KG</t>
        </is>
      </c>
      <c r="E407" s="67" t="inlineStr">
        <is>
          <t>contiene allergeni</t>
        </is>
      </c>
      <c r="F407" s="67">
        <f>CONCATENATE(D407,"  ",E407," - ",A407," n° fatt ",C407," - ",TEXT(B407,"gg/mm/aaaa"))</f>
        <v/>
      </c>
    </row>
    <row r="408" ht="15.75" customHeight="1" s="155">
      <c r="A408" s="111" t="inlineStr">
        <is>
          <t>GARGIULO GIUSEPPE</t>
        </is>
      </c>
      <c r="B408" s="194" t="n">
        <v>45990</v>
      </c>
      <c r="C408" s="111" t="inlineStr">
        <is>
          <t>FPR 459/25</t>
        </is>
      </c>
      <c r="D408" s="111" t="inlineStr">
        <is>
          <t>RICOTTA FULVI INCART.</t>
        </is>
      </c>
      <c r="E408" s="67" t="inlineStr">
        <is>
          <t>contiene allergeni</t>
        </is>
      </c>
      <c r="F408" s="67">
        <f>CONCATENATE(D408,"  ",E408," - ",A408," n° fatt ",C408," - ",TEXT(B408,"gg/mm/aaaa"))</f>
        <v/>
      </c>
    </row>
    <row r="409" ht="31.5" customHeight="1" s="155">
      <c r="A409" s="111" t="inlineStr">
        <is>
          <t>Olive Miraglia s.r.l. 1890</t>
        </is>
      </c>
      <c r="B409" s="194" t="n">
        <v>45974</v>
      </c>
      <c r="C409" s="111" t="inlineStr">
        <is>
          <t>FPR 2451/25</t>
        </is>
      </c>
      <c r="D409" s="111" t="inlineStr">
        <is>
          <t>DENOCCIOLATE NERE KALAMON IN ACQUA E SALE PROVENIENZA GRECIA POLIGROS</t>
        </is>
      </c>
      <c r="E409" s="67" t="inlineStr">
        <is>
          <t>non contiene allergeni</t>
        </is>
      </c>
      <c r="F409" s="67">
        <f>CONCATENATE(D409,"  ",E409," - ",A409," n° fatt ",C409," - ",TEXT(B409,"gg/mm/aaaa"))</f>
        <v/>
      </c>
    </row>
    <row r="410" ht="31.5" customHeight="1" s="155">
      <c r="A410" s="111" t="inlineStr">
        <is>
          <t>Dolciaria Acquaviva S.p.A. sog. all'att. di dir. e coord. di Vandemoortele NV</t>
        </is>
      </c>
      <c r="B410" s="194" t="n">
        <v>45993</v>
      </c>
      <c r="C410" s="111" t="n">
        <v>921780</v>
      </c>
      <c r="D410" s="111" t="inlineStr">
        <is>
          <t>CIAMBELLA MAXI ZUCCHERATA G. 100</t>
        </is>
      </c>
      <c r="E410" s="67" t="inlineStr">
        <is>
          <t>contiene allergeni</t>
        </is>
      </c>
      <c r="F410" s="67">
        <f>CONCATENATE(D410,"  ",E410," - ",A410," n° fatt ",C410," - ",TEXT(B410,"gg/mm/aaaa"))</f>
        <v/>
      </c>
    </row>
    <row r="411" ht="31.5" customHeight="1" s="155">
      <c r="A411" s="111" t="inlineStr">
        <is>
          <t>Dolciaria Acquaviva S.p.A. sog. all'att. di dir. e coord. di Vandemoortele NV</t>
        </is>
      </c>
      <c r="B411" s="194" t="n">
        <v>45993</v>
      </c>
      <c r="C411" s="111" t="n">
        <v>921780</v>
      </c>
      <c r="D411" s="111" t="inlineStr">
        <is>
          <t>CODA D'ARAGOSTA MIG.GR.28/30</t>
        </is>
      </c>
      <c r="E411" s="67" t="inlineStr">
        <is>
          <t>contiene allergeni</t>
        </is>
      </c>
      <c r="F411" s="67">
        <f>CONCATENATE(D411,"  ",E411," - ",A411," n° fatt ",C411," - ",TEXT(B411,"gg/mm/aaaa"))</f>
        <v/>
      </c>
    </row>
    <row r="412" ht="15.75" customHeight="1" s="155">
      <c r="A412" s="111" t="inlineStr">
        <is>
          <t>GRANZUCCHERI SRL</t>
        </is>
      </c>
      <c r="B412" s="194" t="n">
        <v>45980</v>
      </c>
      <c r="C412" s="111" t="n">
        <v>1987</v>
      </c>
      <c r="D412" s="111" t="inlineStr">
        <is>
          <t>ZUCCHERO IN SACCHI 25 KG. SERA' FINO</t>
        </is>
      </c>
      <c r="E412" s="67" t="inlineStr">
        <is>
          <t>non contiene allergeni</t>
        </is>
      </c>
      <c r="F412" s="67">
        <f>CONCATENATE(D412,"  ",E412," - ",A412," n° fatt ",C412," - ",TEXT(B412,"gg/mm/aaaa"))</f>
        <v/>
      </c>
    </row>
    <row r="413" ht="15.75" customHeight="1" s="155">
      <c r="A413" s="111" t="inlineStr">
        <is>
          <t>GRANZUCCHERI SRL</t>
        </is>
      </c>
      <c r="B413" s="194" t="n">
        <v>45980</v>
      </c>
      <c r="C413" s="111" t="n">
        <v>1987</v>
      </c>
      <c r="D413" s="111" t="inlineStr">
        <is>
          <t>L.3172514A</t>
        </is>
      </c>
      <c r="E413" s="67" t="inlineStr">
        <is>
          <t>non contiene allergeni</t>
        </is>
      </c>
      <c r="F413" s="67">
        <f>CONCATENATE(D413,"  ",E413," - ",A413," n° fatt ",C413," - ",TEXT(B413,"gg/mm/aaaa"))</f>
        <v/>
      </c>
    </row>
    <row r="414" ht="15.75" customHeight="1" s="155">
      <c r="A414" s="111" t="inlineStr">
        <is>
          <t>GRANZUCCHERI SRL</t>
        </is>
      </c>
      <c r="B414" s="194" t="n">
        <v>45980</v>
      </c>
      <c r="C414" s="111" t="n">
        <v>1987</v>
      </c>
      <c r="D414" s="111" t="inlineStr">
        <is>
          <t>ZUCCHERO IN GRANELLA 10 KG.</t>
        </is>
      </c>
      <c r="E414" s="67" t="inlineStr">
        <is>
          <t>non contiene allergeni</t>
        </is>
      </c>
      <c r="F414" s="67">
        <f>CONCATENATE(D414,"  ",E414," - ",A414," n° fatt ",C414," - ",TEXT(B414,"gg/mm/aaaa"))</f>
        <v/>
      </c>
    </row>
    <row r="415" ht="15.75" customHeight="1" s="155">
      <c r="A415" s="111" t="inlineStr">
        <is>
          <t>GRANZUCCHERI SRL</t>
        </is>
      </c>
      <c r="B415" s="194" t="n">
        <v>45980</v>
      </c>
      <c r="C415" s="111" t="n">
        <v>1987</v>
      </c>
      <c r="D415" s="111" t="inlineStr">
        <is>
          <t>ZUCCHERO A VELO 5 KG.</t>
        </is>
      </c>
      <c r="E415" s="67" t="inlineStr">
        <is>
          <t>non contiene allergeni</t>
        </is>
      </c>
      <c r="F415" s="67">
        <f>CONCATENATE(D415,"  ",E415," - ",A415," n° fatt ",C415," - ",TEXT(B415,"gg/mm/aaaa"))</f>
        <v/>
      </c>
    </row>
    <row r="416" ht="15.75" customHeight="1" s="155">
      <c r="A416" s="111" t="inlineStr">
        <is>
          <t>GRANZUCCHERI SRL</t>
        </is>
      </c>
      <c r="B416" s="194" t="n">
        <v>45980</v>
      </c>
      <c r="C416" s="111" t="n">
        <v>1987</v>
      </c>
      <c r="D416" s="111" t="inlineStr">
        <is>
          <t>ZUCCHERO IN BUSTINE BAR 10 KG.</t>
        </is>
      </c>
      <c r="E416" s="67" t="inlineStr">
        <is>
          <t>non contiene allergeni</t>
        </is>
      </c>
      <c r="F416" s="67">
        <f>CONCATENATE(D416,"  ",E416," - ",A416," n° fatt ",C416," - ",TEXT(B416,"gg/mm/aaaa"))</f>
        <v/>
      </c>
    </row>
    <row r="417" ht="15.75" customHeight="1" s="155">
      <c r="A417" s="111" t="inlineStr">
        <is>
          <t>GRANZUCCHERI SRL</t>
        </is>
      </c>
      <c r="B417" s="194" t="n">
        <v>45980</v>
      </c>
      <c r="C417" s="111" t="n">
        <v>1987</v>
      </c>
      <c r="D417" s="111" t="inlineStr">
        <is>
          <t>ZUCCHERO IN BUSTINE BAR DI CANNA 5 KG.</t>
        </is>
      </c>
      <c r="E417" s="67" t="inlineStr">
        <is>
          <t>non contiene allergeni</t>
        </is>
      </c>
      <c r="F417" s="67">
        <f>CONCATENATE(D417,"  ",E417," - ",A417," n° fatt ",C417," - ",TEXT(B417,"gg/mm/aaaa"))</f>
        <v/>
      </c>
    </row>
    <row r="418" ht="15.75" customHeight="1" s="155">
      <c r="A418" s="111" t="inlineStr">
        <is>
          <t>GRANZUCCHERI SRL</t>
        </is>
      </c>
      <c r="B418" s="194" t="n">
        <v>45980</v>
      </c>
      <c r="C418" s="111" t="n">
        <v>1987</v>
      </c>
      <c r="D418" s="111" t="inlineStr">
        <is>
          <t>ZUCCHERO FONDENTE PURA CANNA 15 KG</t>
        </is>
      </c>
      <c r="E418" s="67" t="inlineStr">
        <is>
          <t>non contiene allergeni</t>
        </is>
      </c>
      <c r="F418" s="67">
        <f>CONCATENATE(D418,"  ",E418," - ",A418," n° fatt ",C418," - ",TEXT(B418,"gg/mm/aaaa"))</f>
        <v/>
      </c>
    </row>
    <row r="419" ht="15.75" customHeight="1" s="155">
      <c r="A419" s="111" t="inlineStr">
        <is>
          <t>GB FOOD SRL</t>
        </is>
      </c>
      <c r="B419" s="194" t="n">
        <v>45995</v>
      </c>
      <c r="C419" s="111" t="inlineStr">
        <is>
          <t>306/PZ</t>
        </is>
      </c>
      <c r="D419" s="111" t="inlineStr">
        <is>
          <t>ROSETTINE</t>
        </is>
      </c>
      <c r="E419" s="67" t="inlineStr">
        <is>
          <t>contiene allergeni</t>
        </is>
      </c>
      <c r="F419" s="67">
        <f>CONCATENATE(D419,"  ",E419," - ",A419," n° fatt ",C419," - ",TEXT(B419,"gg/mm/aaaa"))</f>
        <v/>
      </c>
    </row>
    <row r="420" ht="15.75" customHeight="1" s="155">
      <c r="A420" s="111" t="inlineStr">
        <is>
          <t>BIG FOOD SRL</t>
        </is>
      </c>
      <c r="B420" s="194" t="n">
        <v>45966</v>
      </c>
      <c r="C420" s="111" t="inlineStr">
        <is>
          <t>V1078689</t>
        </is>
      </c>
      <c r="D420" s="111" t="inlineStr">
        <is>
          <t>SARDANELLI MAREVIVO O.S. GR.80X3</t>
        </is>
      </c>
      <c r="E420" s="67" t="inlineStr">
        <is>
          <t>contiene allergeni</t>
        </is>
      </c>
      <c r="F420" s="67">
        <f>CONCATENATE(D420,"  ",E420," - ",A420," n° fatt ",C420," - ",TEXT(B420,"gg/mm/aaaa"))</f>
        <v/>
      </c>
    </row>
    <row r="421" ht="15.75" customHeight="1" s="155">
      <c r="A421" s="111" t="inlineStr">
        <is>
          <t>BIG FOOD SRL</t>
        </is>
      </c>
      <c r="B421" s="194" t="n">
        <v>45966</v>
      </c>
      <c r="C421" s="111" t="inlineStr">
        <is>
          <t>V1078689</t>
        </is>
      </c>
      <c r="D421" s="111" t="inlineStr">
        <is>
          <t>DIVELLA PASTA GR.500 62PATERNOSTI</t>
        </is>
      </c>
      <c r="E421" s="67" t="inlineStr">
        <is>
          <t>contiene allergeni</t>
        </is>
      </c>
      <c r="F421" s="67">
        <f>CONCATENATE(D421,"  ",E421," - ",A421," n° fatt ",C421," - ",TEXT(B421,"gg/mm/aaaa"))</f>
        <v/>
      </c>
    </row>
    <row r="422" ht="15.75" customHeight="1" s="155">
      <c r="A422" s="111" t="inlineStr">
        <is>
          <t>BIG FOOD SRL</t>
        </is>
      </c>
      <c r="B422" s="194" t="n">
        <v>45966</v>
      </c>
      <c r="C422" s="111" t="inlineStr">
        <is>
          <t>V1078689</t>
        </is>
      </c>
      <c r="D422" s="111" t="inlineStr">
        <is>
          <t>DIVELLA PASTA GR.500 41MISTA</t>
        </is>
      </c>
      <c r="E422" s="67" t="inlineStr">
        <is>
          <t>contiene allergeni</t>
        </is>
      </c>
      <c r="F422" s="67">
        <f>CONCATENATE(D422,"  ",E422," - ",A422," n° fatt ",C422," - ",TEXT(B422,"gg/mm/aaaa"))</f>
        <v/>
      </c>
    </row>
    <row r="423" ht="15.75" customHeight="1" s="155">
      <c r="A423" s="111" t="inlineStr">
        <is>
          <t>BIG FOOD SRL</t>
        </is>
      </c>
      <c r="B423" s="194" t="n">
        <v>45966</v>
      </c>
      <c r="C423" s="111" t="inlineStr">
        <is>
          <t>V1078689</t>
        </is>
      </c>
      <c r="D423" s="111" t="inlineStr">
        <is>
          <t>VITTORIA GR.250 LUPINI AL SALE</t>
        </is>
      </c>
      <c r="E423" s="67" t="inlineStr">
        <is>
          <t>contiene allergeni</t>
        </is>
      </c>
      <c r="F423" s="67">
        <f>CONCATENATE(D423,"  ",E423," - ",A423," n° fatt ",C423," - ",TEXT(B423,"gg/mm/aaaa"))</f>
        <v/>
      </c>
    </row>
    <row r="424" ht="15.75" customHeight="1" s="155">
      <c r="A424" s="111" t="inlineStr">
        <is>
          <t>BIG FOOD SRL</t>
        </is>
      </c>
      <c r="B424" s="194" t="n">
        <v>45966</v>
      </c>
      <c r="C424" s="111" t="inlineStr">
        <is>
          <t>V1078689</t>
        </is>
      </c>
      <c r="D424" s="111" t="inlineStr">
        <is>
          <t>RIGAMONTI BRES.VALTEL.ORO.IGP 1/2</t>
        </is>
      </c>
      <c r="E424" s="67" t="inlineStr">
        <is>
          <t>contiene allergeni</t>
        </is>
      </c>
      <c r="F424" s="67">
        <f>CONCATENATE(D424,"  ",E424," - ",A424," n° fatt ",C424," - ",TEXT(B424,"gg/mm/aaaa"))</f>
        <v/>
      </c>
    </row>
    <row r="425" ht="15.75" customHeight="1" s="155">
      <c r="A425" s="111" t="inlineStr">
        <is>
          <t>BIG FOOD SRL</t>
        </is>
      </c>
      <c r="B425" s="194" t="n">
        <v>45966</v>
      </c>
      <c r="C425" s="111" t="inlineStr">
        <is>
          <t>V1078689</t>
        </is>
      </c>
      <c r="D425" s="111" t="inlineStr">
        <is>
          <t>CURTIRISO KG.1 CARNAROLI</t>
        </is>
      </c>
      <c r="E425" s="67" t="inlineStr">
        <is>
          <t>non contiene allergeni</t>
        </is>
      </c>
      <c r="F425" s="67">
        <f>CONCATENATE(D425,"  ",E425," - ",A425," n° fatt ",C425," - ",TEXT(B425,"gg/mm/aaaa"))</f>
        <v/>
      </c>
    </row>
    <row r="426" ht="15.75" customHeight="1" s="155">
      <c r="A426" s="111" t="inlineStr">
        <is>
          <t>BIG FOOD SRL</t>
        </is>
      </c>
      <c r="B426" s="194" t="n">
        <v>45966</v>
      </c>
      <c r="C426" s="111" t="inlineStr">
        <is>
          <t>V1078689</t>
        </is>
      </c>
      <c r="D426" s="111" t="inlineStr">
        <is>
          <t>FIORUCCI MORTADELLA AROMA C.P.</t>
        </is>
      </c>
      <c r="E426" s="67" t="inlineStr">
        <is>
          <t>non contiene allergeni</t>
        </is>
      </c>
      <c r="F426" s="67">
        <f>CONCATENATE(D426,"  ",E426," - ",A426," n° fatt ",C426," - ",TEXT(B426,"gg/mm/aaaa"))</f>
        <v/>
      </c>
    </row>
    <row r="427" ht="15.75" customHeight="1" s="155">
      <c r="A427" s="111" t="inlineStr">
        <is>
          <t>BIG FOOD SRL</t>
        </is>
      </c>
      <c r="B427" s="194" t="n">
        <v>45966</v>
      </c>
      <c r="C427" s="111" t="inlineStr">
        <is>
          <t>V1078689</t>
        </is>
      </c>
      <c r="D427" s="111" t="inlineStr">
        <is>
          <t>PINSAMI PINSA CLASSICA GR.230</t>
        </is>
      </c>
      <c r="E427" s="67" t="inlineStr">
        <is>
          <t>contiene allergeni</t>
        </is>
      </c>
      <c r="F427" s="67">
        <f>CONCATENATE(D427,"  ",E427," - ",A427," n° fatt ",C427," - ",TEXT(B427,"gg/mm/aaaa"))</f>
        <v/>
      </c>
    </row>
    <row r="428" ht="15.75" customHeight="1" s="155">
      <c r="A428" s="111" t="inlineStr">
        <is>
          <t>BIG FOOD SRL</t>
        </is>
      </c>
      <c r="B428" s="194" t="n">
        <v>45966</v>
      </c>
      <c r="C428" s="111" t="inlineStr">
        <is>
          <t>V1078689</t>
        </is>
      </c>
      <c r="D428" s="111" t="inlineStr">
        <is>
          <t>PINSAMI PINSA CLASSICA GR.230</t>
        </is>
      </c>
      <c r="E428" s="67" t="inlineStr">
        <is>
          <t>contiene allergeni</t>
        </is>
      </c>
      <c r="F428" s="67">
        <f>CONCATENATE(D428,"  ",E428," - ",A428," n° fatt ",C428," - ",TEXT(B428,"gg/mm/aaaa"))</f>
        <v/>
      </c>
    </row>
    <row r="429" ht="15.75" customHeight="1" s="155">
      <c r="A429" s="111" t="inlineStr">
        <is>
          <t>BIG FOOD SRL</t>
        </is>
      </c>
      <c r="B429" s="194" t="n">
        <v>45966</v>
      </c>
      <c r="C429" s="111" t="inlineStr">
        <is>
          <t>V1078689</t>
        </is>
      </c>
      <c r="D429" s="111" t="inlineStr">
        <is>
          <t>VIT BOBINA X2 CASA&amp;LAVORO 800 PROF</t>
        </is>
      </c>
      <c r="E429" s="67" t="inlineStr">
        <is>
          <t>contiene allergeni</t>
        </is>
      </c>
      <c r="F429" s="67">
        <f>CONCATENATE(D429,"  ",E429," - ",A429," n° fatt ",C429," - ",TEXT(B429,"gg/mm/aaaa"))</f>
        <v/>
      </c>
    </row>
    <row r="430" ht="15.75" customHeight="1" s="155">
      <c r="A430" s="111" t="inlineStr">
        <is>
          <t>BIG FOOD SRL</t>
        </is>
      </c>
      <c r="B430" s="194" t="n">
        <v>45966</v>
      </c>
      <c r="C430" s="111" t="inlineStr">
        <is>
          <t>V1078689</t>
        </is>
      </c>
      <c r="D430" s="111" t="inlineStr">
        <is>
          <t>MOND.SOTTILETTE GR.400</t>
        </is>
      </c>
      <c r="E430" s="67" t="inlineStr">
        <is>
          <t>contiene allergeni</t>
        </is>
      </c>
      <c r="F430" s="67">
        <f>CONCATENATE(D430,"  ",E430," - ",A430," n° fatt ",C430," - ",TEXT(B430,"gg/mm/aaaa"))</f>
        <v/>
      </c>
    </row>
    <row r="431" ht="15.75" customHeight="1" s="155">
      <c r="A431" s="111" t="inlineStr">
        <is>
          <t>BIG FOOD SRL</t>
        </is>
      </c>
      <c r="B431" s="194" t="n">
        <v>45966</v>
      </c>
      <c r="C431" s="111" t="inlineStr">
        <is>
          <t>V1078689</t>
        </is>
      </c>
      <c r="D431" s="111" t="inlineStr">
        <is>
          <t>MORGANTE WURSTEL GR.100 MORGHÌ</t>
        </is>
      </c>
      <c r="E431" s="67" t="inlineStr">
        <is>
          <t>contiene allergeni</t>
        </is>
      </c>
      <c r="F431" s="67">
        <f>CONCATENATE(D431,"  ",E431," - ",A431," n° fatt ",C431," - ",TEXT(B431,"gg/mm/aaaa"))</f>
        <v/>
      </c>
    </row>
    <row r="432" ht="15.75" customHeight="1" s="155">
      <c r="A432" s="111" t="inlineStr">
        <is>
          <t>BIG FOOD SRL</t>
        </is>
      </c>
      <c r="B432" s="194" t="n">
        <v>45966</v>
      </c>
      <c r="C432" s="111" t="inlineStr">
        <is>
          <t>V1078689</t>
        </is>
      </c>
      <c r="D432" s="111" t="inlineStr">
        <is>
          <t>BONAZZA WURSTEL KG.1 GRIGLIA&amp;FAMIG</t>
        </is>
      </c>
      <c r="E432" s="67" t="inlineStr">
        <is>
          <t>contiene allergeni</t>
        </is>
      </c>
      <c r="F432" s="67">
        <f>CONCATENATE(D432,"  ",E432," - ",A432," n° fatt ",C432," - ",TEXT(B432,"gg/mm/aaaa"))</f>
        <v/>
      </c>
    </row>
    <row r="433" ht="15.75" customHeight="1" s="155">
      <c r="A433" s="111" t="inlineStr">
        <is>
          <t>BIG FOOD SRL</t>
        </is>
      </c>
      <c r="B433" s="194" t="n">
        <v>45966</v>
      </c>
      <c r="C433" s="111" t="inlineStr">
        <is>
          <t>V1078689</t>
        </is>
      </c>
      <c r="D433" s="111" t="inlineStr">
        <is>
          <t>MOND.SOTTILETTE GR.400</t>
        </is>
      </c>
      <c r="E433" s="64" t="inlineStr">
        <is>
          <t>contiene allergeni</t>
        </is>
      </c>
      <c r="F433" s="67">
        <f>CONCATENATE(D433,"  ",E433," - ",A433," n° fatt ",C433," - ",TEXT(B433,"gg/mm/aaaa"))</f>
        <v/>
      </c>
    </row>
    <row r="434" ht="15.75" customHeight="1" s="155">
      <c r="A434" s="111" t="inlineStr">
        <is>
          <t>BIG FOOD SRL</t>
        </is>
      </c>
      <c r="B434" s="194" t="n">
        <v>45967</v>
      </c>
      <c r="C434" s="111" t="inlineStr">
        <is>
          <t>V1079132</t>
        </is>
      </c>
      <c r="D434" s="111" t="inlineStr">
        <is>
          <t>DE CECCO PAS.GR.500 117MEZ.ZITA TA</t>
        </is>
      </c>
      <c r="E434" s="67" t="inlineStr">
        <is>
          <t>contiene allergeni</t>
        </is>
      </c>
      <c r="F434" s="67">
        <f>CONCATENATE(D434,"  ",E434," - ",A434," n° fatt ",C434," - ",TEXT(B434,"gg/mm/aaaa"))</f>
        <v/>
      </c>
    </row>
    <row r="435" ht="15.75" customHeight="1" s="155">
      <c r="A435" s="111" t="inlineStr">
        <is>
          <t>BIG FOOD SRL</t>
        </is>
      </c>
      <c r="B435" s="194" t="n">
        <v>45967</v>
      </c>
      <c r="C435" s="111" t="inlineStr">
        <is>
          <t>V1079132</t>
        </is>
      </c>
      <c r="D435" s="111" t="inlineStr">
        <is>
          <t>DE CECCO PAS.GR.500 120PASTA MISTA</t>
        </is>
      </c>
      <c r="E435" s="67" t="inlineStr">
        <is>
          <t>contiene allergeni</t>
        </is>
      </c>
      <c r="F435" s="67">
        <f>CONCATENATE(D435,"  ",E435," - ",A435," n° fatt ",C435," - ",TEXT(B435,"gg/mm/aaaa"))</f>
        <v/>
      </c>
    </row>
    <row r="436" ht="15.75" customHeight="1" s="155">
      <c r="A436" s="111" t="inlineStr">
        <is>
          <t>BIG FOOD SRL</t>
        </is>
      </c>
      <c r="B436" s="194" t="n">
        <v>45967</v>
      </c>
      <c r="C436" s="111" t="inlineStr">
        <is>
          <t>V1079132</t>
        </is>
      </c>
      <c r="D436" s="111" t="inlineStr">
        <is>
          <t>DE CECCO PAS.GR.500 170VERMICELLI</t>
        </is>
      </c>
      <c r="E436" s="67" t="inlineStr">
        <is>
          <t>contiene allergeni</t>
        </is>
      </c>
      <c r="F436" s="67">
        <f>CONCATENATE(D436,"  ",E436," - ",A436," n° fatt ",C436," - ",TEXT(B436,"gg/mm/aaaa"))</f>
        <v/>
      </c>
    </row>
    <row r="437" ht="15.75" customHeight="1" s="155">
      <c r="A437" s="111" t="inlineStr">
        <is>
          <t>BIG FOOD SRL</t>
        </is>
      </c>
      <c r="B437" s="194" t="n">
        <v>45967</v>
      </c>
      <c r="C437" s="111" t="inlineStr">
        <is>
          <t>V1079132</t>
        </is>
      </c>
      <c r="D437" s="111" t="inlineStr">
        <is>
          <t>DE CECCO PAS.GR.500 24RIGATONI</t>
        </is>
      </c>
      <c r="E437" s="67" t="inlineStr">
        <is>
          <t>contiene allergeni</t>
        </is>
      </c>
      <c r="F437" s="67">
        <f>CONCATENATE(D437,"  ",E437," - ",A437," n° fatt ",C437," - ",TEXT(B437,"gg/mm/aaaa"))</f>
        <v/>
      </c>
    </row>
    <row r="438" ht="15.75" customHeight="1" s="155">
      <c r="A438" s="111" t="inlineStr">
        <is>
          <t>BIG FOOD SRL</t>
        </is>
      </c>
      <c r="B438" s="194" t="n">
        <v>45967</v>
      </c>
      <c r="C438" s="111" t="inlineStr">
        <is>
          <t>V1079132</t>
        </is>
      </c>
      <c r="D438" s="111" t="inlineStr">
        <is>
          <t>SARDANELLI MAREVIVO O.S. GR.80X3</t>
        </is>
      </c>
      <c r="E438" s="67" t="inlineStr">
        <is>
          <t>contiene allergeni</t>
        </is>
      </c>
      <c r="F438" s="67">
        <f>CONCATENATE(D438,"  ",E438," - ",A438," n° fatt ",C438," - ",TEXT(B438,"gg/mm/aaaa"))</f>
        <v/>
      </c>
    </row>
    <row r="439" ht="15.75" customHeight="1" s="155">
      <c r="A439" s="111" t="inlineStr">
        <is>
          <t>BIG FOOD SRL</t>
        </is>
      </c>
      <c r="B439" s="194" t="n">
        <v>45967</v>
      </c>
      <c r="C439" s="111" t="inlineStr">
        <is>
          <t>V1079132</t>
        </is>
      </c>
      <c r="D439" s="111" t="inlineStr">
        <is>
          <t>HERO POKER MIELE DI FIORI GR.100</t>
        </is>
      </c>
      <c r="E439" s="67" t="inlineStr">
        <is>
          <t>contiene allergeni</t>
        </is>
      </c>
      <c r="F439" s="67">
        <f>CONCATENATE(D439,"  ",E439," - ",A439," n° fatt ",C439," - ",TEXT(B439,"gg/mm/aaaa"))</f>
        <v/>
      </c>
    </row>
    <row r="440" ht="15.75" customHeight="1" s="155">
      <c r="A440" s="111" t="inlineStr">
        <is>
          <t>BIG FOOD SRL</t>
        </is>
      </c>
      <c r="B440" s="194" t="n">
        <v>45967</v>
      </c>
      <c r="C440" s="111" t="inlineStr">
        <is>
          <t>V1079132</t>
        </is>
      </c>
      <c r="D440" s="111" t="inlineStr">
        <is>
          <t>AIA. WUDY GR.300 WURSTEL POLLO</t>
        </is>
      </c>
      <c r="E440" s="67" t="inlineStr">
        <is>
          <t>contiene allergeni</t>
        </is>
      </c>
      <c r="F440" s="67">
        <f>CONCATENATE(D440,"  ",E440," - ",A440," n° fatt ",C440," - ",TEXT(B440,"gg/mm/aaaa"))</f>
        <v/>
      </c>
    </row>
    <row r="441" ht="15.75" customHeight="1" s="155">
      <c r="A441" s="111" t="inlineStr">
        <is>
          <t>BIG FOOD SRL</t>
        </is>
      </c>
      <c r="B441" s="194" t="n">
        <v>45967</v>
      </c>
      <c r="C441" s="111" t="inlineStr">
        <is>
          <t>V1079132</t>
        </is>
      </c>
      <c r="D441" s="111" t="inlineStr">
        <is>
          <t>GEPI PORCHETTA ARROSTO AROM.STV KG</t>
        </is>
      </c>
      <c r="E441" s="67" t="inlineStr">
        <is>
          <t>non contiene allergeni</t>
        </is>
      </c>
      <c r="F441" s="67">
        <f>CONCATENATE(D441,"  ",E441," - ",A441," n° fatt ",C441," - ",TEXT(B441,"gg/mm/aaaa"))</f>
        <v/>
      </c>
    </row>
    <row r="442" ht="15.75" customHeight="1" s="155">
      <c r="A442" s="111" t="inlineStr">
        <is>
          <t>BIG FOOD SRL</t>
        </is>
      </c>
      <c r="B442" s="194" t="n">
        <v>45967</v>
      </c>
      <c r="C442" s="111" t="inlineStr">
        <is>
          <t>V1079132</t>
        </is>
      </c>
      <c r="D442" s="111" t="inlineStr">
        <is>
          <t>TULIP.BACON/PANCETTA AFFUM.KG.1</t>
        </is>
      </c>
      <c r="E442" s="67" t="inlineStr">
        <is>
          <t>non contiene allergeni</t>
        </is>
      </c>
      <c r="F442" s="67">
        <f>CONCATENATE(D442,"  ",E442," - ",A442," n° fatt ",C442," - ",TEXT(B442,"gg/mm/aaaa"))</f>
        <v/>
      </c>
    </row>
    <row r="443" ht="15.75" customHeight="1" s="155">
      <c r="A443" s="111" t="inlineStr">
        <is>
          <t>BIG FOOD SRL</t>
        </is>
      </c>
      <c r="B443" s="194" t="n">
        <v>45973</v>
      </c>
      <c r="C443" s="111" t="inlineStr">
        <is>
          <t>V1080647</t>
        </is>
      </c>
      <c r="D443" s="111" t="inlineStr">
        <is>
          <t>MILKA.TAV.GR.90 EXTRA COCOA</t>
        </is>
      </c>
      <c r="E443" s="67" t="inlineStr">
        <is>
          <t>contiene allergeni</t>
        </is>
      </c>
      <c r="F443" s="67">
        <f>CONCATENATE(D443,"  ",E443," - ",A443," n° fatt ",C443," - ",TEXT(B443,"gg/mm/aaaa"))</f>
        <v/>
      </c>
    </row>
    <row r="444" ht="15.75" customHeight="1" s="155">
      <c r="A444" s="111" t="inlineStr">
        <is>
          <t>BIG FOOD SRL</t>
        </is>
      </c>
      <c r="B444" s="194" t="n">
        <v>45973</v>
      </c>
      <c r="C444" s="111" t="inlineStr">
        <is>
          <t>V1080647</t>
        </is>
      </c>
      <c r="D444" s="111" t="inlineStr">
        <is>
          <t>RIO MARE TONNO O.OLIVA GR.65 X6</t>
        </is>
      </c>
      <c r="E444" s="67" t="inlineStr">
        <is>
          <t>contiene allergeni</t>
        </is>
      </c>
      <c r="F444" s="67">
        <f>CONCATENATE(D444,"  ",E444," - ",A444," n° fatt ",C444," - ",TEXT(B444,"gg/mm/aaaa"))</f>
        <v/>
      </c>
    </row>
    <row r="445" ht="15.75" customHeight="1" s="155">
      <c r="A445" s="111" t="inlineStr">
        <is>
          <t>BIG FOOD SRL</t>
        </is>
      </c>
      <c r="B445" s="194" t="n">
        <v>45973</v>
      </c>
      <c r="C445" s="111" t="inlineStr">
        <is>
          <t>V1080647</t>
        </is>
      </c>
      <c r="D445" s="111" t="inlineStr">
        <is>
          <t>BONTA'DIVINA TIRAMISU' 1' GR.450</t>
        </is>
      </c>
      <c r="E445" s="67" t="inlineStr">
        <is>
          <t>contiene allergeni</t>
        </is>
      </c>
      <c r="F445" s="67">
        <f>CONCATENATE(D445,"  ",E445," - ",A445," n° fatt ",C445," - ",TEXT(B445,"gg/mm/aaaa"))</f>
        <v/>
      </c>
    </row>
    <row r="446" ht="15.75" customHeight="1" s="155">
      <c r="A446" s="111" t="inlineStr">
        <is>
          <t>BIG FOOD SRL</t>
        </is>
      </c>
      <c r="B446" s="194" t="n">
        <v>45973</v>
      </c>
      <c r="C446" s="111" t="inlineStr">
        <is>
          <t>V1080647</t>
        </is>
      </c>
      <c r="D446" s="111" t="inlineStr">
        <is>
          <t>BONTA'DIVINA TIRAMISU' 1' GR.450</t>
        </is>
      </c>
      <c r="E446" s="67" t="inlineStr">
        <is>
          <t>contiene allergeni</t>
        </is>
      </c>
      <c r="F446" s="67">
        <f>CONCATENATE(D446,"  ",E446," - ",A446," n° fatt ",C446," - ",TEXT(B446,"gg/mm/aaaa"))</f>
        <v/>
      </c>
    </row>
    <row r="447" ht="15.75" customHeight="1" s="155">
      <c r="A447" s="111" t="inlineStr">
        <is>
          <t>BIG FOOD SRL</t>
        </is>
      </c>
      <c r="B447" s="194" t="n">
        <v>45973</v>
      </c>
      <c r="C447" s="111" t="inlineStr">
        <is>
          <t>V1080647</t>
        </is>
      </c>
      <c r="D447" s="111" t="inlineStr">
        <is>
          <t>LEONCINI CUBETTI P/COTTO GR.100</t>
        </is>
      </c>
      <c r="E447" s="67" t="inlineStr">
        <is>
          <t>contiene allergeni</t>
        </is>
      </c>
      <c r="F447" s="67">
        <f>CONCATENATE(D447,"  ",E447," - ",A447," n° fatt ",C447," - ",TEXT(B447,"gg/mm/aaaa"))</f>
        <v/>
      </c>
    </row>
    <row r="448" ht="15.75" customHeight="1" s="155">
      <c r="A448" s="111" t="inlineStr">
        <is>
          <t>BIG FOOD SRL</t>
        </is>
      </c>
      <c r="B448" s="194" t="n">
        <v>45973</v>
      </c>
      <c r="C448" s="111" t="inlineStr">
        <is>
          <t>V1080647</t>
        </is>
      </c>
      <c r="D448" s="111" t="inlineStr">
        <is>
          <t>PARMAREGGIO SNACK BOX KG.1 MITO</t>
        </is>
      </c>
      <c r="E448" s="67" t="inlineStr">
        <is>
          <t>contiene allergeni</t>
        </is>
      </c>
      <c r="F448" s="67">
        <f>CONCATENATE(D448,"  ",E448," - ",A448," n° fatt ",C448," - ",TEXT(B448,"gg/mm/aaaa"))</f>
        <v/>
      </c>
    </row>
    <row r="449" ht="15.75" customHeight="1" s="155">
      <c r="A449" s="111" t="inlineStr">
        <is>
          <t>BIG FOOD SRL</t>
        </is>
      </c>
      <c r="B449" s="194" t="n">
        <v>45982</v>
      </c>
      <c r="C449" s="111" t="inlineStr">
        <is>
          <t>V1083240</t>
        </is>
      </c>
      <c r="D449" s="111" t="inlineStr">
        <is>
          <t>AURICCHIO GIOVANE SALAMINI KG.</t>
        </is>
      </c>
      <c r="E449" s="67" t="inlineStr">
        <is>
          <t>contiene allergeni</t>
        </is>
      </c>
      <c r="F449" s="67">
        <f>CONCATENATE(D449,"  ",E449," - ",A449," n° fatt ",C449," - ",TEXT(B449,"gg/mm/aaaa"))</f>
        <v/>
      </c>
    </row>
    <row r="450" ht="15.75" customHeight="1" s="155">
      <c r="A450" s="111" t="inlineStr">
        <is>
          <t>BIG FOOD SRL</t>
        </is>
      </c>
      <c r="B450" s="194" t="n">
        <v>45982</v>
      </c>
      <c r="C450" s="111" t="inlineStr">
        <is>
          <t>V1083240</t>
        </is>
      </c>
      <c r="D450" s="111" t="inlineStr">
        <is>
          <t>SORESINA GRATT.GR.100 GRANAPADANO</t>
        </is>
      </c>
      <c r="E450" s="67" t="inlineStr">
        <is>
          <t>contiene allergeni</t>
        </is>
      </c>
      <c r="F450" s="67">
        <f>CONCATENATE(D450,"  ",E450," - ",A450," n° fatt ",C450," - ",TEXT(B450,"gg/mm/aaaa"))</f>
        <v/>
      </c>
    </row>
    <row r="451" ht="15.75" customHeight="1" s="155">
      <c r="A451" s="111" t="inlineStr">
        <is>
          <t>BIG FOOD SRL</t>
        </is>
      </c>
      <c r="B451" s="194" t="n">
        <v>45982</v>
      </c>
      <c r="C451" s="111" t="inlineStr">
        <is>
          <t>V1083240</t>
        </is>
      </c>
      <c r="D451" s="111" t="inlineStr">
        <is>
          <t>HALTA STRUTTO GR.250</t>
        </is>
      </c>
      <c r="E451" s="67" t="inlineStr">
        <is>
          <t>contiene allergeni</t>
        </is>
      </c>
      <c r="F451" s="67">
        <f>CONCATENATE(D451,"  ",E451," - ",A451," n° fatt ",C451," - ",TEXT(B451,"gg/mm/aaaa"))</f>
        <v/>
      </c>
    </row>
    <row r="452" ht="15.75" customHeight="1" s="155">
      <c r="A452" s="111" t="inlineStr">
        <is>
          <t>BIG FOOD SRL</t>
        </is>
      </c>
      <c r="B452" s="194" t="n">
        <v>45982</v>
      </c>
      <c r="C452" s="111" t="inlineStr">
        <is>
          <t>V1083240</t>
        </is>
      </c>
      <c r="D452" s="111" t="inlineStr">
        <is>
          <t>KINGS P/CRUDO SAN DANIELE S/O</t>
        </is>
      </c>
      <c r="E452" s="67" t="inlineStr">
        <is>
          <t>contiene allergeni</t>
        </is>
      </c>
      <c r="F452" s="67">
        <f>CONCATENATE(D452,"  ",E452," - ",A452," n° fatt ",C452," - ",TEXT(B452,"gg/mm/aaaa"))</f>
        <v/>
      </c>
    </row>
    <row r="453" ht="15.75" customHeight="1" s="155">
      <c r="A453" s="111" t="inlineStr">
        <is>
          <t>BIG FOOD SRL</t>
        </is>
      </c>
      <c r="B453" s="194" t="n">
        <v>45982</v>
      </c>
      <c r="C453" s="111" t="inlineStr">
        <is>
          <t>V1083240</t>
        </is>
      </c>
      <c r="D453" s="111" t="inlineStr">
        <is>
          <t>WELCOME FETTE GR.200</t>
        </is>
      </c>
      <c r="E453" s="67" t="inlineStr">
        <is>
          <t>contiene allergeni</t>
        </is>
      </c>
      <c r="F453" s="67">
        <f>CONCATENATE(D453,"  ",E453," - ",A453," n° fatt ",C453," - ",TEXT(B453,"gg/mm/aaaa"))</f>
        <v/>
      </c>
    </row>
    <row r="454" ht="15.75" customHeight="1" s="155">
      <c r="A454" s="111" t="inlineStr">
        <is>
          <t>BIG FOOD SRL</t>
        </is>
      </c>
      <c r="B454" s="194" t="n">
        <v>45982</v>
      </c>
      <c r="C454" s="111" t="inlineStr">
        <is>
          <t>V1083240</t>
        </is>
      </c>
      <c r="D454" s="111" t="inlineStr">
        <is>
          <t>LEONCINI CUBETTI P/COTTO GR.100</t>
        </is>
      </c>
      <c r="E454" s="67" t="inlineStr">
        <is>
          <t>contiene allergeni</t>
        </is>
      </c>
      <c r="F454" s="67">
        <f>CONCATENATE(D454,"  ",E454," - ",A454," n° fatt ",C454," - ",TEXT(B454,"gg/mm/aaaa"))</f>
        <v/>
      </c>
    </row>
    <row r="455" ht="15.75" customHeight="1" s="155">
      <c r="A455" s="111" t="inlineStr">
        <is>
          <t>BIG FOOD SRL</t>
        </is>
      </c>
      <c r="B455" s="194" t="n">
        <v>45982</v>
      </c>
      <c r="C455" s="111" t="inlineStr">
        <is>
          <t>V1083240</t>
        </is>
      </c>
      <c r="D455" s="111" t="inlineStr">
        <is>
          <t>PARMAREGGIO BURRO GR.100</t>
        </is>
      </c>
      <c r="E455" s="67" t="inlineStr">
        <is>
          <t>contiene allergeni</t>
        </is>
      </c>
      <c r="F455" s="67">
        <f>CONCATENATE(D455,"  ",E455," - ",A455," n° fatt ",C455," - ",TEXT(B455,"gg/mm/aaaa"))</f>
        <v/>
      </c>
    </row>
    <row r="456" ht="15.75" customHeight="1" s="155">
      <c r="A456" s="111" t="inlineStr">
        <is>
          <t>BIG FOOD SRL</t>
        </is>
      </c>
      <c r="B456" s="194" t="n">
        <v>45982</v>
      </c>
      <c r="C456" s="111" t="inlineStr">
        <is>
          <t>V1083240</t>
        </is>
      </c>
      <c r="D456" s="111" t="inlineStr">
        <is>
          <t>SORESINA BURRO MONODOSE GR.125</t>
        </is>
      </c>
      <c r="E456" s="67" t="inlineStr">
        <is>
          <t>contiene allergeni</t>
        </is>
      </c>
      <c r="F456" s="67">
        <f>CONCATENATE(D456,"  ",E456," - ",A456," n° fatt ",C456," - ",TEXT(B456,"gg/mm/aaaa"))</f>
        <v/>
      </c>
    </row>
    <row r="457" ht="15.75" customHeight="1" s="155">
      <c r="A457" s="111" t="inlineStr">
        <is>
          <t>BIG FOOD SRL</t>
        </is>
      </c>
      <c r="B457" s="194" t="n">
        <v>45982</v>
      </c>
      <c r="C457" s="111" t="inlineStr">
        <is>
          <t>V1083240</t>
        </is>
      </c>
      <c r="D457" s="111" t="inlineStr">
        <is>
          <t>SORESINA GRATT.GR.100 GRANAPADANO</t>
        </is>
      </c>
      <c r="E457" s="67" t="inlineStr">
        <is>
          <t>contiene allergeni</t>
        </is>
      </c>
      <c r="F457" s="67">
        <f>CONCATENATE(D457,"  ",E457," - ",A457," n° fatt ",C457," - ",TEXT(B457,"gg/mm/aaaa"))</f>
        <v/>
      </c>
    </row>
    <row r="458" ht="15.75" customHeight="1" s="155">
      <c r="A458" s="111" t="inlineStr">
        <is>
          <t>BIG FOOD SRL</t>
        </is>
      </c>
      <c r="B458" s="194" t="n">
        <v>45982</v>
      </c>
      <c r="C458" s="111" t="inlineStr">
        <is>
          <t>V1083240</t>
        </is>
      </c>
      <c r="D458" s="111" t="inlineStr">
        <is>
          <t>VALLEPIÙ PESTO FRESCO S/AGLIO GR.9</t>
        </is>
      </c>
      <c r="E458" s="67" t="inlineStr">
        <is>
          <t>contiene allergeni</t>
        </is>
      </c>
      <c r="F458" s="67">
        <f>CONCATENATE(D458,"  ",E458," - ",A458," n° fatt ",C458," - ",TEXT(B458,"gg/mm/aaaa"))</f>
        <v/>
      </c>
    </row>
    <row r="459" ht="15.75" customHeight="1" s="155">
      <c r="A459" s="111" t="inlineStr">
        <is>
          <t>BIG FOOD SRL</t>
        </is>
      </c>
      <c r="B459" s="194" t="n">
        <v>45982</v>
      </c>
      <c r="C459" s="111" t="inlineStr">
        <is>
          <t>V1083240</t>
        </is>
      </c>
      <c r="D459" s="111" t="inlineStr">
        <is>
          <t>LURPAK BURRO GR.200 CLASSICO S/SAL</t>
        </is>
      </c>
      <c r="E459" s="67" t="inlineStr">
        <is>
          <t>contiene allergeni</t>
        </is>
      </c>
      <c r="F459" s="67">
        <f>CONCATENATE(D459,"  ",E459," - ",A459," n° fatt ",C459," - ",TEXT(B459,"gg/mm/aaaa"))</f>
        <v/>
      </c>
    </row>
    <row r="460" ht="15.75" customHeight="1" s="155">
      <c r="A460" s="111" t="inlineStr">
        <is>
          <t>BIG FOOD SRL</t>
        </is>
      </c>
      <c r="B460" s="194" t="n">
        <v>45982</v>
      </c>
      <c r="C460" s="111" t="inlineStr">
        <is>
          <t>V1083240</t>
        </is>
      </c>
      <c r="D460" s="111" t="inlineStr">
        <is>
          <t>BELLA LODI FORM.ITAL.FORME 18 MESI</t>
        </is>
      </c>
      <c r="E460" s="67" t="inlineStr">
        <is>
          <t>contiene allergeni</t>
        </is>
      </c>
      <c r="F460" s="67">
        <f>CONCATENATE(D460,"  ",E460," - ",A460," n° fatt ",C460," - ",TEXT(B460,"gg/mm/aaaa"))</f>
        <v/>
      </c>
    </row>
    <row r="461" ht="15.75" customHeight="1" s="155">
      <c r="A461" s="111" t="inlineStr">
        <is>
          <t>BIG FOOD SRL</t>
        </is>
      </c>
      <c r="B461" s="194" t="n">
        <v>45982</v>
      </c>
      <c r="C461" s="111" t="inlineStr">
        <is>
          <t>V1083240</t>
        </is>
      </c>
      <c r="D461" s="111" t="inlineStr">
        <is>
          <t>PARMAREGGIO SNACK BOX KG.1 MITO</t>
        </is>
      </c>
      <c r="E461" s="67" t="inlineStr">
        <is>
          <t>contiene allergeni</t>
        </is>
      </c>
      <c r="F461" s="67">
        <f>CONCATENATE(D461,"  ",E461," - ",A461," n° fatt ",C461," - ",TEXT(B461,"gg/mm/aaaa"))</f>
        <v/>
      </c>
    </row>
    <row r="462" ht="15.75" customHeight="1" s="155">
      <c r="A462" s="111" t="inlineStr">
        <is>
          <t>BIG FOOD SRL</t>
        </is>
      </c>
      <c r="B462" s="194" t="n">
        <v>45982</v>
      </c>
      <c r="C462" s="111" t="inlineStr">
        <is>
          <t>V1083240</t>
        </is>
      </c>
      <c r="D462" s="111" t="inlineStr">
        <is>
          <t>PARMAREGGIO GRATT.GR.60 PAR/REG.</t>
        </is>
      </c>
      <c r="E462" s="67" t="inlineStr">
        <is>
          <t>contiene allergeni</t>
        </is>
      </c>
      <c r="F462" s="67">
        <f>CONCATENATE(D462,"  ",E462," - ",A462," n° fatt ",C462," - ",TEXT(B462,"gg/mm/aaaa"))</f>
        <v/>
      </c>
    </row>
    <row r="463" ht="15.75" customHeight="1" s="155">
      <c r="A463" s="111" t="inlineStr">
        <is>
          <t>BIG FOOD SRL</t>
        </is>
      </c>
      <c r="B463" s="194" t="n">
        <v>45982</v>
      </c>
      <c r="C463" s="111" t="inlineStr">
        <is>
          <t>V1083240</t>
        </is>
      </c>
      <c r="D463" s="111" t="inlineStr">
        <is>
          <t>PARMAREGGIO GRATT.GR.60 PAR/REG.</t>
        </is>
      </c>
      <c r="E463" s="67" t="inlineStr">
        <is>
          <t>contiene allergeni</t>
        </is>
      </c>
      <c r="F463" s="67">
        <f>CONCATENATE(D463,"  ",E463," - ",A463," n° fatt ",C463," - ",TEXT(B463,"gg/mm/aaaa"))</f>
        <v/>
      </c>
    </row>
    <row r="464" ht="15.75" customHeight="1" s="155">
      <c r="A464" s="111" t="inlineStr">
        <is>
          <t>BIG FOOD SRL</t>
        </is>
      </c>
      <c r="B464" s="194" t="n">
        <v>45982</v>
      </c>
      <c r="C464" s="111" t="inlineStr">
        <is>
          <t>V1083240</t>
        </is>
      </c>
      <c r="D464" s="111" t="inlineStr">
        <is>
          <t>MOND.SOTTILETTE GR.400</t>
        </is>
      </c>
      <c r="E464" s="67" t="inlineStr">
        <is>
          <t>contiene allergeni</t>
        </is>
      </c>
      <c r="F464" s="67">
        <f>CONCATENATE(D464,"  ",E464," - ",A464," n° fatt ",C464," - ",TEXT(B464,"gg/mm/aaaa"))</f>
        <v/>
      </c>
    </row>
    <row r="465" ht="15.75" customHeight="1" s="155">
      <c r="A465" s="111" t="inlineStr">
        <is>
          <t>BIG FOOD SRL</t>
        </is>
      </c>
      <c r="B465" s="194" t="n">
        <v>45982</v>
      </c>
      <c r="C465" s="111" t="inlineStr">
        <is>
          <t>V1083240</t>
        </is>
      </c>
      <c r="D465" s="111" t="inlineStr">
        <is>
          <t>MOND.SOTTILETTE GR.400</t>
        </is>
      </c>
      <c r="E465" s="67" t="inlineStr">
        <is>
          <t>contiene allergeni</t>
        </is>
      </c>
      <c r="F465" s="67">
        <f>CONCATENATE(D465,"  ",E465," - ",A465," n° fatt ",C465," - ",TEXT(B465,"gg/mm/aaaa"))</f>
        <v/>
      </c>
    </row>
    <row r="466" ht="15.75" customHeight="1" s="155">
      <c r="A466" s="111" t="inlineStr">
        <is>
          <t>BIG FOOD SRL</t>
        </is>
      </c>
      <c r="B466" s="194" t="n">
        <v>45982</v>
      </c>
      <c r="C466" s="111" t="inlineStr">
        <is>
          <t>V1083240</t>
        </is>
      </c>
      <c r="D466" s="111" t="inlineStr">
        <is>
          <t>MORGANTE WURSTEL GR.100 MORGHÌ</t>
        </is>
      </c>
      <c r="E466" s="67" t="inlineStr">
        <is>
          <t>contiene allergeni</t>
        </is>
      </c>
      <c r="F466" s="67">
        <f>CONCATENATE(D466,"  ",E466," - ",A466," n° fatt ",C466," - ",TEXT(B466,"gg/mm/aaaa"))</f>
        <v/>
      </c>
    </row>
    <row r="467" ht="15.75" customHeight="1" s="155">
      <c r="A467" s="111" t="inlineStr">
        <is>
          <t>BIG FOOD SRL</t>
        </is>
      </c>
      <c r="B467" s="194" t="n">
        <v>45982</v>
      </c>
      <c r="C467" s="111" t="inlineStr">
        <is>
          <t>V1083240</t>
        </is>
      </c>
      <c r="D467" s="111" t="inlineStr">
        <is>
          <t>BRUNELLI PECOR.STAG.RIS.TRAIANO KG</t>
        </is>
      </c>
      <c r="E467" s="67" t="inlineStr">
        <is>
          <t>contiene allergeni</t>
        </is>
      </c>
      <c r="F467" s="67">
        <f>CONCATENATE(D467,"  ",E467," - ",A467," n° fatt ",C467," - ",TEXT(B467,"gg/mm/aaaa"))</f>
        <v/>
      </c>
    </row>
    <row r="468" ht="15.75" customHeight="1" s="155">
      <c r="A468" s="111" t="inlineStr">
        <is>
          <t>BIG FOOD SRL</t>
        </is>
      </c>
      <c r="B468" s="194" t="n">
        <v>45982</v>
      </c>
      <c r="C468" s="111" t="inlineStr">
        <is>
          <t>V1083240</t>
        </is>
      </c>
      <c r="D468" s="111" t="inlineStr">
        <is>
          <t>NORITA SALMONE NORV.GR.100 BUSTA</t>
        </is>
      </c>
      <c r="E468" s="67" t="inlineStr">
        <is>
          <t>contiene allergeni</t>
        </is>
      </c>
      <c r="F468" s="67">
        <f>CONCATENATE(D468,"  ",E468," - ",A468," n° fatt ",C468," - ",TEXT(B468,"gg/mm/aaaa"))</f>
        <v/>
      </c>
    </row>
    <row r="469" ht="15.75" customHeight="1" s="155">
      <c r="A469" s="111" t="inlineStr">
        <is>
          <t>BIG FOOD SRL</t>
        </is>
      </c>
      <c r="B469" s="194" t="n">
        <v>45982</v>
      </c>
      <c r="C469" s="111" t="inlineStr">
        <is>
          <t>V1083240</t>
        </is>
      </c>
      <c r="D469" s="111" t="inlineStr">
        <is>
          <t>BIFFI GR.100 SALSA DI FICHI</t>
        </is>
      </c>
      <c r="E469" s="67" t="inlineStr">
        <is>
          <t>contiene allergeni</t>
        </is>
      </c>
      <c r="F469" s="67">
        <f>CONCATENATE(D469,"  ",E469," - ",A469," n° fatt ",C469," - ",TEXT(B469,"gg/mm/aaaa"))</f>
        <v/>
      </c>
    </row>
    <row r="470" ht="15.75" customHeight="1" s="155">
      <c r="A470" s="111" t="inlineStr">
        <is>
          <t>BIG FOOD SRL</t>
        </is>
      </c>
      <c r="B470" s="194" t="n">
        <v>45982</v>
      </c>
      <c r="C470" s="111" t="inlineStr">
        <is>
          <t>V1083240</t>
        </is>
      </c>
      <c r="D470" s="111" t="inlineStr">
        <is>
          <t>LIEVITAL LIEVITO GR.25 X20</t>
        </is>
      </c>
      <c r="E470" s="67" t="inlineStr">
        <is>
          <t>contiene allergeni</t>
        </is>
      </c>
      <c r="F470" s="67">
        <f>CONCATENATE(D470,"  ",E470," - ",A470," n° fatt ",C470," - ",TEXT(B470,"gg/mm/aaaa"))</f>
        <v/>
      </c>
    </row>
    <row r="471" ht="15.75" customHeight="1" s="155">
      <c r="A471" s="111" t="inlineStr">
        <is>
          <t>BIG FOOD SRL</t>
        </is>
      </c>
      <c r="B471" s="194" t="n">
        <v>45982</v>
      </c>
      <c r="C471" s="111" t="inlineStr">
        <is>
          <t>V1083240</t>
        </is>
      </c>
      <c r="D471" s="111" t="inlineStr">
        <is>
          <t>HERO POKER CONFET.GR.100 CILIEGIA</t>
        </is>
      </c>
      <c r="E471" s="67" t="inlineStr">
        <is>
          <t>contiene allergeni</t>
        </is>
      </c>
      <c r="F471" s="67">
        <f>CONCATENATE(D471,"  ",E471," - ",A471," n° fatt ",C471," - ",TEXT(B471,"gg/mm/aaaa"))</f>
        <v/>
      </c>
    </row>
    <row r="472" ht="15.75" customHeight="1" s="155">
      <c r="A472" s="111" t="inlineStr">
        <is>
          <t>BIG FOOD SRL</t>
        </is>
      </c>
      <c r="B472" s="194" t="n">
        <v>45982</v>
      </c>
      <c r="C472" s="111" t="inlineStr">
        <is>
          <t>V1083240</t>
        </is>
      </c>
      <c r="D472" s="111" t="inlineStr">
        <is>
          <t>HERO POKER CONFET.GR.100 FRUT.BOSC</t>
        </is>
      </c>
      <c r="E472" s="67" t="inlineStr">
        <is>
          <t>contiene allergeni</t>
        </is>
      </c>
      <c r="F472" s="67">
        <f>CONCATENATE(D472,"  ",E472," - ",A472," n° fatt ",C472," - ",TEXT(B472,"gg/mm/aaaa"))</f>
        <v/>
      </c>
    </row>
    <row r="473" ht="15.75" customHeight="1" s="155">
      <c r="A473" s="111" t="inlineStr">
        <is>
          <t>BIG FOOD SRL</t>
        </is>
      </c>
      <c r="B473" s="194" t="n">
        <v>45982</v>
      </c>
      <c r="C473" s="111" t="inlineStr">
        <is>
          <t>V1083240</t>
        </is>
      </c>
      <c r="D473" s="111" t="inlineStr">
        <is>
          <t>HERO POKER CONFET.GR.100 FRAGOLA</t>
        </is>
      </c>
      <c r="E473" s="67" t="inlineStr">
        <is>
          <t>contiene allergeni</t>
        </is>
      </c>
      <c r="F473" s="67">
        <f>CONCATENATE(D473,"  ",E473," - ",A473," n° fatt ",C473," - ",TEXT(B473,"gg/mm/aaaa"))</f>
        <v/>
      </c>
    </row>
    <row r="474" ht="15.75" customHeight="1" s="155">
      <c r="A474" s="111" t="inlineStr">
        <is>
          <t>BIG FOOD SRL</t>
        </is>
      </c>
      <c r="B474" s="194" t="n">
        <v>45982</v>
      </c>
      <c r="C474" s="111" t="inlineStr">
        <is>
          <t>V1083240</t>
        </is>
      </c>
      <c r="D474" s="111" t="inlineStr">
        <is>
          <t>COMARO MIELE M.FIORI GR250 SQUEEZE</t>
        </is>
      </c>
      <c r="E474" s="67" t="inlineStr">
        <is>
          <t>contiene allergeni</t>
        </is>
      </c>
      <c r="F474" s="67">
        <f>CONCATENATE(D474,"  ",E474," - ",A474," n° fatt ",C474," - ",TEXT(B474,"gg/mm/aaaa"))</f>
        <v/>
      </c>
    </row>
    <row r="475" ht="15.75" customHeight="1" s="155">
      <c r="A475" s="111" t="inlineStr">
        <is>
          <t>BIG FOOD SRL</t>
        </is>
      </c>
      <c r="B475" s="194" t="n">
        <v>45982</v>
      </c>
      <c r="C475" s="111" t="inlineStr">
        <is>
          <t>V1083240</t>
        </is>
      </c>
      <c r="D475" s="111" t="inlineStr">
        <is>
          <t>COATI SPIANATA PICCANTE 1/2 SV</t>
        </is>
      </c>
      <c r="E475" s="67" t="inlineStr">
        <is>
          <t>contiene allergeni</t>
        </is>
      </c>
      <c r="F475" s="67">
        <f>CONCATENATE(D475,"  ",E475," - ",A475," n° fatt ",C475," - ",TEXT(B475,"gg/mm/aaaa"))</f>
        <v/>
      </c>
    </row>
    <row r="476" ht="15.75" customHeight="1" s="155">
      <c r="A476" s="111" t="inlineStr">
        <is>
          <t>BIG FOOD SRL</t>
        </is>
      </c>
      <c r="B476" s="194" t="n">
        <v>45982</v>
      </c>
      <c r="C476" s="111" t="inlineStr">
        <is>
          <t>V1083240</t>
        </is>
      </c>
      <c r="D476" s="111" t="inlineStr">
        <is>
          <t>SOGNI D'ORO CAMOMILLA MELATONI.GR6</t>
        </is>
      </c>
      <c r="E476" s="67" t="inlineStr">
        <is>
          <t>contiene allergeni</t>
        </is>
      </c>
      <c r="F476" s="67">
        <f>CONCATENATE(D476,"  ",E476," - ",A476," n° fatt ",C476," - ",TEXT(B476,"gg/mm/aaaa"))</f>
        <v/>
      </c>
    </row>
    <row r="477" ht="15.75" customHeight="1" s="155">
      <c r="A477" s="111" t="inlineStr">
        <is>
          <t>BIG FOOD SRL</t>
        </is>
      </c>
      <c r="B477" s="194" t="n">
        <v>45982</v>
      </c>
      <c r="C477" s="111" t="inlineStr">
        <is>
          <t>V1083240</t>
        </is>
      </c>
      <c r="D477" s="111" t="inlineStr">
        <is>
          <t>DEL MONTE ANANAS NAT XL GR.820</t>
        </is>
      </c>
      <c r="E477" s="67" t="inlineStr">
        <is>
          <t>contiene allergeni</t>
        </is>
      </c>
      <c r="F477" s="67">
        <f>CONCATENATE(D477,"  ",E477," - ",A477," n° fatt ",C477," - ",TEXT(B477,"gg/mm/aaaa"))</f>
        <v/>
      </c>
    </row>
    <row r="478" ht="15.75" customHeight="1" s="155">
      <c r="A478" s="111" t="inlineStr">
        <is>
          <t>BIG FOOD SRL</t>
        </is>
      </c>
      <c r="B478" s="194" t="n">
        <v>45982</v>
      </c>
      <c r="C478" s="111" t="inlineStr">
        <is>
          <t>V1083240</t>
        </is>
      </c>
      <c r="D478" s="111" t="inlineStr">
        <is>
          <t>PEZZELLA MILLEFIORI GR.60 X35</t>
        </is>
      </c>
      <c r="E478" s="67" t="inlineStr">
        <is>
          <t>contiene allergeni</t>
        </is>
      </c>
      <c r="F478" s="67">
        <f>CONCATENATE(D478,"  ",E478," - ",A478," n° fatt ",C478," - ",TEXT(B478,"gg/mm/aaaa"))</f>
        <v/>
      </c>
    </row>
    <row r="479" ht="15.75" customHeight="1" s="155">
      <c r="A479" s="111" t="inlineStr">
        <is>
          <t>BIG FOOD SRL</t>
        </is>
      </c>
      <c r="B479" s="194" t="n">
        <v>45982</v>
      </c>
      <c r="C479" s="111" t="inlineStr">
        <is>
          <t>V1083240</t>
        </is>
      </c>
      <c r="D479" s="111" t="inlineStr">
        <is>
          <t>HEINZ KG.1 KETCHUP</t>
        </is>
      </c>
      <c r="E479" s="67" t="inlineStr">
        <is>
          <t>contiene allergeni</t>
        </is>
      </c>
      <c r="F479" s="67">
        <f>CONCATENATE(D479,"  ",E479," - ",A479," n° fatt ",C479," - ",TEXT(B479,"gg/mm/aaaa"))</f>
        <v/>
      </c>
    </row>
    <row r="480" ht="15.75" customHeight="1" s="155">
      <c r="A480" s="111" t="inlineStr">
        <is>
          <t>BIG FOOD SRL</t>
        </is>
      </c>
      <c r="B480" s="194" t="n">
        <v>45982</v>
      </c>
      <c r="C480" s="111" t="inlineStr">
        <is>
          <t>V1083240</t>
        </is>
      </c>
      <c r="D480" s="111" t="inlineStr">
        <is>
          <t>AMBROSOLI MIELE M.FIORI GR.250 VAS</t>
        </is>
      </c>
      <c r="E480" s="67" t="inlineStr">
        <is>
          <t>contiene allergeni</t>
        </is>
      </c>
      <c r="F480" s="67">
        <f>CONCATENATE(D480,"  ",E480," - ",A480," n° fatt ",C480," - ",TEXT(B480,"gg/mm/aaaa"))</f>
        <v/>
      </c>
    </row>
    <row r="481" ht="15.75" customHeight="1" s="155">
      <c r="A481" s="111" t="inlineStr">
        <is>
          <t>BIG FOOD SRL</t>
        </is>
      </c>
      <c r="B481" s="194" t="n">
        <v>45982</v>
      </c>
      <c r="C481" s="111" t="inlineStr">
        <is>
          <t>V1083240</t>
        </is>
      </c>
      <c r="D481" s="111" t="inlineStr">
        <is>
          <t>BERNI MELANZANE FILETTI GR.290</t>
        </is>
      </c>
      <c r="E481" s="67" t="inlineStr">
        <is>
          <t>contiene allergeni</t>
        </is>
      </c>
      <c r="F481" s="67">
        <f>CONCATENATE(D481,"  ",E481," - ",A481," n° fatt ",C481," - ",TEXT(B481,"gg/mm/aaaa"))</f>
        <v/>
      </c>
    </row>
    <row r="482" ht="15.75" customHeight="1" s="155">
      <c r="A482" s="111" t="inlineStr">
        <is>
          <t>BIG FOOD SRL</t>
        </is>
      </c>
      <c r="B482" s="194" t="n">
        <v>45982</v>
      </c>
      <c r="C482" s="111" t="inlineStr">
        <is>
          <t>V1083240</t>
        </is>
      </c>
      <c r="D482" s="111" t="inlineStr">
        <is>
          <t>DAMICO GR.300 GIARDINIERA</t>
        </is>
      </c>
      <c r="E482" s="67" t="inlineStr">
        <is>
          <t>contiene allergeni</t>
        </is>
      </c>
      <c r="F482" s="67">
        <f>CONCATENATE(D482,"  ",E482," - ",A482," n° fatt ",C482," - ",TEXT(B482,"gg/mm/aaaa"))</f>
        <v/>
      </c>
    </row>
    <row r="483" ht="15.75" customHeight="1" s="155">
      <c r="A483" s="111" t="inlineStr">
        <is>
          <t>BIG FOOD SRL</t>
        </is>
      </c>
      <c r="B483" s="194" t="n">
        <v>45982</v>
      </c>
      <c r="C483" s="111" t="inlineStr">
        <is>
          <t>V1083240</t>
        </is>
      </c>
      <c r="D483" s="111" t="inlineStr">
        <is>
          <t>MORATO AMERICAN SANDWICH GR.550</t>
        </is>
      </c>
      <c r="E483" s="67" t="inlineStr">
        <is>
          <t>contiene allergeni</t>
        </is>
      </c>
      <c r="F483" s="67">
        <f>CONCATENATE(D483,"  ",E483," - ",A483," n° fatt ",C483," - ",TEXT(B483,"gg/mm/aaaa"))</f>
        <v/>
      </c>
    </row>
    <row r="484" ht="15.75" customHeight="1" s="155">
      <c r="A484" s="111" t="inlineStr">
        <is>
          <t>BIG FOOD SRL</t>
        </is>
      </c>
      <c r="B484" s="194" t="n">
        <v>45982</v>
      </c>
      <c r="C484" s="111" t="inlineStr">
        <is>
          <t>V1083240</t>
        </is>
      </c>
      <c r="D484" s="111" t="inlineStr">
        <is>
          <t>ROBERTO GRAN PIADA GR.330 INTEGRAL</t>
        </is>
      </c>
      <c r="E484" s="67" t="inlineStr">
        <is>
          <t>contiene allergeni</t>
        </is>
      </c>
      <c r="F484" s="67">
        <f>CONCATENATE(D484,"  ",E484," - ",A484," n° fatt ",C484," - ",TEXT(B484,"gg/mm/aaaa"))</f>
        <v/>
      </c>
    </row>
    <row r="485" ht="15.75" customHeight="1" s="155">
      <c r="A485" s="111" t="inlineStr">
        <is>
          <t>BIG FOOD SRL</t>
        </is>
      </c>
      <c r="B485" s="194" t="n">
        <v>45982</v>
      </c>
      <c r="C485" s="111" t="inlineStr">
        <is>
          <t>V1083240</t>
        </is>
      </c>
      <c r="D485" s="111" t="inlineStr">
        <is>
          <t>GRANAROLO BEVANDA LT.1 DI SOIA UHT</t>
        </is>
      </c>
      <c r="E485" s="67" t="inlineStr">
        <is>
          <t>contiene allergeni</t>
        </is>
      </c>
      <c r="F485" s="67">
        <f>CONCATENATE(D485,"  ",E485," - ",A485," n° fatt ",C485," - ",TEXT(B485,"gg/mm/aaaa"))</f>
        <v/>
      </c>
    </row>
    <row r="486" ht="15.75" customHeight="1" s="155">
      <c r="A486" s="111" t="inlineStr">
        <is>
          <t>BIG FOOD SRL</t>
        </is>
      </c>
      <c r="B486" s="194" t="n">
        <v>45982</v>
      </c>
      <c r="C486" s="111" t="inlineStr">
        <is>
          <t>V1083240</t>
        </is>
      </c>
      <c r="D486" s="111" t="inlineStr">
        <is>
          <t>HEINZ GR.855 MAIONESE</t>
        </is>
      </c>
      <c r="E486" s="67" t="inlineStr">
        <is>
          <t>contiene allergeni</t>
        </is>
      </c>
      <c r="F486" s="67">
        <f>CONCATENATE(D486,"  ",E486," - ",A486," n° fatt ",C486," - ",TEXT(B486,"gg/mm/aaaa"))</f>
        <v/>
      </c>
    </row>
    <row r="487" ht="15.75" customHeight="1" s="155">
      <c r="A487" s="111" t="inlineStr">
        <is>
          <t>BIG FOOD SRL</t>
        </is>
      </c>
      <c r="B487" s="194" t="n">
        <v>45982</v>
      </c>
      <c r="C487" s="111" t="inlineStr">
        <is>
          <t>V1083042</t>
        </is>
      </c>
      <c r="D487" s="111" t="inlineStr">
        <is>
          <t>BARILLA PAS.BRO.GR.500 FUSILLI</t>
        </is>
      </c>
      <c r="E487" s="67" t="inlineStr">
        <is>
          <t>contiene allergeni</t>
        </is>
      </c>
      <c r="F487" s="67">
        <f>CONCATENATE(D487,"  ",E487," - ",A487," n° fatt ",C487," - ",TEXT(B487,"gg/mm/aaaa"))</f>
        <v/>
      </c>
    </row>
    <row r="488" ht="15.75" customHeight="1" s="155">
      <c r="A488" s="111" t="inlineStr">
        <is>
          <t>BIG FOOD SRL</t>
        </is>
      </c>
      <c r="B488" s="194" t="n">
        <v>45982</v>
      </c>
      <c r="C488" s="111" t="inlineStr">
        <is>
          <t>V1083042</t>
        </is>
      </c>
      <c r="D488" s="111" t="inlineStr">
        <is>
          <t>BARILLA PAS.BRO.GR.500 PENNE RIGAT</t>
        </is>
      </c>
      <c r="E488" s="67" t="inlineStr">
        <is>
          <t>contiene allergeni</t>
        </is>
      </c>
      <c r="F488" s="67">
        <f>CONCATENATE(D488,"  ",E488," - ",A488," n° fatt ",C488," - ",TEXT(B488,"gg/mm/aaaa"))</f>
        <v/>
      </c>
    </row>
    <row r="489" ht="15.75" customHeight="1" s="155">
      <c r="A489" s="111" t="inlineStr">
        <is>
          <t>BIG FOOD SRL</t>
        </is>
      </c>
      <c r="B489" s="194" t="n">
        <v>45982</v>
      </c>
      <c r="C489" s="111" t="inlineStr">
        <is>
          <t>V1083042</t>
        </is>
      </c>
      <c r="D489" s="111" t="inlineStr">
        <is>
          <t>BARILLA PESTO GR.190 GENOVESE S.AG</t>
        </is>
      </c>
      <c r="E489" s="67" t="inlineStr">
        <is>
          <t>contiene allergeni</t>
        </is>
      </c>
      <c r="F489" s="67">
        <f>CONCATENATE(D489,"  ",E489," - ",A489," n° fatt ",C489," - ",TEXT(B489,"gg/mm/aaaa"))</f>
        <v/>
      </c>
    </row>
    <row r="490" ht="15.75" customHeight="1" s="155">
      <c r="A490" s="111" t="inlineStr">
        <is>
          <t>BIG FOOD SRL</t>
        </is>
      </c>
      <c r="B490" s="194" t="n">
        <v>45982</v>
      </c>
      <c r="C490" s="111" t="inlineStr">
        <is>
          <t>V1083042</t>
        </is>
      </c>
      <c r="D490" s="111" t="inlineStr">
        <is>
          <t>MOLINARI SAMBUCA EXTRA CL.70</t>
        </is>
      </c>
      <c r="E490" s="67" t="inlineStr">
        <is>
          <t>contiene allergeni</t>
        </is>
      </c>
      <c r="F490" s="67">
        <f>CONCATENATE(D490,"  ",E490," - ",A490," n° fatt ",C490," - ",TEXT(B490,"gg/mm/aaaa"))</f>
        <v/>
      </c>
    </row>
    <row r="491" ht="15.75" customHeight="1" s="155">
      <c r="A491" s="111" t="inlineStr">
        <is>
          <t>BIG FOOD SRL</t>
        </is>
      </c>
      <c r="B491" s="194" t="n">
        <v>45982</v>
      </c>
      <c r="C491" s="111" t="inlineStr">
        <is>
          <t>V1083042</t>
        </is>
      </c>
      <c r="D491" s="111" t="inlineStr">
        <is>
          <t>CHEF PANNA DA CUCINA ML.200</t>
        </is>
      </c>
      <c r="E491" s="67" t="inlineStr">
        <is>
          <t>contiene allergeni</t>
        </is>
      </c>
      <c r="F491" s="67">
        <f>CONCATENATE(D491,"  ",E491," - ",A491," n° fatt ",C491," - ",TEXT(B491,"gg/mm/aaaa"))</f>
        <v/>
      </c>
    </row>
    <row r="492" ht="15.75" customHeight="1" s="155">
      <c r="A492" s="111" t="inlineStr">
        <is>
          <t>BIG FOOD SRL</t>
        </is>
      </c>
      <c r="B492" s="194" t="n">
        <v>45982</v>
      </c>
      <c r="C492" s="111" t="inlineStr">
        <is>
          <t>V1083042</t>
        </is>
      </c>
      <c r="D492" s="111" t="inlineStr">
        <is>
          <t>FIORUCCI P/COTTO VELLUTATO</t>
        </is>
      </c>
      <c r="E492" s="67" t="inlineStr">
        <is>
          <t>contiene allergeni</t>
        </is>
      </c>
      <c r="F492" s="67">
        <f>CONCATENATE(D492,"  ",E492," - ",A492," n° fatt ",C492," - ",TEXT(B492,"gg/mm/aaaa"))</f>
        <v/>
      </c>
    </row>
    <row r="493" ht="15.75" customHeight="1" s="155">
      <c r="A493" s="111" t="inlineStr">
        <is>
          <t>BIG FOOD SRL</t>
        </is>
      </c>
      <c r="B493" s="194" t="n">
        <v>45982</v>
      </c>
      <c r="C493" s="111" t="inlineStr">
        <is>
          <t>V1083042</t>
        </is>
      </c>
      <c r="D493" s="111" t="inlineStr">
        <is>
          <t>PARMAREGGIO SNACK GR.100</t>
        </is>
      </c>
      <c r="E493" s="67" t="inlineStr">
        <is>
          <t>contiene allergeni</t>
        </is>
      </c>
      <c r="F493" s="67">
        <f>CONCATENATE(D493,"  ",E493," - ",A493," n° fatt ",C493," - ",TEXT(B493,"gg/mm/aaaa"))</f>
        <v/>
      </c>
    </row>
    <row r="494" ht="15.75" customHeight="1" s="155">
      <c r="A494" s="111" t="inlineStr">
        <is>
          <t>BIG FOOD SRL</t>
        </is>
      </c>
      <c r="B494" s="194" t="n">
        <v>45982</v>
      </c>
      <c r="C494" s="111" t="inlineStr">
        <is>
          <t>V1083042</t>
        </is>
      </c>
      <c r="D494" s="111" t="inlineStr">
        <is>
          <t>SENFTER SPECK MONTAGNA 1/2 STV KG.</t>
        </is>
      </c>
      <c r="E494" s="67" t="inlineStr">
        <is>
          <t>contiene allergeni</t>
        </is>
      </c>
      <c r="F494" s="67">
        <f>CONCATENATE(D494,"  ",E494," - ",A494," n° fatt ",C494," - ",TEXT(B494,"gg/mm/aaaa"))</f>
        <v/>
      </c>
    </row>
    <row r="495" ht="15.75" customHeight="1" s="155">
      <c r="A495" s="111" t="inlineStr">
        <is>
          <t>BIG FOOD SRL</t>
        </is>
      </c>
      <c r="B495" s="194" t="n">
        <v>45982</v>
      </c>
      <c r="C495" s="111" t="inlineStr">
        <is>
          <t>V1083042</t>
        </is>
      </c>
      <c r="D495" s="111" t="inlineStr">
        <is>
          <t>WELCOME FETTE GR.800</t>
        </is>
      </c>
      <c r="E495" s="67" t="inlineStr">
        <is>
          <t>contiene allergeni</t>
        </is>
      </c>
      <c r="F495" s="67">
        <f>CONCATENATE(D495,"  ",E495," - ",A495," n° fatt ",C495," - ",TEXT(B495,"gg/mm/aaaa"))</f>
        <v/>
      </c>
    </row>
    <row r="496" ht="15.75" customHeight="1" s="155">
      <c r="A496" s="111" t="inlineStr">
        <is>
          <t>BIG FOOD SRL</t>
        </is>
      </c>
      <c r="B496" s="194" t="n">
        <v>45989</v>
      </c>
      <c r="C496" s="111" t="inlineStr">
        <is>
          <t>V1084992</t>
        </is>
      </c>
      <c r="D496" s="111" t="inlineStr">
        <is>
          <t>DIVELLA REGIONALI GR500 85FARFALLE</t>
        </is>
      </c>
      <c r="E496" s="67" t="inlineStr">
        <is>
          <t>contiene allergeni</t>
        </is>
      </c>
      <c r="F496" s="67">
        <f>CONCATENATE(D496,"  ",E496," - ",A496," n° fatt ",C496," - ",TEXT(B496,"gg/mm/aaaa"))</f>
        <v/>
      </c>
    </row>
    <row r="497" ht="15.75" customHeight="1" s="155">
      <c r="A497" s="111" t="inlineStr">
        <is>
          <t>BIG FOOD SRL</t>
        </is>
      </c>
      <c r="B497" s="194" t="n">
        <v>45989</v>
      </c>
      <c r="C497" s="111" t="inlineStr">
        <is>
          <t>V1084992</t>
        </is>
      </c>
      <c r="D497" s="111" t="inlineStr">
        <is>
          <t>DIVELLA REGIONALI GR500 88FIOCCHET</t>
        </is>
      </c>
      <c r="E497" s="67" t="inlineStr">
        <is>
          <t>contiene allergeni</t>
        </is>
      </c>
      <c r="F497" s="67">
        <f>CONCATENATE(D497,"  ",E497," - ",A497," n° fatt ",C497," - ",TEXT(B497,"gg/mm/aaaa"))</f>
        <v/>
      </c>
    </row>
    <row r="498" ht="15.75" customHeight="1" s="155">
      <c r="A498" s="111" t="inlineStr">
        <is>
          <t>BIG FOOD SRL</t>
        </is>
      </c>
      <c r="B498" s="194" t="n">
        <v>45989</v>
      </c>
      <c r="C498" s="111" t="inlineStr">
        <is>
          <t>V1084992</t>
        </is>
      </c>
      <c r="D498" s="111" t="inlineStr">
        <is>
          <t>RUMMO PAS.CLAS.GR.500 23ANELLI SIC</t>
        </is>
      </c>
      <c r="E498" s="67" t="inlineStr">
        <is>
          <t>contiene allergeni</t>
        </is>
      </c>
      <c r="F498" s="67">
        <f>CONCATENATE(D498,"  ",E498," - ",A498," n° fatt ",C498," - ",TEXT(B498,"gg/mm/aaaa"))</f>
        <v/>
      </c>
    </row>
    <row r="499" ht="15.75" customHeight="1" s="155">
      <c r="A499" s="111" t="inlineStr">
        <is>
          <t>BIG FOOD SRL</t>
        </is>
      </c>
      <c r="B499" s="194" t="n">
        <v>45989</v>
      </c>
      <c r="C499" s="111" t="inlineStr">
        <is>
          <t>V1084992</t>
        </is>
      </c>
      <c r="D499" s="111" t="inlineStr">
        <is>
          <t>GRANCUCINA PANNA ML.200</t>
        </is>
      </c>
      <c r="E499" s="67" t="inlineStr">
        <is>
          <t>contiene allergeni</t>
        </is>
      </c>
      <c r="F499" s="67">
        <f>CONCATENATE(D499,"  ",E499," - ",A499," n° fatt ",C499," - ",TEXT(B499,"gg/mm/aaaa"))</f>
        <v/>
      </c>
    </row>
    <row r="500" ht="15.75" customHeight="1" s="155">
      <c r="A500" s="111" t="inlineStr">
        <is>
          <t>BIG FOOD SRL</t>
        </is>
      </c>
      <c r="B500" s="194" t="n">
        <v>45989</v>
      </c>
      <c r="C500" s="111" t="inlineStr">
        <is>
          <t>V1084992</t>
        </is>
      </c>
      <c r="D500" s="111" t="inlineStr">
        <is>
          <t>DE CECCO PAS.GR.500 2MAFALDINE</t>
        </is>
      </c>
      <c r="E500" s="67" t="inlineStr">
        <is>
          <t>contiene allergeni</t>
        </is>
      </c>
      <c r="F500" s="67">
        <f>CONCATENATE(D500,"  ",E500," - ",A500," n° fatt ",C500," - ",TEXT(B500,"gg/mm/aaaa"))</f>
        <v/>
      </c>
    </row>
    <row r="501" ht="15.75" customHeight="1" s="155">
      <c r="A501" s="111" t="inlineStr">
        <is>
          <t>BIG FOOD SRL</t>
        </is>
      </c>
      <c r="B501" s="194" t="n">
        <v>45989</v>
      </c>
      <c r="C501" s="111" t="inlineStr">
        <is>
          <t>V1084992</t>
        </is>
      </c>
      <c r="D501" s="111" t="inlineStr">
        <is>
          <t>RUMMO PAS.SPEC.GR.500 111PACCHERI</t>
        </is>
      </c>
      <c r="E501" s="67" t="inlineStr">
        <is>
          <t>contiene allergeni</t>
        </is>
      </c>
      <c r="F501" s="67">
        <f>CONCATENATE(D501,"  ",E501," - ",A501," n° fatt ",C501," - ",TEXT(B501,"gg/mm/aaaa"))</f>
        <v/>
      </c>
    </row>
    <row r="502" ht="15.75" customHeight="1" s="155">
      <c r="A502" s="111" t="inlineStr">
        <is>
          <t>BIG FOOD SRL</t>
        </is>
      </c>
      <c r="B502" s="194" t="n">
        <v>45989</v>
      </c>
      <c r="C502" s="111" t="inlineStr">
        <is>
          <t>V1084992</t>
        </is>
      </c>
      <c r="D502" s="111" t="inlineStr">
        <is>
          <t>CURTIRISO KG.1 CARNAROLI</t>
        </is>
      </c>
      <c r="E502" s="67" t="inlineStr">
        <is>
          <t>contiene allergeni</t>
        </is>
      </c>
      <c r="F502" s="67">
        <f>CONCATENATE(D502,"  ",E502," - ",A502," n° fatt ",C502," - ",TEXT(B502,"gg/mm/aaaa"))</f>
        <v/>
      </c>
    </row>
    <row r="503" ht="15.75" customHeight="1" s="155">
      <c r="A503" s="111" t="inlineStr">
        <is>
          <t>BIG FOOD SRL</t>
        </is>
      </c>
      <c r="B503" s="194" t="n">
        <v>45989</v>
      </c>
      <c r="C503" s="111" t="inlineStr">
        <is>
          <t>V1084992</t>
        </is>
      </c>
      <c r="D503" s="111" t="inlineStr">
        <is>
          <t>DEL MONTE ANANAS NAT XL GR.820</t>
        </is>
      </c>
      <c r="E503" s="67" t="inlineStr">
        <is>
          <t>contiene allergeni</t>
        </is>
      </c>
      <c r="F503" s="67">
        <f>CONCATENATE(D503,"  ",E503," - ",A503," n° fatt ",C503," - ",TEXT(B503,"gg/mm/aaaa"))</f>
        <v/>
      </c>
    </row>
    <row r="504" ht="15.75" customHeight="1" s="155">
      <c r="A504" s="111" t="inlineStr">
        <is>
          <t>BIG FOOD SRL</t>
        </is>
      </c>
      <c r="B504" s="194" t="n">
        <v>45989</v>
      </c>
      <c r="C504" s="111" t="inlineStr">
        <is>
          <t>V1084992</t>
        </is>
      </c>
      <c r="D504" s="111" t="inlineStr">
        <is>
          <t>DANTE LT.1 OLIO CONDISANO</t>
        </is>
      </c>
      <c r="E504" s="67" t="inlineStr">
        <is>
          <t>contiene allergeni</t>
        </is>
      </c>
      <c r="F504" s="67">
        <f>CONCATENATE(D504,"  ",E504," - ",A504," n° fatt ",C504," - ",TEXT(B504,"gg/mm/aaaa"))</f>
        <v/>
      </c>
    </row>
    <row r="505" ht="15.75" customHeight="1" s="155">
      <c r="A505" s="111" t="inlineStr">
        <is>
          <t>BIG FOOD SRL</t>
        </is>
      </c>
      <c r="B505" s="194" t="n">
        <v>45989</v>
      </c>
      <c r="C505" s="111" t="inlineStr">
        <is>
          <t>V1084992</t>
        </is>
      </c>
      <c r="D505" s="111" t="inlineStr">
        <is>
          <t>PINSAMI PINSA CLASSICA GR.230</t>
        </is>
      </c>
      <c r="E505" s="67" t="inlineStr">
        <is>
          <t>contiene allergeni</t>
        </is>
      </c>
      <c r="F505" s="67">
        <f>CONCATENATE(D505,"  ",E505," - ",A505," n° fatt ",C505," - ",TEXT(B505,"gg/mm/aaaa"))</f>
        <v/>
      </c>
    </row>
    <row r="506" ht="15.75" customHeight="1" s="155">
      <c r="A506" s="111" t="inlineStr">
        <is>
          <t>BIG FOOD SRL</t>
        </is>
      </c>
      <c r="B506" s="194" t="n">
        <v>45989</v>
      </c>
      <c r="C506" s="111" t="inlineStr">
        <is>
          <t>V1084992</t>
        </is>
      </c>
      <c r="D506" s="111" t="inlineStr">
        <is>
          <t>GRANAROLO BEVANDA LT.1 DI SOIA UHT</t>
        </is>
      </c>
      <c r="E506" s="67" t="inlineStr">
        <is>
          <t>contiene allergeni</t>
        </is>
      </c>
      <c r="F506" s="67">
        <f>CONCATENATE(D506,"  ",E506," - ",A506," n° fatt ",C506," - ",TEXT(B506,"gg/mm/aaaa"))</f>
        <v/>
      </c>
    </row>
    <row r="507" ht="15.75" customHeight="1" s="155">
      <c r="A507" s="111" t="inlineStr">
        <is>
          <t>BIG FOOD SRL</t>
        </is>
      </c>
      <c r="B507" s="194" t="n">
        <v>45989</v>
      </c>
      <c r="C507" s="111" t="inlineStr">
        <is>
          <t>V1084992</t>
        </is>
      </c>
      <c r="D507" s="111" t="inlineStr">
        <is>
          <t>BARILLA RIP.GR.250 TORTELLINI PROS</t>
        </is>
      </c>
      <c r="E507" s="67" t="inlineStr">
        <is>
          <t>contiene allergeni</t>
        </is>
      </c>
      <c r="F507" s="67">
        <f>CONCATENATE(D507,"  ",E507," - ",A507," n° fatt ",C507," - ",TEXT(B507,"gg/mm/aaaa"))</f>
        <v/>
      </c>
    </row>
    <row r="508" ht="15.75" customHeight="1" s="155">
      <c r="A508" s="111" t="inlineStr">
        <is>
          <t>BIG FOOD SRL</t>
        </is>
      </c>
      <c r="B508" s="194" t="n">
        <v>45989</v>
      </c>
      <c r="C508" s="111" t="inlineStr">
        <is>
          <t>V1084992</t>
        </is>
      </c>
      <c r="D508" s="111" t="inlineStr">
        <is>
          <t>BARILLA RIP.GR.250 TORTELLINI PROS</t>
        </is>
      </c>
      <c r="E508" s="67" t="inlineStr">
        <is>
          <t>contiene allergeni</t>
        </is>
      </c>
      <c r="F508" s="67">
        <f>CONCATENATE(D508,"  ",E508," - ",A508," n° fatt ",C508," - ",TEXT(B508,"gg/mm/aaaa"))</f>
        <v/>
      </c>
    </row>
    <row r="509" ht="15.75" customHeight="1" s="155">
      <c r="A509" s="111" t="inlineStr">
        <is>
          <t>BIG FOOD SRL</t>
        </is>
      </c>
      <c r="B509" s="194" t="n">
        <v>45989</v>
      </c>
      <c r="C509" s="111" t="inlineStr">
        <is>
          <t>V1084992</t>
        </is>
      </c>
      <c r="D509" s="111" t="inlineStr">
        <is>
          <t>OLITALIA LT.1 OLIO GIRASOLE PET</t>
        </is>
      </c>
      <c r="E509" s="67" t="inlineStr">
        <is>
          <t>contiene allergeni</t>
        </is>
      </c>
      <c r="F509" s="67">
        <f>CONCATENATE(D509,"  ",E509," - ",A509," n° fatt ",C509," - ",TEXT(B509,"gg/mm/aaaa"))</f>
        <v/>
      </c>
    </row>
    <row r="510" ht="15.75" customHeight="1" s="155">
      <c r="A510" s="111" t="inlineStr">
        <is>
          <t>BIG FOOD SRL</t>
        </is>
      </c>
      <c r="B510" s="194" t="n">
        <v>45989</v>
      </c>
      <c r="C510" s="111" t="inlineStr">
        <is>
          <t>V1084992</t>
        </is>
      </c>
      <c r="D510" s="111" t="inlineStr">
        <is>
          <t>DESANTIS PET LT.1 OLIO ARACHIDE</t>
        </is>
      </c>
      <c r="E510" s="67" t="inlineStr">
        <is>
          <t>contiene allergeni</t>
        </is>
      </c>
      <c r="F510" s="67">
        <f>CONCATENATE(D510,"  ",E510," - ",A510," n° fatt ",C510," - ",TEXT(B510,"gg/mm/aaaa"))</f>
        <v/>
      </c>
    </row>
    <row r="511" ht="15.75" customHeight="1" s="155">
      <c r="A511" s="111" t="inlineStr">
        <is>
          <t>BIG FOOD SRL</t>
        </is>
      </c>
      <c r="B511" s="194" t="n">
        <v>45989</v>
      </c>
      <c r="C511" s="111" t="inlineStr">
        <is>
          <t>V1084992</t>
        </is>
      </c>
      <c r="D511" s="111" t="inlineStr">
        <is>
          <t>PARMAREGGIO SNACK GR.100</t>
        </is>
      </c>
      <c r="E511" s="67" t="inlineStr">
        <is>
          <t>contiene allergeni</t>
        </is>
      </c>
      <c r="F511" s="67">
        <f>CONCATENATE(D511,"  ",E511," - ",A511," n° fatt ",C511," - ",TEXT(B511,"gg/mm/aaaa"))</f>
        <v/>
      </c>
    </row>
    <row r="512" ht="15.75" customHeight="1" s="155">
      <c r="A512" s="111" t="inlineStr">
        <is>
          <t>BIG FOOD SRL</t>
        </is>
      </c>
      <c r="B512" s="194" t="n">
        <v>45989</v>
      </c>
      <c r="C512" s="111" t="inlineStr">
        <is>
          <t>V1084992</t>
        </is>
      </c>
      <c r="D512" s="111" t="inlineStr">
        <is>
          <t>PARMAREGGIO SNACK GR.100</t>
        </is>
      </c>
      <c r="E512" s="67" t="inlineStr">
        <is>
          <t>contiene allergeni</t>
        </is>
      </c>
      <c r="F512" s="67">
        <f>CONCATENATE(D512,"  ",E512," - ",A512," n° fatt ",C512," - ",TEXT(B512,"gg/mm/aaaa"))</f>
        <v/>
      </c>
    </row>
    <row r="513" ht="15.75" customHeight="1" s="155">
      <c r="A513" s="111" t="inlineStr">
        <is>
          <t>BIG FOOD SRL</t>
        </is>
      </c>
      <c r="B513" s="194" t="n">
        <v>45989</v>
      </c>
      <c r="C513" s="111" t="inlineStr">
        <is>
          <t>V1084992</t>
        </is>
      </c>
      <c r="D513" s="111" t="inlineStr">
        <is>
          <t>PINNA PEC.ROMANO DOP TORO BI.1/4 S</t>
        </is>
      </c>
      <c r="E513" s="67" t="inlineStr">
        <is>
          <t>contiene allergeni</t>
        </is>
      </c>
      <c r="F513" s="67">
        <f>CONCATENATE(D513,"  ",E513," - ",A513," n° fatt ",C513," - ",TEXT(B513,"gg/mm/aaaa"))</f>
        <v/>
      </c>
    </row>
    <row r="514" ht="15.75" customHeight="1" s="155">
      <c r="A514" s="111" t="inlineStr">
        <is>
          <t>BIG FOOD SRL</t>
        </is>
      </c>
      <c r="B514" s="194" t="n">
        <v>45989</v>
      </c>
      <c r="C514" s="111" t="inlineStr">
        <is>
          <t>V1084992</t>
        </is>
      </c>
      <c r="D514" s="111" t="inlineStr">
        <is>
          <t>IL COLLE LARDO PANCETTATO STV KG.</t>
        </is>
      </c>
      <c r="E514" s="67" t="inlineStr">
        <is>
          <t>contiene allergeni</t>
        </is>
      </c>
      <c r="F514" s="67">
        <f>CONCATENATE(D514,"  ",E514," - ",A514," n° fatt ",C514," - ",TEXT(B514,"gg/mm/aaaa"))</f>
        <v/>
      </c>
    </row>
    <row r="515" ht="15.75" customHeight="1" s="155">
      <c r="A515" s="111" t="inlineStr">
        <is>
          <t>BIG FOOD SRL</t>
        </is>
      </c>
      <c r="B515" s="194" t="n">
        <v>45989</v>
      </c>
      <c r="C515" s="111" t="inlineStr">
        <is>
          <t>V1084992</t>
        </is>
      </c>
      <c r="D515" s="111" t="inlineStr">
        <is>
          <t>ARTIGIAN PANCETTA COPPATA 1/2 STV</t>
        </is>
      </c>
      <c r="E515" s="67" t="inlineStr">
        <is>
          <t>contiene allergeni</t>
        </is>
      </c>
      <c r="F515" s="67">
        <f>CONCATENATE(D515,"  ",E515," - ",A515," n° fatt ",C515," - ",TEXT(B515,"gg/mm/aaaa"))</f>
        <v/>
      </c>
    </row>
    <row r="516" ht="15.75" customHeight="1" s="155">
      <c r="A516" s="111" t="inlineStr">
        <is>
          <t>BIG FOOD SRL</t>
        </is>
      </c>
      <c r="B516" s="194" t="n">
        <v>45989</v>
      </c>
      <c r="C516" s="111" t="inlineStr">
        <is>
          <t>V1084992</t>
        </is>
      </c>
      <c r="D516" s="111" t="inlineStr">
        <is>
          <t>LIEVITAL LIEVITO GR.25 X20</t>
        </is>
      </c>
      <c r="E516" s="67" t="inlineStr">
        <is>
          <t>contiene allergeni</t>
        </is>
      </c>
      <c r="F516" s="67">
        <f>CONCATENATE(D516,"  ",E516," - ",A516," n° fatt ",C516," - ",TEXT(B516,"gg/mm/aaaa"))</f>
        <v/>
      </c>
    </row>
    <row r="517" ht="15.75" customHeight="1" s="155">
      <c r="A517" s="111" t="inlineStr">
        <is>
          <t>BIG FOOD SRL</t>
        </is>
      </c>
      <c r="B517" s="194" t="n">
        <v>45989</v>
      </c>
      <c r="C517" s="111" t="inlineStr">
        <is>
          <t>V1084992</t>
        </is>
      </c>
      <c r="D517" s="111" t="inlineStr">
        <is>
          <t>BERETTA P/COTTO ALLA BRACE</t>
        </is>
      </c>
      <c r="E517" s="67" t="inlineStr">
        <is>
          <t>contiene allergeni</t>
        </is>
      </c>
      <c r="F517" s="67">
        <f>CONCATENATE(D517,"  ",E517," - ",A517," n° fatt ",C517," - ",TEXT(B517,"gg/mm/aaaa"))</f>
        <v/>
      </c>
    </row>
    <row r="518" ht="15.75" customHeight="1" s="155">
      <c r="A518" s="111" t="inlineStr">
        <is>
          <t>BIG FOOD SRL</t>
        </is>
      </c>
      <c r="B518" s="194" t="n">
        <v>45995</v>
      </c>
      <c r="C518" s="111" t="inlineStr">
        <is>
          <t>V1086595</t>
        </is>
      </c>
      <c r="D518" s="111" t="inlineStr">
        <is>
          <t>PARODI FIL.ALICI CANTABRIC.GR90 V.</t>
        </is>
      </c>
      <c r="E518" s="67" t="inlineStr">
        <is>
          <t>contiene allergeni</t>
        </is>
      </c>
      <c r="F518" s="67">
        <f>CONCATENATE(D518,"  ",E518," - ",A518," n° fatt ",C518," - ",TEXT(B518,"gg/mm/aaaa"))</f>
        <v/>
      </c>
    </row>
    <row r="519" ht="15.75" customHeight="1" s="155">
      <c r="A519" s="111" t="inlineStr">
        <is>
          <t>BIG FOOD SRL</t>
        </is>
      </c>
      <c r="B519" s="194" t="n">
        <v>45995</v>
      </c>
      <c r="C519" s="111" t="inlineStr">
        <is>
          <t>V1086595</t>
        </is>
      </c>
      <c r="D519" s="111" t="inlineStr">
        <is>
          <t>LIEVITAL LIEVITO GR.25 X20</t>
        </is>
      </c>
      <c r="E519" s="67" t="inlineStr">
        <is>
          <t>contiene allergeni</t>
        </is>
      </c>
      <c r="F519" s="67">
        <f>CONCATENATE(D519,"  ",E519," - ",A519," n° fatt ",C519," - ",TEXT(B519,"gg/mm/aaaa"))</f>
        <v/>
      </c>
    </row>
    <row r="520" ht="15.75" customHeight="1" s="155">
      <c r="A520" s="111" t="inlineStr">
        <is>
          <t>BIG FOOD SRL</t>
        </is>
      </c>
      <c r="B520" s="194" t="n">
        <v>45995</v>
      </c>
      <c r="C520" s="111" t="inlineStr">
        <is>
          <t>V1086595</t>
        </is>
      </c>
      <c r="D520" s="111" t="inlineStr">
        <is>
          <t>GRANAROLO BEVANDA LT.1 RISO UHT</t>
        </is>
      </c>
      <c r="E520" s="67" t="inlineStr">
        <is>
          <t>contiene allergeni</t>
        </is>
      </c>
      <c r="F520" s="67">
        <f>CONCATENATE(D520,"  ",E520," - ",A520," n° fatt ",C520," - ",TEXT(B520,"gg/mm/aaaa"))</f>
        <v/>
      </c>
    </row>
    <row r="521" ht="15.75" customHeight="1" s="155">
      <c r="A521" s="111" t="inlineStr">
        <is>
          <t>BIG FOOD SRL</t>
        </is>
      </c>
      <c r="B521" s="194" t="n">
        <v>45995</v>
      </c>
      <c r="C521" s="111" t="inlineStr">
        <is>
          <t>V1086595</t>
        </is>
      </c>
      <c r="D521" s="111" t="inlineStr">
        <is>
          <t>CHEF PANNA FUNGHI ML.125X2</t>
        </is>
      </c>
      <c r="E521" s="67" t="inlineStr">
        <is>
          <t>contiene allergeni</t>
        </is>
      </c>
      <c r="F521" s="67">
        <f>CONCATENATE(D521,"  ",E521," - ",A521," n° fatt ",C521," - ",TEXT(B521,"gg/mm/aaaa"))</f>
        <v/>
      </c>
    </row>
    <row r="522" ht="15.75" customHeight="1" s="155">
      <c r="A522" s="111" t="inlineStr">
        <is>
          <t>BIG FOOD SRL</t>
        </is>
      </c>
      <c r="B522" s="194" t="n">
        <v>45995</v>
      </c>
      <c r="C522" s="111" t="inlineStr">
        <is>
          <t>V1086595</t>
        </is>
      </c>
      <c r="D522" s="111" t="inlineStr">
        <is>
          <t>CHEF PANNA SALMONE ML.125X2</t>
        </is>
      </c>
      <c r="E522" s="67" t="inlineStr">
        <is>
          <t>contiene allergeni</t>
        </is>
      </c>
      <c r="F522" s="67">
        <f>CONCATENATE(D522,"  ",E522," - ",A522," n° fatt ",C522," - ",TEXT(B522,"gg/mm/aaaa"))</f>
        <v/>
      </c>
    </row>
    <row r="523" ht="15.75" customHeight="1" s="155">
      <c r="A523" s="111" t="inlineStr">
        <is>
          <t>BIG FOOD SRL</t>
        </is>
      </c>
      <c r="B523" s="194" t="n">
        <v>45995</v>
      </c>
      <c r="C523" s="111" t="inlineStr">
        <is>
          <t>V1086595</t>
        </is>
      </c>
      <c r="D523" s="111" t="inlineStr">
        <is>
          <t>BONOMELLI CAMOMILLA SETACCIATA 18F</t>
        </is>
      </c>
      <c r="E523" s="67" t="inlineStr">
        <is>
          <t>contiene allergeni</t>
        </is>
      </c>
      <c r="F523" s="67">
        <f>CONCATENATE(D523,"  ",E523," - ",A523," n° fatt ",C523," - ",TEXT(B523,"gg/mm/aaaa"))</f>
        <v/>
      </c>
    </row>
    <row r="524" ht="15.75" customHeight="1" s="155">
      <c r="A524" s="111" t="inlineStr">
        <is>
          <t>BIG FOOD SRL</t>
        </is>
      </c>
      <c r="B524" s="194" t="n">
        <v>45995</v>
      </c>
      <c r="C524" s="111" t="inlineStr">
        <is>
          <t>V1086595</t>
        </is>
      </c>
      <c r="D524" s="111" t="inlineStr">
        <is>
          <t>DIVELLA PASTA GR.500 9SPAGHETTINI</t>
        </is>
      </c>
      <c r="E524" s="67" t="inlineStr">
        <is>
          <t>contiene allergeni</t>
        </is>
      </c>
      <c r="F524" s="67">
        <f>CONCATENATE(D524,"  ",E524," - ",A524," n° fatt ",C524," - ",TEXT(B524,"gg/mm/aaaa"))</f>
        <v/>
      </c>
    </row>
    <row r="525" ht="15.75" customHeight="1" s="155">
      <c r="A525" s="111" t="inlineStr">
        <is>
          <t>BIG FOOD SRL</t>
        </is>
      </c>
      <c r="B525" s="194" t="n">
        <v>45995</v>
      </c>
      <c r="C525" s="111" t="inlineStr">
        <is>
          <t>V1086595</t>
        </is>
      </c>
      <c r="D525" s="111" t="inlineStr">
        <is>
          <t>DIVELLA GR.500 SPEC.3MEZZANI</t>
        </is>
      </c>
      <c r="E525" s="67" t="inlineStr">
        <is>
          <t>contiene allergeni</t>
        </is>
      </c>
      <c r="F525" s="67">
        <f>CONCATENATE(D525,"  ",E525," - ",A525," n° fatt ",C525," - ",TEXT(B525,"gg/mm/aaaa"))</f>
        <v/>
      </c>
    </row>
    <row r="526" ht="15.75" customHeight="1" s="155">
      <c r="A526" s="111" t="inlineStr">
        <is>
          <t>BIG FOOD SRL</t>
        </is>
      </c>
      <c r="B526" s="194" t="n">
        <v>45995</v>
      </c>
      <c r="C526" s="111" t="inlineStr">
        <is>
          <t>V1086595</t>
        </is>
      </c>
      <c r="D526" s="111" t="inlineStr">
        <is>
          <t>DAMICO LATTA GR.400 PEPERONI ARROS</t>
        </is>
      </c>
      <c r="E526" s="67" t="inlineStr">
        <is>
          <t>contiene allergeni</t>
        </is>
      </c>
      <c r="F526" s="67">
        <f>CONCATENATE(D526,"  ",E526," - ",A526," n° fatt ",C526," - ",TEXT(B526,"gg/mm/aaaa"))</f>
        <v/>
      </c>
    </row>
    <row r="527" ht="15.75" customHeight="1" s="155">
      <c r="A527" s="111" t="inlineStr">
        <is>
          <t>BIG FOOD SRL</t>
        </is>
      </c>
      <c r="B527" s="194" t="n">
        <v>45995</v>
      </c>
      <c r="C527" s="111" t="inlineStr">
        <is>
          <t>V1086595</t>
        </is>
      </c>
      <c r="D527" s="111" t="inlineStr">
        <is>
          <t>HALTA STRUTTO GR.250</t>
        </is>
      </c>
      <c r="E527" s="67" t="inlineStr">
        <is>
          <t>contiene allergeni</t>
        </is>
      </c>
      <c r="F527" s="67">
        <f>CONCATENATE(D527,"  ",E527," - ",A527," n° fatt ",C527," - ",TEXT(B527,"gg/mm/aaaa"))</f>
        <v/>
      </c>
    </row>
    <row r="528" ht="15.75" customHeight="1" s="155">
      <c r="A528" s="111" t="inlineStr">
        <is>
          <t>BIG FOOD SRL</t>
        </is>
      </c>
      <c r="B528" s="194" t="n">
        <v>45995</v>
      </c>
      <c r="C528" s="111" t="inlineStr">
        <is>
          <t>V1086595</t>
        </is>
      </c>
      <c r="D528" s="111" t="inlineStr">
        <is>
          <t>DIVELLA GR.500 SPEC.2ZITI</t>
        </is>
      </c>
      <c r="E528" s="67" t="inlineStr">
        <is>
          <t>contiene allergeni</t>
        </is>
      </c>
      <c r="F528" s="67">
        <f>CONCATENATE(D528,"  ",E528," - ",A528," n° fatt ",C528," - ",TEXT(B528,"gg/mm/aaaa"))</f>
        <v/>
      </c>
    </row>
    <row r="529" ht="15.75" customHeight="1" s="155">
      <c r="A529" s="111" t="inlineStr">
        <is>
          <t>BIG FOOD SRL</t>
        </is>
      </c>
      <c r="B529" s="194" t="n">
        <v>45995</v>
      </c>
      <c r="C529" s="111" t="inlineStr">
        <is>
          <t>V1086595</t>
        </is>
      </c>
      <c r="D529" s="111" t="inlineStr">
        <is>
          <t>SORESINA GRATT.GR.100 GRANAPADANO</t>
        </is>
      </c>
      <c r="E529" s="67" t="inlineStr">
        <is>
          <t>contiene allergeni</t>
        </is>
      </c>
      <c r="F529" s="67">
        <f>CONCATENATE(D529,"  ",E529," - ",A529," n° fatt ",C529," - ",TEXT(B529,"gg/mm/aaaa"))</f>
        <v/>
      </c>
    </row>
    <row r="530" ht="15.75" customHeight="1" s="155">
      <c r="A530" s="111" t="inlineStr">
        <is>
          <t>BIG FOOD SRL</t>
        </is>
      </c>
      <c r="B530" s="194" t="n">
        <v>45995</v>
      </c>
      <c r="C530" s="111" t="inlineStr">
        <is>
          <t>V1086595</t>
        </is>
      </c>
      <c r="D530" s="111" t="inlineStr">
        <is>
          <t>DIVELLA REGIONALI GR500 19PANTACCE</t>
        </is>
      </c>
      <c r="E530" s="67" t="inlineStr">
        <is>
          <t>contiene allergeni</t>
        </is>
      </c>
      <c r="F530" s="67">
        <f>CONCATENATE(D530,"  ",E530," - ",A530," n° fatt ",C530," - ",TEXT(B530,"gg/mm/aaaa"))</f>
        <v/>
      </c>
    </row>
    <row r="531" ht="15.75" customHeight="1" s="155">
      <c r="A531" s="111" t="inlineStr">
        <is>
          <t>BIG FOOD SRL</t>
        </is>
      </c>
      <c r="B531" s="194" t="n">
        <v>45995</v>
      </c>
      <c r="C531" s="111" t="inlineStr">
        <is>
          <t>V1086595</t>
        </is>
      </c>
      <c r="D531" s="111" t="inlineStr">
        <is>
          <t>CHEF BESCIAMELLA ML.200</t>
        </is>
      </c>
      <c r="E531" s="67" t="inlineStr">
        <is>
          <t>contiene allergeni</t>
        </is>
      </c>
      <c r="F531" s="67">
        <f>CONCATENATE(D531,"  ",E531," - ",A531," n° fatt ",C531," - ",TEXT(B531,"gg/mm/aaaa"))</f>
        <v/>
      </c>
    </row>
    <row r="532" ht="15.75" customHeight="1" s="155">
      <c r="A532" s="111" t="inlineStr">
        <is>
          <t>BIG FOOD SRL</t>
        </is>
      </c>
      <c r="B532" s="194" t="n">
        <v>45995</v>
      </c>
      <c r="C532" s="111" t="inlineStr">
        <is>
          <t>V1086595</t>
        </is>
      </c>
      <c r="D532" s="111" t="inlineStr">
        <is>
          <t>PARMAREGGIO GRATT.GR.60 PAR/REG.</t>
        </is>
      </c>
      <c r="E532" s="67" t="inlineStr">
        <is>
          <t>contiene allergeni</t>
        </is>
      </c>
      <c r="F532" s="67">
        <f>CONCATENATE(D532,"  ",E532," - ",A532," n° fatt ",C532," - ",TEXT(B532,"gg/mm/aaaa"))</f>
        <v/>
      </c>
    </row>
    <row r="533" ht="15.75" customHeight="1" s="155">
      <c r="A533" s="111" t="inlineStr">
        <is>
          <t>BIG FOOD SRL</t>
        </is>
      </c>
      <c r="B533" s="194" t="n">
        <v>45995</v>
      </c>
      <c r="C533" s="111" t="inlineStr">
        <is>
          <t>V1086595</t>
        </is>
      </c>
      <c r="D533" s="111" t="inlineStr">
        <is>
          <t>GRANAROLO LATTE P.S. LT.1 BRIK</t>
        </is>
      </c>
      <c r="E533" s="67" t="inlineStr">
        <is>
          <t>contiene allergeni</t>
        </is>
      </c>
      <c r="F533" s="67">
        <f>CONCATENATE(D533,"  ",E533," - ",A533," n° fatt ",C533," - ",TEXT(B533,"gg/mm/aaaa"))</f>
        <v/>
      </c>
    </row>
    <row r="534" ht="15.75" customHeight="1" s="155">
      <c r="A534" s="111" t="inlineStr">
        <is>
          <t>BIG FOOD SRL</t>
        </is>
      </c>
      <c r="B534" s="194" t="n">
        <v>45995</v>
      </c>
      <c r="C534" s="111" t="inlineStr">
        <is>
          <t>V1086595</t>
        </is>
      </c>
      <c r="D534" s="111" t="inlineStr">
        <is>
          <t>STERILGARDA LATTE LT.1,5 P.S. BRIK</t>
        </is>
      </c>
      <c r="E534" s="67" t="inlineStr">
        <is>
          <t>contiene allergeni</t>
        </is>
      </c>
      <c r="F534" s="67">
        <f>CONCATENATE(D534,"  ",E534," - ",A534," n° fatt ",C534," - ",TEXT(B534,"gg/mm/aaaa"))</f>
        <v/>
      </c>
    </row>
    <row r="535" ht="15.75" customHeight="1" s="155">
      <c r="A535" s="111" t="inlineStr">
        <is>
          <t>BIG FOOD SRL</t>
        </is>
      </c>
      <c r="B535" s="194" t="n">
        <v>45995</v>
      </c>
      <c r="C535" s="111" t="inlineStr">
        <is>
          <t>V1086595</t>
        </is>
      </c>
      <c r="D535" s="111" t="inlineStr">
        <is>
          <t>YMA.KG.5 OLIVE GRECIA V.SSM</t>
        </is>
      </c>
      <c r="E535" s="67" t="inlineStr">
        <is>
          <t>contiene allergeni</t>
        </is>
      </c>
      <c r="F535" s="67">
        <f>CONCATENATE(D535,"  ",E535," - ",A535," n° fatt ",C535," - ",TEXT(B535,"gg/mm/aaaa"))</f>
        <v/>
      </c>
    </row>
    <row r="536" ht="15.75" customHeight="1" s="155">
      <c r="A536" s="111" t="inlineStr">
        <is>
          <t>BIG FOOD SRL</t>
        </is>
      </c>
      <c r="B536" s="194" t="n">
        <v>45995</v>
      </c>
      <c r="C536" s="111" t="inlineStr">
        <is>
          <t>V1086595</t>
        </is>
      </c>
      <c r="D536" s="111" t="inlineStr">
        <is>
          <t>ITALKALI SALE IODIO GROSSO KG.1</t>
        </is>
      </c>
      <c r="E536" s="67" t="inlineStr">
        <is>
          <t>contiene allergeni</t>
        </is>
      </c>
      <c r="F536" s="67">
        <f>CONCATENATE(D536,"  ",E536," - ",A536," n° fatt ",C536," - ",TEXT(B536,"gg/mm/aaaa"))</f>
        <v/>
      </c>
    </row>
    <row r="537" ht="15.75" customHeight="1" s="155">
      <c r="A537" s="111" t="inlineStr">
        <is>
          <t>BIG FOOD SRL</t>
        </is>
      </c>
      <c r="B537" s="194" t="n">
        <v>45995</v>
      </c>
      <c r="C537" s="111" t="inlineStr">
        <is>
          <t>V1086595</t>
        </is>
      </c>
      <c r="D537" s="111" t="inlineStr">
        <is>
          <t>ITALKALI SALE IODIO GROSSO KG.1</t>
        </is>
      </c>
      <c r="E537" s="67" t="inlineStr">
        <is>
          <t>contiene allergeni</t>
        </is>
      </c>
      <c r="F537" s="67">
        <f>CONCATENATE(D537,"  ",E537," - ",A537," n° fatt ",C537," - ",TEXT(B537,"gg/mm/aaaa"))</f>
        <v/>
      </c>
    </row>
    <row r="538" ht="15.75" customHeight="1" s="155">
      <c r="A538" s="111" t="inlineStr">
        <is>
          <t>BIG FOOD SRL</t>
        </is>
      </c>
      <c r="B538" s="194" t="n">
        <v>45995</v>
      </c>
      <c r="C538" s="111" t="inlineStr">
        <is>
          <t>V1086595</t>
        </is>
      </c>
      <c r="D538" s="111" t="inlineStr">
        <is>
          <t>GRANCUCINA PANNA ML.500</t>
        </is>
      </c>
      <c r="E538" s="67" t="inlineStr">
        <is>
          <t>contiene allergeni</t>
        </is>
      </c>
      <c r="F538" s="67">
        <f>CONCATENATE(D538,"  ",E538," - ",A538," n° fatt ",C538," - ",TEXT(B538,"gg/mm/aaaa"))</f>
        <v/>
      </c>
    </row>
    <row r="539" ht="15.75" customHeight="1" s="155">
      <c r="A539" s="111" t="inlineStr">
        <is>
          <t>BIG FOOD SRL</t>
        </is>
      </c>
      <c r="B539" s="194" t="n">
        <v>45995</v>
      </c>
      <c r="C539" s="111" t="inlineStr">
        <is>
          <t>V1086595</t>
        </is>
      </c>
      <c r="D539" s="111" t="inlineStr">
        <is>
          <t>GRANCUCINA BESCIAMELLA ML.500</t>
        </is>
      </c>
      <c r="E539" s="67" t="inlineStr">
        <is>
          <t>contiene allergeni</t>
        </is>
      </c>
      <c r="F539" s="67">
        <f>CONCATENATE(D539,"  ",E539," - ",A539," n° fatt ",C539," - ",TEXT(B539,"gg/mm/aaaa"))</f>
        <v/>
      </c>
    </row>
    <row r="540" ht="15.75" customHeight="1" s="155">
      <c r="A540" s="111" t="inlineStr">
        <is>
          <t>BIG FOOD SRL</t>
        </is>
      </c>
      <c r="B540" s="194" t="n">
        <v>45995</v>
      </c>
      <c r="C540" s="111" t="inlineStr">
        <is>
          <t>V1086595</t>
        </is>
      </c>
      <c r="D540" s="111" t="inlineStr">
        <is>
          <t>KRAFT.MAIONESE TUBO ML.150</t>
        </is>
      </c>
      <c r="E540" s="67" t="inlineStr">
        <is>
          <t>contiene allergeni</t>
        </is>
      </c>
      <c r="F540" s="67">
        <f>CONCATENATE(D540,"  ",E540," - ",A540," n° fatt ",C540," - ",TEXT(B540,"gg/mm/aaaa"))</f>
        <v/>
      </c>
    </row>
    <row r="541" ht="15.75" customHeight="1" s="155">
      <c r="A541" s="111" t="inlineStr">
        <is>
          <t>BIG FOOD SRL</t>
        </is>
      </c>
      <c r="B541" s="194" t="n">
        <v>45995</v>
      </c>
      <c r="C541" s="111" t="inlineStr">
        <is>
          <t>V1086595</t>
        </is>
      </c>
      <c r="D541" s="111" t="inlineStr">
        <is>
          <t>WELCOME FETTE GR.200</t>
        </is>
      </c>
      <c r="E541" s="67" t="inlineStr">
        <is>
          <t>contiene allergeni</t>
        </is>
      </c>
      <c r="F541" s="67">
        <f>CONCATENATE(D541,"  ",E541," - ",A541," n° fatt ",C541," - ",TEXT(B541,"gg/mm/aaaa"))</f>
        <v/>
      </c>
    </row>
    <row r="542" ht="15.75" customHeight="1" s="155">
      <c r="A542" s="111" t="inlineStr">
        <is>
          <t>BIG FOOD SRL</t>
        </is>
      </c>
      <c r="B542" s="194" t="n">
        <v>45995</v>
      </c>
      <c r="C542" s="111" t="inlineStr">
        <is>
          <t>V1086595</t>
        </is>
      </c>
      <c r="D542" s="111" t="inlineStr">
        <is>
          <t>KINGS P/CRUDO SAN DANIELE S/O</t>
        </is>
      </c>
      <c r="E542" s="67" t="inlineStr">
        <is>
          <t>contiene allergeni</t>
        </is>
      </c>
      <c r="F542" s="67">
        <f>CONCATENATE(D542,"  ",E542," - ",A542," n° fatt ",C542," - ",TEXT(B542,"gg/mm/aaaa"))</f>
        <v/>
      </c>
    </row>
    <row r="543" ht="15.75" customHeight="1" s="155">
      <c r="A543" s="111" t="inlineStr">
        <is>
          <t>BIG FOOD SRL</t>
        </is>
      </c>
      <c r="B543" s="194" t="n">
        <v>45995</v>
      </c>
      <c r="C543" s="111" t="inlineStr">
        <is>
          <t>V1086595</t>
        </is>
      </c>
      <c r="D543" s="111" t="inlineStr">
        <is>
          <t>PINNA BRIGANTE</t>
        </is>
      </c>
      <c r="E543" s="67" t="inlineStr">
        <is>
          <t>contiene allergeni</t>
        </is>
      </c>
      <c r="F543" s="67">
        <f>CONCATENATE(D543,"  ",E543," - ",A543," n° fatt ",C543," - ",TEXT(B543,"gg/mm/aaaa"))</f>
        <v/>
      </c>
    </row>
    <row r="544" ht="15.75" customHeight="1" s="155">
      <c r="A544" s="111" t="inlineStr">
        <is>
          <t>BIG FOOD SRL</t>
        </is>
      </c>
      <c r="B544" s="194" t="n">
        <v>45995</v>
      </c>
      <c r="C544" s="111" t="inlineStr">
        <is>
          <t>V1086595</t>
        </is>
      </c>
      <c r="D544" s="111" t="inlineStr">
        <is>
          <t>PINNA BRIGANTE DI CAPRA</t>
        </is>
      </c>
      <c r="E544" s="67" t="inlineStr">
        <is>
          <t>contiene allergeni</t>
        </is>
      </c>
      <c r="F544" s="67">
        <f>CONCATENATE(D544,"  ",E544," - ",A544," n° fatt ",C544," - ",TEXT(B544,"gg/mm/aaaa"))</f>
        <v/>
      </c>
    </row>
    <row r="545" ht="15.75" customHeight="1" s="155">
      <c r="A545" s="111" t="inlineStr">
        <is>
          <t>BIG FOOD SRL</t>
        </is>
      </c>
      <c r="B545" s="194" t="n">
        <v>45995</v>
      </c>
      <c r="C545" s="111" t="inlineStr">
        <is>
          <t>V1086595</t>
        </is>
      </c>
      <c r="D545" s="111" t="inlineStr">
        <is>
          <t>COATI SPIANATA PICCANTE 1/2 SV</t>
        </is>
      </c>
      <c r="E545" s="67" t="inlineStr">
        <is>
          <t>contiene allergeni</t>
        </is>
      </c>
      <c r="F545" s="67">
        <f>CONCATENATE(D545,"  ",E545," - ",A545," n° fatt ",C545," - ",TEXT(B545,"gg/mm/aaaa"))</f>
        <v/>
      </c>
    </row>
    <row r="546" ht="15.75" customHeight="1" s="155">
      <c r="A546" s="111" t="inlineStr">
        <is>
          <t>BIG FOOD SRL</t>
        </is>
      </c>
      <c r="B546" s="194" t="n">
        <v>45995</v>
      </c>
      <c r="C546" s="111" t="inlineStr">
        <is>
          <t>V1086595</t>
        </is>
      </c>
      <c r="D546" s="111" t="inlineStr">
        <is>
          <t>COATI SPIANATA PICCANTE 1/2 SV</t>
        </is>
      </c>
      <c r="E546" s="67" t="inlineStr">
        <is>
          <t>contiene allergeni</t>
        </is>
      </c>
      <c r="F546" s="67">
        <f>CONCATENATE(D546,"  ",E546," - ",A546," n° fatt ",C546," - ",TEXT(B546,"gg/mm/aaaa"))</f>
        <v/>
      </c>
    </row>
    <row r="547" ht="15.75" customHeight="1" s="155">
      <c r="A547" s="111" t="inlineStr">
        <is>
          <t>BIG FOOD SRL</t>
        </is>
      </c>
      <c r="B547" s="194" t="n">
        <v>45995</v>
      </c>
      <c r="C547" s="111" t="inlineStr">
        <is>
          <t>V1086595</t>
        </is>
      </c>
      <c r="D547" s="111" t="inlineStr">
        <is>
          <t>DAILYBREAD PAN DI SEGALE GR.500</t>
        </is>
      </c>
      <c r="E547" s="67" t="inlineStr">
        <is>
          <t>contiene allergeni</t>
        </is>
      </c>
      <c r="F547" s="67">
        <f>CONCATENATE(D547,"  ",E547," - ",A547," n° fatt ",C547," - ",TEXT(B547,"gg/mm/aaaa"))</f>
        <v/>
      </c>
    </row>
    <row r="548" ht="15.75" customHeight="1" s="155">
      <c r="A548" s="111" t="inlineStr">
        <is>
          <t>BIG FOOD SRL</t>
        </is>
      </c>
      <c r="B548" s="194" t="n">
        <v>45995</v>
      </c>
      <c r="C548" s="111" t="inlineStr">
        <is>
          <t>V1086595</t>
        </is>
      </c>
      <c r="D548" s="111" t="inlineStr">
        <is>
          <t>DAILYBREAD PANE 4 CEREALI GR.500</t>
        </is>
      </c>
      <c r="E548" s="67" t="inlineStr">
        <is>
          <t>contiene allergeni</t>
        </is>
      </c>
      <c r="F548" s="67">
        <f>CONCATENATE(D548,"  ",E548," - ",A548," n° fatt ",C548," - ",TEXT(B548,"gg/mm/aaaa"))</f>
        <v/>
      </c>
    </row>
    <row r="549" ht="15.75" customHeight="1" s="155">
      <c r="A549" s="111" t="inlineStr">
        <is>
          <t>BIG FOOD SRL</t>
        </is>
      </c>
      <c r="B549" s="194" t="n">
        <v>45995</v>
      </c>
      <c r="C549" s="111" t="inlineStr">
        <is>
          <t>V1086595</t>
        </is>
      </c>
      <c r="D549" s="111" t="inlineStr">
        <is>
          <t>VIT BOBINA X2 CASA&amp;LAVORO 800 PROF</t>
        </is>
      </c>
      <c r="E549" s="67" t="inlineStr">
        <is>
          <t>contiene allergeni</t>
        </is>
      </c>
      <c r="F549" s="67">
        <f>CONCATENATE(D549,"  ",E549," - ",A549," n° fatt ",C549," - ",TEXT(B549,"gg/mm/aaaa"))</f>
        <v/>
      </c>
    </row>
    <row r="550" ht="15.75" customHeight="1" s="155">
      <c r="A550" s="111" t="inlineStr">
        <is>
          <t>BIG FOOD SRL</t>
        </is>
      </c>
      <c r="B550" s="194" t="n">
        <v>45995</v>
      </c>
      <c r="C550" s="111" t="inlineStr">
        <is>
          <t>V1086595</t>
        </is>
      </c>
      <c r="D550" s="111" t="inlineStr">
        <is>
          <t>SORESINA GRATT.GR.100 GRANAPADANO</t>
        </is>
      </c>
      <c r="E550" s="67" t="inlineStr">
        <is>
          <t>contiene allergeni</t>
        </is>
      </c>
      <c r="F550" s="67">
        <f>CONCATENATE(D550,"  ",E550," - ",A550," n° fatt ",C550," - ",TEXT(B550,"gg/mm/aaaa"))</f>
        <v/>
      </c>
    </row>
    <row r="551" ht="15.75" customHeight="1" s="155">
      <c r="A551" s="111" t="inlineStr">
        <is>
          <t>BIG FOOD SRL</t>
        </is>
      </c>
      <c r="B551" s="194" t="n">
        <v>45995</v>
      </c>
      <c r="C551" s="111" t="inlineStr">
        <is>
          <t>V1086595</t>
        </is>
      </c>
      <c r="D551" s="111" t="inlineStr">
        <is>
          <t>KOSÈ CIALDE DECISO PZ.50</t>
        </is>
      </c>
      <c r="E551" s="67" t="inlineStr">
        <is>
          <t>contiene allergeni</t>
        </is>
      </c>
      <c r="F551" s="67">
        <f>CONCATENATE(D551,"  ",E551," - ",A551," n° fatt ",C551," - ",TEXT(B551,"gg/mm/aaaa"))</f>
        <v/>
      </c>
    </row>
    <row r="552" ht="15.75" customHeight="1" s="155">
      <c r="A552" s="111" t="inlineStr">
        <is>
          <t>BIG FOOD SRL</t>
        </is>
      </c>
      <c r="B552" s="194" t="n">
        <v>45995</v>
      </c>
      <c r="C552" s="111" t="inlineStr">
        <is>
          <t>V1086595</t>
        </is>
      </c>
      <c r="D552" s="111" t="inlineStr">
        <is>
          <t>STAR TEA 25FF CLASSICO</t>
        </is>
      </c>
      <c r="E552" s="67" t="inlineStr">
        <is>
          <t>contiene allergeni</t>
        </is>
      </c>
      <c r="F552" s="67">
        <f>CONCATENATE(D552,"  ",E552," - ",A552," n° fatt ",C552," - ",TEXT(B552,"gg/mm/aaaa"))</f>
        <v/>
      </c>
    </row>
    <row r="553" ht="15.75" customHeight="1" s="155">
      <c r="A553" s="111" t="inlineStr">
        <is>
          <t>BIG FOOD SRL</t>
        </is>
      </c>
      <c r="B553" s="194" t="n">
        <v>45995</v>
      </c>
      <c r="C553" s="111" t="inlineStr">
        <is>
          <t>V1086595</t>
        </is>
      </c>
      <c r="D553" s="111" t="inlineStr">
        <is>
          <t>BONOMELLI CAMOMILLA SETACCIATA 18F</t>
        </is>
      </c>
      <c r="E553" s="67" t="inlineStr">
        <is>
          <t>contiene allergeni</t>
        </is>
      </c>
      <c r="F553" s="67">
        <f>CONCATENATE(D553,"  ",E553," - ",A553," n° fatt ",C553," - ",TEXT(B553,"gg/mm/aaaa"))</f>
        <v/>
      </c>
    </row>
    <row r="554" ht="15.75" customHeight="1" s="155">
      <c r="A554" s="111" t="inlineStr">
        <is>
          <t>BIG FOOD SRL</t>
        </is>
      </c>
      <c r="B554" s="194" t="n">
        <v>45995</v>
      </c>
      <c r="C554" s="111" t="inlineStr">
        <is>
          <t>V1086595</t>
        </is>
      </c>
      <c r="D554" s="111" t="inlineStr">
        <is>
          <t>SOGNI D'ORO CAMOMILLA MELATONI.GR6</t>
        </is>
      </c>
      <c r="E554" s="67" t="inlineStr">
        <is>
          <t>contiene allergeni</t>
        </is>
      </c>
      <c r="F554" s="67">
        <f>CONCATENATE(D554,"  ",E554," - ",A554," n° fatt ",C554," - ",TEXT(B554,"gg/mm/aaaa"))</f>
        <v/>
      </c>
    </row>
    <row r="555" ht="15.75" customHeight="1" s="155">
      <c r="A555" s="111" t="inlineStr">
        <is>
          <t>BIG FOOD SRL</t>
        </is>
      </c>
      <c r="B555" s="194" t="n">
        <v>45995</v>
      </c>
      <c r="C555" s="111" t="inlineStr">
        <is>
          <t>V1086595</t>
        </is>
      </c>
      <c r="D555" s="111" t="inlineStr">
        <is>
          <t>BONAZZA WURSTEL KG.1 GRIGLIA&amp;FAMIG</t>
        </is>
      </c>
      <c r="E555" s="67" t="inlineStr">
        <is>
          <t>contiene allergeni</t>
        </is>
      </c>
      <c r="F555" s="67">
        <f>CONCATENATE(D555,"  ",E555," - ",A555," n° fatt ",C555," - ",TEXT(B555,"gg/mm/aaaa"))</f>
        <v/>
      </c>
    </row>
    <row r="556" ht="15.75" customHeight="1" s="155">
      <c r="A556" s="111" t="inlineStr">
        <is>
          <t>BIG FOOD SRL</t>
        </is>
      </c>
      <c r="B556" s="194" t="n">
        <v>45995</v>
      </c>
      <c r="C556" s="111" t="inlineStr">
        <is>
          <t>V1086595</t>
        </is>
      </c>
      <c r="D556" s="111" t="inlineStr">
        <is>
          <t>MORGANTE WURSTEL GR.100 MORGHÌ</t>
        </is>
      </c>
      <c r="E556" s="67" t="inlineStr">
        <is>
          <t>contiene allergeni</t>
        </is>
      </c>
      <c r="F556" s="67">
        <f>CONCATENATE(D556,"  ",E556," - ",A556," n° fatt ",C556," - ",TEXT(B556,"gg/mm/aaaa"))</f>
        <v/>
      </c>
    </row>
    <row r="557" ht="15.75" customHeight="1" s="155">
      <c r="A557" s="111" t="inlineStr">
        <is>
          <t>BIG FOOD SRL</t>
        </is>
      </c>
      <c r="B557" s="194" t="n">
        <v>45995</v>
      </c>
      <c r="C557" s="111" t="inlineStr">
        <is>
          <t>V1086595</t>
        </is>
      </c>
      <c r="D557" s="111" t="inlineStr">
        <is>
          <t>BARILLA PAST.UOVO GR.275 FARFALLIN</t>
        </is>
      </c>
      <c r="E557" s="67" t="inlineStr">
        <is>
          <t>contiene allergeni</t>
        </is>
      </c>
      <c r="F557" s="67">
        <f>CONCATENATE(D557,"  ",E557," - ",A557," n° fatt ",C557," - ",TEXT(B557,"gg/mm/aaaa"))</f>
        <v/>
      </c>
    </row>
    <row r="558" ht="15.75" customHeight="1" s="155">
      <c r="A558" s="111" t="inlineStr">
        <is>
          <t>BIG FOOD SRL</t>
        </is>
      </c>
      <c r="B558" s="194" t="n">
        <v>45995</v>
      </c>
      <c r="C558" s="111" t="inlineStr">
        <is>
          <t>V1086595</t>
        </is>
      </c>
      <c r="D558" s="111" t="inlineStr">
        <is>
          <t>MOND.PHILADELPHIA GR.25X6 PORZ.</t>
        </is>
      </c>
      <c r="E558" s="67" t="inlineStr">
        <is>
          <t>contiene allergeni</t>
        </is>
      </c>
      <c r="F558" s="67">
        <f>CONCATENATE(D558,"  ",E558," - ",A558," n° fatt ",C558," - ",TEXT(B558,"gg/mm/aaaa"))</f>
        <v/>
      </c>
    </row>
    <row r="559" ht="15.75" customHeight="1" s="155">
      <c r="A559" s="111" t="inlineStr">
        <is>
          <t>BIG FOOD SRL</t>
        </is>
      </c>
      <c r="B559" s="194" t="n">
        <v>45995</v>
      </c>
      <c r="C559" s="111" t="inlineStr">
        <is>
          <t>V1086595</t>
        </is>
      </c>
      <c r="D559" s="111" t="inlineStr">
        <is>
          <t>MOND.PHILADELPHIA GR.25X6 PORZ.</t>
        </is>
      </c>
      <c r="E559" s="67" t="inlineStr">
        <is>
          <t>contiene allergeni</t>
        </is>
      </c>
      <c r="F559" s="67">
        <f>CONCATENATE(D559,"  ",E559," - ",A559," n° fatt ",C559," - ",TEXT(B559,"gg/mm/aaaa"))</f>
        <v/>
      </c>
    </row>
    <row r="560" ht="15.75" customHeight="1" s="155">
      <c r="A560" s="111" t="inlineStr">
        <is>
          <t>BIG FOOD SRL</t>
        </is>
      </c>
      <c r="B560" s="194" t="n">
        <v>45995</v>
      </c>
      <c r="C560" s="111" t="inlineStr">
        <is>
          <t>V1086595</t>
        </is>
      </c>
      <c r="D560" s="111" t="inlineStr">
        <is>
          <t>PARMAREGGIO BURRO GR.200</t>
        </is>
      </c>
      <c r="E560" s="67" t="inlineStr">
        <is>
          <t>contiene allergeni</t>
        </is>
      </c>
      <c r="F560" s="67">
        <f>CONCATENATE(D560,"  ",E560," - ",A560," n° fatt ",C560," - ",TEXT(B560,"gg/mm/aaaa"))</f>
        <v/>
      </c>
    </row>
    <row r="561" ht="15.75" customHeight="1" s="155">
      <c r="A561" s="111" t="inlineStr">
        <is>
          <t>BIG FOOD SRL</t>
        </is>
      </c>
      <c r="B561" s="194" t="n">
        <v>45995</v>
      </c>
      <c r="C561" s="111" t="inlineStr">
        <is>
          <t>V1086595</t>
        </is>
      </c>
      <c r="D561" s="111" t="inlineStr">
        <is>
          <t>GRIFO L'ABATE CACIOTTA NORCIA KG.3</t>
        </is>
      </c>
      <c r="E561" s="67" t="inlineStr">
        <is>
          <t>contiene allergeni</t>
        </is>
      </c>
      <c r="F561" s="67">
        <f>CONCATENATE(D561,"  ",E561," - ",A561," n° fatt ",C561," - ",TEXT(B561,"gg/mm/aaaa"))</f>
        <v/>
      </c>
    </row>
    <row r="562" ht="15.75" customHeight="1" s="155">
      <c r="A562" s="111" t="inlineStr">
        <is>
          <t>BIG FOOD SRL</t>
        </is>
      </c>
      <c r="B562" s="194" t="n">
        <v>45995</v>
      </c>
      <c r="C562" s="111" t="inlineStr">
        <is>
          <t>V1086595</t>
        </is>
      </c>
      <c r="D562" s="111" t="inlineStr">
        <is>
          <t>GRIFO L'ABATE CACIOTTA NORCIA KG.3</t>
        </is>
      </c>
      <c r="E562" s="67" t="inlineStr">
        <is>
          <t>contiene allergeni</t>
        </is>
      </c>
      <c r="F562" s="67">
        <f>CONCATENATE(D562,"  ",E562," - ",A562," n° fatt ",C562," - ",TEXT(B562,"gg/mm/aaaa"))</f>
        <v/>
      </c>
    </row>
    <row r="563" ht="15.75" customHeight="1" s="155">
      <c r="A563" s="111" t="inlineStr">
        <is>
          <t>BIG FOOD SRL</t>
        </is>
      </c>
      <c r="B563" s="194" t="n">
        <v>45995</v>
      </c>
      <c r="C563" s="111" t="inlineStr">
        <is>
          <t>V1086595</t>
        </is>
      </c>
      <c r="D563" s="111" t="inlineStr">
        <is>
          <t>PARMAREGGIO GRATT.GR.60 PAR/REG.</t>
        </is>
      </c>
      <c r="E563" s="67" t="inlineStr">
        <is>
          <t>contiene allergeni</t>
        </is>
      </c>
      <c r="F563" s="67">
        <f>CONCATENATE(D563,"  ",E563," - ",A563," n° fatt ",C563," - ",TEXT(B563,"gg/mm/aaaa"))</f>
        <v/>
      </c>
    </row>
    <row r="564" ht="15.75" customHeight="1" s="155">
      <c r="A564" s="111" t="inlineStr">
        <is>
          <t>BIG FOOD SRL</t>
        </is>
      </c>
      <c r="B564" s="194" t="n">
        <v>45995</v>
      </c>
      <c r="C564" s="111" t="inlineStr">
        <is>
          <t>V1086595</t>
        </is>
      </c>
      <c r="D564" s="111" t="inlineStr">
        <is>
          <t>OPTIMUS MASCARPONE GR.250</t>
        </is>
      </c>
      <c r="E564" s="67" t="inlineStr">
        <is>
          <t>contiene allergeni</t>
        </is>
      </c>
      <c r="F564" s="67">
        <f>CONCATENATE(D564,"  ",E564," - ",A564," n° fatt ",C564," - ",TEXT(B564,"gg/mm/aaaa"))</f>
        <v/>
      </c>
    </row>
    <row r="565" ht="15.75" customHeight="1" s="155">
      <c r="A565" s="111" t="inlineStr">
        <is>
          <t>"RONDINELLA MARKET S.R.L."</t>
        </is>
      </c>
      <c r="B565" s="194" t="n">
        <v>45985</v>
      </c>
      <c r="C565" s="111" t="n">
        <v>2148</v>
      </c>
      <c r="D565" s="111" t="inlineStr">
        <is>
          <t>LIEVITO x 2.5kg</t>
        </is>
      </c>
      <c r="E565" s="67" t="inlineStr">
        <is>
          <t>non contiene allergeni</t>
        </is>
      </c>
      <c r="F565" s="67">
        <f>CONCATENATE(D565,"  ",E565," - ",A565," n° fatt ",C565," - ",TEXT(B565,"gg/mm/aaaa"))</f>
        <v/>
      </c>
    </row>
    <row r="566" ht="15.75" customHeight="1" s="155">
      <c r="A566" s="111" t="inlineStr">
        <is>
          <t>"RONDINELLA MARKET S.R.L."</t>
        </is>
      </c>
      <c r="B566" s="194" t="n">
        <v>45985</v>
      </c>
      <c r="C566" s="111" t="n">
        <v>2148</v>
      </c>
      <c r="D566" s="111" t="inlineStr">
        <is>
          <t>BAGNA BENEVENTO 70%VOL 2lt</t>
        </is>
      </c>
      <c r="E566" s="67" t="inlineStr">
        <is>
          <t>non contiene allergeni</t>
        </is>
      </c>
      <c r="F566" s="67">
        <f>CONCATENATE(D566,"  ",E566," - ",A566," n° fatt ",C566," - ",TEXT(B566,"gg/mm/aaaa"))</f>
        <v/>
      </c>
    </row>
    <row r="567" ht="15.75" customHeight="1" s="155">
      <c r="A567" s="111" t="inlineStr">
        <is>
          <t>"RONDINELLA MARKET S.R.L."</t>
        </is>
      </c>
      <c r="B567" s="194" t="n">
        <v>45985</v>
      </c>
      <c r="C567" s="111" t="n">
        <v>2148</v>
      </c>
      <c r="D567" s="111" t="inlineStr">
        <is>
          <t>ZUCCHERO A VELO x 5kg</t>
        </is>
      </c>
      <c r="E567" s="67" t="inlineStr">
        <is>
          <t>non contiene allergeni</t>
        </is>
      </c>
      <c r="F567" s="67">
        <f>CONCATENATE(D567,"  ",E567," - ",A567," n° fatt ",C567," - ",TEXT(B567,"gg/mm/aaaa"))</f>
        <v/>
      </c>
    </row>
    <row r="568" ht="15.75" customHeight="1" s="155">
      <c r="A568" s="111" t="inlineStr">
        <is>
          <t>"RONDINELLA MARKET S.R.L."</t>
        </is>
      </c>
      <c r="B568" s="194" t="n">
        <v>45985</v>
      </c>
      <c r="C568" s="111" t="n">
        <v>2148</v>
      </c>
      <c r="D568" s="111" t="inlineStr">
        <is>
          <t>PASSATA ALBICOCCA x 10kg</t>
        </is>
      </c>
      <c r="E568" s="67" t="inlineStr">
        <is>
          <t>non contiene allergeni</t>
        </is>
      </c>
      <c r="F568" s="67">
        <f>CONCATENATE(D568,"  ",E568," - ",A568," n° fatt ",C568," - ",TEXT(B568,"gg/mm/aaaa"))</f>
        <v/>
      </c>
    </row>
    <row r="569" ht="15.75" customHeight="1" s="155">
      <c r="A569" s="111" t="inlineStr">
        <is>
          <t>"RONDINELLA MARKET S.R.L."</t>
        </is>
      </c>
      <c r="B569" s="194" t="n">
        <v>45985</v>
      </c>
      <c r="C569" s="111" t="n">
        <v>2148</v>
      </c>
      <c r="D569" s="111" t="inlineStr">
        <is>
          <t>NUPPY NOCCIOLA 12KG</t>
        </is>
      </c>
      <c r="E569" s="67" t="inlineStr">
        <is>
          <t>contiene allergeni</t>
        </is>
      </c>
      <c r="F569" s="67">
        <f>CONCATENATE(D569,"  ",E569," - ",A569," n° fatt ",C569," - ",TEXT(B569,"gg/mm/aaaa"))</f>
        <v/>
      </c>
    </row>
    <row r="570" ht="15.75" customHeight="1" s="155">
      <c r="A570" s="111" t="inlineStr">
        <is>
          <t>"RONDINELLA MARKET S.R.L."</t>
        </is>
      </c>
      <c r="B570" s="194" t="n">
        <v>45985</v>
      </c>
      <c r="C570" s="111" t="n">
        <v>2148</v>
      </c>
      <c r="D570" s="111" t="inlineStr">
        <is>
          <t>MIGLIORATORE UNIVERSALE</t>
        </is>
      </c>
      <c r="E570" s="67" t="inlineStr">
        <is>
          <t>contiene allergeni</t>
        </is>
      </c>
      <c r="F570" s="67">
        <f>CONCATENATE(D570,"  ",E570," - ",A570," n° fatt ",C570," - ",TEXT(B570,"gg/mm/aaaa"))</f>
        <v/>
      </c>
    </row>
    <row r="571" ht="15.75" customHeight="1" s="155">
      <c r="A571" s="111" t="inlineStr">
        <is>
          <t>"RONDINELLA MARKET S.R.L."</t>
        </is>
      </c>
      <c r="B571" s="194" t="n">
        <v>45985</v>
      </c>
      <c r="C571" s="111" t="n">
        <v>2148</v>
      </c>
      <c r="D571" s="111" t="inlineStr">
        <is>
          <t>EST.ZUPPA INGLESE</t>
        </is>
      </c>
      <c r="E571" s="67" t="inlineStr">
        <is>
          <t>contiene allergeni</t>
        </is>
      </c>
      <c r="F571" s="67">
        <f>CONCATENATE(D571,"  ",E571," - ",A571," n° fatt ",C571," - ",TEXT(B571,"gg/mm/aaaa"))</f>
        <v/>
      </c>
    </row>
    <row r="572" ht="15.75" customHeight="1" s="155">
      <c r="A572" s="111" t="inlineStr">
        <is>
          <t>"RONDINELLA MARKET S.R.L."</t>
        </is>
      </c>
      <c r="B572" s="194" t="n">
        <v>45985</v>
      </c>
      <c r="C572" s="111" t="n">
        <v>2148</v>
      </c>
      <c r="D572" s="111" t="inlineStr">
        <is>
          <t>AROMA BRIOCHES</t>
        </is>
      </c>
      <c r="E572" s="67" t="inlineStr">
        <is>
          <t>non contiene allergeni</t>
        </is>
      </c>
      <c r="F572" s="67">
        <f>CONCATENATE(D572,"  ",E572," - ",A572," n° fatt ",C572," - ",TEXT(B572,"gg/mm/aaaa"))</f>
        <v/>
      </c>
    </row>
    <row r="573" ht="15.75" customHeight="1" s="155">
      <c r="A573" s="111" t="inlineStr">
        <is>
          <t>"RONDINELLA MARKET S.R.L."</t>
        </is>
      </c>
      <c r="B573" s="194" t="n">
        <v>45985</v>
      </c>
      <c r="C573" s="111" t="n">
        <v>2148</v>
      </c>
      <c r="D573" s="111" t="inlineStr">
        <is>
          <t>CACAO AMARO IN POLVERE x 1kg</t>
        </is>
      </c>
      <c r="E573" s="67" t="inlineStr">
        <is>
          <t>non contiene allergeni</t>
        </is>
      </c>
      <c r="F573" s="67">
        <f>CONCATENATE(D573,"  ",E573," - ",A573," n° fatt ",C573," - ",TEXT(B573,"gg/mm/aaaa"))</f>
        <v/>
      </c>
    </row>
    <row r="574" ht="15.75" customHeight="1" s="155">
      <c r="A574" s="111" t="inlineStr">
        <is>
          <t>CILATTE S.R.L.</t>
        </is>
      </c>
      <c r="B574" s="194" t="n">
        <v>45991</v>
      </c>
      <c r="C574" s="111" t="n">
        <v>495</v>
      </c>
      <c r="D574" s="111" t="inlineStr">
        <is>
          <t>FIORI E PROVOLA</t>
        </is>
      </c>
      <c r="E574" s="67" t="inlineStr">
        <is>
          <t>contiene allergeni</t>
        </is>
      </c>
      <c r="F574" s="67">
        <f>CONCATENATE(D574,"  ",E574," - ",A574," n° fatt ",C574," - ",TEXT(B574,"gg/mm/aaaa"))</f>
        <v/>
      </c>
    </row>
    <row r="575" ht="31.5" customHeight="1" s="155">
      <c r="A575" s="111" t="inlineStr">
        <is>
          <t>GE.FI.AL. SAS DI FIORENZANO GENNARO &amp; C.</t>
        </is>
      </c>
      <c r="B575" s="194" t="n">
        <v>45974</v>
      </c>
      <c r="C575" s="111" t="n">
        <v>277</v>
      </c>
      <c r="D575" s="111" t="inlineStr">
        <is>
          <t>Ricotta di Pecora Zuccherata Congelata x 6 - Ricocrem-</t>
        </is>
      </c>
      <c r="E575" s="67" t="inlineStr">
        <is>
          <t>contiene allergeni</t>
        </is>
      </c>
      <c r="F575" s="67">
        <f>CONCATENATE(D575,"  ",E575," - ",A575," n° fatt ",C575," - ",TEXT(B575,"gg/mm/aaaa"))</f>
        <v/>
      </c>
    </row>
    <row r="576" ht="31.5" customHeight="1" s="155">
      <c r="A576" s="111" t="inlineStr">
        <is>
          <t>GE.FI.AL. SAS DI FIORENZANO GENNARO &amp; C.</t>
        </is>
      </c>
      <c r="B576" s="194" t="n">
        <v>45974</v>
      </c>
      <c r="C576" s="111" t="n">
        <v>277</v>
      </c>
      <c r="D576" s="111" t="inlineStr">
        <is>
          <t>Cannoli medi cioccolattati pz 100</t>
        </is>
      </c>
      <c r="E576" s="67" t="inlineStr">
        <is>
          <t>contiene allergeni</t>
        </is>
      </c>
      <c r="F576" s="67">
        <f>CONCATENATE(D576,"  ",E576," - ",A576," n° fatt ",C576," - ",TEXT(B576,"gg/mm/aaaa"))</f>
        <v/>
      </c>
    </row>
    <row r="577" ht="31.5" customHeight="1" s="155">
      <c r="A577" s="111" t="inlineStr">
        <is>
          <t>GE.FI.AL. SAS DI FIORENZANO GENNARO &amp; C.</t>
        </is>
      </c>
      <c r="B577" s="194" t="n">
        <v>45974</v>
      </c>
      <c r="C577" s="111" t="n">
        <v>277</v>
      </c>
      <c r="D577" s="111" t="inlineStr">
        <is>
          <t>Cannoli mignon cioccolattati kg 3,5</t>
        </is>
      </c>
      <c r="E577" s="67" t="inlineStr">
        <is>
          <t>contiene allergeni</t>
        </is>
      </c>
      <c r="F577" s="67">
        <f>CONCATENATE(D577,"  ",E577," - ",A577," n° fatt ",C577," - ",TEXT(B577,"gg/mm/aaaa"))</f>
        <v/>
      </c>
    </row>
    <row r="578" ht="31.5" customHeight="1" s="155">
      <c r="A578" s="111" t="inlineStr">
        <is>
          <t>GE.FI.AL. SAS DI FIORENZANO GENNARO &amp; C.</t>
        </is>
      </c>
      <c r="B578" s="194" t="n">
        <v>45974</v>
      </c>
      <c r="C578" s="111" t="n">
        <v>277</v>
      </c>
      <c r="D578" s="111" t="inlineStr">
        <is>
          <t>Cassatina Monoporzione Classica Gr. 100 x 12 pz.</t>
        </is>
      </c>
      <c r="E578" s="67" t="inlineStr">
        <is>
          <t>contiene allergeni</t>
        </is>
      </c>
      <c r="F578" s="67">
        <f>CONCATENATE(D578,"  ",E578," - ",A578," n° fatt ",C578," - ",TEXT(B578,"gg/mm/aaaa"))</f>
        <v/>
      </c>
    </row>
    <row r="579" ht="31.5" customHeight="1" s="155">
      <c r="A579" s="111" t="inlineStr">
        <is>
          <t>GE.FI.AL. SAS DI FIORENZANO GENNARO &amp; C.</t>
        </is>
      </c>
      <c r="B579" s="194" t="n">
        <v>45996</v>
      </c>
      <c r="C579" s="111" t="n">
        <v>314</v>
      </c>
      <c r="D579" s="111" t="inlineStr">
        <is>
          <t>Ricotta di Pecora Zuccherata Congelata x 6 - Ricocrem-</t>
        </is>
      </c>
      <c r="E579" s="67" t="inlineStr">
        <is>
          <t>contiene allergeni</t>
        </is>
      </c>
      <c r="F579" s="67">
        <f>CONCATENATE(D579,"  ",E579," - ",A579," n° fatt ",C579," - ",TEXT(B579,"gg/mm/aaaa"))</f>
        <v/>
      </c>
    </row>
    <row r="580" ht="15.75" customHeight="1" s="155">
      <c r="A580" s="111" t="inlineStr">
        <is>
          <t>"RONDINELLA MARKET S.R.L."</t>
        </is>
      </c>
      <c r="B580" s="194" t="n">
        <v>45971</v>
      </c>
      <c r="C580" s="111" t="n">
        <v>2036</v>
      </c>
      <c r="D580" s="111" t="inlineStr">
        <is>
          <t>AMARENA VISCIOLA 15Kg</t>
        </is>
      </c>
      <c r="E580" s="67" t="inlineStr">
        <is>
          <t>non contiene allergeni</t>
        </is>
      </c>
      <c r="F580" s="67">
        <f>CONCATENATE(D580,"  ",E580," - ",A580," n° fatt ",C580," - ",TEXT(B580,"gg/mm/aaaa"))</f>
        <v/>
      </c>
    </row>
    <row r="581" ht="15.75" customHeight="1" s="155">
      <c r="A581" s="111" t="inlineStr">
        <is>
          <t>"RONDINELLA MARKET S.R.L."</t>
        </is>
      </c>
      <c r="B581" s="194" t="n">
        <v>45971</v>
      </c>
      <c r="C581" s="111" t="n">
        <v>2036</v>
      </c>
      <c r="D581" s="111" t="inlineStr">
        <is>
          <t>STRUTTO</t>
        </is>
      </c>
      <c r="E581" s="67" t="inlineStr">
        <is>
          <t>non contiene allergeni</t>
        </is>
      </c>
      <c r="F581" s="67">
        <f>CONCATENATE(D581,"  ",E581," - ",A581," n° fatt ",C581," - ",TEXT(B581,"gg/mm/aaaa"))</f>
        <v/>
      </c>
    </row>
    <row r="582" ht="31.5" customHeight="1" s="155">
      <c r="A582" s="111" t="inlineStr">
        <is>
          <t>GE.FI.AL. SAS DI FIORENZANO GENNARO &amp; C.</t>
        </is>
      </c>
      <c r="B582" s="194" t="n">
        <v>45986</v>
      </c>
      <c r="C582" s="111" t="n">
        <v>297</v>
      </c>
      <c r="D582" s="111" t="inlineStr">
        <is>
          <t>Ricotta di Pecora Zuccherata Congelata x 6 - Ricocrem- // lotto F2005 scadenza 05/2027</t>
        </is>
      </c>
      <c r="E582" s="67" t="inlineStr">
        <is>
          <t>contiene allergeni</t>
        </is>
      </c>
      <c r="F582" s="67">
        <f>CONCATENATE(D582,"  ",E582," - ",A582," n° fatt ",C582," - ",TEXT(B582,"gg/mm/aaaa"))</f>
        <v/>
      </c>
    </row>
    <row r="583" ht="31.5" customHeight="1" s="155">
      <c r="A583" s="111" t="inlineStr">
        <is>
          <t>GE.FI.AL. SAS DI FIORENZANO GENNARO &amp; C.</t>
        </is>
      </c>
      <c r="B583" s="194" t="n">
        <v>45986</v>
      </c>
      <c r="C583" s="111" t="n">
        <v>297</v>
      </c>
      <c r="D583" s="111" t="inlineStr">
        <is>
          <t>Cannoli medi cioccolattati pz 100 // lotto 11 Settembre scadenza Marzo 2026</t>
        </is>
      </c>
      <c r="E583" s="67" t="inlineStr">
        <is>
          <t>contiene allergeni</t>
        </is>
      </c>
      <c r="F583" s="67">
        <f>CONCATENATE(D583,"  ",E583," - ",A583," n° fatt ",C583," - ",TEXT(B583,"gg/mm/aaaa"))</f>
        <v/>
      </c>
    </row>
    <row r="584" ht="31.5" customHeight="1" s="155">
      <c r="A584" s="111" t="inlineStr">
        <is>
          <t>GE.FI.AL. SAS DI FIORENZANO GENNARO &amp; C.</t>
        </is>
      </c>
      <c r="B584" s="194" t="n">
        <v>45986</v>
      </c>
      <c r="C584" s="111" t="n">
        <v>297</v>
      </c>
      <c r="D584" s="111" t="inlineStr">
        <is>
          <t>Cannoli mignon cioccolattati kg 3,5 // lotto 11 settembre scadenza 2026</t>
        </is>
      </c>
      <c r="E584" s="67" t="inlineStr">
        <is>
          <t>contiene allergeni</t>
        </is>
      </c>
      <c r="F584" s="67">
        <f>CONCATENATE(D584,"  ",E584," - ",A584," n° fatt ",C584," - ",TEXT(B584,"gg/mm/aaaa"))</f>
        <v/>
      </c>
    </row>
    <row r="585" ht="15.75" customHeight="1" s="155">
      <c r="A585" s="111" t="inlineStr">
        <is>
          <t>SAIMA S.p.A.</t>
        </is>
      </c>
      <c r="B585" s="194" t="n">
        <v>45972</v>
      </c>
      <c r="C585" s="111" t="inlineStr">
        <is>
          <t>1/196084</t>
        </is>
      </c>
      <c r="D585" s="111" t="inlineStr">
        <is>
          <t xml:space="preserve">MIX GOLDEN NOW DA KG 15 (4644)  </t>
        </is>
      </c>
      <c r="E585" s="67" t="inlineStr">
        <is>
          <t>contiene allergeni</t>
        </is>
      </c>
      <c r="F585" s="67">
        <f>CONCATENATE(D585,"  ",E585," - ",A585," n° fatt ",C585," - ",TEXT(B585,"gg/mm/aaaa"))</f>
        <v/>
      </c>
    </row>
    <row r="586" ht="31.5" customHeight="1" s="155">
      <c r="A586" s="111" t="inlineStr">
        <is>
          <t>SAIMA S.p.A.</t>
        </is>
      </c>
      <c r="B586" s="194" t="n">
        <v>45972</v>
      </c>
      <c r="C586" s="111" t="inlineStr">
        <is>
          <t>1/196084</t>
        </is>
      </c>
      <c r="D586" s="111" t="inlineStr">
        <is>
          <t xml:space="preserve">BURRO TRADIZIONALE BLOCCHI M.G. 82% 20665601  </t>
        </is>
      </c>
      <c r="E586" s="67" t="inlineStr">
        <is>
          <t>contiene allergeni</t>
        </is>
      </c>
      <c r="F586" s="67">
        <f>CONCATENATE(D586,"  ",E586," - ",A586," n° fatt ",C586," - ",TEXT(B586,"gg/mm/aaaa"))</f>
        <v/>
      </c>
    </row>
    <row r="587" ht="15.75" customHeight="1" s="155">
      <c r="A587" s="111" t="inlineStr">
        <is>
          <t>SAIMA S.p.A.</t>
        </is>
      </c>
      <c r="B587" s="194" t="n">
        <v>45972</v>
      </c>
      <c r="C587" s="111" t="inlineStr">
        <is>
          <t>1/196084</t>
        </is>
      </c>
      <c r="D587" s="111" t="inlineStr">
        <is>
          <t xml:space="preserve">LIEVITO DA KG 5 NATURALE NATURVI-S (4849)  </t>
        </is>
      </c>
      <c r="E587" s="67" t="inlineStr">
        <is>
          <t>non contiene allergeni</t>
        </is>
      </c>
      <c r="F587" s="67">
        <f>CONCATENATE(D587,"  ",E587," - ",A587," n° fatt ",C587," - ",TEXT(B587,"gg/mm/aaaa"))</f>
        <v/>
      </c>
    </row>
    <row r="588" ht="15.75" customHeight="1" s="155">
      <c r="A588" s="111" t="inlineStr">
        <is>
          <t>SAIMA S.p.A.</t>
        </is>
      </c>
      <c r="B588" s="194" t="n">
        <v>45972</v>
      </c>
      <c r="C588" s="111" t="inlineStr">
        <is>
          <t>1/196084</t>
        </is>
      </c>
      <c r="D588" s="111" t="inlineStr">
        <is>
          <t xml:space="preserve">MIX AFRICANO MIX DA KG 10  </t>
        </is>
      </c>
      <c r="E588" s="67" t="inlineStr">
        <is>
          <t>contiene allergeni</t>
        </is>
      </c>
      <c r="F588" s="67">
        <f>CONCATENATE(D588,"  ",E588," - ",A588," n° fatt ",C588," - ",TEXT(B588,"gg/mm/aaaa"))</f>
        <v/>
      </c>
    </row>
    <row r="589" ht="15.75" customHeight="1" s="155">
      <c r="A589" s="111" t="inlineStr">
        <is>
          <t>SAIMA S.p.A.</t>
        </is>
      </c>
      <c r="B589" s="194" t="n">
        <v>45972</v>
      </c>
      <c r="C589" s="111" t="inlineStr">
        <is>
          <t>1/196084</t>
        </is>
      </c>
      <c r="D589" s="111" t="inlineStr">
        <is>
          <t xml:space="preserve">MIX CAKE NATURE DA KG 10 (4830)  </t>
        </is>
      </c>
      <c r="E589" s="67" t="inlineStr">
        <is>
          <t>contiene allergeni</t>
        </is>
      </c>
      <c r="F589" s="67">
        <f>CONCATENATE(D589,"  ",E589," - ",A589," n° fatt ",C589," - ",TEXT(B589,"gg/mm/aaaa"))</f>
        <v/>
      </c>
    </row>
    <row r="590" ht="15.75" customHeight="1" s="155">
      <c r="A590" s="111" t="inlineStr">
        <is>
          <t>SAIMA S.p.A.</t>
        </is>
      </c>
      <c r="B590" s="194" t="n">
        <v>45972</v>
      </c>
      <c r="C590" s="111" t="inlineStr">
        <is>
          <t>1/196084</t>
        </is>
      </c>
      <c r="D590" s="111" t="inlineStr">
        <is>
          <t xml:space="preserve">UVA DA KG 1 SULTANINA AUSTRALIANA VINTAGE  </t>
        </is>
      </c>
      <c r="E590" s="67" t="inlineStr">
        <is>
          <t>non contiene allergeni</t>
        </is>
      </c>
      <c r="F590" s="67">
        <f>CONCATENATE(D590,"  ",E590," - ",A590," n° fatt ",C590," - ",TEXT(B590,"gg/mm/aaaa"))</f>
        <v/>
      </c>
    </row>
    <row r="591" ht="15.75" customHeight="1" s="155">
      <c r="A591" s="111" t="inlineStr">
        <is>
          <t>SAIMA S.p.A.</t>
        </is>
      </c>
      <c r="B591" s="194" t="n">
        <v>45972</v>
      </c>
      <c r="C591" s="111" t="inlineStr">
        <is>
          <t>1/196084</t>
        </is>
      </c>
      <c r="D591" s="111" t="inlineStr">
        <is>
          <t xml:space="preserve">LIEVITO DI BIRRA PER PANIFICAZIONE  </t>
        </is>
      </c>
      <c r="E591" s="67" t="inlineStr">
        <is>
          <t>non contiene allergeni</t>
        </is>
      </c>
      <c r="F591" s="67">
        <f>CONCATENATE(D591,"  ",E591," - ",A591," n° fatt ",C591," - ",TEXT(B591,"gg/mm/aaaa"))</f>
        <v/>
      </c>
    </row>
    <row r="592" ht="15.75" customHeight="1" s="155">
      <c r="A592" s="111" t="inlineStr">
        <is>
          <t>SAIMA S.p.A.</t>
        </is>
      </c>
      <c r="B592" s="194" t="n">
        <v>45972</v>
      </c>
      <c r="C592" s="111" t="inlineStr">
        <is>
          <t>1/196084</t>
        </is>
      </c>
      <c r="D592" s="111" t="inlineStr">
        <is>
          <t xml:space="preserve">PASTA TIRAMISU' DA KG 1 (0227.1)  </t>
        </is>
      </c>
      <c r="E592" s="67" t="inlineStr">
        <is>
          <t>non contiene allergeni</t>
        </is>
      </c>
      <c r="F592" s="67">
        <f>CONCATENATE(D592,"  ",E592," - ",A592," n° fatt ",C592," - ",TEXT(B592,"gg/mm/aaaa"))</f>
        <v/>
      </c>
    </row>
    <row r="593" ht="15.75" customHeight="1" s="155">
      <c r="A593" s="111" t="inlineStr">
        <is>
          <t>SAIMA S.p.A.</t>
        </is>
      </c>
      <c r="B593" s="194" t="n">
        <v>45972</v>
      </c>
      <c r="C593" s="111" t="inlineStr">
        <is>
          <t>1/196084</t>
        </is>
      </c>
      <c r="D593" s="111" t="inlineStr">
        <is>
          <t xml:space="preserve">AROMA EMULSIONE BURRO NATURALE  </t>
        </is>
      </c>
      <c r="E593" s="67" t="inlineStr">
        <is>
          <t>non contiene allergeni</t>
        </is>
      </c>
      <c r="F593" s="67">
        <f>CONCATENATE(D593,"  ",E593," - ",A593," n° fatt ",C593," - ",TEXT(B593,"gg/mm/aaaa"))</f>
        <v/>
      </c>
    </row>
    <row r="594" ht="31.5" customHeight="1" s="155">
      <c r="A594" s="111" t="inlineStr">
        <is>
          <t>SAIMA S.p.A.</t>
        </is>
      </c>
      <c r="B594" s="194" t="n">
        <v>45981</v>
      </c>
      <c r="C594" s="111" t="inlineStr">
        <is>
          <t>1/202426</t>
        </is>
      </c>
      <c r="D594" s="111" t="inlineStr">
        <is>
          <t xml:space="preserve">SCORZONE ARANCIO FRESCO PREMIUM CUBETTI 10X10 CANDITO DA KG 3  </t>
        </is>
      </c>
      <c r="E594" s="67" t="inlineStr">
        <is>
          <t>non contiene allergeni</t>
        </is>
      </c>
      <c r="F594" s="67">
        <f>CONCATENATE(D594,"  ",E594," - ",A594," n° fatt ",C594," - ",TEXT(B594,"gg/mm/aaaa"))</f>
        <v/>
      </c>
    </row>
    <row r="595" ht="31.5" customHeight="1" s="155">
      <c r="A595" s="111" t="inlineStr">
        <is>
          <t>SAIMA S.p.A.</t>
        </is>
      </c>
      <c r="B595" s="194" t="n">
        <v>45981</v>
      </c>
      <c r="C595" s="111" t="inlineStr">
        <is>
          <t>1/202426</t>
        </is>
      </c>
      <c r="D595" s="111" t="inlineStr">
        <is>
          <t xml:space="preserve">BURRO TRADIZIONALE BLOCCHI M.G. 82% 20665601  </t>
        </is>
      </c>
      <c r="E595" s="67" t="inlineStr">
        <is>
          <t>contiene allergeni</t>
        </is>
      </c>
      <c r="F595" s="67">
        <f>CONCATENATE(D595,"  ",E595," - ",A595," n° fatt ",C595," - ",TEXT(B595,"gg/mm/aaaa"))</f>
        <v/>
      </c>
    </row>
    <row r="596" ht="31.5" customHeight="1" s="155">
      <c r="A596" s="111" t="inlineStr">
        <is>
          <t>SAIMA S.p.A.</t>
        </is>
      </c>
      <c r="B596" s="194" t="n">
        <v>45981</v>
      </c>
      <c r="C596" s="111" t="inlineStr">
        <is>
          <t>1/202426</t>
        </is>
      </c>
      <c r="D596" s="111" t="inlineStr">
        <is>
          <t xml:space="preserve">UVETTA CILENA AL RUM SPIRITUALS IN SCIROPPO KG 2,75 (02024275A)  </t>
        </is>
      </c>
      <c r="E596" s="67" t="inlineStr">
        <is>
          <t>non contiene allergeni</t>
        </is>
      </c>
      <c r="F596" s="67">
        <f>CONCATENATE(D596,"  ",E596," - ",A596," n° fatt ",C596," - ",TEXT(B596,"gg/mm/aaaa"))</f>
        <v/>
      </c>
    </row>
    <row r="597" ht="31.5" customHeight="1" s="155">
      <c r="A597" s="111" t="inlineStr">
        <is>
          <t>SAIMA S.p.A.</t>
        </is>
      </c>
      <c r="B597" s="194" t="n">
        <v>45981</v>
      </c>
      <c r="C597" s="111" t="inlineStr">
        <is>
          <t>1/202426</t>
        </is>
      </c>
      <c r="D597" s="111" t="inlineStr">
        <is>
          <t xml:space="preserve">PASTA DI ARANCIA (PUREA) AMORDIFRUTTA KG 3,5 (05100130A)  </t>
        </is>
      </c>
      <c r="E597" s="67" t="inlineStr">
        <is>
          <t>non contiene allergeni</t>
        </is>
      </c>
      <c r="F597" s="67">
        <f>CONCATENATE(D597,"  ",E597," - ",A597," n° fatt ",C597," - ",TEXT(B597,"gg/mm/aaaa"))</f>
        <v/>
      </c>
    </row>
    <row r="598" ht="15.75" customHeight="1" s="155">
      <c r="A598" s="111" t="inlineStr">
        <is>
          <t>SAIMA S.p.A.</t>
        </is>
      </c>
      <c r="B598" s="194" t="n">
        <v>45981</v>
      </c>
      <c r="C598" s="111" t="inlineStr">
        <is>
          <t>1/202426</t>
        </is>
      </c>
      <c r="D598" s="111" t="inlineStr">
        <is>
          <t xml:space="preserve">UVA DA KG 1 SULTANINA AUSTRALIANA VINTAGE  </t>
        </is>
      </c>
      <c r="E598" s="67" t="inlineStr">
        <is>
          <t>non contiene allergeni</t>
        </is>
      </c>
      <c r="F598" s="67">
        <f>CONCATENATE(D598,"  ",E598," - ",A598," n° fatt ",C598," - ",TEXT(B598,"gg/mm/aaaa"))</f>
        <v/>
      </c>
    </row>
    <row r="599" ht="15.75" customHeight="1" s="155">
      <c r="A599" s="111" t="inlineStr">
        <is>
          <t>SAIMA S.p.A.</t>
        </is>
      </c>
      <c r="B599" s="194" t="n">
        <v>45981</v>
      </c>
      <c r="C599" s="111" t="inlineStr">
        <is>
          <t>1/202426</t>
        </is>
      </c>
      <c r="D599" s="111" t="inlineStr">
        <is>
          <t xml:space="preserve">ZUCCHERO IN GRANELLA GRANDE  </t>
        </is>
      </c>
      <c r="E599" s="67" t="inlineStr">
        <is>
          <t>non contiene allergeni</t>
        </is>
      </c>
      <c r="F599" s="67">
        <f>CONCATENATE(D599,"  ",E599," - ",A599," n° fatt ",C599," - ",TEXT(B599,"gg/mm/aaaa"))</f>
        <v/>
      </c>
    </row>
    <row r="600" ht="15.75" customHeight="1" s="155">
      <c r="A600" s="111" t="inlineStr">
        <is>
          <t>SAIMA S.p.A.</t>
        </is>
      </c>
      <c r="B600" s="194" t="n">
        <v>45981</v>
      </c>
      <c r="C600" s="111" t="inlineStr">
        <is>
          <t>1/202426</t>
        </is>
      </c>
      <c r="D600" s="111" t="inlineStr">
        <is>
          <t xml:space="preserve">MIX GLAXA (4495)  </t>
        </is>
      </c>
      <c r="E600" s="67" t="inlineStr">
        <is>
          <t>non contiene allergeni</t>
        </is>
      </c>
      <c r="F600" s="67">
        <f>CONCATENATE(D600,"  ",E600," - ",A600," n° fatt ",C600," - ",TEXT(B600,"gg/mm/aaaa"))</f>
        <v/>
      </c>
    </row>
    <row r="601" ht="15.75" customHeight="1" s="155">
      <c r="A601" s="111" t="inlineStr">
        <is>
          <t>SAIMA S.p.A.</t>
        </is>
      </c>
      <c r="B601" s="194" t="n">
        <v>45981</v>
      </c>
      <c r="C601" s="111" t="inlineStr">
        <is>
          <t>1/202426</t>
        </is>
      </c>
      <c r="D601" s="111" t="inlineStr">
        <is>
          <t xml:space="preserve">COVER PISTACCHIO ROCK DA KG 3 (011CP130)  </t>
        </is>
      </c>
      <c r="E601" s="67" t="inlineStr">
        <is>
          <t>contiene allergeni</t>
        </is>
      </c>
      <c r="F601" s="67">
        <f>CONCATENATE(D601,"  ",E601," - ",A601," n° fatt ",C601," - ",TEXT(B601,"gg/mm/aaaa"))</f>
        <v/>
      </c>
    </row>
    <row r="602" ht="15.75" customHeight="1" s="155">
      <c r="A602" s="111" t="inlineStr">
        <is>
          <t>SAIMA S.p.A.</t>
        </is>
      </c>
      <c r="B602" s="194" t="n">
        <v>45981</v>
      </c>
      <c r="C602" s="111" t="inlineStr">
        <is>
          <t>1/202426</t>
        </is>
      </c>
      <c r="D602" s="111" t="inlineStr">
        <is>
          <t xml:space="preserve">CHUNKS CUBETTI AL PISTACCHIO DA KG 2  </t>
        </is>
      </c>
      <c r="E602" s="67" t="inlineStr">
        <is>
          <t>contiene allergeni</t>
        </is>
      </c>
      <c r="F602" s="67">
        <f>CONCATENATE(D602,"  ",E602," - ",A602," n° fatt ",C602," - ",TEXT(B602,"gg/mm/aaaa"))</f>
        <v/>
      </c>
    </row>
    <row r="603" ht="15.75" customHeight="1" s="155">
      <c r="A603" s="111" t="inlineStr">
        <is>
          <t>SAIMA S.p.A.</t>
        </is>
      </c>
      <c r="B603" s="194" t="n">
        <v>45981</v>
      </c>
      <c r="C603" s="111" t="inlineStr">
        <is>
          <t>1/202426</t>
        </is>
      </c>
      <c r="D603" s="111" t="inlineStr">
        <is>
          <t xml:space="preserve">MIX GOLDEN NOW DA KG 15 (4644)  </t>
        </is>
      </c>
      <c r="E603" s="67" t="inlineStr">
        <is>
          <t>contiene allergeni</t>
        </is>
      </c>
      <c r="F603" s="67">
        <f>CONCATENATE(D603,"  ",E603," - ",A603," n° fatt ",C603," - ",TEXT(B603,"gg/mm/aaaa"))</f>
        <v/>
      </c>
    </row>
    <row r="604" ht="15.75" customHeight="1" s="155">
      <c r="A604" s="111" t="inlineStr">
        <is>
          <t>SAIMA S.p.A.</t>
        </is>
      </c>
      <c r="B604" s="194" t="n">
        <v>45981</v>
      </c>
      <c r="C604" s="111" t="inlineStr">
        <is>
          <t>1/202426</t>
        </is>
      </c>
      <c r="D604" s="111" t="inlineStr">
        <is>
          <t xml:space="preserve">LIEVITO DA KG 5 NATURALE NATURVI-S (4849)  </t>
        </is>
      </c>
      <c r="E604" s="67" t="inlineStr">
        <is>
          <t>non contiene allergeni</t>
        </is>
      </c>
      <c r="F604" s="67">
        <f>CONCATENATE(D604,"  ",E604," - ",A604," n° fatt ",C604," - ",TEXT(B604,"gg/mm/aaaa"))</f>
        <v/>
      </c>
    </row>
    <row r="605" ht="31.5" customHeight="1" s="155">
      <c r="A605" s="111" t="inlineStr">
        <is>
          <t>SAIMA S.p.A.</t>
        </is>
      </c>
      <c r="B605" s="194" t="n">
        <v>45981</v>
      </c>
      <c r="C605" s="111" t="inlineStr">
        <is>
          <t>1/202426</t>
        </is>
      </c>
      <c r="D605" s="111" t="inlineStr">
        <is>
          <t xml:space="preserve">MELA CANNELLA A CUBETTI 14X14 SEMICANDITA IN SCIROPPO DA KG 3  </t>
        </is>
      </c>
      <c r="E605" s="67" t="inlineStr">
        <is>
          <t>non contiene allergeni</t>
        </is>
      </c>
      <c r="F605" s="67">
        <f>CONCATENATE(D605,"  ",E605," - ",A605," n° fatt ",C605," - ",TEXT(B605,"gg/mm/aaaa"))</f>
        <v/>
      </c>
    </row>
    <row r="606" ht="15.75" customHeight="1" s="155">
      <c r="A606" s="111" t="inlineStr">
        <is>
          <t>SAIMA S.p.A.</t>
        </is>
      </c>
      <c r="B606" s="194" t="n">
        <v>45981</v>
      </c>
      <c r="C606" s="111" t="inlineStr">
        <is>
          <t>1/202426</t>
        </is>
      </c>
      <c r="D606" s="111" t="inlineStr">
        <is>
          <t xml:space="preserve">GOCCE DI MERINGA SFUSO KG 2  </t>
        </is>
      </c>
      <c r="E606" s="67" t="inlineStr">
        <is>
          <t>non contiene allergeni</t>
        </is>
      </c>
      <c r="F606" s="67">
        <f>CONCATENATE(D606,"  ",E606," - ",A606," n° fatt ",C606," - ",TEXT(B606,"gg/mm/aaaa"))</f>
        <v/>
      </c>
    </row>
    <row r="607" ht="31.5" customHeight="1" s="155">
      <c r="A607" s="111" t="inlineStr">
        <is>
          <t>SAIMA S.p.A.</t>
        </is>
      </c>
      <c r="B607" s="194" t="n">
        <v>45981</v>
      </c>
      <c r="C607" s="111" t="inlineStr">
        <is>
          <t>1/202426</t>
        </is>
      </c>
      <c r="D607" s="111" t="inlineStr">
        <is>
          <t xml:space="preserve">AMARENA NATURALE INTERA IN SCIROPPO DA KG 3  </t>
        </is>
      </c>
      <c r="E607" s="67" t="inlineStr">
        <is>
          <t>non contiene allergeni</t>
        </is>
      </c>
      <c r="F607" s="67">
        <f>CONCATENATE(D607,"  ",E607," - ",A607," n° fatt ",C607," - ",TEXT(B607,"gg/mm/aaaa"))</f>
        <v/>
      </c>
    </row>
    <row r="608" ht="15.75" customHeight="1" s="155">
      <c r="A608" s="111" t="inlineStr">
        <is>
          <t>SAIMA S.p.A.</t>
        </is>
      </c>
      <c r="B608" s="194" t="n">
        <v>45981</v>
      </c>
      <c r="C608" s="111" t="inlineStr">
        <is>
          <t>1/202426</t>
        </is>
      </c>
      <c r="D608" s="111" t="inlineStr">
        <is>
          <t xml:space="preserve">LIEVITO DI BIRRA PER PANIFICAZIONE  </t>
        </is>
      </c>
      <c r="E608" s="67" t="inlineStr">
        <is>
          <t>non contiene allergeni</t>
        </is>
      </c>
      <c r="F608" s="67">
        <f>CONCATENATE(D608,"  ",E608," - ",A608," n° fatt ",C608," - ",TEXT(B608,"gg/mm/aaaa"))</f>
        <v/>
      </c>
    </row>
    <row r="609" ht="31.5" customHeight="1" s="155">
      <c r="A609" s="111" t="inlineStr">
        <is>
          <t>SAIMA S.p.A.</t>
        </is>
      </c>
      <c r="B609" s="194" t="n">
        <v>45981</v>
      </c>
      <c r="C609" s="111" t="inlineStr">
        <is>
          <t>1/202426</t>
        </is>
      </c>
      <c r="D609" s="111" t="inlineStr">
        <is>
          <t xml:space="preserve">CHUNKS - CUBETTI DI CIOCCOLATO FONDENTE DA KG 2,5  </t>
        </is>
      </c>
      <c r="E609" s="67" t="inlineStr">
        <is>
          <t>non contiene allergeni</t>
        </is>
      </c>
      <c r="F609" s="67">
        <f>CONCATENATE(D609,"  ",E609," - ",A609," n° fatt ",C609," - ",TEXT(B609,"gg/mm/aaaa"))</f>
        <v/>
      </c>
    </row>
    <row r="610" ht="31.5" customHeight="1" s="155">
      <c r="A610" s="111" t="inlineStr">
        <is>
          <t>SAIMA S.p.A.</t>
        </is>
      </c>
      <c r="B610" s="194" t="n">
        <v>45981</v>
      </c>
      <c r="C610" s="111" t="inlineStr">
        <is>
          <t>1/202426</t>
        </is>
      </c>
      <c r="D610" s="111" t="inlineStr">
        <is>
          <t xml:space="preserve">CHUNKS - CUBETTI DI CIOCCOLATO BIANCO DA KG 2,5  </t>
        </is>
      </c>
      <c r="E610" s="67" t="inlineStr">
        <is>
          <t>non contiene allergeni</t>
        </is>
      </c>
      <c r="F610" s="67">
        <f>CONCATENATE(D610,"  ",E610," - ",A610," n° fatt ",C610," - ",TEXT(B610,"gg/mm/aaaa"))</f>
        <v/>
      </c>
    </row>
    <row r="611" ht="31.5" customHeight="1" s="155">
      <c r="A611" s="111" t="inlineStr">
        <is>
          <t>SAIMA S.p.A.</t>
        </is>
      </c>
      <c r="B611" s="194" t="n">
        <v>45981</v>
      </c>
      <c r="C611" s="111" t="inlineStr">
        <is>
          <t>1/202426</t>
        </is>
      </c>
      <c r="D611" s="111" t="inlineStr">
        <is>
          <t xml:space="preserve">CHUNKS - CUBETTI DI CIOCCOLATO AL LATTE DA KG 2,5  </t>
        </is>
      </c>
      <c r="E611" s="67" t="inlineStr">
        <is>
          <t>non contiene allergeni</t>
        </is>
      </c>
      <c r="F611" s="67">
        <f>CONCATENATE(D611,"  ",E611," - ",A611," n° fatt ",C611," - ",TEXT(B611,"gg/mm/aaaa"))</f>
        <v/>
      </c>
    </row>
    <row r="612" ht="31.5" customHeight="1" s="155">
      <c r="A612" s="111" t="inlineStr">
        <is>
          <t>SAIMA S.p.A.</t>
        </is>
      </c>
      <c r="B612" s="194" t="n">
        <v>45981</v>
      </c>
      <c r="C612" s="111" t="inlineStr">
        <is>
          <t>1/202426</t>
        </is>
      </c>
      <c r="D612" s="111" t="inlineStr">
        <is>
          <t xml:space="preserve">EUROVO ALBUME STANDARD PASTORIZZATO (NORMALE) (5197)  </t>
        </is>
      </c>
      <c r="E612" s="67" t="inlineStr">
        <is>
          <t>non contiene allergeni</t>
        </is>
      </c>
      <c r="F612" s="67">
        <f>CONCATENATE(D612,"  ",E612," - ",A612," n° fatt ",C612," - ",TEXT(B612,"gg/mm/aaaa"))</f>
        <v/>
      </c>
    </row>
    <row r="613" ht="15.75" customHeight="1" s="155">
      <c r="A613" s="111" t="inlineStr">
        <is>
          <t>SAIMA S.p.A.</t>
        </is>
      </c>
      <c r="B613" s="194" t="n">
        <v>45981</v>
      </c>
      <c r="C613" s="111" t="inlineStr">
        <is>
          <t>1/202426</t>
        </is>
      </c>
      <c r="D613" s="111" t="inlineStr">
        <is>
          <t xml:space="preserve">MANDORLE NATURALI IN SACCHI DA KG 25  </t>
        </is>
      </c>
      <c r="E613" s="67" t="inlineStr">
        <is>
          <t>contiene allergeni</t>
        </is>
      </c>
      <c r="F613" s="67">
        <f>CONCATENATE(D613,"  ",E613," - ",A613," n° fatt ",C613," - ",TEXT(B613,"gg/mm/aaaa"))</f>
        <v/>
      </c>
    </row>
    <row r="614" ht="31.5" customHeight="1" s="155">
      <c r="A614" s="111" t="inlineStr">
        <is>
          <t>SAIMA S.p.A.</t>
        </is>
      </c>
      <c r="B614" s="194" t="n">
        <v>45981</v>
      </c>
      <c r="C614" s="111" t="inlineStr">
        <is>
          <t>1/202426</t>
        </is>
      </c>
      <c r="D614" s="111" t="inlineStr">
        <is>
          <t xml:space="preserve">SCORZONE A FILETTI ARANCIO 6X80 CANDITI DA KG 2  </t>
        </is>
      </c>
      <c r="E614" s="67" t="inlineStr">
        <is>
          <t>contiene allergeni</t>
        </is>
      </c>
      <c r="F614" s="67">
        <f>CONCATENATE(D614,"  ",E614," - ",A614," n° fatt ",C614," - ",TEXT(B614,"gg/mm/aaaa"))</f>
        <v/>
      </c>
    </row>
    <row r="615" ht="15.75" customHeight="1" s="155">
      <c r="A615" s="111" t="inlineStr">
        <is>
          <t>SAIMA S.p.A.</t>
        </is>
      </c>
      <c r="B615" s="194" t="n">
        <v>45981</v>
      </c>
      <c r="C615" s="111" t="inlineStr">
        <is>
          <t>1/202426</t>
        </is>
      </c>
      <c r="D615" s="111" t="inlineStr">
        <is>
          <t xml:space="preserve">ARANCIA A TONDELLI CANDITA DA KG 5  </t>
        </is>
      </c>
      <c r="E615" s="67" t="inlineStr">
        <is>
          <t>non contiene allergeni</t>
        </is>
      </c>
      <c r="F615" s="67">
        <f>CONCATENATE(D615,"  ",E615," - ",A615," n° fatt ",C615," - ",TEXT(B615,"gg/mm/aaaa"))</f>
        <v/>
      </c>
    </row>
    <row r="616" ht="15.75" customHeight="1" s="155">
      <c r="A616" s="111" t="inlineStr">
        <is>
          <t>SAIMA S.p.A.</t>
        </is>
      </c>
      <c r="B616" s="194" t="n">
        <v>45981</v>
      </c>
      <c r="C616" s="111" t="inlineStr">
        <is>
          <t>1/202426</t>
        </is>
      </c>
      <c r="D616" s="111" t="inlineStr">
        <is>
          <t xml:space="preserve">MIELE MILLEFIORI CONTENITORE KG 10  </t>
        </is>
      </c>
      <c r="E616" s="67" t="inlineStr">
        <is>
          <t>non contiene allergeni</t>
        </is>
      </c>
      <c r="F616" s="67">
        <f>CONCATENATE(D616,"  ",E616," - ",A616," n° fatt ",C616," - ",TEXT(B616,"gg/mm/aaaa"))</f>
        <v/>
      </c>
    </row>
    <row r="617" ht="31.5" customHeight="1" s="155">
      <c r="A617" s="111" t="inlineStr">
        <is>
          <t>SAIMA S.p.A.</t>
        </is>
      </c>
      <c r="B617" s="194" t="n">
        <v>45981</v>
      </c>
      <c r="C617" s="111" t="inlineStr">
        <is>
          <t>1/202426</t>
        </is>
      </c>
      <c r="D617" s="111" t="inlineStr">
        <is>
          <t xml:space="preserve">AMMONIACA (BICARBONATO DI AMMONIO) E503 KG1  </t>
        </is>
      </c>
      <c r="E617" s="67" t="inlineStr">
        <is>
          <t>non contiene allergeni</t>
        </is>
      </c>
      <c r="F617" s="67">
        <f>CONCATENATE(D617,"  ",E617," - ",A617," n° fatt ",C617," - ",TEXT(B617,"gg/mm/aaaa"))</f>
        <v/>
      </c>
    </row>
    <row r="618" ht="15.75" customHeight="1" s="155">
      <c r="A618" s="111" t="inlineStr">
        <is>
          <t>SAIMA S.p.A.</t>
        </is>
      </c>
      <c r="B618" s="194" t="n">
        <v>45981</v>
      </c>
      <c r="C618" s="111" t="inlineStr">
        <is>
          <t>1/202426</t>
        </is>
      </c>
      <c r="D618" s="111" t="inlineStr">
        <is>
          <t xml:space="preserve">AROMA PISTO SUPER EXTRA IN POLVERE  </t>
        </is>
      </c>
      <c r="E618" s="67" t="inlineStr">
        <is>
          <t>non contiene allergeni</t>
        </is>
      </c>
      <c r="F618" s="67">
        <f>CONCATENATE(D618,"  ",E618," - ",A618," n° fatt ",C618," - ",TEXT(B618,"gg/mm/aaaa"))</f>
        <v/>
      </c>
    </row>
    <row r="619" ht="15.75" customHeight="1" s="155">
      <c r="A619" s="111" t="inlineStr">
        <is>
          <t>SAIMA S.p.A.</t>
        </is>
      </c>
      <c r="B619" s="194" t="n">
        <v>45981</v>
      </c>
      <c r="C619" s="111" t="inlineStr">
        <is>
          <t>1/202426</t>
        </is>
      </c>
      <c r="D619" s="111" t="inlineStr">
        <is>
          <t xml:space="preserve">MAGIC FONDANT DA KG 14  </t>
        </is>
      </c>
      <c r="E619" s="67" t="inlineStr">
        <is>
          <t>non contiene allergeni</t>
        </is>
      </c>
      <c r="F619" s="67">
        <f>CONCATENATE(D619,"  ",E619," - ",A619," n° fatt ",C619," - ",TEXT(B619,"gg/mm/aaaa"))</f>
        <v/>
      </c>
    </row>
    <row r="620" ht="15.75" customHeight="1" s="155">
      <c r="A620" s="111" t="inlineStr">
        <is>
          <t>SAIMA S.p.A.</t>
        </is>
      </c>
      <c r="B620" s="194" t="n">
        <v>45981</v>
      </c>
      <c r="C620" s="111" t="inlineStr">
        <is>
          <t>1/202426</t>
        </is>
      </c>
      <c r="D620" s="111" t="inlineStr">
        <is>
          <t xml:space="preserve">AROMA VANIGLIATO 94^ LT 2  </t>
        </is>
      </c>
      <c r="E620" s="67" t="inlineStr">
        <is>
          <t>non contiene allergeni</t>
        </is>
      </c>
      <c r="F620" s="67">
        <f>CONCATENATE(D620,"  ",E620," - ",A620," n° fatt ",C620," - ",TEXT(B620,"gg/mm/aaaa"))</f>
        <v/>
      </c>
    </row>
    <row r="621" ht="15.75" customHeight="1" s="155">
      <c r="A621" s="111" t="inlineStr">
        <is>
          <t>SAIMA S.p.A.</t>
        </is>
      </c>
      <c r="B621" s="194" t="n">
        <v>45981</v>
      </c>
      <c r="C621" s="111" t="inlineStr">
        <is>
          <t>1/202426</t>
        </is>
      </c>
      <c r="D621" s="111" t="inlineStr">
        <is>
          <t xml:space="preserve">PANNA TENUTAPIU' DA LT 1 (M.G. 38%)  </t>
        </is>
      </c>
      <c r="E621" s="67" t="inlineStr">
        <is>
          <t>contiene allergeni</t>
        </is>
      </c>
      <c r="F621" s="67">
        <f>CONCATENATE(D621,"  ",E621," - ",A621," n° fatt ",C621," - ",TEXT(B621,"gg/mm/aaaa"))</f>
        <v/>
      </c>
    </row>
    <row r="622" ht="31.5" customHeight="1" s="155">
      <c r="A622" s="111" t="inlineStr">
        <is>
          <t>SAIMA S.p.A.</t>
        </is>
      </c>
      <c r="B622" s="194" t="n">
        <v>45981</v>
      </c>
      <c r="C622" s="111" t="inlineStr">
        <is>
          <t>1/202426</t>
        </is>
      </c>
      <c r="D622" s="111" t="inlineStr">
        <is>
          <t xml:space="preserve">CREMA NOCCIOLA (13%)SOFT DA FARCITURA KG 6 (42000344/NP075 SOFT)  </t>
        </is>
      </c>
      <c r="E622" s="67" t="inlineStr">
        <is>
          <t>contiene allergeni</t>
        </is>
      </c>
      <c r="F622" s="67">
        <f>CONCATENATE(D622,"  ",E622," - ",A622," n° fatt ",C622," - ",TEXT(B622,"gg/mm/aaaa"))</f>
        <v/>
      </c>
    </row>
    <row r="623" ht="15.75" customHeight="1" s="155">
      <c r="A623" s="111" t="inlineStr">
        <is>
          <t>SAIMA S.p.A.</t>
        </is>
      </c>
      <c r="B623" s="194" t="n">
        <v>45981</v>
      </c>
      <c r="C623" s="111" t="inlineStr">
        <is>
          <t>1/202426</t>
        </is>
      </c>
      <c r="D623" s="111" t="inlineStr">
        <is>
          <t xml:space="preserve">MILKNUT (LATTE E NOCCIOLA) DA KG 6  </t>
        </is>
      </c>
      <c r="E623" s="67" t="inlineStr">
        <is>
          <t>contiene allergeni</t>
        </is>
      </c>
      <c r="F623" s="67">
        <f>CONCATENATE(D623,"  ",E623," - ",A623," n° fatt ",C623," - ",TEXT(B623,"gg/mm/aaaa"))</f>
        <v/>
      </c>
    </row>
    <row r="624" ht="31.5" customHeight="1" s="155">
      <c r="A624" s="111" t="inlineStr">
        <is>
          <t>SAIMA S.p.A.</t>
        </is>
      </c>
      <c r="B624" s="194" t="n">
        <v>45981</v>
      </c>
      <c r="C624" s="111" t="inlineStr">
        <is>
          <t>1/202426</t>
        </is>
      </c>
      <c r="D624" s="111" t="inlineStr">
        <is>
          <t xml:space="preserve">CREMA PAN DI STELLE SPALMABILE IN CONFEZIONE DA KG 3  </t>
        </is>
      </c>
      <c r="E624" s="67" t="inlineStr">
        <is>
          <t>contiene allergeni</t>
        </is>
      </c>
      <c r="F624" s="67">
        <f>CONCATENATE(D624,"  ",E624," - ",A624," n° fatt ",C624," - ",TEXT(B624,"gg/mm/aaaa"))</f>
        <v/>
      </c>
    </row>
    <row r="625" ht="31.5" customHeight="1" s="155">
      <c r="A625" s="111" t="inlineStr">
        <is>
          <t>SAIMA S.p.A.</t>
        </is>
      </c>
      <c r="B625" s="194" t="n">
        <v>45981</v>
      </c>
      <c r="C625" s="111" t="inlineStr">
        <is>
          <t>1/202426</t>
        </is>
      </c>
      <c r="D625" s="111" t="inlineStr">
        <is>
          <t xml:space="preserve">PASTA GLASSATURA LATTE PATE A GLACER DA KG 5 (Blonde)  </t>
        </is>
      </c>
      <c r="E625" s="67" t="inlineStr">
        <is>
          <t>non contiene allergeni</t>
        </is>
      </c>
      <c r="F625" s="67">
        <f>CONCATENATE(D625,"  ",E625," - ",A625," n° fatt ",C625," - ",TEXT(B625,"gg/mm/aaaa"))</f>
        <v/>
      </c>
    </row>
    <row r="626" ht="31.5" customHeight="1" s="155">
      <c r="A626" s="111" t="inlineStr">
        <is>
          <t>SAIMA S.p.A.</t>
        </is>
      </c>
      <c r="B626" s="194" t="n">
        <v>45981</v>
      </c>
      <c r="C626" s="111" t="inlineStr">
        <is>
          <t>1/202426</t>
        </is>
      </c>
      <c r="D626" s="111" t="inlineStr">
        <is>
          <t xml:space="preserve">BASE PASTA DI MANDORLE MO ORO CONFEZIONE DA KG 12,5  </t>
        </is>
      </c>
      <c r="E626" s="67" t="inlineStr">
        <is>
          <t>contiene allergeni</t>
        </is>
      </c>
      <c r="F626" s="67">
        <f>CONCATENATE(D626,"  ",E626," - ",A626," n° fatt ",C626," - ",TEXT(B626,"gg/mm/aaaa"))</f>
        <v/>
      </c>
    </row>
    <row r="627" ht="15.75" customHeight="1" s="155">
      <c r="A627" s="111" t="inlineStr">
        <is>
          <t>SAIMA S.p.A.</t>
        </is>
      </c>
      <c r="B627" s="194" t="n">
        <v>46006</v>
      </c>
      <c r="C627" s="111" t="inlineStr">
        <is>
          <t>1/221071</t>
        </is>
      </c>
      <c r="D627" s="111" t="inlineStr">
        <is>
          <t>tuorlo</t>
        </is>
      </c>
      <c r="E627" s="67" t="inlineStr">
        <is>
          <t>contiene allergeni</t>
        </is>
      </c>
      <c r="F627" s="67">
        <f>CONCATENATE(D627,"  ",E627," - ",A627," n° fatt ",C627," - ",TEXT(B627,"gg/mm/aaaa"))</f>
        <v/>
      </c>
    </row>
    <row r="628" ht="15.75" customHeight="1" s="155">
      <c r="A628" s="111" t="inlineStr">
        <is>
          <t>SAIMA S.p.A.</t>
        </is>
      </c>
      <c r="B628" s="194" t="n">
        <v>45981</v>
      </c>
      <c r="C628" s="111" t="inlineStr">
        <is>
          <t>1/202426</t>
        </is>
      </c>
      <c r="D628" s="111" t="inlineStr">
        <is>
          <t xml:space="preserve">PASTA REALE CONFEZIONE DA KG 12,5  </t>
        </is>
      </c>
      <c r="E628" s="67" t="inlineStr">
        <is>
          <t>contiene allergeni</t>
        </is>
      </c>
      <c r="F628" s="67">
        <f>CONCATENATE(D628,"  ",E628," - ",A628," n° fatt ",C628," - ",TEXT(B628,"gg/mm/aaaa"))</f>
        <v/>
      </c>
    </row>
    <row r="629" ht="15.75" customHeight="1" s="155">
      <c r="A629" s="111" t="inlineStr">
        <is>
          <t>F.lli Fiorentino Srl</t>
        </is>
      </c>
      <c r="B629" s="194" t="n">
        <v>45982</v>
      </c>
      <c r="C629" s="111" t="inlineStr">
        <is>
          <t>1/14722</t>
        </is>
      </c>
      <c r="D629" s="111" t="inlineStr">
        <is>
          <t xml:space="preserve">ZUCCHERO RAF.SEM.ERIDANIA KG.25  </t>
        </is>
      </c>
      <c r="E629" s="67" t="inlineStr">
        <is>
          <t>contiene allergeni</t>
        </is>
      </c>
      <c r="F629" s="67">
        <f>CONCATENATE(D629,"  ",E629," - ",A629," n° fatt ",C629," - ",TEXT(B629,"gg/mm/aaaa"))</f>
        <v/>
      </c>
    </row>
    <row r="630" ht="15.75" customHeight="1" s="155">
      <c r="A630" s="111" t="inlineStr">
        <is>
          <t>F.lli Fiorentino Srl</t>
        </is>
      </c>
      <c r="B630" s="194" t="n">
        <v>45982</v>
      </c>
      <c r="C630" s="111" t="inlineStr">
        <is>
          <t>1/14722</t>
        </is>
      </c>
      <c r="D630" s="111" t="inlineStr">
        <is>
          <t xml:space="preserve">OLIO EXTRAVERGINE OLIVA L.5  </t>
        </is>
      </c>
      <c r="E630" s="67" t="inlineStr">
        <is>
          <t>contiene allergeni</t>
        </is>
      </c>
      <c r="F630" s="67">
        <f>CONCATENATE(D630,"  ",E630," - ",A630," n° fatt ",C630," - ",TEXT(B630,"gg/mm/aaaa"))</f>
        <v/>
      </c>
    </row>
    <row r="631" ht="15.75" customHeight="1" s="155">
      <c r="A631" s="111" t="inlineStr">
        <is>
          <t>F.lli Fiorentino Srl</t>
        </is>
      </c>
      <c r="B631" s="194" t="n">
        <v>45982</v>
      </c>
      <c r="C631" s="111" t="inlineStr">
        <is>
          <t>1/14722</t>
        </is>
      </c>
      <c r="D631" s="111" t="inlineStr">
        <is>
          <t xml:space="preserve">OLIO SEMI GIRASOLE SORRENTO L.25  </t>
        </is>
      </c>
      <c r="E631" s="67" t="inlineStr">
        <is>
          <t>contiene allergeni</t>
        </is>
      </c>
      <c r="F631" s="67">
        <f>CONCATENATE(D631,"  ",E631," - ",A631," n° fatt ",C631," - ",TEXT(B631,"gg/mm/aaaa"))</f>
        <v/>
      </c>
    </row>
    <row r="632" ht="15.75" customHeight="1" s="155">
      <c r="A632" s="111" t="inlineStr">
        <is>
          <t>F.lli Fiorentino Srl</t>
        </is>
      </c>
      <c r="B632" s="194" t="n">
        <v>45982</v>
      </c>
      <c r="C632" s="111" t="inlineStr">
        <is>
          <t>1/14722</t>
        </is>
      </c>
      <c r="D632" s="111" t="inlineStr">
        <is>
          <t xml:space="preserve">TONNO CALLIPO OL.OLIVA G.80x96  </t>
        </is>
      </c>
      <c r="E632" s="67" t="inlineStr">
        <is>
          <t>contiene allergeni</t>
        </is>
      </c>
      <c r="F632" s="67">
        <f>CONCATENATE(D632,"  ",E632," - ",A632," n° fatt ",C632," - ",TEXT(B632,"gg/mm/aaaa"))</f>
        <v/>
      </c>
    </row>
    <row r="633" ht="15.75" customHeight="1" s="155">
      <c r="A633" s="111" t="inlineStr">
        <is>
          <t>F.lli Fiorentino Srl</t>
        </is>
      </c>
      <c r="B633" s="194" t="n">
        <v>45982</v>
      </c>
      <c r="C633" s="111" t="inlineStr">
        <is>
          <t>1/14722</t>
        </is>
      </c>
      <c r="D633" s="111" t="inlineStr">
        <is>
          <t xml:space="preserve">FAGIOLI CANNELL LESSATI KG.3X6  </t>
        </is>
      </c>
      <c r="E633" s="67" t="inlineStr">
        <is>
          <t>contiene allergeni</t>
        </is>
      </c>
      <c r="F633" s="67">
        <f>CONCATENATE(D633,"  ",E633," - ",A633," n° fatt ",C633," - ",TEXT(B633,"gg/mm/aaaa"))</f>
        <v/>
      </c>
    </row>
    <row r="634" ht="15.75" customHeight="1" s="155">
      <c r="A634" s="111" t="inlineStr">
        <is>
          <t>F.lli Fiorentino Srl</t>
        </is>
      </c>
      <c r="B634" s="194" t="n">
        <v>45982</v>
      </c>
      <c r="C634" s="111" t="inlineStr">
        <is>
          <t>1/14722</t>
        </is>
      </c>
      <c r="D634" s="111" t="inlineStr">
        <is>
          <t xml:space="preserve">FAGIOLI BORLOTTI da KG.3X6  </t>
        </is>
      </c>
      <c r="E634" s="67" t="inlineStr">
        <is>
          <t>contiene allergeni</t>
        </is>
      </c>
      <c r="F634" s="67">
        <f>CONCATENATE(D634,"  ",E634," - ",A634," n° fatt ",C634," - ",TEXT(B634,"gg/mm/aaaa"))</f>
        <v/>
      </c>
    </row>
    <row r="635" ht="15.75" customHeight="1" s="155">
      <c r="A635" s="111" t="inlineStr">
        <is>
          <t>F.lli Fiorentino Srl</t>
        </is>
      </c>
      <c r="B635" s="194" t="n">
        <v>45982</v>
      </c>
      <c r="C635" s="111" t="inlineStr">
        <is>
          <t>1/14722</t>
        </is>
      </c>
      <c r="D635" s="111" t="inlineStr">
        <is>
          <t xml:space="preserve">POMODORI PELATI KG.3 TORRENTE  </t>
        </is>
      </c>
      <c r="E635" s="67" t="inlineStr">
        <is>
          <t>contiene allergeni</t>
        </is>
      </c>
      <c r="F635" s="67">
        <f>CONCATENATE(D635,"  ",E635," - ",A635," n° fatt ",C635," - ",TEXT(B635,"gg/mm/aaaa"))</f>
        <v/>
      </c>
    </row>
    <row r="636" ht="15.75" customHeight="1" s="155">
      <c r="A636" s="111" t="inlineStr">
        <is>
          <t>F.lli Fiorentino Srl</t>
        </is>
      </c>
      <c r="B636" s="194" t="n">
        <v>45982</v>
      </c>
      <c r="C636" s="111" t="inlineStr">
        <is>
          <t>1/14722</t>
        </is>
      </c>
      <c r="D636" s="111" t="inlineStr">
        <is>
          <t xml:space="preserve">FUNGHI CHAMP CASARECCIA KG.3X6  </t>
        </is>
      </c>
      <c r="E636" s="67" t="inlineStr">
        <is>
          <t>contiene allergeni</t>
        </is>
      </c>
      <c r="F636" s="67">
        <f>CONCATENATE(D636,"  ",E636," - ",A636," n° fatt ",C636," - ",TEXT(B636,"gg/mm/aaaa"))</f>
        <v/>
      </c>
    </row>
    <row r="637" ht="15.75" customHeight="1" s="155">
      <c r="A637" s="111" t="inlineStr">
        <is>
          <t>F.lli Fiorentino Srl</t>
        </is>
      </c>
      <c r="B637" s="194" t="n">
        <v>45982</v>
      </c>
      <c r="C637" s="111" t="inlineStr">
        <is>
          <t>1/14722</t>
        </is>
      </c>
      <c r="D637" s="111" t="inlineStr">
        <is>
          <t xml:space="preserve">DE CECCO PENNE LISCE 140  </t>
        </is>
      </c>
      <c r="E637" s="67" t="inlineStr">
        <is>
          <t>contiene allergeni</t>
        </is>
      </c>
      <c r="F637" s="67">
        <f>CONCATENATE(D637,"  ",E637," - ",A637," n° fatt ",C637," - ",TEXT(B637,"gg/mm/aaaa"))</f>
        <v/>
      </c>
    </row>
    <row r="638" ht="15.75" customHeight="1" s="155">
      <c r="A638" s="111" t="inlineStr">
        <is>
          <t>F.lli Fiorentino Srl</t>
        </is>
      </c>
      <c r="B638" s="194" t="n">
        <v>45982</v>
      </c>
      <c r="C638" s="111" t="inlineStr">
        <is>
          <t>1/14722</t>
        </is>
      </c>
      <c r="D638" s="111" t="inlineStr">
        <is>
          <t xml:space="preserve">DECECCO MEZZA ZITA 117  </t>
        </is>
      </c>
      <c r="E638" s="67" t="inlineStr">
        <is>
          <t>contiene allergeni</t>
        </is>
      </c>
      <c r="F638" s="67">
        <f>CONCATENATE(D638,"  ",E638," - ",A638," n° fatt ",C638," - ",TEXT(B638,"gg/mm/aaaa"))</f>
        <v/>
      </c>
    </row>
    <row r="639" ht="15.75" customHeight="1" s="155">
      <c r="A639" s="111" t="inlineStr">
        <is>
          <t>F.lli Fiorentino Srl</t>
        </is>
      </c>
      <c r="B639" s="194" t="n">
        <v>45982</v>
      </c>
      <c r="C639" s="111" t="inlineStr">
        <is>
          <t>1/14722</t>
        </is>
      </c>
      <c r="D639" s="111" t="inlineStr">
        <is>
          <t xml:space="preserve">DE CECCO TUBETTI LISCI 62  </t>
        </is>
      </c>
      <c r="E639" s="67" t="inlineStr">
        <is>
          <t>contiene allergeni</t>
        </is>
      </c>
      <c r="F639" s="67">
        <f>CONCATENATE(D639,"  ",E639," - ",A639," n° fatt ",C639," - ",TEXT(B639,"gg/mm/aaaa"))</f>
        <v/>
      </c>
    </row>
    <row r="640" ht="15.75" customHeight="1" s="155">
      <c r="A640" s="111" t="inlineStr">
        <is>
          <t>F.lli Fiorentino Srl</t>
        </is>
      </c>
      <c r="B640" s="194" t="n">
        <v>45982</v>
      </c>
      <c r="C640" s="111" t="inlineStr">
        <is>
          <t>1/14722</t>
        </is>
      </c>
      <c r="D640" s="111" t="inlineStr">
        <is>
          <t xml:space="preserve">MAIS BONDUELLE GR.300X12  </t>
        </is>
      </c>
      <c r="E640" s="67" t="inlineStr">
        <is>
          <t>contiene allergeni</t>
        </is>
      </c>
      <c r="F640" s="67">
        <f>CONCATENATE(D640,"  ",E640," - ",A640," n° fatt ",C640," - ",TEXT(B640,"gg/mm/aaaa"))</f>
        <v/>
      </c>
    </row>
    <row r="641" ht="15.75" customHeight="1" s="155">
      <c r="A641" s="111" t="inlineStr">
        <is>
          <t>SAIMA S.p.A.</t>
        </is>
      </c>
      <c r="B641" s="194" t="n">
        <v>45986</v>
      </c>
      <c r="C641" s="111" t="inlineStr">
        <is>
          <t>1/205273</t>
        </is>
      </c>
      <c r="D641" s="111" t="inlineStr">
        <is>
          <t xml:space="preserve">AMIDO ARTECREMA CONFEZIONE DA 1 KG  </t>
        </is>
      </c>
      <c r="E641" s="67" t="inlineStr">
        <is>
          <t>contiene allergeni</t>
        </is>
      </c>
      <c r="F641" s="67">
        <f>CONCATENATE(D641,"  ",E641," - ",A641," n° fatt ",C641," - ",TEXT(B641,"gg/mm/aaaa"))</f>
        <v/>
      </c>
    </row>
    <row r="642" ht="15.75" customHeight="1" s="155">
      <c r="A642" s="111" t="inlineStr">
        <is>
          <t>SAIMA S.p.A.</t>
        </is>
      </c>
      <c r="B642" s="194" t="n">
        <v>45986</v>
      </c>
      <c r="C642" s="111" t="inlineStr">
        <is>
          <t>1/205273</t>
        </is>
      </c>
      <c r="D642" s="111" t="inlineStr">
        <is>
          <t xml:space="preserve">CARTA DA FORNO SILICONATA CM 60X40 PZ 500  </t>
        </is>
      </c>
      <c r="E642" s="67" t="inlineStr">
        <is>
          <t>contiene allergeni</t>
        </is>
      </c>
      <c r="F642" s="67">
        <f>CONCATENATE(D642,"  ",E642," - ",A642," n° fatt ",C642," - ",TEXT(B642,"gg/mm/aaaa"))</f>
        <v/>
      </c>
    </row>
    <row r="643" ht="31.5" customHeight="1" s="155">
      <c r="A643" s="111" t="inlineStr">
        <is>
          <t>SAIMA S.p.A.</t>
        </is>
      </c>
      <c r="B643" s="194" t="n">
        <v>45986</v>
      </c>
      <c r="C643" s="111" t="inlineStr">
        <is>
          <t>1/205273</t>
        </is>
      </c>
      <c r="D643" s="111" t="inlineStr">
        <is>
          <t xml:space="preserve">SCAGLIETTA DI SURROGATO FONDENTE RIO DA KG 2 (DS00AG)  </t>
        </is>
      </c>
      <c r="E643" s="67" t="inlineStr">
        <is>
          <t>contiene allergeni</t>
        </is>
      </c>
      <c r="F643" s="67">
        <f>CONCATENATE(D643,"  ",E643," - ",A643," n° fatt ",C643," - ",TEXT(B643,"gg/mm/aaaa"))</f>
        <v/>
      </c>
    </row>
    <row r="644" ht="15.75" customHeight="1" s="155">
      <c r="A644" s="111" t="inlineStr">
        <is>
          <t>SAIMA S.p.A.</t>
        </is>
      </c>
      <c r="B644" s="194" t="n">
        <v>45986</v>
      </c>
      <c r="C644" s="111" t="inlineStr">
        <is>
          <t>1/205273</t>
        </is>
      </c>
      <c r="D644" s="111" t="inlineStr">
        <is>
          <t xml:space="preserve">MIX YOGOFINE DA KG 15  </t>
        </is>
      </c>
      <c r="E644" s="67" t="inlineStr">
        <is>
          <t>contiene allergeni</t>
        </is>
      </c>
      <c r="F644" s="67">
        <f>CONCATENATE(D644,"  ",E644," - ",A644," n° fatt ",C644," - ",TEXT(B644,"gg/mm/aaaa"))</f>
        <v/>
      </c>
    </row>
    <row r="645" ht="31.5" customHeight="1" s="155">
      <c r="A645" s="111" t="inlineStr">
        <is>
          <t>SAIMA S.p.A.</t>
        </is>
      </c>
      <c r="B645" s="194" t="n">
        <v>45986</v>
      </c>
      <c r="C645" s="111" t="inlineStr">
        <is>
          <t>1/205273</t>
        </is>
      </c>
      <c r="D645" s="111" t="inlineStr">
        <is>
          <t xml:space="preserve">UVA SULTANINA AUSTRALIANA VINTAGE CONFEZIONE DA KG 14  </t>
        </is>
      </c>
      <c r="E645" s="67" t="inlineStr">
        <is>
          <t>contiene allergeni</t>
        </is>
      </c>
      <c r="F645" s="67">
        <f>CONCATENATE(D645,"  ",E645," - ",A645," n° fatt ",C645," - ",TEXT(B645,"gg/mm/aaaa"))</f>
        <v/>
      </c>
    </row>
    <row r="646" ht="31.5" customHeight="1" s="155">
      <c r="A646" s="111" t="inlineStr">
        <is>
          <t>SAIMA S.p.A.</t>
        </is>
      </c>
      <c r="B646" s="194" t="n">
        <v>45986</v>
      </c>
      <c r="C646" s="111" t="inlineStr">
        <is>
          <t>1/205273</t>
        </is>
      </c>
      <c r="D646" s="111" t="inlineStr">
        <is>
          <t xml:space="preserve">SCORZONE ARANCIO FRESCO PREMIUM CUBETTI 10X10 CANDITO DA KG 3  </t>
        </is>
      </c>
      <c r="E646" s="67" t="inlineStr">
        <is>
          <t>contiene allergeni</t>
        </is>
      </c>
      <c r="F646" s="67">
        <f>CONCATENATE(D646,"  ",E646," - ",A646," n° fatt ",C646," - ",TEXT(B646,"gg/mm/aaaa"))</f>
        <v/>
      </c>
    </row>
    <row r="647" ht="31.5" customHeight="1" s="155">
      <c r="A647" s="111" t="inlineStr">
        <is>
          <t>SAIMA S.p.A.</t>
        </is>
      </c>
      <c r="B647" s="194" t="n">
        <v>45986</v>
      </c>
      <c r="C647" s="111" t="inlineStr">
        <is>
          <t>1/205273</t>
        </is>
      </c>
      <c r="D647" s="111" t="inlineStr">
        <is>
          <t xml:space="preserve">MELANGE PLUS HOMILLINA GATEAUX DA KG 10 (4156)  </t>
        </is>
      </c>
      <c r="E647" s="67" t="inlineStr">
        <is>
          <t>contiene allergeni</t>
        </is>
      </c>
      <c r="F647" s="67">
        <f>CONCATENATE(D647,"  ",E647," - ",A647," n° fatt ",C647," - ",TEXT(B647,"gg/mm/aaaa"))</f>
        <v/>
      </c>
    </row>
    <row r="648" ht="31.5" customHeight="1" s="155">
      <c r="A648" s="111" t="inlineStr">
        <is>
          <t>SAIMA S.p.A.</t>
        </is>
      </c>
      <c r="B648" s="194" t="n">
        <v>45986</v>
      </c>
      <c r="C648" s="111" t="inlineStr">
        <is>
          <t>1/205273</t>
        </is>
      </c>
      <c r="D648" s="111" t="inlineStr">
        <is>
          <t xml:space="preserve">MELANGE PLUS HOMILLINA PLATTE DA KG 10 (4155)  </t>
        </is>
      </c>
      <c r="E648" s="67" t="inlineStr">
        <is>
          <t>contiene allergeni</t>
        </is>
      </c>
      <c r="F648" s="67">
        <f>CONCATENATE(D648,"  ",E648," - ",A648," n° fatt ",C648," - ",TEXT(B648,"gg/mm/aaaa"))</f>
        <v/>
      </c>
    </row>
    <row r="649" ht="31.5" customHeight="1" s="155">
      <c r="A649" s="111" t="inlineStr">
        <is>
          <t>SAIMA S.p.A.</t>
        </is>
      </c>
      <c r="B649" s="194" t="n">
        <v>45986</v>
      </c>
      <c r="C649" s="111" t="inlineStr">
        <is>
          <t>1/205273</t>
        </is>
      </c>
      <c r="D649" s="111" t="inlineStr">
        <is>
          <t xml:space="preserve">TARTELLETTA (063213) MODERN DOLCE C/BURRO 43MM PZ 250 (SFUSO)  </t>
        </is>
      </c>
      <c r="E649" s="67" t="inlineStr">
        <is>
          <t>contiene allergeni</t>
        </is>
      </c>
      <c r="F649" s="67">
        <f>CONCATENATE(D649,"  ",E649," - ",A649," n° fatt ",C649," - ",TEXT(B649,"gg/mm/aaaa"))</f>
        <v/>
      </c>
    </row>
    <row r="650" ht="31.5" customHeight="1" s="155">
      <c r="A650" s="111" t="inlineStr">
        <is>
          <t>SAIMA S.p.A.</t>
        </is>
      </c>
      <c r="B650" s="194" t="n">
        <v>45986</v>
      </c>
      <c r="C650" s="111" t="inlineStr">
        <is>
          <t>1/205273</t>
        </is>
      </c>
      <c r="D650" s="111" t="inlineStr">
        <is>
          <t xml:space="preserve">BARCHETTA FROLLA MIGNON LUNGHEZZA mm 67 PZ 250  </t>
        </is>
      </c>
      <c r="E650" s="67" t="inlineStr">
        <is>
          <t>contiene allergeni</t>
        </is>
      </c>
      <c r="F650" s="67">
        <f>CONCATENATE(D650,"  ",E650," - ",A650," n° fatt ",C650," - ",TEXT(B650,"gg/mm/aaaa"))</f>
        <v/>
      </c>
    </row>
    <row r="651" ht="31.5" customHeight="1" s="155">
      <c r="A651" s="111" t="inlineStr">
        <is>
          <t>SAIMA S.p.A.</t>
        </is>
      </c>
      <c r="B651" s="194" t="n">
        <v>45986</v>
      </c>
      <c r="C651" s="111" t="inlineStr">
        <is>
          <t>1/205273</t>
        </is>
      </c>
      <c r="D651" s="111" t="inlineStr">
        <is>
          <t xml:space="preserve">CREMA RIO TRADIZIONE PISTACCHIO IN CONFEZIONE DA KG 5 (DC00BM)  </t>
        </is>
      </c>
      <c r="E651" s="67" t="inlineStr">
        <is>
          <t>contiene allergeni</t>
        </is>
      </c>
      <c r="F651" s="67">
        <f>CONCATENATE(D651,"  ",E651," - ",A651," n° fatt ",C651," - ",TEXT(B651,"gg/mm/aaaa"))</f>
        <v/>
      </c>
    </row>
    <row r="652" ht="31.5" customHeight="1" s="155">
      <c r="A652" s="111" t="inlineStr">
        <is>
          <t>SAIMA S.p.A.</t>
        </is>
      </c>
      <c r="B652" s="194" t="n">
        <v>45986</v>
      </c>
      <c r="C652" s="111" t="inlineStr">
        <is>
          <t>1/205273</t>
        </is>
      </c>
      <c r="D652" s="111" t="inlineStr">
        <is>
          <t xml:space="preserve">GELATINA GELINA A FREDDO NEUTRA IN CONFEZIONE DA KG 6  </t>
        </is>
      </c>
      <c r="E652" s="67" t="inlineStr">
        <is>
          <t>contiene allergeni</t>
        </is>
      </c>
      <c r="F652" s="67">
        <f>CONCATENATE(D652,"  ",E652," - ",A652," n° fatt ",C652," - ",TEXT(B652,"gg/mm/aaaa"))</f>
        <v/>
      </c>
    </row>
    <row r="653" ht="15.75" customHeight="1" s="155">
      <c r="A653" s="111" t="inlineStr">
        <is>
          <t>SAIMA S.p.A.</t>
        </is>
      </c>
      <c r="B653" s="194" t="n">
        <v>45986</v>
      </c>
      <c r="C653" s="111" t="inlineStr">
        <is>
          <t>1/205273</t>
        </is>
      </c>
      <c r="D653" s="111" t="inlineStr">
        <is>
          <t xml:space="preserve">MEZZELUNE DI GELATINA AL LIMONE KG 2  </t>
        </is>
      </c>
      <c r="E653" s="67" t="inlineStr">
        <is>
          <t>contiene allergeni</t>
        </is>
      </c>
      <c r="F653" s="67">
        <f>CONCATENATE(D653,"  ",E653," - ",A653," n° fatt ",C653," - ",TEXT(B653,"gg/mm/aaaa"))</f>
        <v/>
      </c>
    </row>
    <row r="654" ht="15.75" customHeight="1" s="155">
      <c r="A654" s="111" t="inlineStr">
        <is>
          <t>SAIMA S.p.A.</t>
        </is>
      </c>
      <c r="B654" s="194" t="n">
        <v>45986</v>
      </c>
      <c r="C654" s="111" t="inlineStr">
        <is>
          <t>1/205273</t>
        </is>
      </c>
      <c r="D654" s="111" t="inlineStr">
        <is>
          <t xml:space="preserve">STRUTTO PAPILLON EXTRA IN SECCHIO DA KG 15  </t>
        </is>
      </c>
      <c r="E654" s="67" t="inlineStr">
        <is>
          <t>contiene allergeni</t>
        </is>
      </c>
      <c r="F654" s="67">
        <f>CONCATENATE(D654,"  ",E654," - ",A654," n° fatt ",C654," - ",TEXT(B654,"gg/mm/aaaa"))</f>
        <v/>
      </c>
    </row>
    <row r="655" ht="31.5" customHeight="1" s="155">
      <c r="A655" s="111" t="inlineStr">
        <is>
          <t>SAIMA S.p.A.</t>
        </is>
      </c>
      <c r="B655" s="194" t="n">
        <v>45979</v>
      </c>
      <c r="C655" s="111" t="inlineStr">
        <is>
          <t>1/200643</t>
        </is>
      </c>
      <c r="D655" s="111" t="inlineStr">
        <is>
          <t xml:space="preserve">PASSATA ALBICOCCA LABO GARDEN FRUIT DA KG 12,5  </t>
        </is>
      </c>
      <c r="E655" s="67" t="inlineStr">
        <is>
          <t>contiene allergeni</t>
        </is>
      </c>
      <c r="F655" s="67">
        <f>CONCATENATE(D655,"  ",E655," - ",A655," n° fatt ",C655," - ",TEXT(B655,"gg/mm/aaaa"))</f>
        <v/>
      </c>
    </row>
    <row r="656" ht="31.5" customHeight="1" s="155">
      <c r="A656" s="111" t="inlineStr">
        <is>
          <t>SAIMA S.p.A.</t>
        </is>
      </c>
      <c r="B656" s="194" t="n">
        <v>45979</v>
      </c>
      <c r="C656" s="111" t="inlineStr">
        <is>
          <t>1/200643</t>
        </is>
      </c>
      <c r="D656" s="111" t="inlineStr">
        <is>
          <t xml:space="preserve">MELANGE PLUS HOMILLINA PLATTE DA KG 10 (4155)  </t>
        </is>
      </c>
      <c r="E656" s="67" t="inlineStr">
        <is>
          <t>contiene allergeni</t>
        </is>
      </c>
      <c r="F656" s="67">
        <f>CONCATENATE(D656,"  ",E656," - ",A656," n° fatt ",C656," - ",TEXT(B656,"gg/mm/aaaa"))</f>
        <v/>
      </c>
    </row>
    <row r="657" ht="31.5" customHeight="1" s="155">
      <c r="A657" s="111" t="inlineStr">
        <is>
          <t>SAIMA S.p.A.</t>
        </is>
      </c>
      <c r="B657" s="194" t="n">
        <v>45979</v>
      </c>
      <c r="C657" s="111" t="inlineStr">
        <is>
          <t>1/200643</t>
        </is>
      </c>
      <c r="D657" s="111" t="inlineStr">
        <is>
          <t xml:space="preserve">GOCCINE MIGNON DI SURROGATO FONDENTE 1000/HG DA KG 12  </t>
        </is>
      </c>
      <c r="E657" s="67" t="inlineStr">
        <is>
          <t>contiene allergeni</t>
        </is>
      </c>
      <c r="F657" s="67">
        <f>CONCATENATE(D657,"  ",E657," - ",A657," n° fatt ",C657," - ",TEXT(B657,"gg/mm/aaaa"))</f>
        <v/>
      </c>
    </row>
    <row r="658" ht="31.5" customHeight="1" s="155">
      <c r="A658" s="111" t="inlineStr">
        <is>
          <t>SAIMA S.p.A.</t>
        </is>
      </c>
      <c r="B658" s="194" t="n">
        <v>45979</v>
      </c>
      <c r="C658" s="111" t="inlineStr">
        <is>
          <t>1/200643</t>
        </is>
      </c>
      <c r="D658" s="111" t="inlineStr">
        <is>
          <t xml:space="preserve">CREMA RIO TRADIZIONE PISTACCHIO IN CONFEZIONE DA KG 5 (DC00BM)  </t>
        </is>
      </c>
      <c r="E658" s="67" t="inlineStr">
        <is>
          <t>contiene allergeni</t>
        </is>
      </c>
      <c r="F658" s="67">
        <f>CONCATENATE(D658,"  ",E658," - ",A658," n° fatt ",C658," - ",TEXT(B658,"gg/mm/aaaa"))</f>
        <v/>
      </c>
    </row>
    <row r="659" ht="31.5" customHeight="1" s="155">
      <c r="A659" s="111" t="inlineStr">
        <is>
          <t>SAIMA S.p.A.</t>
        </is>
      </c>
      <c r="B659" s="194" t="n">
        <v>45979</v>
      </c>
      <c r="C659" s="111" t="inlineStr">
        <is>
          <t>1/200643</t>
        </is>
      </c>
      <c r="D659" s="111" t="inlineStr">
        <is>
          <t xml:space="preserve">TARTELLETTA (063915) MODERN DOLCE CON BURRO 65MM PZ 90(BLISTER)  </t>
        </is>
      </c>
      <c r="E659" s="67" t="inlineStr">
        <is>
          <t>contiene allergeni</t>
        </is>
      </c>
      <c r="F659" s="67">
        <f>CONCATENATE(D659,"  ",E659," - ",A659," n° fatt ",C659," - ",TEXT(B659,"gg/mm/aaaa"))</f>
        <v/>
      </c>
    </row>
    <row r="660" ht="15.75" customHeight="1" s="155">
      <c r="A660" s="111" t="inlineStr">
        <is>
          <t>SAIMA S.p.A.</t>
        </is>
      </c>
      <c r="B660" s="194" t="n">
        <v>45987</v>
      </c>
      <c r="C660" s="111" t="inlineStr">
        <is>
          <t>1/206258</t>
        </is>
      </c>
      <c r="D660" s="111" t="inlineStr">
        <is>
          <t xml:space="preserve">PANNA SPRAY ZUCCHERATA ML 700  </t>
        </is>
      </c>
      <c r="E660" s="67" t="inlineStr">
        <is>
          <t>contiene allergeni</t>
        </is>
      </c>
      <c r="F660" s="67">
        <f>CONCATENATE(D660,"  ",E660," - ",A660," n° fatt ",C660," - ",TEXT(B660,"gg/mm/aaaa"))</f>
        <v/>
      </c>
    </row>
    <row r="661" ht="15.75" customHeight="1" s="155">
      <c r="A661" s="111" t="inlineStr">
        <is>
          <t>SAIMA S.p.A.</t>
        </is>
      </c>
      <c r="B661" s="194" t="n">
        <v>45993</v>
      </c>
      <c r="C661" s="111" t="inlineStr">
        <is>
          <t>1/210345</t>
        </is>
      </c>
      <c r="D661" s="111" t="inlineStr">
        <is>
          <t xml:space="preserve">ESSENZA CANNELLA GR 500  </t>
        </is>
      </c>
      <c r="E661" s="67" t="inlineStr">
        <is>
          <t>contiene allergeni</t>
        </is>
      </c>
      <c r="F661" s="67">
        <f>CONCATENATE(D661,"  ",E661," - ",A661," n° fatt ",C661," - ",TEXT(B661,"gg/mm/aaaa"))</f>
        <v/>
      </c>
    </row>
    <row r="662" ht="15.75" customHeight="1" s="155">
      <c r="A662" s="111" t="inlineStr">
        <is>
          <t>SAIMA S.p.A.</t>
        </is>
      </c>
      <c r="B662" s="194" t="n">
        <v>45993</v>
      </c>
      <c r="C662" s="111" t="inlineStr">
        <is>
          <t>1/210345</t>
        </is>
      </c>
      <c r="D662" s="111" t="inlineStr">
        <is>
          <t xml:space="preserve">MANDORLE NATURALI IN CARTONI DA KG 10  </t>
        </is>
      </c>
      <c r="E662" s="67" t="inlineStr">
        <is>
          <t>contiene allergeni</t>
        </is>
      </c>
      <c r="F662" s="67">
        <f>CONCATENATE(D662,"  ",E662," - ",A662," n° fatt ",C662," - ",TEXT(B662,"gg/mm/aaaa"))</f>
        <v/>
      </c>
    </row>
    <row r="663" ht="15.75" customHeight="1" s="155">
      <c r="A663" s="111" t="inlineStr">
        <is>
          <t>SAIMA S.p.A.</t>
        </is>
      </c>
      <c r="B663" s="194" t="n">
        <v>45993</v>
      </c>
      <c r="C663" s="111" t="inlineStr">
        <is>
          <t>1/210345</t>
        </is>
      </c>
      <c r="D663" s="111" t="inlineStr">
        <is>
          <t xml:space="preserve">SOTTOGELI GRANDI PZ 2000 CM 13  </t>
        </is>
      </c>
      <c r="E663" s="67" t="inlineStr">
        <is>
          <t>contiene allergeni</t>
        </is>
      </c>
      <c r="F663" s="67">
        <f>CONCATENATE(D663,"  ",E663," - ",A663," n° fatt ",C663," - ",TEXT(B663,"gg/mm/aaaa"))</f>
        <v/>
      </c>
    </row>
    <row r="664" ht="31.5" customHeight="1" s="155">
      <c r="A664" s="111" t="inlineStr">
        <is>
          <t>SAIMA S.p.A.</t>
        </is>
      </c>
      <c r="B664" s="194" t="n">
        <v>45993</v>
      </c>
      <c r="C664" s="111" t="inlineStr">
        <is>
          <t>1/210345</t>
        </is>
      </c>
      <c r="D664" s="111" t="inlineStr">
        <is>
          <t xml:space="preserve">EUROVO ALBUME STANDARD PASTORIZZATO (NORMALE) (5197)  </t>
        </is>
      </c>
      <c r="E664" s="67" t="inlineStr">
        <is>
          <t>contiene allergeni</t>
        </is>
      </c>
      <c r="F664" s="67">
        <f>CONCATENATE(D664,"  ",E664," - ",A664," n° fatt ",C664," - ",TEXT(B664,"gg/mm/aaaa"))</f>
        <v/>
      </c>
    </row>
    <row r="665" ht="15.75" customHeight="1" s="155">
      <c r="A665" s="111" t="inlineStr">
        <is>
          <t>SAIMA S.p.A.</t>
        </is>
      </c>
      <c r="B665" s="194" t="n">
        <v>45993</v>
      </c>
      <c r="C665" s="111" t="inlineStr">
        <is>
          <t>1/210345</t>
        </is>
      </c>
      <c r="D665" s="111" t="inlineStr">
        <is>
          <t xml:space="preserve">MAGIC FONDANT DA KG 14  </t>
        </is>
      </c>
      <c r="E665" s="67" t="inlineStr">
        <is>
          <t>contiene allergeni</t>
        </is>
      </c>
      <c r="F665" s="67">
        <f>CONCATENATE(D665,"  ",E665," - ",A665," n° fatt ",C665," - ",TEXT(B665,"gg/mm/aaaa"))</f>
        <v/>
      </c>
    </row>
    <row r="666" ht="31.5" customHeight="1" s="155">
      <c r="A666" s="111" t="inlineStr">
        <is>
          <t>SAIMA S.p.A.</t>
        </is>
      </c>
      <c r="B666" s="194" t="n">
        <v>45993</v>
      </c>
      <c r="C666" s="111" t="inlineStr">
        <is>
          <t>1/210345</t>
        </is>
      </c>
      <c r="D666" s="111" t="inlineStr">
        <is>
          <t xml:space="preserve">COLORE IDROSOLUBILE ROSSO GR 150 (IDRO150RSS)  </t>
        </is>
      </c>
      <c r="E666" s="67" t="inlineStr">
        <is>
          <t>contiene allergeni</t>
        </is>
      </c>
      <c r="F666" s="67">
        <f>CONCATENATE(D666,"  ",E666," - ",A666," n° fatt ",C666," - ",TEXT(B666,"gg/mm/aaaa"))</f>
        <v/>
      </c>
    </row>
    <row r="667" ht="15.75" customHeight="1" s="155">
      <c r="A667" s="111" t="inlineStr">
        <is>
          <t>SAIMA S.p.A.</t>
        </is>
      </c>
      <c r="B667" s="194" t="n">
        <v>45993</v>
      </c>
      <c r="C667" s="111" t="inlineStr">
        <is>
          <t>1/210345</t>
        </is>
      </c>
      <c r="D667" s="111" t="inlineStr">
        <is>
          <t xml:space="preserve">AROMA EMULSIONE BURRO NATURALE  </t>
        </is>
      </c>
      <c r="E667" s="67" t="inlineStr">
        <is>
          <t>contiene allergeni</t>
        </is>
      </c>
      <c r="F667" s="67">
        <f>CONCATENATE(D667,"  ",E667," - ",A667," n° fatt ",C667," - ",TEXT(B667,"gg/mm/aaaa"))</f>
        <v/>
      </c>
    </row>
    <row r="668" ht="31.5" customHeight="1" s="155">
      <c r="A668" s="111" t="inlineStr">
        <is>
          <t>SAIMA S.p.A.</t>
        </is>
      </c>
      <c r="B668" s="194" t="n">
        <v>45993</v>
      </c>
      <c r="C668" s="111" t="inlineStr">
        <is>
          <t>1/210345</t>
        </is>
      </c>
      <c r="D668" s="111" t="inlineStr">
        <is>
          <t xml:space="preserve">SURROGATO FONDENTE SUPERBRILL250 IN CONFEZIONE DA KG 10  </t>
        </is>
      </c>
      <c r="E668" s="67" t="inlineStr">
        <is>
          <t>contiene allergeni</t>
        </is>
      </c>
      <c r="F668" s="67">
        <f>CONCATENATE(D668,"  ",E668," - ",A668," n° fatt ",C668," - ",TEXT(B668,"gg/mm/aaaa"))</f>
        <v/>
      </c>
    </row>
    <row r="669" ht="31.5" customHeight="1" s="155">
      <c r="A669" s="111" t="inlineStr">
        <is>
          <t>SAIMA S.p.A.</t>
        </is>
      </c>
      <c r="B669" s="194" t="n">
        <v>45993</v>
      </c>
      <c r="C669" s="111" t="inlineStr">
        <is>
          <t>1/210345</t>
        </is>
      </c>
      <c r="D669" s="111" t="inlineStr">
        <is>
          <t xml:space="preserve">SURROGATO BIANCO SUPERBRILL IN CONFEZIONE DA KG 10  </t>
        </is>
      </c>
      <c r="E669" s="67" t="inlineStr">
        <is>
          <t>contiene allergeni</t>
        </is>
      </c>
      <c r="F669" s="67">
        <f>CONCATENATE(D669,"  ",E669," - ",A669," n° fatt ",C669," - ",TEXT(B669,"gg/mm/aaaa"))</f>
        <v/>
      </c>
    </row>
    <row r="670" ht="15.75" customHeight="1" s="155">
      <c r="A670" s="111" t="inlineStr">
        <is>
          <t>SAIMA S.p.A.</t>
        </is>
      </c>
      <c r="B670" s="194" t="n">
        <v>45993</v>
      </c>
      <c r="C670" s="111" t="inlineStr">
        <is>
          <t>1/210345</t>
        </is>
      </c>
      <c r="D670" s="111" t="inlineStr">
        <is>
          <t xml:space="preserve">AROMA EMULSIONE PANETTONE NATURALE  </t>
        </is>
      </c>
      <c r="E670" s="67" t="inlineStr">
        <is>
          <t>contiene allergeni</t>
        </is>
      </c>
      <c r="F670" s="67">
        <f>CONCATENATE(D670,"  ",E670," - ",A670," n° fatt ",C670," - ",TEXT(B670,"gg/mm/aaaa"))</f>
        <v/>
      </c>
    </row>
    <row r="671" ht="15.75" customHeight="1" s="155">
      <c r="A671" s="111" t="inlineStr">
        <is>
          <t>SAIMA S.p.A.</t>
        </is>
      </c>
      <c r="B671" s="194" t="n">
        <v>45993</v>
      </c>
      <c r="C671" s="111" t="inlineStr">
        <is>
          <t>1/210345</t>
        </is>
      </c>
      <c r="D671" s="111" t="inlineStr">
        <is>
          <t xml:space="preserve">AMIDO ARTECREMA CONFEZIONE DA 20 KG  </t>
        </is>
      </c>
      <c r="E671" s="67" t="inlineStr">
        <is>
          <t>contiene allergeni</t>
        </is>
      </c>
      <c r="F671" s="67">
        <f>CONCATENATE(D671,"  ",E671," - ",A671," n° fatt ",C671," - ",TEXT(B671,"gg/mm/aaaa"))</f>
        <v/>
      </c>
    </row>
    <row r="672" ht="31.5" customHeight="1" s="155">
      <c r="A672" s="111" t="inlineStr">
        <is>
          <t>SAIMA S.p.A.</t>
        </is>
      </c>
      <c r="B672" s="194" t="n">
        <v>45993</v>
      </c>
      <c r="C672" s="111" t="inlineStr">
        <is>
          <t>1/210345</t>
        </is>
      </c>
      <c r="D672" s="111" t="inlineStr">
        <is>
          <t xml:space="preserve">BARCHETTA FROLLA MIGNON LUNGHEZZA mm 67 PZ 250  </t>
        </is>
      </c>
      <c r="E672" s="67" t="inlineStr">
        <is>
          <t>contiene allergeni</t>
        </is>
      </c>
      <c r="F672" s="67">
        <f>CONCATENATE(D672,"  ",E672," - ",A672," n° fatt ",C672," - ",TEXT(B672,"gg/mm/aaaa"))</f>
        <v/>
      </c>
    </row>
    <row r="673" ht="31.5" customHeight="1" s="155">
      <c r="A673" s="111" t="inlineStr">
        <is>
          <t>SAIMA S.p.A.</t>
        </is>
      </c>
      <c r="B673" s="194" t="n">
        <v>45993</v>
      </c>
      <c r="C673" s="111" t="inlineStr">
        <is>
          <t>1/210345</t>
        </is>
      </c>
      <c r="D673" s="111" t="inlineStr">
        <is>
          <t xml:space="preserve">LIEVITO BACK PULVER CHIMICO DA KG 2,5 + BRICCO GRADUATO  </t>
        </is>
      </c>
      <c r="E673" s="67" t="inlineStr">
        <is>
          <t>contiene allergeni</t>
        </is>
      </c>
      <c r="F673" s="67">
        <f>CONCATENATE(D673,"  ",E673," - ",A673," n° fatt ",C673," - ",TEXT(B673,"gg/mm/aaaa"))</f>
        <v/>
      </c>
    </row>
    <row r="674" ht="31.5" customHeight="1" s="155">
      <c r="A674" s="111" t="inlineStr">
        <is>
          <t>SAIMA S.p.A.</t>
        </is>
      </c>
      <c r="B674" s="194" t="n">
        <v>45993</v>
      </c>
      <c r="C674" s="111" t="inlineStr">
        <is>
          <t>1/210345</t>
        </is>
      </c>
      <c r="D674" s="111" t="inlineStr">
        <is>
          <t xml:space="preserve">SIGILLO ROSSO "MERRY CHRISTMAS" DIAM.3CM 175PZ 14616  </t>
        </is>
      </c>
      <c r="E674" s="67" t="inlineStr">
        <is>
          <t>contiene allergeni</t>
        </is>
      </c>
      <c r="F674" s="67">
        <f>CONCATENATE(D674,"  ",E674," - ",A674," n° fatt ",C674," - ",TEXT(B674,"gg/mm/aaaa"))</f>
        <v/>
      </c>
    </row>
    <row r="675" ht="31.5" customHeight="1" s="155">
      <c r="A675" s="111" t="inlineStr">
        <is>
          <t>SAIMA S.p.A.</t>
        </is>
      </c>
      <c r="B675" s="194" t="n">
        <v>45993</v>
      </c>
      <c r="C675" s="111" t="inlineStr">
        <is>
          <t>1/210345</t>
        </is>
      </c>
      <c r="D675" s="111" t="inlineStr">
        <is>
          <t xml:space="preserve">QUADRATI BIANCHI STRIATI ROSSI/NERI 3 CM DA 220 PZ (1034182)  </t>
        </is>
      </c>
      <c r="E675" s="67" t="inlineStr">
        <is>
          <t>contiene allergeni</t>
        </is>
      </c>
      <c r="F675" s="67">
        <f>CONCATENATE(D675,"  ",E675," - ",A675," n° fatt ",C675," - ",TEXT(B675,"gg/mm/aaaa"))</f>
        <v/>
      </c>
    </row>
    <row r="676" ht="31.5" customHeight="1" s="155">
      <c r="A676" s="111" t="inlineStr">
        <is>
          <t>SAIMA S.p.A.</t>
        </is>
      </c>
      <c r="B676" s="194" t="n">
        <v>45993</v>
      </c>
      <c r="C676" s="111" t="inlineStr">
        <is>
          <t>1/210345</t>
        </is>
      </c>
      <c r="D676" s="111" t="inlineStr">
        <is>
          <t xml:space="preserve">CREMA RIO GRAN TRADIZIONE NOCCIOLA DA KG 13  </t>
        </is>
      </c>
      <c r="E676" s="67" t="inlineStr">
        <is>
          <t>contiene allergeni</t>
        </is>
      </c>
      <c r="F676" s="67">
        <f>CONCATENATE(D676,"  ",E676," - ",A676," n° fatt ",C676," - ",TEXT(B676,"gg/mm/aaaa"))</f>
        <v/>
      </c>
    </row>
    <row r="677" ht="15.75" customHeight="1" s="155">
      <c r="A677" s="111" t="inlineStr">
        <is>
          <t>SAIMA S.p.A.</t>
        </is>
      </c>
      <c r="B677" s="194" t="n">
        <v>45993</v>
      </c>
      <c r="C677" s="111" t="inlineStr">
        <is>
          <t>1/210345</t>
        </is>
      </c>
      <c r="D677" s="111" t="inlineStr">
        <is>
          <t xml:space="preserve">STRUTTO PAPILLON EXTRA IN SECCHIO DA KG 15  </t>
        </is>
      </c>
      <c r="E677" s="67" t="inlineStr">
        <is>
          <t>contiene allergeni</t>
        </is>
      </c>
      <c r="F677" s="67">
        <f>CONCATENATE(D677,"  ",E677," - ",A677," n° fatt ",C677," - ",TEXT(B677,"gg/mm/aaaa"))</f>
        <v/>
      </c>
    </row>
    <row r="678" ht="15.75" customHeight="1" s="155">
      <c r="A678" s="111" t="inlineStr">
        <is>
          <t>F.lli Fiorentino Srl</t>
        </is>
      </c>
      <c r="B678" s="194" t="n">
        <v>45992</v>
      </c>
      <c r="C678" s="111" t="inlineStr">
        <is>
          <t>1/15176</t>
        </is>
      </c>
      <c r="D678" s="111" t="inlineStr">
        <is>
          <t xml:space="preserve">SEMOLA 0 G MEDIA XXL MAD KG.25  </t>
        </is>
      </c>
      <c r="E678" s="67" t="inlineStr">
        <is>
          <t>contiene allergeni</t>
        </is>
      </c>
      <c r="F678" s="67">
        <f>CONCATENATE(D678,"  ",E678," - ",A678," n° fatt ",C678," - ",TEXT(B678,"gg/mm/aaaa"))</f>
        <v/>
      </c>
    </row>
    <row r="679" ht="15.75" customHeight="1" s="155">
      <c r="A679" s="111" t="inlineStr">
        <is>
          <t>F.lli Fiorentino Srl</t>
        </is>
      </c>
      <c r="B679" s="194" t="n">
        <v>45992</v>
      </c>
      <c r="C679" s="111" t="inlineStr">
        <is>
          <t>1/15176</t>
        </is>
      </c>
      <c r="D679" s="111" t="inlineStr">
        <is>
          <t xml:space="preserve">ZUCCHERO RAF.SEM.ERIDANIA KG.25  </t>
        </is>
      </c>
      <c r="E679" s="67" t="inlineStr">
        <is>
          <t>contiene allergeni</t>
        </is>
      </c>
      <c r="F679" s="67">
        <f>CONCATENATE(D679,"  ",E679," - ",A679," n° fatt ",C679," - ",TEXT(B679,"gg/mm/aaaa"))</f>
        <v/>
      </c>
    </row>
    <row r="680" ht="15.75" customHeight="1" s="155">
      <c r="A680" s="111" t="inlineStr">
        <is>
          <t>F.lli Fiorentino Srl</t>
        </is>
      </c>
      <c r="B680" s="194" t="n">
        <v>45992</v>
      </c>
      <c r="C680" s="111" t="inlineStr">
        <is>
          <t>1/15176</t>
        </is>
      </c>
      <c r="D680" s="111" t="inlineStr">
        <is>
          <t xml:space="preserve">SALE SACCHI SALTECHNO KG.25  </t>
        </is>
      </c>
      <c r="E680" s="67" t="inlineStr">
        <is>
          <t>contiene allergeni</t>
        </is>
      </c>
      <c r="F680" s="67">
        <f>CONCATENATE(D680,"  ",E680," - ",A680," n° fatt ",C680," - ",TEXT(B680,"gg/mm/aaaa"))</f>
        <v/>
      </c>
    </row>
    <row r="681" ht="15.75" customHeight="1" s="155">
      <c r="A681" s="111" t="inlineStr">
        <is>
          <t>F.lli Fiorentino Srl</t>
        </is>
      </c>
      <c r="B681" s="194" t="n">
        <v>45992</v>
      </c>
      <c r="C681" s="111" t="inlineStr">
        <is>
          <t>1/15176</t>
        </is>
      </c>
      <c r="D681" s="111" t="inlineStr">
        <is>
          <t xml:space="preserve">POMODORI PELATI KG.3 TORRENTE  </t>
        </is>
      </c>
      <c r="E681" s="67" t="inlineStr">
        <is>
          <t>contiene allergeni</t>
        </is>
      </c>
      <c r="F681" s="67">
        <f>CONCATENATE(D681,"  ",E681," - ",A681," n° fatt ",C681," - ",TEXT(B681,"gg/mm/aaaa"))</f>
        <v/>
      </c>
    </row>
    <row r="682" ht="15.75" customHeight="1" s="155">
      <c r="A682" s="111" t="inlineStr">
        <is>
          <t>F.lli Fiorentino Srl</t>
        </is>
      </c>
      <c r="B682" s="194" t="n">
        <v>45992</v>
      </c>
      <c r="C682" s="111" t="inlineStr">
        <is>
          <t>1/15176</t>
        </is>
      </c>
      <c r="D682" s="111" t="inlineStr">
        <is>
          <t xml:space="preserve">POMODORINI CASARECCIA KG.3X6  </t>
        </is>
      </c>
      <c r="E682" s="67" t="inlineStr">
        <is>
          <t>contiene allergeni</t>
        </is>
      </c>
      <c r="F682" s="67">
        <f>CONCATENATE(D682,"  ",E682," - ",A682," n° fatt ",C682," - ",TEXT(B682,"gg/mm/aaaa"))</f>
        <v/>
      </c>
    </row>
    <row r="683" ht="15.75" customHeight="1" s="155">
      <c r="A683" s="111" t="inlineStr">
        <is>
          <t>F.lli Fiorentino Srl</t>
        </is>
      </c>
      <c r="B683" s="194" t="n">
        <v>45992</v>
      </c>
      <c r="C683" s="111" t="inlineStr">
        <is>
          <t>1/15176</t>
        </is>
      </c>
      <c r="D683" s="111" t="inlineStr">
        <is>
          <t xml:space="preserve">PASSATA POMODORI POMOLA' KG.3  </t>
        </is>
      </c>
      <c r="E683" s="67" t="inlineStr">
        <is>
          <t>contiene allergeni</t>
        </is>
      </c>
      <c r="F683" s="67">
        <f>CONCATENATE(D683,"  ",E683," - ",A683," n° fatt ",C683," - ",TEXT(B683,"gg/mm/aaaa"))</f>
        <v/>
      </c>
    </row>
    <row r="684" ht="15.75" customHeight="1" s="155">
      <c r="A684" s="111" t="inlineStr">
        <is>
          <t>F.lli Fiorentino Srl</t>
        </is>
      </c>
      <c r="B684" s="194" t="n">
        <v>45992</v>
      </c>
      <c r="C684" s="111" t="inlineStr">
        <is>
          <t>1/15176</t>
        </is>
      </c>
      <c r="D684" s="111" t="inlineStr">
        <is>
          <t xml:space="preserve">OLIO SEMI GIRASOLE DA L.25  </t>
        </is>
      </c>
      <c r="E684" s="67" t="inlineStr">
        <is>
          <t>contiene allergeni</t>
        </is>
      </c>
      <c r="F684" s="67">
        <f>CONCATENATE(D684,"  ",E684," - ",A684," n° fatt ",C684," - ",TEXT(B684,"gg/mm/aaaa"))</f>
        <v/>
      </c>
    </row>
    <row r="685" ht="15.75" customHeight="1" s="155">
      <c r="A685" s="111" t="inlineStr">
        <is>
          <t>F.lli Fiorentino Srl</t>
        </is>
      </c>
      <c r="B685" s="194" t="n">
        <v>45992</v>
      </c>
      <c r="C685" s="111" t="inlineStr">
        <is>
          <t>1/15176</t>
        </is>
      </c>
      <c r="D685" s="111" t="inlineStr">
        <is>
          <t xml:space="preserve">OLIO EXTRAVERGINE OLIVA L.5  </t>
        </is>
      </c>
      <c r="E685" s="67" t="inlineStr">
        <is>
          <t>contiene allergeni</t>
        </is>
      </c>
      <c r="F685" s="67">
        <f>CONCATENATE(D685,"  ",E685," - ",A685," n° fatt ",C685," - ",TEXT(B685,"gg/mm/aaaa"))</f>
        <v/>
      </c>
    </row>
    <row r="686" ht="15.75" customHeight="1" s="155">
      <c r="A686" s="111" t="inlineStr">
        <is>
          <t>F.lli Fiorentino Srl</t>
        </is>
      </c>
      <c r="B686" s="194" t="n">
        <v>45992</v>
      </c>
      <c r="C686" s="111" t="inlineStr">
        <is>
          <t>1/15176</t>
        </is>
      </c>
      <c r="D686" s="111" t="inlineStr">
        <is>
          <t xml:space="preserve">STRUTTO RAFFINATO UN�GR� KG.25  </t>
        </is>
      </c>
      <c r="E686" s="67" t="inlineStr">
        <is>
          <t>contiene allergeni</t>
        </is>
      </c>
      <c r="F686" s="67">
        <f>CONCATENATE(D686,"  ",E686," - ",A686," n° fatt ",C686," - ",TEXT(B686,"gg/mm/aaaa"))</f>
        <v/>
      </c>
    </row>
    <row r="687" ht="15.75" customHeight="1" s="155">
      <c r="A687" s="111" t="inlineStr">
        <is>
          <t>F.lli Fiorentino Srl</t>
        </is>
      </c>
      <c r="B687" s="194" t="n">
        <v>45992</v>
      </c>
      <c r="C687" s="111" t="inlineStr">
        <is>
          <t>1/15176</t>
        </is>
      </c>
      <c r="D687" s="111" t="inlineStr">
        <is>
          <t xml:space="preserve">SALE FINO ITALKALI DA KG.1X12  </t>
        </is>
      </c>
      <c r="E687" s="67" t="inlineStr">
        <is>
          <t>contiene allergeni</t>
        </is>
      </c>
      <c r="F687" s="67">
        <f>CONCATENATE(D687,"  ",E687," - ",A687," n° fatt ",C687," - ",TEXT(B687,"gg/mm/aaaa"))</f>
        <v/>
      </c>
    </row>
    <row r="688" ht="15.75" customHeight="1" s="155">
      <c r="A688" s="111" t="inlineStr">
        <is>
          <t>F.lli Fiorentino Srl</t>
        </is>
      </c>
      <c r="B688" s="194" t="n">
        <v>45992</v>
      </c>
      <c r="C688" s="111" t="inlineStr">
        <is>
          <t>1/15176</t>
        </is>
      </c>
      <c r="D688" s="111" t="inlineStr">
        <is>
          <t xml:space="preserve">SALE GROSSO ITALKALI KG.1X12  </t>
        </is>
      </c>
      <c r="E688" s="67" t="inlineStr">
        <is>
          <t>contiene allergeni</t>
        </is>
      </c>
      <c r="F688" s="67">
        <f>CONCATENATE(D688,"  ",E688," - ",A688," n° fatt ",C688," - ",TEXT(B688,"gg/mm/aaaa"))</f>
        <v/>
      </c>
    </row>
    <row r="689" ht="15.75" customHeight="1" s="155">
      <c r="A689" s="111" t="inlineStr">
        <is>
          <t>SAIMA S.p.A.</t>
        </is>
      </c>
      <c r="B689" s="194" t="n">
        <v>45997</v>
      </c>
      <c r="C689" s="111" t="inlineStr">
        <is>
          <t>1/214607</t>
        </is>
      </c>
      <c r="D689" s="111" t="inlineStr">
        <is>
          <t xml:space="preserve">PANNA SPRAY ZUCCHERATA ML 700  </t>
        </is>
      </c>
      <c r="E689" s="67" t="inlineStr">
        <is>
          <t>contiene allergeni</t>
        </is>
      </c>
      <c r="F689" s="67">
        <f>CONCATENATE(D689,"  ",E689," - ",A689," n° fatt ",C689," - ",TEXT(B689,"gg/mm/aaaa"))</f>
        <v/>
      </c>
    </row>
    <row r="690" ht="31.5" customHeight="1" s="155">
      <c r="A690" s="111" t="inlineStr">
        <is>
          <t>SAIMA S.p.A.</t>
        </is>
      </c>
      <c r="B690" s="194" t="n">
        <v>45997</v>
      </c>
      <c r="C690" s="111" t="inlineStr">
        <is>
          <t>1/214607</t>
        </is>
      </c>
      <c r="D690" s="111" t="inlineStr">
        <is>
          <t xml:space="preserve">CILIEGIE CALIBRO 18/20 ROSSE CANDITE DA KG 2,5  </t>
        </is>
      </c>
      <c r="E690" s="67" t="inlineStr">
        <is>
          <t>contiene allergeni</t>
        </is>
      </c>
      <c r="F690" s="67">
        <f>CONCATENATE(D690,"  ",E690," - ",A690," n° fatt ",C690," - ",TEXT(B690,"gg/mm/aaaa"))</f>
        <v/>
      </c>
    </row>
    <row r="691" ht="31.5" customHeight="1" s="155">
      <c r="A691" s="111" t="inlineStr">
        <is>
          <t>SAIMA S.p.A.</t>
        </is>
      </c>
      <c r="B691" s="194" t="n">
        <v>45997</v>
      </c>
      <c r="C691" s="111" t="inlineStr">
        <is>
          <t>1/214607</t>
        </is>
      </c>
      <c r="D691" s="111" t="inlineStr">
        <is>
          <t xml:space="preserve">MELANGE PLUS HOMILLINA GATEAUX DA KG 10 (4156)  </t>
        </is>
      </c>
      <c r="E691" s="67" t="inlineStr">
        <is>
          <t>contiene allergeni</t>
        </is>
      </c>
      <c r="F691" s="67">
        <f>CONCATENATE(D691,"  ",E691," - ",A691," n° fatt ",C691," - ",TEXT(B691,"gg/mm/aaaa"))</f>
        <v/>
      </c>
    </row>
  </sheetData>
  <autoFilter ref="A1:F691">
    <sortState ref="A2:F691">
      <sortCondition ref="E1:E691"/>
    </sortState>
  </autoFilter>
  <pageMargins left="0.7" right="0.7" top="0.75" bottom="0.75" header="0.3" footer="0.3"/>
  <pageSetup orientation="portrait" paperSize="9" horizontalDpi="4294967294" verticalDpi="4294967294"/>
</worksheet>
</file>

<file path=xl/worksheets/sheet9.xml><?xml version="1.0" encoding="utf-8"?>
<worksheet xmlns="http://schemas.openxmlformats.org/spreadsheetml/2006/main">
  <sheetPr codeName="Foglio6">
    <outlinePr summaryBelow="1" summaryRight="1"/>
    <pageSetUpPr/>
  </sheetPr>
  <dimension ref="A5:D638"/>
  <sheetViews>
    <sheetView topLeftCell="A624" workbookViewId="0">
      <selection activeCell="A6" sqref="A6:D638"/>
    </sheetView>
  </sheetViews>
  <sheetFormatPr baseColWidth="8" defaultColWidth="19" defaultRowHeight="15.75"/>
  <cols>
    <col width="19" customWidth="1" style="196" min="1" max="2"/>
  </cols>
  <sheetData>
    <row r="5">
      <c r="A5" s="196" t="n">
        <v>2</v>
      </c>
      <c r="B5" s="196" t="n">
        <v>4</v>
      </c>
    </row>
    <row r="6" ht="47.25" customHeight="1" s="155">
      <c r="A6" s="111" t="inlineStr">
        <is>
          <t>SAIMA S.p.A.</t>
        </is>
      </c>
      <c r="B6" s="194" t="n">
        <v>46000</v>
      </c>
      <c r="C6" s="111" t="inlineStr">
        <is>
          <t>1/215909</t>
        </is>
      </c>
      <c r="D6" s="111" t="inlineStr">
        <is>
          <t xml:space="preserve">CACAO DA 1 KG ROSSO BRUNO 22/24 CORPO PIENO VAN HOUTEN  </t>
        </is>
      </c>
    </row>
    <row r="7" ht="31.5" customHeight="1" s="155">
      <c r="A7" s="111" t="inlineStr">
        <is>
          <t>SAIMA S.p.A.</t>
        </is>
      </c>
      <c r="B7" s="194" t="n">
        <v>46000</v>
      </c>
      <c r="C7" s="111" t="inlineStr">
        <is>
          <t>1/215909</t>
        </is>
      </c>
      <c r="D7" s="111" t="inlineStr">
        <is>
          <t xml:space="preserve">AROMA PISTO SUPER EXTRA IN POLVERE  </t>
        </is>
      </c>
    </row>
    <row r="8" ht="47.25" customHeight="1" s="155">
      <c r="A8" s="111" t="inlineStr">
        <is>
          <t>SAIMA S.p.A.</t>
        </is>
      </c>
      <c r="B8" s="194" t="n">
        <v>46000</v>
      </c>
      <c r="C8" s="111" t="inlineStr">
        <is>
          <t>1/215909</t>
        </is>
      </c>
      <c r="D8" s="111" t="inlineStr">
        <is>
          <t xml:space="preserve">SURROGATO FONDENTE SUPERBRILL250 IN CONFEZIONE DA KG 10  </t>
        </is>
      </c>
    </row>
    <row r="9" ht="47.25" customHeight="1" s="155">
      <c r="A9" s="111" t="inlineStr">
        <is>
          <t>SAIMA S.p.A.</t>
        </is>
      </c>
      <c r="B9" s="194" t="n">
        <v>46000</v>
      </c>
      <c r="C9" s="111" t="inlineStr">
        <is>
          <t>1/215909</t>
        </is>
      </c>
      <c r="D9" s="111" t="inlineStr">
        <is>
          <t xml:space="preserve">GELATINA GELINA A FREDDO NEUTRA IN CONFEZIONE DA KG 6  </t>
        </is>
      </c>
    </row>
    <row r="10" ht="31.5" customHeight="1" s="155">
      <c r="A10" s="111" t="inlineStr">
        <is>
          <t>SAIMA S.p.A.</t>
        </is>
      </c>
      <c r="B10" s="194" t="n">
        <v>46000</v>
      </c>
      <c r="C10" s="111" t="inlineStr">
        <is>
          <t>1/215909</t>
        </is>
      </c>
      <c r="D10" s="111" t="inlineStr">
        <is>
          <t xml:space="preserve">MIX YOGOFINE DA KG 15  </t>
        </is>
      </c>
    </row>
    <row r="11" ht="31.5" customHeight="1" s="155">
      <c r="A11" s="111" t="inlineStr">
        <is>
          <t>SAIMA S.p.A.</t>
        </is>
      </c>
      <c r="B11" s="194" t="n">
        <v>46000</v>
      </c>
      <c r="C11" s="111" t="inlineStr">
        <is>
          <t>1/215909</t>
        </is>
      </c>
      <c r="D11" s="111" t="inlineStr">
        <is>
          <t xml:space="preserve">PANNA TENUTAPIU' DA LT 1 (M.G. 38%)  </t>
        </is>
      </c>
    </row>
    <row r="12" ht="47.25" customHeight="1" s="155">
      <c r="A12" s="111" t="inlineStr">
        <is>
          <t>SAIMA S.p.A.</t>
        </is>
      </c>
      <c r="B12" s="194" t="n">
        <v>46000</v>
      </c>
      <c r="C12" s="111" t="inlineStr">
        <is>
          <t>1/215909</t>
        </is>
      </c>
      <c r="D12" s="111" t="inlineStr">
        <is>
          <t xml:space="preserve">MELANGE PLUS HOMILLINA GATEAUX DA KG 10 (4156)  </t>
        </is>
      </c>
    </row>
    <row r="13" ht="47.25" customHeight="1" s="155">
      <c r="A13" s="111" t="inlineStr">
        <is>
          <t>SAIMA S.p.A.</t>
        </is>
      </c>
      <c r="B13" s="194" t="n">
        <v>46000</v>
      </c>
      <c r="C13" s="111" t="inlineStr">
        <is>
          <t>1/215909</t>
        </is>
      </c>
      <c r="D13" s="111" t="inlineStr">
        <is>
          <t xml:space="preserve">MELANGE PLUS HOMILLINA PLATTE DA KG 10 (4155)  </t>
        </is>
      </c>
    </row>
    <row r="14" ht="31.5" customHeight="1" s="155">
      <c r="A14" s="111" t="inlineStr">
        <is>
          <t>SAIMA S.p.A.</t>
        </is>
      </c>
      <c r="B14" s="194" t="n">
        <v>46000</v>
      </c>
      <c r="C14" s="111" t="inlineStr">
        <is>
          <t>1/215909</t>
        </is>
      </c>
      <c r="D14" s="111" t="inlineStr">
        <is>
          <t xml:space="preserve">MIX CAKE NATURE DA KG 10 (4830)  </t>
        </is>
      </c>
    </row>
    <row r="15" ht="63" customHeight="1" s="155">
      <c r="A15" s="111" t="inlineStr">
        <is>
          <t>SAIMA S.p.A.</t>
        </is>
      </c>
      <c r="B15" s="194" t="n">
        <v>46000</v>
      </c>
      <c r="C15" s="111" t="inlineStr">
        <is>
          <t>1/215909</t>
        </is>
      </c>
      <c r="D15" s="111" t="inlineStr">
        <is>
          <t xml:space="preserve">CREMA RIO TRADIZIONE PISTACCHIO IN CONFEZIONE DA KG 5 (DC00BM)  </t>
        </is>
      </c>
    </row>
    <row r="16" ht="47.25" customHeight="1" s="155">
      <c r="A16" s="111" t="inlineStr">
        <is>
          <t>SAIMA S.p.A.</t>
        </is>
      </c>
      <c r="B16" s="194" t="n">
        <v>46000</v>
      </c>
      <c r="C16" s="111" t="inlineStr">
        <is>
          <t>1/215909</t>
        </is>
      </c>
      <c r="D16" s="111" t="inlineStr">
        <is>
          <t xml:space="preserve">AMARENA NATURALE INTERA IN SCIROPPO DA KG 3  </t>
        </is>
      </c>
    </row>
    <row r="17" ht="63" customHeight="1" s="155">
      <c r="A17" s="111" t="inlineStr">
        <is>
          <t>SAIMA S.p.A.</t>
        </is>
      </c>
      <c r="B17" s="194" t="n">
        <v>46000</v>
      </c>
      <c r="C17" s="111" t="inlineStr">
        <is>
          <t>1/215909</t>
        </is>
      </c>
      <c r="D17" s="111" t="inlineStr">
        <is>
          <t xml:space="preserve">TARTELLETTA (063915) MODERN DOLCE CON BURRO 65MM PZ 90(BLISTER)  </t>
        </is>
      </c>
    </row>
    <row r="18" ht="47.25" customHeight="1" s="155">
      <c r="A18" s="111" t="inlineStr">
        <is>
          <t>SAIMA S.p.A.</t>
        </is>
      </c>
      <c r="B18" s="194" t="n">
        <v>46000</v>
      </c>
      <c r="C18" s="111" t="inlineStr">
        <is>
          <t>1/215909</t>
        </is>
      </c>
      <c r="D18" s="111" t="inlineStr">
        <is>
          <t xml:space="preserve">TAPPI PER RICCE GRANDI DA GR 55/60 SURGELATO  </t>
        </is>
      </c>
    </row>
    <row r="19" ht="47.25" customHeight="1" s="155">
      <c r="A19" s="111" t="inlineStr">
        <is>
          <t>SAIMA S.p.A.</t>
        </is>
      </c>
      <c r="B19" s="194" t="n">
        <v>46000</v>
      </c>
      <c r="C19" s="111" t="inlineStr">
        <is>
          <t>1/215909</t>
        </is>
      </c>
      <c r="D19" s="111" t="inlineStr">
        <is>
          <t xml:space="preserve">TAPPI PER RICCE MIGNON DA GR 18 SURGELATO  </t>
        </is>
      </c>
    </row>
    <row r="20" ht="31.5" customHeight="1" s="155">
      <c r="A20" s="111" t="inlineStr">
        <is>
          <t>SAIMA S.p.A.</t>
        </is>
      </c>
      <c r="B20" s="194" t="n">
        <v>46000</v>
      </c>
      <c r="C20" s="111" t="inlineStr">
        <is>
          <t>1/215909</t>
        </is>
      </c>
      <c r="D20" s="111" t="inlineStr">
        <is>
          <t xml:space="preserve">LIEVITO DI BIRRA PER PANIFICAZIONE  </t>
        </is>
      </c>
    </row>
    <row r="21" ht="31.5" customHeight="1" s="155">
      <c r="A21" s="111" t="inlineStr">
        <is>
          <t>AP COMMERCIALE S.R.L.</t>
        </is>
      </c>
      <c r="B21" s="194" t="n">
        <v>46009</v>
      </c>
      <c r="C21" s="111" t="inlineStr">
        <is>
          <t>25566525100020@16913</t>
        </is>
      </c>
      <c r="D21" s="111" t="inlineStr">
        <is>
          <t>CUORE DI FORMAGGIO R</t>
        </is>
      </c>
    </row>
    <row r="22" ht="31.5" customHeight="1" s="155">
      <c r="A22" s="111" t="inlineStr">
        <is>
          <t>AP COMMERCIALE S.R.L.</t>
        </is>
      </c>
      <c r="B22" s="194" t="n">
        <v>46009</v>
      </c>
      <c r="C22" s="111" t="inlineStr">
        <is>
          <t>25566525100020@16913</t>
        </is>
      </c>
      <c r="D22" s="111" t="inlineStr">
        <is>
          <t>MUSCOLO DI SCOTTONA</t>
        </is>
      </c>
    </row>
    <row r="23" ht="31.5" customHeight="1" s="155">
      <c r="A23" s="111" t="inlineStr">
        <is>
          <t>AP COMMERCIALE S.R.L.</t>
        </is>
      </c>
      <c r="B23" s="194" t="n">
        <v>46009</v>
      </c>
      <c r="C23" s="111" t="inlineStr">
        <is>
          <t>25566525100020@16913</t>
        </is>
      </c>
      <c r="D23" s="111" t="inlineStr">
        <is>
          <t>PANDELGIORNO PANE MEZZO AGNANO</t>
        </is>
      </c>
    </row>
    <row r="24" ht="31.5" customHeight="1" s="155">
      <c r="A24" s="111" t="inlineStr">
        <is>
          <t>AP COMMERCIALE S.R.L.</t>
        </is>
      </c>
      <c r="B24" s="194" t="n">
        <v>46009</v>
      </c>
      <c r="C24" s="111" t="inlineStr">
        <is>
          <t>25566525100020@16913</t>
        </is>
      </c>
      <c r="D24" s="111" t="inlineStr">
        <is>
          <t>SHOPPERS SOLE 365 BIOCOMP.</t>
        </is>
      </c>
    </row>
    <row r="25" ht="31.5" customHeight="1" s="155">
      <c r="A25" s="111" t="inlineStr">
        <is>
          <t>DI COSMO S.R.L.</t>
        </is>
      </c>
      <c r="B25" s="194" t="n">
        <v>46002</v>
      </c>
      <c r="C25" s="111" t="inlineStr">
        <is>
          <t>000000000030154/07</t>
        </is>
      </c>
      <c r="D25" s="111" t="inlineStr">
        <is>
          <t>APEROL BARBIERI CL 100</t>
        </is>
      </c>
    </row>
    <row r="26" ht="31.5" customHeight="1" s="155">
      <c r="A26" s="111" t="inlineStr">
        <is>
          <t>DI COSMO S.R.L.</t>
        </is>
      </c>
      <c r="B26" s="194" t="n">
        <v>46002</v>
      </c>
      <c r="C26" s="111" t="inlineStr">
        <is>
          <t>000000000030154/07</t>
        </is>
      </c>
      <c r="D26" s="111" t="inlineStr">
        <is>
          <t>LIQ.INFUSIONE CAMILLA MARZADRO CL 70</t>
        </is>
      </c>
    </row>
    <row r="27" ht="31.5" customHeight="1" s="155">
      <c r="A27" s="111" t="inlineStr">
        <is>
          <t>DI COSMO S.R.L.</t>
        </is>
      </c>
      <c r="B27" s="194" t="n">
        <v>46002</v>
      </c>
      <c r="C27" s="111" t="inlineStr">
        <is>
          <t>000000000030154/07</t>
        </is>
      </c>
      <c r="D27" s="111" t="inlineStr">
        <is>
          <t>CARPANO PUNT E MES LT1</t>
        </is>
      </c>
    </row>
    <row r="28" ht="31.5" customHeight="1" s="155">
      <c r="A28" s="111" t="inlineStr">
        <is>
          <t>DI COSMO S.R.L.</t>
        </is>
      </c>
      <c r="B28" s="194" t="n">
        <v>46002</v>
      </c>
      <c r="C28" s="111" t="inlineStr">
        <is>
          <t>000000000030154/07</t>
        </is>
      </c>
      <c r="D28" s="111" t="inlineStr">
        <is>
          <t>PROSECCO VALD. DOCG BRUT SERENA LT 1,5</t>
        </is>
      </c>
    </row>
    <row r="29" ht="31.5" customHeight="1" s="155">
      <c r="A29" s="111" t="inlineStr">
        <is>
          <t>DI COSMO S.R.L.</t>
        </is>
      </c>
      <c r="B29" s="194" t="n">
        <v>46002</v>
      </c>
      <c r="C29" s="111" t="inlineStr">
        <is>
          <t>000000000030154/07</t>
        </is>
      </c>
      <c r="D29" s="111" t="inlineStr">
        <is>
          <t>PROSEC.DOCG VALD. VILLE D'ARFANTA CL75X</t>
        </is>
      </c>
    </row>
    <row r="30" ht="31.5" customHeight="1" s="155">
      <c r="A30" s="111" t="inlineStr">
        <is>
          <t>DI COSMO S.R.L.</t>
        </is>
      </c>
      <c r="B30" s="194" t="n">
        <v>46002</v>
      </c>
      <c r="C30" s="111" t="inlineStr">
        <is>
          <t>000000000030154/07</t>
        </is>
      </c>
      <c r="D30" s="111" t="inlineStr">
        <is>
          <t>BITTER CAMPARI CL 100</t>
        </is>
      </c>
    </row>
    <row r="31">
      <c r="A31" s="111" t="inlineStr">
        <is>
          <t>DI COSMO S.R.L.</t>
        </is>
      </c>
      <c r="B31" s="194" t="n">
        <v>46002</v>
      </c>
      <c r="C31" s="111" t="inlineStr">
        <is>
          <t>000000000030154/07</t>
        </is>
      </c>
      <c r="D31" s="111" t="inlineStr">
        <is>
          <t>Totale Peso  316,60</t>
        </is>
      </c>
    </row>
    <row r="32" ht="78.75" customHeight="1" s="155">
      <c r="A32" s="111" t="inlineStr">
        <is>
          <t>Olive Miraglia s.r.l. 1890</t>
        </is>
      </c>
      <c r="B32" s="194" t="n">
        <v>46002</v>
      </c>
      <c r="C32" s="111" t="inlineStr">
        <is>
          <t>FPR 2669/25</t>
        </is>
      </c>
      <c r="D32" s="111" t="inlineStr">
        <is>
          <t>OLIVE VERDI TONDE 0000 MSM IN ACQUA E SALE PROVENIENZA ITALIA,SICILIA,CAMPOBELLO DI MAZARA (TP)</t>
        </is>
      </c>
    </row>
    <row r="33" ht="63" customHeight="1" s="155">
      <c r="A33" s="111" t="inlineStr">
        <is>
          <t>Dolciaria Acquaviva S.p.A. sog. all'att. di dir. e coord. di Vandemoortele NV</t>
        </is>
      </c>
      <c r="B33" s="194" t="n">
        <v>46001</v>
      </c>
      <c r="C33" s="111" t="n">
        <v>922700</v>
      </c>
      <c r="D33" s="111" t="inlineStr">
        <is>
          <t>CIAMBELLA MAXI ZUCCHERATA G. 100</t>
        </is>
      </c>
    </row>
    <row r="34" ht="63" customHeight="1" s="155">
      <c r="A34" s="111" t="inlineStr">
        <is>
          <t>Dolciaria Acquaviva S.p.A. sog. all'att. di dir. e coord. di Vandemoortele NV</t>
        </is>
      </c>
      <c r="B34" s="194" t="n">
        <v>46001</v>
      </c>
      <c r="C34" s="111" t="n">
        <v>922700</v>
      </c>
      <c r="D34" s="111" t="inlineStr">
        <is>
          <t>CIAMBELLA MINI ZUCCHERATA g. 22/25</t>
        </is>
      </c>
    </row>
    <row r="35" ht="63" customHeight="1" s="155">
      <c r="A35" s="111" t="inlineStr">
        <is>
          <t>Dolciaria Acquaviva S.p.A. sog. all'att. di dir. e coord. di Vandemoortele NV</t>
        </is>
      </c>
      <c r="B35" s="194" t="n">
        <v>46001</v>
      </c>
      <c r="C35" s="111" t="n">
        <v>922700</v>
      </c>
      <c r="D35" s="111" t="inlineStr">
        <is>
          <t>TAPPI  GRANDI  G 55/60</t>
        </is>
      </c>
    </row>
    <row r="36" ht="63" customHeight="1" s="155">
      <c r="A36" s="111" t="inlineStr">
        <is>
          <t>Dolciaria Acquaviva S.p.A. sog. all'att. di dir. e coord. di Vandemoortele NV</t>
        </is>
      </c>
      <c r="B36" s="194" t="n">
        <v>46001</v>
      </c>
      <c r="C36" s="111" t="n">
        <v>922700</v>
      </c>
      <c r="D36" s="111" t="inlineStr">
        <is>
          <t>TAPPI MIGNON PER SFOGLIATE GR.20</t>
        </is>
      </c>
    </row>
    <row r="37" ht="63" customHeight="1" s="155">
      <c r="A37" s="111" t="inlineStr">
        <is>
          <t>Dolciaria Acquaviva S.p.A. sog. all'att. di dir. e coord. di Vandemoortele NV</t>
        </is>
      </c>
      <c r="B37" s="194" t="n">
        <v>46007</v>
      </c>
      <c r="C37" s="111" t="n">
        <v>923284</v>
      </c>
      <c r="D37" s="111" t="inlineStr">
        <is>
          <t>TAPPI  GRANDI  G 55/60</t>
        </is>
      </c>
    </row>
    <row r="38" ht="63" customHeight="1" s="155">
      <c r="A38" s="111" t="inlineStr">
        <is>
          <t>Dolciaria Acquaviva S.p.A. sog. all'att. di dir. e coord. di Vandemoortele NV</t>
        </is>
      </c>
      <c r="B38" s="194" t="n">
        <v>46007</v>
      </c>
      <c r="C38" s="111" t="n">
        <v>923284</v>
      </c>
      <c r="D38" s="111" t="inlineStr">
        <is>
          <t>TAPPI MIGNON PER SFOGLIATE GR.20</t>
        </is>
      </c>
    </row>
    <row r="39" ht="63" customHeight="1" s="155">
      <c r="A39" s="111" t="inlineStr">
        <is>
          <t>Dolciaria Acquaviva S.p.A. sog. all'att. di dir. e coord. di Vandemoortele NV</t>
        </is>
      </c>
      <c r="B39" s="194" t="n">
        <v>46007</v>
      </c>
      <c r="C39" s="111" t="n">
        <v>923284</v>
      </c>
      <c r="D39" s="111" t="inlineStr">
        <is>
          <t>CIAMBELLA MAXI ZUCCHERATA G. 100</t>
        </is>
      </c>
    </row>
    <row r="40" ht="63" customHeight="1" s="155">
      <c r="A40" s="111" t="inlineStr">
        <is>
          <t>Dolciaria Acquaviva S.p.A. sog. all'att. di dir. e coord. di Vandemoortele NV</t>
        </is>
      </c>
      <c r="B40" s="194" t="n">
        <v>46007</v>
      </c>
      <c r="C40" s="111" t="n">
        <v>923284</v>
      </c>
      <c r="D40" s="111" t="inlineStr">
        <is>
          <t>CIAMBELLA MINI ZUCCHERATA g. 22/25</t>
        </is>
      </c>
    </row>
    <row r="41" ht="63" customHeight="1" s="155">
      <c r="A41" s="111" t="inlineStr">
        <is>
          <t>Dolciaria Acquaviva S.p.A. sog. all'att. di dir. e coord. di Vandemoortele NV</t>
        </is>
      </c>
      <c r="B41" s="194" t="n">
        <v>46007</v>
      </c>
      <c r="C41" s="111" t="n">
        <v>923284</v>
      </c>
      <c r="D41" s="111" t="inlineStr">
        <is>
          <t>CODA D'ARAGOSTA MIG.GR.28/30</t>
        </is>
      </c>
    </row>
    <row r="42" ht="31.5" customHeight="1" s="155">
      <c r="A42" s="111" t="inlineStr">
        <is>
          <t>I COZZOLINO SRL</t>
        </is>
      </c>
      <c r="B42" s="194" t="n">
        <v>46006</v>
      </c>
      <c r="C42" s="111" t="inlineStr">
        <is>
          <t>D3394</t>
        </is>
      </c>
      <c r="D42" s="111" t="inlineStr">
        <is>
          <t>Limoni L. 130720240010</t>
        </is>
      </c>
    </row>
    <row r="43" ht="31.5" customHeight="1" s="155">
      <c r="A43" s="111" t="inlineStr">
        <is>
          <t>I COZZOLINO SRL</t>
        </is>
      </c>
      <c r="B43" s="194" t="n">
        <v>46006</v>
      </c>
      <c r="C43" s="111" t="inlineStr">
        <is>
          <t>D3394</t>
        </is>
      </c>
      <c r="D43" s="111" t="inlineStr">
        <is>
          <t>Peperoni  L.031-004226-0000007</t>
        </is>
      </c>
    </row>
    <row r="44" ht="31.5" customHeight="1" s="155">
      <c r="A44" s="111" t="inlineStr">
        <is>
          <t>I COZZOLINO SRL</t>
        </is>
      </c>
      <c r="B44" s="194" t="n">
        <v>46006</v>
      </c>
      <c r="C44" s="111" t="inlineStr">
        <is>
          <t>D3394</t>
        </is>
      </c>
      <c r="D44" s="111" t="inlineStr">
        <is>
          <t>Zucchine L.0950-04/21-000040IT</t>
        </is>
      </c>
    </row>
    <row r="45" ht="31.5" customHeight="1" s="155">
      <c r="A45" s="111" t="inlineStr">
        <is>
          <t>I COZZOLINO SRL</t>
        </is>
      </c>
      <c r="B45" s="194" t="n">
        <v>46006</v>
      </c>
      <c r="C45" s="111" t="inlineStr">
        <is>
          <t>D3394</t>
        </is>
      </c>
      <c r="D45" s="111" t="inlineStr">
        <is>
          <t>Iceberg L. 258-000743-0010367</t>
        </is>
      </c>
    </row>
    <row r="46" ht="31.5" customHeight="1" s="155">
      <c r="A46" s="111" t="inlineStr">
        <is>
          <t>I COZZOLINO SRL</t>
        </is>
      </c>
      <c r="B46" s="194" t="n">
        <v>46006</v>
      </c>
      <c r="C46" s="111" t="inlineStr">
        <is>
          <t>D3394</t>
        </is>
      </c>
      <c r="D46" s="111" t="inlineStr">
        <is>
          <t>Friarielli Orig.Campania L.51/F FVI/49</t>
        </is>
      </c>
    </row>
    <row r="47" ht="31.5" customHeight="1" s="155">
      <c r="A47" s="111" t="inlineStr">
        <is>
          <t>I COZZOLINO SRL</t>
        </is>
      </c>
      <c r="B47" s="194" t="n">
        <v>46006</v>
      </c>
      <c r="C47" s="111" t="inlineStr">
        <is>
          <t>D3394</t>
        </is>
      </c>
      <c r="D47" s="111" t="inlineStr">
        <is>
          <t>Pomodorini Sicilia L. 291-002759-0000021</t>
        </is>
      </c>
    </row>
    <row r="48" ht="31.5" customHeight="1" s="155">
      <c r="A48" s="111" t="inlineStr">
        <is>
          <t>I COZZOLINO SRL</t>
        </is>
      </c>
      <c r="B48" s="194" t="n">
        <v>46006</v>
      </c>
      <c r="C48" s="111" t="inlineStr">
        <is>
          <t>D3394</t>
        </is>
      </c>
      <c r="D48" s="111" t="inlineStr">
        <is>
          <t>Pomodori Insalata Orig.Ita L89/F455</t>
        </is>
      </c>
    </row>
    <row r="49" ht="31.5" customHeight="1" s="155">
      <c r="A49" s="111" t="inlineStr">
        <is>
          <t>I COZZOLINO SRL</t>
        </is>
      </c>
      <c r="B49" s="194" t="n">
        <v>46006</v>
      </c>
      <c r="C49" s="111" t="inlineStr">
        <is>
          <t>D3394</t>
        </is>
      </c>
      <c r="D49" s="111" t="inlineStr">
        <is>
          <t>Kiwi L. 060-000015-0000091</t>
        </is>
      </c>
    </row>
    <row r="50">
      <c r="A50" s="111" t="inlineStr">
        <is>
          <t>I COZZOLINO SRL</t>
        </is>
      </c>
      <c r="B50" s="194" t="n">
        <v>46006</v>
      </c>
      <c r="C50" s="111" t="inlineStr">
        <is>
          <t>D3394</t>
        </is>
      </c>
      <c r="D50" s="111" t="inlineStr">
        <is>
          <t>Sedano L.F.183/A</t>
        </is>
      </c>
    </row>
    <row r="51">
      <c r="A51" s="111" t="inlineStr">
        <is>
          <t>I COZZOLINO SRL</t>
        </is>
      </c>
      <c r="B51" s="194" t="n">
        <v>46006</v>
      </c>
      <c r="C51" s="111" t="inlineStr">
        <is>
          <t>D3394</t>
        </is>
      </c>
      <c r="D51" s="111" t="inlineStr">
        <is>
          <t>Frutta Mista</t>
        </is>
      </c>
    </row>
    <row r="52" ht="31.5" customHeight="1" s="155">
      <c r="A52" s="111" t="inlineStr">
        <is>
          <t>I COZZOLINO SRL</t>
        </is>
      </c>
      <c r="B52" s="194" t="n">
        <v>46006</v>
      </c>
      <c r="C52" s="111" t="inlineStr">
        <is>
          <t>D3394</t>
        </is>
      </c>
      <c r="D52" s="111" t="inlineStr">
        <is>
          <t>Melanzane L.197-002155-0008629</t>
        </is>
      </c>
    </row>
    <row r="53" ht="31.5" customHeight="1" s="155">
      <c r="A53" s="111" t="inlineStr">
        <is>
          <t>I COZZOLINO SRL</t>
        </is>
      </c>
      <c r="B53" s="194" t="n">
        <v>46006</v>
      </c>
      <c r="C53" s="111" t="inlineStr">
        <is>
          <t>D3394</t>
        </is>
      </c>
      <c r="D53" s="111" t="inlineStr">
        <is>
          <t>Peperoni  L.031-004226-0000007</t>
        </is>
      </c>
    </row>
    <row r="54" ht="31.5" customHeight="1" s="155">
      <c r="A54" s="111" t="inlineStr">
        <is>
          <t>I COZZOLINO SRL</t>
        </is>
      </c>
      <c r="B54" s="194" t="n">
        <v>46006</v>
      </c>
      <c r="C54" s="111" t="inlineStr">
        <is>
          <t>D3394</t>
        </is>
      </c>
      <c r="D54" s="111" t="inlineStr">
        <is>
          <t>Pomodorini Sicilia L. 291-002759-0000021</t>
        </is>
      </c>
    </row>
    <row r="55">
      <c r="A55" s="111" t="inlineStr">
        <is>
          <t>I COZZOLINO SRL</t>
        </is>
      </c>
      <c r="B55" s="194" t="n">
        <v>46006</v>
      </c>
      <c r="C55" s="111" t="inlineStr">
        <is>
          <t>D3394</t>
        </is>
      </c>
      <c r="D55" s="111" t="inlineStr">
        <is>
          <t>Rosmarino L4204 289</t>
        </is>
      </c>
    </row>
    <row r="56" ht="47.25" customHeight="1" s="155">
      <c r="A56" s="111" t="inlineStr">
        <is>
          <t>I COZZOLINO SRL</t>
        </is>
      </c>
      <c r="B56" s="194" t="n">
        <v>46006</v>
      </c>
      <c r="C56" s="111" t="inlineStr">
        <is>
          <t>D3394</t>
        </is>
      </c>
      <c r="D56" s="111" t="inlineStr">
        <is>
          <t>Limes L.35219030060240253</t>
        </is>
      </c>
    </row>
    <row r="57" ht="31.5" customHeight="1" s="155">
      <c r="A57" s="111" t="inlineStr">
        <is>
          <t>I COZZOLINO SRL</t>
        </is>
      </c>
      <c r="B57" s="194" t="n">
        <v>46006</v>
      </c>
      <c r="C57" s="111" t="inlineStr">
        <is>
          <t>D3394</t>
        </is>
      </c>
      <c r="D57" s="111" t="inlineStr">
        <is>
          <t>Iceberg L. 258-000743-0010367</t>
        </is>
      </c>
    </row>
    <row r="58" ht="31.5" customHeight="1" s="155">
      <c r="A58" s="111" t="inlineStr">
        <is>
          <t>I COZZOLINO SRL</t>
        </is>
      </c>
      <c r="B58" s="194" t="n">
        <v>46006</v>
      </c>
      <c r="C58" s="111" t="inlineStr">
        <is>
          <t>D3394</t>
        </is>
      </c>
      <c r="D58" s="111" t="inlineStr">
        <is>
          <t>Ananas L. 055-000857-0003014</t>
        </is>
      </c>
    </row>
    <row r="59" ht="47.25" customHeight="1" s="155">
      <c r="A59" s="111" t="inlineStr">
        <is>
          <t>I COZZOLINO SRL</t>
        </is>
      </c>
      <c r="B59" s="194" t="n">
        <v>46006</v>
      </c>
      <c r="C59" s="111" t="inlineStr">
        <is>
          <t>D3394</t>
        </is>
      </c>
      <c r="D59" s="111" t="inlineStr">
        <is>
          <t>Mele Stark Orig.Ita L.027-003659-0000799</t>
        </is>
      </c>
    </row>
    <row r="60" ht="31.5" customHeight="1" s="155">
      <c r="A60" s="111" t="inlineStr">
        <is>
          <t>I COZZOLINO SRL</t>
        </is>
      </c>
      <c r="B60" s="194" t="n">
        <v>46006</v>
      </c>
      <c r="C60" s="111" t="inlineStr">
        <is>
          <t>D3394</t>
        </is>
      </c>
      <c r="D60" s="111" t="inlineStr">
        <is>
          <t>Pere Conferenze L. 059-004082-0001270</t>
        </is>
      </c>
    </row>
    <row r="61">
      <c r="A61" s="111" t="inlineStr">
        <is>
          <t>I COZZOLINO SRL</t>
        </is>
      </c>
      <c r="B61" s="194" t="n">
        <v>46006</v>
      </c>
      <c r="C61" s="111" t="inlineStr">
        <is>
          <t>D3394</t>
        </is>
      </c>
      <c r="D61" s="111" t="inlineStr">
        <is>
          <t>Basilico orig.ita L.4206</t>
        </is>
      </c>
    </row>
    <row r="62" ht="31.5" customHeight="1" s="155">
      <c r="A62" s="111" t="inlineStr">
        <is>
          <t>I COZZOLINO SRL</t>
        </is>
      </c>
      <c r="B62" s="194" t="n">
        <v>46006</v>
      </c>
      <c r="C62" s="111" t="inlineStr">
        <is>
          <t>D3394</t>
        </is>
      </c>
      <c r="D62" s="111" t="inlineStr">
        <is>
          <t>Melanzane L.197-002155-0008629</t>
        </is>
      </c>
    </row>
    <row r="63" ht="31.5" customHeight="1" s="155">
      <c r="A63" s="111" t="inlineStr">
        <is>
          <t>I COZZOLINO SRL</t>
        </is>
      </c>
      <c r="B63" s="194" t="n">
        <v>46006</v>
      </c>
      <c r="C63" s="111" t="inlineStr">
        <is>
          <t>D3394</t>
        </is>
      </c>
      <c r="D63" s="111" t="inlineStr">
        <is>
          <t>Zucchine L.0950-04/21-000040IT</t>
        </is>
      </c>
    </row>
    <row r="64" ht="31.5" customHeight="1" s="155">
      <c r="A64" s="111" t="inlineStr">
        <is>
          <t>I COZZOLINO SRL</t>
        </is>
      </c>
      <c r="B64" s="194" t="n">
        <v>46006</v>
      </c>
      <c r="C64" s="111" t="inlineStr">
        <is>
          <t>D3394</t>
        </is>
      </c>
      <c r="D64" s="111" t="inlineStr">
        <is>
          <t>Pomodorini Sicilia L. 291-002759-0000021</t>
        </is>
      </c>
    </row>
    <row r="65" ht="31.5" customHeight="1" s="155">
      <c r="A65" s="111" t="inlineStr">
        <is>
          <t>I COZZOLINO SRL</t>
        </is>
      </c>
      <c r="B65" s="194" t="n">
        <v>46006</v>
      </c>
      <c r="C65" s="111" t="inlineStr">
        <is>
          <t>D3394</t>
        </is>
      </c>
      <c r="D65" s="111" t="inlineStr">
        <is>
          <t>Iceberg L. 258-000743-0010367</t>
        </is>
      </c>
    </row>
    <row r="66" ht="31.5" customHeight="1" s="155">
      <c r="A66" s="111" t="inlineStr">
        <is>
          <t>I COZZOLINO SRL</t>
        </is>
      </c>
      <c r="B66" s="194" t="n">
        <v>46006</v>
      </c>
      <c r="C66" s="111" t="inlineStr">
        <is>
          <t>D3394</t>
        </is>
      </c>
      <c r="D66" s="111" t="inlineStr">
        <is>
          <t>Patata da Consumo L.469/93</t>
        </is>
      </c>
    </row>
    <row r="67" ht="31.5" customHeight="1" s="155">
      <c r="A67" s="111" t="inlineStr">
        <is>
          <t>I COZZOLINO SRL</t>
        </is>
      </c>
      <c r="B67" s="194" t="n">
        <v>46006</v>
      </c>
      <c r="C67" s="111" t="inlineStr">
        <is>
          <t>D3394</t>
        </is>
      </c>
      <c r="D67" s="111" t="inlineStr">
        <is>
          <t>Limoni L. 130720240010</t>
        </is>
      </c>
    </row>
    <row r="68" ht="31.5" customHeight="1" s="155">
      <c r="A68" s="111" t="inlineStr">
        <is>
          <t>I COZZOLINO SRL</t>
        </is>
      </c>
      <c r="B68" s="194" t="n">
        <v>46006</v>
      </c>
      <c r="C68" s="111" t="inlineStr">
        <is>
          <t>D3394</t>
        </is>
      </c>
      <c r="D68" s="111" t="inlineStr">
        <is>
          <t>Pomodorini Sicilia L. 291-002759-0000021</t>
        </is>
      </c>
    </row>
    <row r="69" ht="31.5" customHeight="1" s="155">
      <c r="A69" s="111" t="inlineStr">
        <is>
          <t>I COZZOLINO SRL</t>
        </is>
      </c>
      <c r="B69" s="194" t="n">
        <v>46006</v>
      </c>
      <c r="C69" s="111" t="inlineStr">
        <is>
          <t>D3394</t>
        </is>
      </c>
      <c r="D69" s="111" t="inlineStr">
        <is>
          <t>Pomodori Insalata Orig.Ita L89/F455</t>
        </is>
      </c>
    </row>
    <row r="70" ht="31.5" customHeight="1" s="155">
      <c r="A70" s="111" t="inlineStr">
        <is>
          <t>I COZZOLINO SRL</t>
        </is>
      </c>
      <c r="B70" s="194" t="n">
        <v>46006</v>
      </c>
      <c r="C70" s="111" t="inlineStr">
        <is>
          <t>D3394</t>
        </is>
      </c>
      <c r="D70" s="111" t="inlineStr">
        <is>
          <t>Zucchine L.0950-04/21-000040IT</t>
        </is>
      </c>
    </row>
    <row r="71" ht="31.5" customHeight="1" s="155">
      <c r="A71" s="111" t="inlineStr">
        <is>
          <t>I COZZOLINO SRL</t>
        </is>
      </c>
      <c r="B71" s="194" t="n">
        <v>46006</v>
      </c>
      <c r="C71" s="111" t="inlineStr">
        <is>
          <t>D3394</t>
        </is>
      </c>
      <c r="D71" s="111" t="inlineStr">
        <is>
          <t>Melanzane L.197-002155-0008629</t>
        </is>
      </c>
    </row>
    <row r="72" ht="31.5" customHeight="1" s="155">
      <c r="A72" s="111" t="inlineStr">
        <is>
          <t>I COZZOLINO SRL</t>
        </is>
      </c>
      <c r="B72" s="194" t="n">
        <v>46006</v>
      </c>
      <c r="C72" s="111" t="inlineStr">
        <is>
          <t>D3394</t>
        </is>
      </c>
      <c r="D72" s="111" t="inlineStr">
        <is>
          <t>Friarielli Orig.Campania L.51/F FVI/49</t>
        </is>
      </c>
    </row>
    <row r="73" ht="31.5" customHeight="1" s="155">
      <c r="A73" s="111" t="inlineStr">
        <is>
          <t>I COZZOLINO SRL</t>
        </is>
      </c>
      <c r="B73" s="194" t="n">
        <v>46006</v>
      </c>
      <c r="C73" s="111" t="inlineStr">
        <is>
          <t>D3394</t>
        </is>
      </c>
      <c r="D73" s="111" t="inlineStr">
        <is>
          <t>Iceberg L. 258-000743-0010367</t>
        </is>
      </c>
    </row>
    <row r="74" ht="31.5" customHeight="1" s="155">
      <c r="A74" s="111" t="inlineStr">
        <is>
          <t>I COZZOLINO SRL</t>
        </is>
      </c>
      <c r="B74" s="194" t="n">
        <v>46006</v>
      </c>
      <c r="C74" s="111" t="inlineStr">
        <is>
          <t>D3394</t>
        </is>
      </c>
      <c r="D74" s="111" t="inlineStr">
        <is>
          <t>Scarola Liscia L.349/1483</t>
        </is>
      </c>
    </row>
    <row r="75" ht="47.25" customHeight="1" s="155">
      <c r="A75" s="111" t="inlineStr">
        <is>
          <t>I COZZOLINO SRL</t>
        </is>
      </c>
      <c r="B75" s="194" t="n">
        <v>46006</v>
      </c>
      <c r="C75" s="111" t="inlineStr">
        <is>
          <t>D3394</t>
        </is>
      </c>
      <c r="D75" s="111" t="inlineStr">
        <is>
          <t>Limes L.35219030060240253</t>
        </is>
      </c>
    </row>
    <row r="76" ht="31.5" customHeight="1" s="155">
      <c r="A76" s="111" t="inlineStr">
        <is>
          <t>I COZZOLINO SRL</t>
        </is>
      </c>
      <c r="B76" s="194" t="n">
        <v>46006</v>
      </c>
      <c r="C76" s="111" t="inlineStr">
        <is>
          <t>D3394</t>
        </is>
      </c>
      <c r="D76" s="111" t="inlineStr">
        <is>
          <t>Melone Giall orig. ita  L.05/42</t>
        </is>
      </c>
    </row>
    <row r="77" ht="31.5" customHeight="1" s="155">
      <c r="A77" s="111" t="inlineStr">
        <is>
          <t>I COZZOLINO SRL</t>
        </is>
      </c>
      <c r="B77" s="194" t="n">
        <v>46006</v>
      </c>
      <c r="C77" s="111" t="inlineStr">
        <is>
          <t>D3394</t>
        </is>
      </c>
      <c r="D77" s="111" t="inlineStr">
        <is>
          <t>Iceberg L. 258-000743-0010367</t>
        </is>
      </c>
    </row>
    <row r="78">
      <c r="A78" s="111" t="inlineStr">
        <is>
          <t>I COZZOLINO SRL</t>
        </is>
      </c>
      <c r="B78" s="194" t="n">
        <v>46006</v>
      </c>
      <c r="C78" s="111" t="inlineStr">
        <is>
          <t>D3394</t>
        </is>
      </c>
      <c r="D78" s="111" t="inlineStr">
        <is>
          <t>Rosmarino L4204 289</t>
        </is>
      </c>
    </row>
    <row r="79">
      <c r="A79" s="111" t="inlineStr">
        <is>
          <t>I COZZOLINO SRL</t>
        </is>
      </c>
      <c r="B79" s="194" t="n">
        <v>46006</v>
      </c>
      <c r="C79" s="111" t="inlineStr">
        <is>
          <t>D3394</t>
        </is>
      </c>
      <c r="D79" s="111" t="inlineStr">
        <is>
          <t>Basilico orig.ita L.4206</t>
        </is>
      </c>
    </row>
    <row r="80" ht="31.5" customHeight="1" s="155">
      <c r="A80" s="111" t="inlineStr">
        <is>
          <t>I COZZOLINO SRL</t>
        </is>
      </c>
      <c r="B80" s="194" t="n">
        <v>46006</v>
      </c>
      <c r="C80" s="111" t="inlineStr">
        <is>
          <t>D3394</t>
        </is>
      </c>
      <c r="D80" s="111" t="inlineStr">
        <is>
          <t>Kiwi L. 060-000015-0000091</t>
        </is>
      </c>
    </row>
    <row r="81" ht="31.5" customHeight="1" s="155">
      <c r="A81" s="111" t="inlineStr">
        <is>
          <t>I COZZOLINO SRL</t>
        </is>
      </c>
      <c r="B81" s="194" t="n">
        <v>46006</v>
      </c>
      <c r="C81" s="111" t="inlineStr">
        <is>
          <t>D3394</t>
        </is>
      </c>
      <c r="D81" s="111" t="inlineStr">
        <is>
          <t>Ananas L. 055-000857-0003014</t>
        </is>
      </c>
    </row>
    <row r="82">
      <c r="A82" s="111" t="inlineStr">
        <is>
          <t>I COZZOLINO SRL</t>
        </is>
      </c>
      <c r="B82" s="194" t="n">
        <v>46006</v>
      </c>
      <c r="C82" s="111" t="inlineStr">
        <is>
          <t>D3394</t>
        </is>
      </c>
      <c r="D82" s="111" t="inlineStr">
        <is>
          <t>Rosmarino L4204 289</t>
        </is>
      </c>
    </row>
    <row r="83" ht="31.5" customHeight="1" s="155">
      <c r="A83" s="111" t="inlineStr">
        <is>
          <t>I COZZOLINO SRL</t>
        </is>
      </c>
      <c r="B83" s="194" t="n">
        <v>46006</v>
      </c>
      <c r="C83" s="111" t="inlineStr">
        <is>
          <t>D3394</t>
        </is>
      </c>
      <c r="D83" s="111" t="inlineStr">
        <is>
          <t>Peperoni  L.031-004226-0000007</t>
        </is>
      </c>
    </row>
    <row r="84" ht="31.5" customHeight="1" s="155">
      <c r="A84" s="111" t="inlineStr">
        <is>
          <t>I COZZOLINO SRL</t>
        </is>
      </c>
      <c r="B84" s="194" t="n">
        <v>46006</v>
      </c>
      <c r="C84" s="111" t="inlineStr">
        <is>
          <t>D3394</t>
        </is>
      </c>
      <c r="D84" s="111" t="inlineStr">
        <is>
          <t>Zucchine L.0950-04/21-000040IT</t>
        </is>
      </c>
    </row>
    <row r="85" ht="31.5" customHeight="1" s="155">
      <c r="A85" s="111" t="inlineStr">
        <is>
          <t>I COZZOLINO SRL</t>
        </is>
      </c>
      <c r="B85" s="194" t="n">
        <v>46006</v>
      </c>
      <c r="C85" s="111" t="inlineStr">
        <is>
          <t>D3393</t>
        </is>
      </c>
      <c r="D85" s="111" t="inlineStr">
        <is>
          <t>Pomodori Insalata Orig.Ita L89/F455</t>
        </is>
      </c>
    </row>
    <row r="86" ht="31.5" customHeight="1" s="155">
      <c r="A86" s="111" t="inlineStr">
        <is>
          <t>I COZZOLINO SRL</t>
        </is>
      </c>
      <c r="B86" s="194" t="n">
        <v>46006</v>
      </c>
      <c r="C86" s="111" t="inlineStr">
        <is>
          <t>D3393</t>
        </is>
      </c>
      <c r="D86" s="111" t="inlineStr">
        <is>
          <t>Iceberg L. 258-000743-0010367</t>
        </is>
      </c>
    </row>
    <row r="87" ht="31.5" customHeight="1" s="155">
      <c r="A87" s="111" t="inlineStr">
        <is>
          <t>I COZZOLINO SRL</t>
        </is>
      </c>
      <c r="B87" s="194" t="n">
        <v>46006</v>
      </c>
      <c r="C87" s="111" t="inlineStr">
        <is>
          <t>D3393</t>
        </is>
      </c>
      <c r="D87" s="111" t="inlineStr">
        <is>
          <t>Melanzane L.197-002155-0008629</t>
        </is>
      </c>
    </row>
    <row r="88" ht="31.5" customHeight="1" s="155">
      <c r="A88" s="111" t="inlineStr">
        <is>
          <t>I COZZOLINO SRL</t>
        </is>
      </c>
      <c r="B88" s="194" t="n">
        <v>46006</v>
      </c>
      <c r="C88" s="111" t="inlineStr">
        <is>
          <t>D3393</t>
        </is>
      </c>
      <c r="D88" s="111" t="inlineStr">
        <is>
          <t>Patata da Consumo L.469/93</t>
        </is>
      </c>
    </row>
    <row r="89">
      <c r="A89" s="111" t="inlineStr">
        <is>
          <t>GB FOOD SRL</t>
        </is>
      </c>
      <c r="B89" s="194" t="n">
        <v>46001</v>
      </c>
      <c r="C89" s="111" t="inlineStr">
        <is>
          <t>316/PZ</t>
        </is>
      </c>
      <c r="D89" s="111" t="inlineStr">
        <is>
          <t>CIABATTA</t>
        </is>
      </c>
    </row>
    <row r="90">
      <c r="A90" s="111" t="inlineStr">
        <is>
          <t>GB FOOD SRL</t>
        </is>
      </c>
      <c r="B90" s="194" t="n">
        <v>46002</v>
      </c>
      <c r="C90" s="111" t="inlineStr">
        <is>
          <t>318/PZ</t>
        </is>
      </c>
      <c r="D90" s="111" t="inlineStr">
        <is>
          <t>REPARTO PANETTERIA</t>
        </is>
      </c>
    </row>
    <row r="91">
      <c r="A91" s="111" t="inlineStr">
        <is>
          <t>GB FOOD SRL</t>
        </is>
      </c>
      <c r="B91" s="194" t="n">
        <v>46002</v>
      </c>
      <c r="C91" s="111" t="inlineStr">
        <is>
          <t>318/PZ</t>
        </is>
      </c>
      <c r="D91" s="111" t="inlineStr">
        <is>
          <t>ROSETTINE</t>
        </is>
      </c>
    </row>
    <row r="92">
      <c r="A92" s="111" t="inlineStr">
        <is>
          <t>GB FOOD SRL</t>
        </is>
      </c>
      <c r="B92" s="194" t="n">
        <v>46003</v>
      </c>
      <c r="C92" s="111" t="inlineStr">
        <is>
          <t>319/PZ</t>
        </is>
      </c>
      <c r="D92" s="111" t="inlineStr">
        <is>
          <t>CIABATTA</t>
        </is>
      </c>
    </row>
    <row r="93">
      <c r="A93" s="111" t="inlineStr">
        <is>
          <t>GB FOOD SRL</t>
        </is>
      </c>
      <c r="B93" s="194" t="n">
        <v>46003</v>
      </c>
      <c r="C93" s="111" t="inlineStr">
        <is>
          <t>319/PZ</t>
        </is>
      </c>
      <c r="D93" s="111" t="inlineStr">
        <is>
          <t>ROSETTINE</t>
        </is>
      </c>
    </row>
    <row r="94">
      <c r="A94" s="111" t="inlineStr">
        <is>
          <t>GB FOOD SRL</t>
        </is>
      </c>
      <c r="B94" s="194" t="n">
        <v>46003</v>
      </c>
      <c r="C94" s="111" t="inlineStr">
        <is>
          <t>319/PZ</t>
        </is>
      </c>
      <c r="D94" s="111" t="inlineStr">
        <is>
          <t>PANE MULTICEREALI</t>
        </is>
      </c>
    </row>
    <row r="95">
      <c r="A95" s="111" t="inlineStr">
        <is>
          <t>GB FOOD SRL</t>
        </is>
      </c>
      <c r="B95" s="194" t="n">
        <v>46004</v>
      </c>
      <c r="C95" s="111" t="inlineStr">
        <is>
          <t>321/PZ</t>
        </is>
      </c>
      <c r="D95" s="111" t="inlineStr">
        <is>
          <t>CIABATTA</t>
        </is>
      </c>
    </row>
    <row r="96">
      <c r="A96" s="111" t="inlineStr">
        <is>
          <t>GB FOOD SRL</t>
        </is>
      </c>
      <c r="B96" s="194" t="n">
        <v>46004</v>
      </c>
      <c r="C96" s="111" t="inlineStr">
        <is>
          <t>321/PZ</t>
        </is>
      </c>
      <c r="D96" s="111" t="inlineStr">
        <is>
          <t>ROSETTINE</t>
        </is>
      </c>
    </row>
    <row r="97">
      <c r="A97" s="111" t="inlineStr">
        <is>
          <t>GB FOOD SRL</t>
        </is>
      </c>
      <c r="B97" s="194" t="n">
        <v>46005</v>
      </c>
      <c r="C97" s="111" t="inlineStr">
        <is>
          <t>323/PZ</t>
        </is>
      </c>
      <c r="D97" s="111" t="inlineStr">
        <is>
          <t>CIABATTA</t>
        </is>
      </c>
    </row>
    <row r="98">
      <c r="A98" s="111" t="inlineStr">
        <is>
          <t>GB FOOD SRL</t>
        </is>
      </c>
      <c r="B98" s="194" t="n">
        <v>46005</v>
      </c>
      <c r="C98" s="111" t="inlineStr">
        <is>
          <t>323/PZ</t>
        </is>
      </c>
      <c r="D98" s="111" t="inlineStr">
        <is>
          <t>ROSETTINE</t>
        </is>
      </c>
    </row>
    <row r="99">
      <c r="A99" s="111" t="inlineStr">
        <is>
          <t>GARGIULO MARCO</t>
        </is>
      </c>
      <c r="B99" s="194" t="n">
        <v>46003</v>
      </c>
      <c r="C99" s="111" t="n">
        <v>67</v>
      </c>
      <c r="D99" s="111" t="inlineStr">
        <is>
          <t>PISTOLA PROF. FERVI</t>
        </is>
      </c>
    </row>
    <row r="100">
      <c r="A100" s="111" t="inlineStr">
        <is>
          <t>GARGIULO MARCO</t>
        </is>
      </c>
      <c r="B100" s="194" t="n">
        <v>46003</v>
      </c>
      <c r="C100" s="111" t="n">
        <v>67</v>
      </c>
      <c r="D100" s="111" t="inlineStr">
        <is>
          <t>SP101 BIANCO PATTEX</t>
        </is>
      </c>
    </row>
    <row r="101" ht="31.5" customHeight="1" s="155">
      <c r="A101" s="111" t="inlineStr">
        <is>
          <t>GARGIULO MARCO</t>
        </is>
      </c>
      <c r="B101" s="194" t="n">
        <v>46003</v>
      </c>
      <c r="C101" s="111" t="n">
        <v>67</v>
      </c>
      <c r="D101" s="111" t="inlineStr">
        <is>
          <t>SARATOGA CARTA GOMMATA 50X50</t>
        </is>
      </c>
    </row>
    <row r="102" ht="31.5" customHeight="1" s="155">
      <c r="A102" s="111" t="inlineStr">
        <is>
          <t>GARGIULO MARCO</t>
        </is>
      </c>
      <c r="B102" s="194" t="n">
        <v>46003</v>
      </c>
      <c r="C102" s="111" t="n">
        <v>67</v>
      </c>
      <c r="D102" s="111" t="inlineStr">
        <is>
          <t>PATTEX MILLECHIODI BIADESIVO</t>
        </is>
      </c>
    </row>
    <row r="103" ht="31.5" customHeight="1" s="155">
      <c r="A103" s="111" t="inlineStr">
        <is>
          <t>GARGIULO MARCO</t>
        </is>
      </c>
      <c r="B103" s="194" t="n">
        <v>46003</v>
      </c>
      <c r="C103" s="111" t="n">
        <v>67</v>
      </c>
      <c r="D103" s="111" t="inlineStr">
        <is>
          <t>SBLOCCANTE WD40 500 ML</t>
        </is>
      </c>
    </row>
    <row r="104">
      <c r="A104" s="111" t="inlineStr">
        <is>
          <t>GARGIULO MARCO</t>
        </is>
      </c>
      <c r="B104" s="194" t="n">
        <v>46003</v>
      </c>
      <c r="C104" s="111" t="n">
        <v>67</v>
      </c>
      <c r="D104" s="111" t="inlineStr">
        <is>
          <t>IOSSO POLISH 250 ML</t>
        </is>
      </c>
    </row>
    <row r="105">
      <c r="A105" s="111" t="inlineStr">
        <is>
          <t>GARGIULO MARCO</t>
        </is>
      </c>
      <c r="B105" s="194" t="n">
        <v>46003</v>
      </c>
      <c r="C105" s="111" t="n">
        <v>67</v>
      </c>
      <c r="D105" s="111" t="inlineStr">
        <is>
          <t>MILLECHIODI TUBO</t>
        </is>
      </c>
    </row>
    <row r="106" ht="31.5" customHeight="1" s="155">
      <c r="A106" s="111" t="inlineStr">
        <is>
          <t>GARGIULO MARCO</t>
        </is>
      </c>
      <c r="B106" s="194" t="n">
        <v>46003</v>
      </c>
      <c r="C106" s="111" t="n">
        <v>67</v>
      </c>
      <c r="D106" s="111" t="inlineStr">
        <is>
          <t>NASTRO IMBALLAGGIO SARATOGA</t>
        </is>
      </c>
    </row>
    <row r="107" ht="31.5" customHeight="1" s="155">
      <c r="A107" s="111" t="inlineStr">
        <is>
          <t>GARGIULO MARCO</t>
        </is>
      </c>
      <c r="B107" s="194" t="n">
        <v>46003</v>
      </c>
      <c r="C107" s="111" t="n">
        <v>67</v>
      </c>
      <c r="D107" s="111" t="inlineStr">
        <is>
          <t>PITTURA ANTIUMIDO DA 1 LT</t>
        </is>
      </c>
    </row>
    <row r="108">
      <c r="A108" s="111" t="inlineStr">
        <is>
          <t>GARGIULO MARCO</t>
        </is>
      </c>
      <c r="B108" s="194" t="n">
        <v>46003</v>
      </c>
      <c r="C108" s="111" t="n">
        <v>67</v>
      </c>
      <c r="D108" s="111" t="inlineStr">
        <is>
          <t>CEMENTHAL 750 ML</t>
        </is>
      </c>
    </row>
    <row r="109" ht="31.5" customHeight="1" s="155">
      <c r="A109" s="111" t="inlineStr">
        <is>
          <t>GARGIULO MARCO</t>
        </is>
      </c>
      <c r="B109" s="194" t="n">
        <v>46003</v>
      </c>
      <c r="C109" s="111" t="n">
        <v>67</v>
      </c>
      <c r="D109" s="111" t="inlineStr">
        <is>
          <t>PENNELLESSE CASTORO MM 70</t>
        </is>
      </c>
    </row>
    <row r="110">
      <c r="A110" s="111" t="inlineStr">
        <is>
          <t>GARGIULO MARCO</t>
        </is>
      </c>
      <c r="B110" s="194" t="n">
        <v>46003</v>
      </c>
      <c r="C110" s="111" t="n">
        <v>67</v>
      </c>
      <c r="D110" s="111" t="inlineStr">
        <is>
          <t>SPATOLA AMERICANA</t>
        </is>
      </c>
    </row>
    <row r="111" ht="31.5" customHeight="1" s="155">
      <c r="A111" s="111" t="inlineStr">
        <is>
          <t>GARGIULO MARCO</t>
        </is>
      </c>
      <c r="B111" s="194" t="n">
        <v>46003</v>
      </c>
      <c r="C111" s="111" t="n">
        <v>67</v>
      </c>
      <c r="D111" s="111" t="inlineStr">
        <is>
          <t>SERIE PUNTE COBALTO REIT</t>
        </is>
      </c>
    </row>
    <row r="112" ht="31.5" customHeight="1" s="155">
      <c r="A112" s="111" t="inlineStr">
        <is>
          <t>GARGIULO MARCO</t>
        </is>
      </c>
      <c r="B112" s="194" t="n">
        <v>46003</v>
      </c>
      <c r="C112" s="111" t="n">
        <v>67</v>
      </c>
      <c r="D112" s="111" t="inlineStr">
        <is>
          <t>KIT BETA PINZA TRONCHESE</t>
        </is>
      </c>
    </row>
    <row r="113" ht="31.5" customHeight="1" s="155">
      <c r="A113" s="111" t="inlineStr">
        <is>
          <t>GARGIULO MARCO</t>
        </is>
      </c>
      <c r="B113" s="194" t="n">
        <v>46003</v>
      </c>
      <c r="C113" s="111" t="n">
        <v>67</v>
      </c>
      <c r="D113" s="111" t="inlineStr">
        <is>
          <t>SERIE GIRAVITI REIT CROMO VANAD.</t>
        </is>
      </c>
    </row>
    <row r="114" ht="31.5" customHeight="1" s="155">
      <c r="A114" s="111" t="inlineStr">
        <is>
          <t>GARGIULO MARCO</t>
        </is>
      </c>
      <c r="B114" s="194" t="n">
        <v>46003</v>
      </c>
      <c r="C114" s="111" t="n">
        <v>67</v>
      </c>
      <c r="D114" s="111" t="inlineStr">
        <is>
          <t>MAESTRO D'ASCIA 280 G</t>
        </is>
      </c>
    </row>
    <row r="115" ht="31.5" customHeight="1" s="155">
      <c r="A115" s="111" t="inlineStr">
        <is>
          <t>GARGIULO MARCO</t>
        </is>
      </c>
      <c r="B115" s="194" t="n">
        <v>46003</v>
      </c>
      <c r="C115" s="111" t="n">
        <v>67</v>
      </c>
      <c r="D115" s="111" t="inlineStr">
        <is>
          <t>ANCORA SPATOLA MORBIDA 120MM</t>
        </is>
      </c>
    </row>
    <row r="116" ht="47.25" customHeight="1" s="155">
      <c r="A116" s="111" t="inlineStr">
        <is>
          <t>BIG FOOD SRL</t>
        </is>
      </c>
      <c r="B116" s="194" t="n">
        <v>46001</v>
      </c>
      <c r="C116" s="111" t="inlineStr">
        <is>
          <t>V1088382</t>
        </is>
      </c>
      <c r="D116" s="111" t="inlineStr">
        <is>
          <t>BERNI FUNGHI CHAMPIGNON NAT.GR.400</t>
        </is>
      </c>
    </row>
    <row r="117" ht="31.5" customHeight="1" s="155">
      <c r="A117" s="111" t="inlineStr">
        <is>
          <t>BIG FOOD SRL</t>
        </is>
      </c>
      <c r="B117" s="194" t="n">
        <v>46001</v>
      </c>
      <c r="C117" s="111" t="inlineStr">
        <is>
          <t>V1088382</t>
        </is>
      </c>
      <c r="D117" s="111" t="inlineStr">
        <is>
          <t>GRANAROLO LATTE P.S. LT.1 BRIK</t>
        </is>
      </c>
    </row>
    <row r="118" ht="31.5" customHeight="1" s="155">
      <c r="A118" s="111" t="inlineStr">
        <is>
          <t>BIG FOOD SRL</t>
        </is>
      </c>
      <c r="B118" s="194" t="n">
        <v>46001</v>
      </c>
      <c r="C118" s="111" t="inlineStr">
        <is>
          <t>V1088382</t>
        </is>
      </c>
      <c r="D118" s="111" t="inlineStr">
        <is>
          <t>VIGNOLA KG.1 RISO RIBE</t>
        </is>
      </c>
    </row>
    <row r="119" ht="31.5" customHeight="1" s="155">
      <c r="A119" s="111" t="inlineStr">
        <is>
          <t>BIG FOOD SRL</t>
        </is>
      </c>
      <c r="B119" s="194" t="n">
        <v>46001</v>
      </c>
      <c r="C119" s="111" t="inlineStr">
        <is>
          <t>V1088382</t>
        </is>
      </c>
      <c r="D119" s="111" t="inlineStr">
        <is>
          <t>POMÌ PASSATA BRICK GR.750</t>
        </is>
      </c>
    </row>
    <row r="120" ht="31.5" customHeight="1" s="155">
      <c r="A120" s="111" t="inlineStr">
        <is>
          <t>BIG FOOD SRL</t>
        </is>
      </c>
      <c r="B120" s="194" t="n">
        <v>46001</v>
      </c>
      <c r="C120" s="111" t="inlineStr">
        <is>
          <t>V1088382</t>
        </is>
      </c>
      <c r="D120" s="111" t="inlineStr">
        <is>
          <t>DESANTIS OLIO EXTRAV.ITALIANO LT.1</t>
        </is>
      </c>
    </row>
    <row r="121" ht="31.5" customHeight="1" s="155">
      <c r="A121" s="111" t="inlineStr">
        <is>
          <t>BIG FOOD SRL</t>
        </is>
      </c>
      <c r="B121" s="194" t="n">
        <v>46001</v>
      </c>
      <c r="C121" s="111" t="inlineStr">
        <is>
          <t>V1088382</t>
        </is>
      </c>
      <c r="D121" s="111" t="inlineStr">
        <is>
          <t>DAMICO LATTA GR.400 PEPERONI ARROS</t>
        </is>
      </c>
    </row>
    <row r="122" ht="31.5" customHeight="1" s="155">
      <c r="A122" s="111" t="inlineStr">
        <is>
          <t>BIG FOOD SRL</t>
        </is>
      </c>
      <c r="B122" s="194" t="n">
        <v>46001</v>
      </c>
      <c r="C122" s="111" t="inlineStr">
        <is>
          <t>V1088382</t>
        </is>
      </c>
      <c r="D122" s="111" t="inlineStr">
        <is>
          <t>DESANTIS PET LT.1 OLIO GIRASOLE</t>
        </is>
      </c>
    </row>
    <row r="123" ht="31.5" customHeight="1" s="155">
      <c r="A123" s="111" t="inlineStr">
        <is>
          <t>BIG FOOD SRL</t>
        </is>
      </c>
      <c r="B123" s="194" t="n">
        <v>46001</v>
      </c>
      <c r="C123" s="111" t="inlineStr">
        <is>
          <t>V1088382</t>
        </is>
      </c>
      <c r="D123" s="111" t="inlineStr">
        <is>
          <t>DESANTIS PET LT.1 OLIO MAIS</t>
        </is>
      </c>
    </row>
    <row r="124" ht="31.5" customHeight="1" s="155">
      <c r="A124" s="111" t="inlineStr">
        <is>
          <t>BIG FOOD SRL</t>
        </is>
      </c>
      <c r="B124" s="194" t="n">
        <v>46001</v>
      </c>
      <c r="C124" s="111" t="inlineStr">
        <is>
          <t>V1088382</t>
        </is>
      </c>
      <c r="D124" s="111" t="inlineStr">
        <is>
          <t>BONDUELLE GR.330 VETRO CANNELLINI</t>
        </is>
      </c>
    </row>
    <row r="125" ht="47.25" customHeight="1" s="155">
      <c r="A125" s="111" t="inlineStr">
        <is>
          <t>BIG FOOD SRL</t>
        </is>
      </c>
      <c r="B125" s="194" t="n">
        <v>46001</v>
      </c>
      <c r="C125" s="111" t="inlineStr">
        <is>
          <t>V1088382</t>
        </is>
      </c>
      <c r="D125" s="111" t="inlineStr">
        <is>
          <t>ERIDANIA KG.1 ZUCCH.CLASSICO ASTUC</t>
        </is>
      </c>
    </row>
    <row r="126" ht="31.5" customHeight="1" s="155">
      <c r="A126" s="111" t="inlineStr">
        <is>
          <t>BIG FOOD SRL</t>
        </is>
      </c>
      <c r="B126" s="194" t="n">
        <v>46001</v>
      </c>
      <c r="C126" s="111" t="inlineStr">
        <is>
          <t>V1088382</t>
        </is>
      </c>
      <c r="D126" s="111" t="inlineStr">
        <is>
          <t>BUONDÌ GR.198 CLASSICO X6</t>
        </is>
      </c>
    </row>
    <row r="127" ht="31.5" customHeight="1" s="155">
      <c r="A127" s="111" t="inlineStr">
        <is>
          <t>BIG FOOD SRL</t>
        </is>
      </c>
      <c r="B127" s="194" t="n">
        <v>46001</v>
      </c>
      <c r="C127" s="111" t="inlineStr">
        <is>
          <t>V1088382</t>
        </is>
      </c>
      <c r="D127" s="111" t="inlineStr">
        <is>
          <t>DE CECCO.OLIO LT.1 EVO CLASSICO</t>
        </is>
      </c>
    </row>
    <row r="128" ht="31.5" customHeight="1" s="155">
      <c r="A128" s="111" t="inlineStr">
        <is>
          <t>BIG FOOD SRL</t>
        </is>
      </c>
      <c r="B128" s="194" t="n">
        <v>46001</v>
      </c>
      <c r="C128" s="111" t="inlineStr">
        <is>
          <t>V1088382</t>
        </is>
      </c>
      <c r="D128" s="111" t="inlineStr">
        <is>
          <t>FONZIES BUSTONE GR.188  8 BUSTE</t>
        </is>
      </c>
    </row>
    <row r="129" ht="31.5" customHeight="1" s="155">
      <c r="A129" s="111" t="inlineStr">
        <is>
          <t>BIG FOOD SRL</t>
        </is>
      </c>
      <c r="B129" s="194" t="n">
        <v>46001</v>
      </c>
      <c r="C129" s="111" t="inlineStr">
        <is>
          <t>V1088382</t>
        </is>
      </c>
      <c r="D129" s="111" t="inlineStr">
        <is>
          <t>KNORR GRANPURE'GR.225</t>
        </is>
      </c>
    </row>
    <row r="130" ht="31.5" customHeight="1" s="155">
      <c r="A130" s="111" t="inlineStr">
        <is>
          <t>BIG FOOD SRL</t>
        </is>
      </c>
      <c r="B130" s="194" t="n">
        <v>46001</v>
      </c>
      <c r="C130" s="111" t="inlineStr">
        <is>
          <t>V1088382</t>
        </is>
      </c>
      <c r="D130" s="111" t="inlineStr">
        <is>
          <t>SORESINA GR.100 GRATT.GRANAPADANO</t>
        </is>
      </c>
    </row>
    <row r="131" ht="31.5" customHeight="1" s="155">
      <c r="A131" s="111" t="inlineStr">
        <is>
          <t>BIG FOOD SRL</t>
        </is>
      </c>
      <c r="B131" s="194" t="n">
        <v>46001</v>
      </c>
      <c r="C131" s="111" t="inlineStr">
        <is>
          <t>V1088382</t>
        </is>
      </c>
      <c r="D131" s="111" t="inlineStr">
        <is>
          <t>WELCOME FETTE GR.200</t>
        </is>
      </c>
    </row>
    <row r="132" ht="47.25" customHeight="1" s="155">
      <c r="A132" s="111" t="inlineStr">
        <is>
          <t>GE.FI.AL. SAS DI FIORENZANO GENNARO &amp; C.</t>
        </is>
      </c>
      <c r="B132" s="194" t="n">
        <v>46007</v>
      </c>
      <c r="C132" s="111" t="n">
        <v>336</v>
      </c>
      <c r="D132" s="111" t="inlineStr">
        <is>
          <t>Ricotta di Pecora Zuccherata Congelata x 6 - Ricocrem-</t>
        </is>
      </c>
    </row>
    <row r="133" ht="63" customHeight="1" s="155">
      <c r="A133" s="111" t="inlineStr">
        <is>
          <t>SAIMA S.p.A.</t>
        </is>
      </c>
      <c r="B133" s="194" t="n">
        <v>46007</v>
      </c>
      <c r="C133" s="111" t="inlineStr">
        <is>
          <t>1/221664</t>
        </is>
      </c>
      <c r="D133" s="111" t="inlineStr">
        <is>
          <t xml:space="preserve">MELA CANNELLA A CUBETTI 14X14 SEMICANDITA IN SCIROPPO DA KG 3  </t>
        </is>
      </c>
    </row>
    <row r="134" ht="63" customHeight="1" s="155">
      <c r="A134" s="111" t="inlineStr">
        <is>
          <t>SAIMA S.p.A.</t>
        </is>
      </c>
      <c r="B134" s="194" t="n">
        <v>46007</v>
      </c>
      <c r="C134" s="111" t="inlineStr">
        <is>
          <t>1/221664</t>
        </is>
      </c>
      <c r="D134" s="111" t="inlineStr">
        <is>
          <t xml:space="preserve">CREMA RIO TRADIZIONE PISTACCHIO IN CONFEZIONE DA KG 5 (DC00BM)  </t>
        </is>
      </c>
    </row>
    <row r="135" ht="31.5" customHeight="1" s="155">
      <c r="A135" s="111" t="inlineStr">
        <is>
          <t>SAIMA S.p.A.</t>
        </is>
      </c>
      <c r="B135" s="194" t="n">
        <v>46007</v>
      </c>
      <c r="C135" s="111" t="inlineStr">
        <is>
          <t>1/221664</t>
        </is>
      </c>
      <c r="D135" s="111" t="inlineStr">
        <is>
          <t xml:space="preserve">MIX GOLDEN NOW DA KG 15 (4644)  </t>
        </is>
      </c>
    </row>
    <row r="136" ht="31.5" customHeight="1" s="155">
      <c r="A136" s="111" t="inlineStr">
        <is>
          <t>SAIMA S.p.A.</t>
        </is>
      </c>
      <c r="B136" s="194" t="n">
        <v>46007</v>
      </c>
      <c r="C136" s="111" t="inlineStr">
        <is>
          <t>1/221664</t>
        </is>
      </c>
      <c r="D136" s="111" t="inlineStr">
        <is>
          <t xml:space="preserve">ESSENZA NEROLY BIGARADE GR 80  </t>
        </is>
      </c>
    </row>
    <row r="137" ht="31.5" customHeight="1" s="155">
      <c r="A137" s="111" t="inlineStr">
        <is>
          <t>SAIMA S.p.A.</t>
        </is>
      </c>
      <c r="B137" s="194" t="n">
        <v>46007</v>
      </c>
      <c r="C137" s="111" t="inlineStr">
        <is>
          <t>1/221664</t>
        </is>
      </c>
      <c r="D137" s="111" t="inlineStr">
        <is>
          <t xml:space="preserve">ZUCCHERO A VELO IMPALPABILE DA 5 KG  </t>
        </is>
      </c>
    </row>
    <row r="138" ht="47.25" customHeight="1" s="155">
      <c r="A138" s="111" t="inlineStr">
        <is>
          <t>SAIMA S.p.A.</t>
        </is>
      </c>
      <c r="B138" s="194" t="n">
        <v>46007</v>
      </c>
      <c r="C138" s="111" t="inlineStr">
        <is>
          <t>1/221664</t>
        </is>
      </c>
      <c r="D138" s="111" t="inlineStr">
        <is>
          <t xml:space="preserve">DIAVOLINI COLORATI IN CONFEZIONE DA GR 500  </t>
        </is>
      </c>
    </row>
    <row r="139" ht="47.25" customHeight="1" s="155">
      <c r="A139" s="111" t="inlineStr">
        <is>
          <t>SAIMA S.p.A.</t>
        </is>
      </c>
      <c r="B139" s="194" t="n">
        <v>46007</v>
      </c>
      <c r="C139" s="111" t="inlineStr">
        <is>
          <t>1/221664</t>
        </is>
      </c>
      <c r="D139" s="111" t="inlineStr">
        <is>
          <t xml:space="preserve">AMARENA NATURALE INTERA IN SCIROPPO DA KG 3  </t>
        </is>
      </c>
    </row>
    <row r="140" ht="47.25" customHeight="1" s="155">
      <c r="A140" s="111" t="inlineStr">
        <is>
          <t>SAIMA S.p.A.</t>
        </is>
      </c>
      <c r="B140" s="194" t="n">
        <v>46007</v>
      </c>
      <c r="C140" s="111" t="inlineStr">
        <is>
          <t>1/221664</t>
        </is>
      </c>
      <c r="D140" s="111" t="inlineStr">
        <is>
          <t xml:space="preserve">MELANGE PLUS HOMILLINA PLATTE DA KG 10 (4155)  </t>
        </is>
      </c>
    </row>
    <row r="141" ht="47.25" customHeight="1" s="155">
      <c r="A141" s="111" t="inlineStr">
        <is>
          <t>SAIMA S.p.A.</t>
        </is>
      </c>
      <c r="B141" s="194" t="n">
        <v>46007</v>
      </c>
      <c r="C141" s="111" t="inlineStr">
        <is>
          <t>1/221664</t>
        </is>
      </c>
      <c r="D141" s="111" t="inlineStr">
        <is>
          <t xml:space="preserve">MELANGE PLUS HOMILLINA GATEAUX DA KG 10 (4156)  </t>
        </is>
      </c>
    </row>
    <row r="142" ht="47.25" customHeight="1" s="155">
      <c r="A142" s="111" t="inlineStr">
        <is>
          <t>SAIMA S.p.A.</t>
        </is>
      </c>
      <c r="B142" s="194" t="n">
        <v>46007</v>
      </c>
      <c r="C142" s="111" t="inlineStr">
        <is>
          <t>1/221664</t>
        </is>
      </c>
      <c r="D142" s="111" t="inlineStr">
        <is>
          <t xml:space="preserve">CACAO DA 1 KG ROSSO BRUNO 22/24 CORPO PIENO VAN HOUTEN  </t>
        </is>
      </c>
    </row>
    <row r="143" ht="47.25" customHeight="1" s="155">
      <c r="A143" s="111" t="inlineStr">
        <is>
          <t>SAIMA S.p.A.</t>
        </is>
      </c>
      <c r="B143" s="194" t="n">
        <v>46007</v>
      </c>
      <c r="C143" s="111" t="inlineStr">
        <is>
          <t>1/221664</t>
        </is>
      </c>
      <c r="D143" s="111" t="inlineStr">
        <is>
          <t xml:space="preserve">SURROGATO BIANCO SUPERBRILL IN CONFEZIONE DA KG 10  </t>
        </is>
      </c>
    </row>
    <row r="144" ht="47.25" customHeight="1" s="155">
      <c r="A144" s="111" t="inlineStr">
        <is>
          <t>G.I.A.L. GENERALE INGROSSO ALIMENTARE S.R.L.</t>
        </is>
      </c>
      <c r="B144" s="194" t="n">
        <v>45991</v>
      </c>
      <c r="C144" s="111" t="inlineStr">
        <is>
          <t>V1-43044</t>
        </is>
      </c>
      <c r="D144" s="111" t="inlineStr">
        <is>
          <t>LATTE AQ.INT.4/4 YMA BAR</t>
        </is>
      </c>
    </row>
    <row r="145" ht="47.25" customHeight="1" s="155">
      <c r="A145" s="111" t="inlineStr">
        <is>
          <t>G.I.A.L. GENERALE INGROSSO ALIMENTARE S.R.L.</t>
        </is>
      </c>
      <c r="B145" s="194" t="n">
        <v>45991</v>
      </c>
      <c r="C145" s="111" t="inlineStr">
        <is>
          <t>V1-43044</t>
        </is>
      </c>
      <c r="D145" s="111" t="inlineStr">
        <is>
          <t>LATTE AP.P.S.4/4 S/LATTOS</t>
        </is>
      </c>
    </row>
    <row r="146" ht="47.25" customHeight="1" s="155">
      <c r="A146" s="111" t="inlineStr">
        <is>
          <t>G.I.A.L. GENERALE INGROSSO ALIMENTARE S.R.L.</t>
        </is>
      </c>
      <c r="B146" s="194" t="n">
        <v>45991</v>
      </c>
      <c r="C146" s="111" t="inlineStr">
        <is>
          <t>V1-43044</t>
        </is>
      </c>
      <c r="D146" s="111" t="inlineStr">
        <is>
          <t>PREP.VEGETA.ML.500 HOPLA</t>
        </is>
      </c>
    </row>
    <row r="147" ht="47.25" customHeight="1" s="155">
      <c r="A147" s="111" t="inlineStr">
        <is>
          <t>G.I.A.L. GENERALE INGROSSO ALIMENTARE S.R.L.</t>
        </is>
      </c>
      <c r="B147" s="194" t="n">
        <v>45991</v>
      </c>
      <c r="C147" s="111" t="inlineStr">
        <is>
          <t>V1-43044</t>
        </is>
      </c>
      <c r="D147" s="111" t="inlineStr">
        <is>
          <t>IMETTE   GR.200       YMA</t>
        </is>
      </c>
    </row>
    <row r="148" ht="47.25" customHeight="1" s="155">
      <c r="A148" s="111" t="inlineStr">
        <is>
          <t>G.I.A.L. GENERALE INGROSSO ALIMENTARE S.R.L.</t>
        </is>
      </c>
      <c r="B148" s="194" t="n">
        <v>45991</v>
      </c>
      <c r="C148" s="111" t="inlineStr">
        <is>
          <t>V1-43044</t>
        </is>
      </c>
      <c r="D148" s="111" t="inlineStr">
        <is>
          <t>BURRO  G.  8 PORZIONI YMA</t>
        </is>
      </c>
    </row>
    <row r="149" ht="47.25" customHeight="1" s="155">
      <c r="A149" s="111" t="inlineStr">
        <is>
          <t>G.I.A.L. GENERALE INGROSSO ALIMENTARE S.R.L.</t>
        </is>
      </c>
      <c r="B149" s="194" t="n">
        <v>45991</v>
      </c>
      <c r="C149" s="111" t="inlineStr">
        <is>
          <t>V1-43044</t>
        </is>
      </c>
      <c r="D149" s="111" t="inlineStr">
        <is>
          <t>PANNA ML.200 CUCINA   YMA</t>
        </is>
      </c>
    </row>
    <row r="150" ht="47.25" customHeight="1" s="155">
      <c r="A150" s="111" t="inlineStr">
        <is>
          <t>G.I.A.L. GENERALE INGROSSO ALIMENTARE S.R.L.</t>
        </is>
      </c>
      <c r="B150" s="194" t="n">
        <v>45991</v>
      </c>
      <c r="C150" s="111" t="inlineStr">
        <is>
          <t>V1-43044</t>
        </is>
      </c>
      <c r="D150" s="111" t="inlineStr">
        <is>
          <t>MASCARPONE G.250      YMA</t>
        </is>
      </c>
    </row>
    <row r="151" ht="47.25" customHeight="1" s="155">
      <c r="A151" s="111" t="inlineStr">
        <is>
          <t>G.I.A.L. GENERALE INGROSSO ALIMENTARE S.R.L.</t>
        </is>
      </c>
      <c r="B151" s="194" t="n">
        <v>45991</v>
      </c>
      <c r="C151" s="111" t="inlineStr">
        <is>
          <t>V1-43044</t>
        </is>
      </c>
      <c r="D151" s="111" t="inlineStr">
        <is>
          <t>LATTE   1000 INT.UHT  YMA</t>
        </is>
      </c>
    </row>
    <row r="152" ht="47.25" customHeight="1" s="155">
      <c r="A152" s="111" t="inlineStr">
        <is>
          <t>G.I.A.L. GENERALE INGROSSO ALIMENTARE S.R.L.</t>
        </is>
      </c>
      <c r="B152" s="194" t="n">
        <v>45991</v>
      </c>
      <c r="C152" s="111" t="inlineStr">
        <is>
          <t>V1-43044</t>
        </is>
      </c>
      <c r="D152" s="111" t="inlineStr">
        <is>
          <t>LATTE   1000 SCR.UHT  YMA</t>
        </is>
      </c>
    </row>
    <row r="153" ht="47.25" customHeight="1" s="155">
      <c r="A153" s="111" t="inlineStr">
        <is>
          <t>G.I.A.L. GENERALE INGROSSO ALIMENTARE S.R.L.</t>
        </is>
      </c>
      <c r="B153" s="194" t="n">
        <v>45991</v>
      </c>
      <c r="C153" s="111" t="inlineStr">
        <is>
          <t>V1-43044</t>
        </is>
      </c>
      <c r="D153" s="111" t="inlineStr">
        <is>
          <t>SOYA CLASSIC LT.1 VALSOIA</t>
        </is>
      </c>
    </row>
    <row r="154" ht="47.25" customHeight="1" s="155">
      <c r="A154" s="111" t="inlineStr">
        <is>
          <t>G.I.A.L. GENERALE INGROSSO ALIMENTARE S.R.L.</t>
        </is>
      </c>
      <c r="B154" s="194" t="n">
        <v>45991</v>
      </c>
      <c r="C154" s="111" t="inlineStr">
        <is>
          <t>V1-43044</t>
        </is>
      </c>
      <c r="D154" s="111" t="inlineStr">
        <is>
          <t>P.CRUDO S/O MEC   SENDERO</t>
        </is>
      </c>
    </row>
    <row r="155" ht="47.25" customHeight="1" s="155">
      <c r="A155" s="111" t="inlineStr">
        <is>
          <t>G.I.A.L. GENERALE INGROSSO ALIMENTARE S.R.L.</t>
        </is>
      </c>
      <c r="B155" s="194" t="n">
        <v>45991</v>
      </c>
      <c r="C155" s="111" t="inlineStr">
        <is>
          <t>V1-43044</t>
        </is>
      </c>
      <c r="D155" s="111" t="inlineStr">
        <is>
          <t>P.COTTO S/P.ROSSO SENDERO</t>
        </is>
      </c>
    </row>
    <row r="156" ht="47.25" customHeight="1" s="155">
      <c r="A156" s="111" t="inlineStr">
        <is>
          <t>G.I.A.L. GENERALE INGROSSO ALIMENTARE S.R.L.</t>
        </is>
      </c>
      <c r="B156" s="194" t="n">
        <v>45991</v>
      </c>
      <c r="C156" s="111" t="inlineStr">
        <is>
          <t>V1-43044</t>
        </is>
      </c>
      <c r="D156" s="111" t="inlineStr">
        <is>
          <t>WUDY CLAS.4XG.125 AIA</t>
        </is>
      </c>
    </row>
    <row r="157" ht="47.25" customHeight="1" s="155">
      <c r="A157" s="111" t="inlineStr">
        <is>
          <t>G.I.A.L. GENERALE INGROSSO ALIMENTARE S.R.L.</t>
        </is>
      </c>
      <c r="B157" s="194" t="n">
        <v>45991</v>
      </c>
      <c r="C157" s="111" t="inlineStr">
        <is>
          <t>V1-43044</t>
        </is>
      </c>
      <c r="D157" s="111" t="inlineStr">
        <is>
          <t>WUDY CLASS. G.300 AIA</t>
        </is>
      </c>
    </row>
    <row r="158" ht="47.25" customHeight="1" s="155">
      <c r="A158" s="111" t="inlineStr">
        <is>
          <t>G.I.A.L. GENERALE INGROSSO ALIMENTARE S.R.L.</t>
        </is>
      </c>
      <c r="B158" s="194" t="n">
        <v>45991</v>
      </c>
      <c r="C158" s="111" t="inlineStr">
        <is>
          <t>V1-43044</t>
        </is>
      </c>
      <c r="D158" s="111" t="inlineStr">
        <is>
          <t>F.NUTELLA K.3</t>
        </is>
      </c>
    </row>
    <row r="159" ht="31.5" customHeight="1" s="155">
      <c r="A159" s="111" t="inlineStr">
        <is>
          <t>GARGIULO GIUSEPPE</t>
        </is>
      </c>
      <c r="B159" s="194" t="n">
        <v>45990</v>
      </c>
      <c r="C159" s="111" t="inlineStr">
        <is>
          <t>FPR 459/25</t>
        </is>
      </c>
      <c r="D159" s="111" t="inlineStr">
        <is>
          <t>RICOTTA OMOGENEIZZATA II 5KG</t>
        </is>
      </c>
    </row>
    <row r="160" ht="31.5" customHeight="1" s="155">
      <c r="A160" s="111" t="inlineStr">
        <is>
          <t>GARGIULO GIUSEPPE</t>
        </is>
      </c>
      <c r="B160" s="194" t="n">
        <v>45990</v>
      </c>
      <c r="C160" s="111" t="inlineStr">
        <is>
          <t>FPR 459/25</t>
        </is>
      </c>
      <c r="D160" s="111" t="inlineStr">
        <is>
          <t>RICOTTA OMOGENEIZZATA II 5KG</t>
        </is>
      </c>
    </row>
    <row r="161">
      <c r="A161" s="111" t="inlineStr">
        <is>
          <t>GARGIULO GIUSEPPE</t>
        </is>
      </c>
      <c r="B161" s="194" t="n">
        <v>45990</v>
      </c>
      <c r="C161" s="111" t="inlineStr">
        <is>
          <t>FPR 459/25</t>
        </is>
      </c>
      <c r="D161" s="111" t="inlineStr">
        <is>
          <t>RICOTTA FULVI INCART.</t>
        </is>
      </c>
    </row>
    <row r="162" ht="31.5" customHeight="1" s="155">
      <c r="A162" s="111" t="inlineStr">
        <is>
          <t>GARGIULO GIUSEPPE</t>
        </is>
      </c>
      <c r="B162" s="194" t="n">
        <v>45990</v>
      </c>
      <c r="C162" s="111" t="inlineStr">
        <is>
          <t>FPR 459/25</t>
        </is>
      </c>
      <c r="D162" s="111" t="inlineStr">
        <is>
          <t>RICOTTA OMOGENEIZZATA II 5KG</t>
        </is>
      </c>
    </row>
    <row r="163">
      <c r="A163" s="111" t="inlineStr">
        <is>
          <t>GARGIULO GIUSEPPE</t>
        </is>
      </c>
      <c r="B163" s="194" t="n">
        <v>45990</v>
      </c>
      <c r="C163" s="111" t="inlineStr">
        <is>
          <t>FPR 459/25</t>
        </is>
      </c>
      <c r="D163" s="111" t="inlineStr">
        <is>
          <t>RICOTTA FULVI INCART.</t>
        </is>
      </c>
    </row>
    <row r="164" ht="31.5" customHeight="1" s="155">
      <c r="A164" s="111" t="inlineStr">
        <is>
          <t>GARGIULO GIUSEPPE</t>
        </is>
      </c>
      <c r="B164" s="194" t="n">
        <v>45990</v>
      </c>
      <c r="C164" s="111" t="inlineStr">
        <is>
          <t>FPR 459/25</t>
        </is>
      </c>
      <c r="D164" s="111" t="inlineStr">
        <is>
          <t>RICOTTA OMOGENEIZZATA II 5KG</t>
        </is>
      </c>
    </row>
    <row r="165">
      <c r="A165" s="111" t="inlineStr">
        <is>
          <t>GARGIULO GIUSEPPE</t>
        </is>
      </c>
      <c r="B165" s="194" t="n">
        <v>45990</v>
      </c>
      <c r="C165" s="111" t="inlineStr">
        <is>
          <t>FPR 459/25</t>
        </is>
      </c>
      <c r="D165" s="111" t="inlineStr">
        <is>
          <t>RICOTTA FULVI INCART.</t>
        </is>
      </c>
    </row>
    <row r="166" ht="63" customHeight="1" s="155">
      <c r="A166" s="111" t="inlineStr">
        <is>
          <t>Olive Miraglia s.r.l. 1890</t>
        </is>
      </c>
      <c r="B166" s="194" t="n">
        <v>45974</v>
      </c>
      <c r="C166" s="111" t="inlineStr">
        <is>
          <t>FPR 2451/25</t>
        </is>
      </c>
      <c r="D166" s="111" t="inlineStr">
        <is>
          <t>DENOCCIOLATE NERE KALAMON IN ACQUA E SALE PROVENIENZA GRECIA POLIGROS</t>
        </is>
      </c>
    </row>
    <row r="167" ht="47.25" customHeight="1" s="155">
      <c r="A167" s="111" t="inlineStr">
        <is>
          <t>NASTI GROUP SRL</t>
        </is>
      </c>
      <c r="B167" s="194" t="n">
        <v>45990</v>
      </c>
      <c r="C167" s="111" t="inlineStr">
        <is>
          <t>206299/0C01</t>
        </is>
      </c>
      <c r="D167" s="111" t="inlineStr">
        <is>
          <t>V.COLLINE DEL SOLE GRECO DI TUFO DOCG 1/75 CL</t>
        </is>
      </c>
    </row>
    <row r="168" ht="47.25" customHeight="1" s="155">
      <c r="A168" s="111" t="inlineStr">
        <is>
          <t>NASTI GROUP SRL</t>
        </is>
      </c>
      <c r="B168" s="194" t="n">
        <v>45990</v>
      </c>
      <c r="C168" s="111" t="inlineStr">
        <is>
          <t>206299/0C01</t>
        </is>
      </c>
      <c r="D168" s="111" t="inlineStr">
        <is>
          <t>V.COLLINE DEL SOLE AGLIANICO IRPINIA 1/75CL</t>
        </is>
      </c>
    </row>
    <row r="169" ht="31.5" customHeight="1" s="155">
      <c r="A169" s="111" t="inlineStr">
        <is>
          <t>NASTI GROUP SRL</t>
        </is>
      </c>
      <c r="B169" s="194" t="n">
        <v>45990</v>
      </c>
      <c r="C169" s="111" t="inlineStr">
        <is>
          <t>206299/0C01</t>
        </is>
      </c>
      <c r="D169" s="111" t="inlineStr">
        <is>
          <t>LIQ.GIN TANQUERAY 1/1 LT</t>
        </is>
      </c>
    </row>
    <row r="170" ht="31.5" customHeight="1" s="155">
      <c r="A170" s="111" t="inlineStr">
        <is>
          <t>NASTI GROUP SRL</t>
        </is>
      </c>
      <c r="B170" s="194" t="n">
        <v>45990</v>
      </c>
      <c r="C170" s="111" t="inlineStr">
        <is>
          <t>206299/0C01</t>
        </is>
      </c>
      <c r="D170" s="111" t="inlineStr">
        <is>
          <t>LIQ.GIN TANQUERAY 1/1 LT</t>
        </is>
      </c>
    </row>
    <row r="171" ht="63" customHeight="1" s="155">
      <c r="A171" s="111" t="inlineStr">
        <is>
          <t>Dolciaria Acquaviva S.p.A. sog. all'att. di dir. e coord. di Vandemoortele NV</t>
        </is>
      </c>
      <c r="B171" s="194" t="n">
        <v>45979</v>
      </c>
      <c r="C171" s="111" t="n">
        <v>920262</v>
      </c>
      <c r="D171" s="111" t="inlineStr">
        <is>
          <t>TAPPI  GRANDI  G 55/60</t>
        </is>
      </c>
    </row>
    <row r="172" ht="63" customHeight="1" s="155">
      <c r="A172" s="111" t="inlineStr">
        <is>
          <t>Dolciaria Acquaviva S.p.A. sog. all'att. di dir. e coord. di Vandemoortele NV</t>
        </is>
      </c>
      <c r="B172" s="194" t="n">
        <v>45979</v>
      </c>
      <c r="C172" s="111" t="n">
        <v>920262</v>
      </c>
      <c r="D172" s="111" t="inlineStr">
        <is>
          <t>TAPPI MIGNON PER SFOGLIATE GR.20</t>
        </is>
      </c>
    </row>
    <row r="173" ht="63" customHeight="1" s="155">
      <c r="A173" s="111" t="inlineStr">
        <is>
          <t>Dolciaria Acquaviva S.p.A. sog. all'att. di dir. e coord. di Vandemoortele NV</t>
        </is>
      </c>
      <c r="B173" s="194" t="n">
        <v>45986</v>
      </c>
      <c r="C173" s="111" t="n">
        <v>921049</v>
      </c>
      <c r="D173" s="111" t="inlineStr">
        <is>
          <t>TAPPI  GRANDI  G 55/60</t>
        </is>
      </c>
    </row>
    <row r="174" ht="63" customHeight="1" s="155">
      <c r="A174" s="111" t="inlineStr">
        <is>
          <t>Dolciaria Acquaviva S.p.A. sog. all'att. di dir. e coord. di Vandemoortele NV</t>
        </is>
      </c>
      <c r="B174" s="194" t="n">
        <v>45986</v>
      </c>
      <c r="C174" s="111" t="n">
        <v>921049</v>
      </c>
      <c r="D174" s="111" t="inlineStr">
        <is>
          <t>TAPPI MIGNON PER SFOGLIATE GR.20</t>
        </is>
      </c>
    </row>
    <row r="175" ht="63" customHeight="1" s="155">
      <c r="A175" s="111" t="inlineStr">
        <is>
          <t>Dolciaria Acquaviva S.p.A. sog. all'att. di dir. e coord. di Vandemoortele NV</t>
        </is>
      </c>
      <c r="B175" s="194" t="n">
        <v>45986</v>
      </c>
      <c r="C175" s="111" t="n">
        <v>921049</v>
      </c>
      <c r="D175" s="111" t="inlineStr">
        <is>
          <t>CIAMBELLA MAXI ZUCCHERATA G. 100</t>
        </is>
      </c>
    </row>
    <row r="176" ht="63" customHeight="1" s="155">
      <c r="A176" s="111" t="inlineStr">
        <is>
          <t>Dolciaria Acquaviva S.p.A. sog. all'att. di dir. e coord. di Vandemoortele NV</t>
        </is>
      </c>
      <c r="B176" s="194" t="n">
        <v>45993</v>
      </c>
      <c r="C176" s="111" t="n">
        <v>921780</v>
      </c>
      <c r="D176" s="111" t="inlineStr">
        <is>
          <t>CIAMBELLA MAXI ZUCCHERATA G. 100</t>
        </is>
      </c>
    </row>
    <row r="177" ht="63" customHeight="1" s="155">
      <c r="A177" s="111" t="inlineStr">
        <is>
          <t>Dolciaria Acquaviva S.p.A. sog. all'att. di dir. e coord. di Vandemoortele NV</t>
        </is>
      </c>
      <c r="B177" s="194" t="n">
        <v>45993</v>
      </c>
      <c r="C177" s="111" t="n">
        <v>921780</v>
      </c>
      <c r="D177" s="111" t="inlineStr">
        <is>
          <t>TAPPI  GRANDI  G 55/60</t>
        </is>
      </c>
    </row>
    <row r="178" ht="63" customHeight="1" s="155">
      <c r="A178" s="111" t="inlineStr">
        <is>
          <t>Dolciaria Acquaviva S.p.A. sog. all'att. di dir. e coord. di Vandemoortele NV</t>
        </is>
      </c>
      <c r="B178" s="194" t="n">
        <v>45993</v>
      </c>
      <c r="C178" s="111" t="n">
        <v>921780</v>
      </c>
      <c r="D178" s="111" t="inlineStr">
        <is>
          <t>TAPPI MIGNON PER SFOGLIATE GR.20</t>
        </is>
      </c>
    </row>
    <row r="179" ht="63" customHeight="1" s="155">
      <c r="A179" s="111" t="inlineStr">
        <is>
          <t>Dolciaria Acquaviva S.p.A. sog. all'att. di dir. e coord. di Vandemoortele NV</t>
        </is>
      </c>
      <c r="B179" s="194" t="n">
        <v>45993</v>
      </c>
      <c r="C179" s="111" t="n">
        <v>921780</v>
      </c>
      <c r="D179" s="111" t="inlineStr">
        <is>
          <t>CODA D'ARAGOSTA MIG.GR.28/30</t>
        </is>
      </c>
    </row>
    <row r="180" ht="31.5" customHeight="1" s="155">
      <c r="A180" s="111" t="inlineStr">
        <is>
          <t>GRANZUCCHERI SRL</t>
        </is>
      </c>
      <c r="B180" s="194" t="n">
        <v>45980</v>
      </c>
      <c r="C180" s="111" t="n">
        <v>1987</v>
      </c>
      <c r="D180" s="111" t="inlineStr">
        <is>
          <t>ZUCCHERO IN SACCHI 25 KG. SERA' FINO</t>
        </is>
      </c>
    </row>
    <row r="181">
      <c r="A181" s="111" t="inlineStr">
        <is>
          <t>GRANZUCCHERI SRL</t>
        </is>
      </c>
      <c r="B181" s="194" t="n">
        <v>45980</v>
      </c>
      <c r="C181" s="111" t="n">
        <v>1987</v>
      </c>
      <c r="D181" s="111" t="inlineStr">
        <is>
          <t>L.3172514A</t>
        </is>
      </c>
    </row>
    <row r="182" ht="31.5" customHeight="1" s="155">
      <c r="A182" s="111" t="inlineStr">
        <is>
          <t>GRANZUCCHERI SRL</t>
        </is>
      </c>
      <c r="B182" s="194" t="n">
        <v>45980</v>
      </c>
      <c r="C182" s="111" t="n">
        <v>1987</v>
      </c>
      <c r="D182" s="111" t="inlineStr">
        <is>
          <t>ZUCCHERO IN GRANELLA 10 KG.</t>
        </is>
      </c>
    </row>
    <row r="183" ht="31.5" customHeight="1" s="155">
      <c r="A183" s="111" t="inlineStr">
        <is>
          <t>GRANZUCCHERI SRL</t>
        </is>
      </c>
      <c r="B183" s="194" t="n">
        <v>45980</v>
      </c>
      <c r="C183" s="111" t="n">
        <v>1987</v>
      </c>
      <c r="D183" s="111" t="inlineStr">
        <is>
          <t>ZUCCHERO A VELO 5 KG.</t>
        </is>
      </c>
    </row>
    <row r="184" ht="31.5" customHeight="1" s="155">
      <c r="A184" s="111" t="inlineStr">
        <is>
          <t>GRANZUCCHERI SRL</t>
        </is>
      </c>
      <c r="B184" s="194" t="n">
        <v>45980</v>
      </c>
      <c r="C184" s="111" t="n">
        <v>1987</v>
      </c>
      <c r="D184" s="111" t="inlineStr">
        <is>
          <t>ZUCCHERO IN BUSTINE BAR 10 KG.</t>
        </is>
      </c>
    </row>
    <row r="185" ht="31.5" customHeight="1" s="155">
      <c r="A185" s="111" t="inlineStr">
        <is>
          <t>GRANZUCCHERI SRL</t>
        </is>
      </c>
      <c r="B185" s="194" t="n">
        <v>45980</v>
      </c>
      <c r="C185" s="111" t="n">
        <v>1987</v>
      </c>
      <c r="D185" s="111" t="inlineStr">
        <is>
          <t>ZUCCHERO IN BUSTINE BAR DI CANNA 5 KG.</t>
        </is>
      </c>
    </row>
    <row r="186" ht="31.5" customHeight="1" s="155">
      <c r="A186" s="111" t="inlineStr">
        <is>
          <t>GRANZUCCHERI SRL</t>
        </is>
      </c>
      <c r="B186" s="194" t="n">
        <v>45980</v>
      </c>
      <c r="C186" s="111" t="n">
        <v>1987</v>
      </c>
      <c r="D186" s="111" t="inlineStr">
        <is>
          <t>ZUCCHERO FONDENTE PURA CANNA 15 KG</t>
        </is>
      </c>
    </row>
    <row r="187" ht="63" customHeight="1" s="155">
      <c r="A187" s="111" t="inlineStr">
        <is>
          <t>GRANZUCCHERI SRL</t>
        </is>
      </c>
      <c r="B187" s="194" t="n">
        <v>45980</v>
      </c>
      <c r="C187" s="111" t="n">
        <v>1987</v>
      </c>
      <c r="D187" s="111" t="inlineStr">
        <is>
          <t>Riga ausiliaria contenente informazioni tecniche e aggiuntive del documento</t>
        </is>
      </c>
    </row>
    <row r="188">
      <c r="A188" s="111" t="inlineStr">
        <is>
          <t>GB FOOD SRL</t>
        </is>
      </c>
      <c r="B188" s="194" t="n">
        <v>45996</v>
      </c>
      <c r="C188" s="111" t="inlineStr">
        <is>
          <t>307/PZ</t>
        </is>
      </c>
      <c r="D188" s="111" t="inlineStr">
        <is>
          <t>CIABATTA</t>
        </is>
      </c>
    </row>
    <row r="189">
      <c r="A189" s="111" t="inlineStr">
        <is>
          <t>GB FOOD SRL</t>
        </is>
      </c>
      <c r="B189" s="194" t="n">
        <v>45996</v>
      </c>
      <c r="C189" s="111" t="inlineStr">
        <is>
          <t>307/PZ</t>
        </is>
      </c>
      <c r="D189" s="111" t="inlineStr">
        <is>
          <t>ROSETTINE</t>
        </is>
      </c>
    </row>
    <row r="190">
      <c r="A190" s="111" t="inlineStr">
        <is>
          <t>GB FOOD SRL</t>
        </is>
      </c>
      <c r="B190" s="194" t="n">
        <v>46000</v>
      </c>
      <c r="C190" s="111" t="inlineStr">
        <is>
          <t>314/PZ</t>
        </is>
      </c>
      <c r="D190" s="111" t="inlineStr">
        <is>
          <t>CIABATTA</t>
        </is>
      </c>
    </row>
    <row r="191">
      <c r="A191" s="111" t="inlineStr">
        <is>
          <t>GB FOOD SRL</t>
        </is>
      </c>
      <c r="B191" s="194" t="n">
        <v>46000</v>
      </c>
      <c r="C191" s="111" t="inlineStr">
        <is>
          <t>314/PZ</t>
        </is>
      </c>
      <c r="D191" s="111" t="inlineStr">
        <is>
          <t>ROSETTINE</t>
        </is>
      </c>
    </row>
    <row r="192">
      <c r="A192" s="111" t="inlineStr">
        <is>
          <t>GB FOOD SRL</t>
        </is>
      </c>
      <c r="B192" s="194" t="n">
        <v>45997</v>
      </c>
      <c r="C192" s="111" t="inlineStr">
        <is>
          <t>310/PZ</t>
        </is>
      </c>
      <c r="D192" s="111" t="inlineStr">
        <is>
          <t>CIABATTA</t>
        </is>
      </c>
    </row>
    <row r="193">
      <c r="A193" s="111" t="inlineStr">
        <is>
          <t>GB FOOD SRL</t>
        </is>
      </c>
      <c r="B193" s="194" t="n">
        <v>45997</v>
      </c>
      <c r="C193" s="111" t="inlineStr">
        <is>
          <t>310/PZ</t>
        </is>
      </c>
      <c r="D193" s="111" t="inlineStr">
        <is>
          <t>ROSETTINE</t>
        </is>
      </c>
    </row>
    <row r="194">
      <c r="A194" s="111" t="inlineStr">
        <is>
          <t>GB FOOD SRL</t>
        </is>
      </c>
      <c r="B194" s="194" t="n">
        <v>45998</v>
      </c>
      <c r="C194" s="111" t="inlineStr">
        <is>
          <t>312/PZ</t>
        </is>
      </c>
      <c r="D194" s="111" t="inlineStr">
        <is>
          <t>CIABATTA</t>
        </is>
      </c>
    </row>
    <row r="195">
      <c r="A195" s="111" t="inlineStr">
        <is>
          <t>GB FOOD SRL</t>
        </is>
      </c>
      <c r="B195" s="194" t="n">
        <v>45998</v>
      </c>
      <c r="C195" s="111" t="inlineStr">
        <is>
          <t>312/PZ</t>
        </is>
      </c>
      <c r="D195" s="111" t="inlineStr">
        <is>
          <t>ROSETTINE</t>
        </is>
      </c>
    </row>
    <row r="196">
      <c r="A196" s="111" t="inlineStr">
        <is>
          <t>GB FOOD SRL</t>
        </is>
      </c>
      <c r="B196" s="194" t="n">
        <v>45967</v>
      </c>
      <c r="C196" s="111" t="inlineStr">
        <is>
          <t>255/PZ</t>
        </is>
      </c>
      <c r="D196" s="111" t="inlineStr">
        <is>
          <t>CIABATTA</t>
        </is>
      </c>
    </row>
    <row r="197">
      <c r="A197" s="111" t="inlineStr">
        <is>
          <t>GB FOOD SRL</t>
        </is>
      </c>
      <c r="B197" s="194" t="n">
        <v>45967</v>
      </c>
      <c r="C197" s="111" t="inlineStr">
        <is>
          <t>255/PZ</t>
        </is>
      </c>
      <c r="D197" s="111" t="inlineStr">
        <is>
          <t>ROSETTINE</t>
        </is>
      </c>
    </row>
    <row r="198">
      <c r="A198" s="111" t="inlineStr">
        <is>
          <t>GB FOOD SRL</t>
        </is>
      </c>
      <c r="B198" s="194" t="n">
        <v>45968</v>
      </c>
      <c r="C198" s="111" t="inlineStr">
        <is>
          <t>257/PZ</t>
        </is>
      </c>
      <c r="D198" s="111" t="inlineStr">
        <is>
          <t>CIABATTA</t>
        </is>
      </c>
    </row>
    <row r="199">
      <c r="A199" s="111" t="inlineStr">
        <is>
          <t>GB FOOD SRL</t>
        </is>
      </c>
      <c r="B199" s="194" t="n">
        <v>45969</v>
      </c>
      <c r="C199" s="111" t="inlineStr">
        <is>
          <t>259/PZ</t>
        </is>
      </c>
      <c r="D199" s="111" t="inlineStr">
        <is>
          <t>CIABATTA</t>
        </is>
      </c>
    </row>
    <row r="200">
      <c r="A200" s="111" t="inlineStr">
        <is>
          <t>GB FOOD SRL</t>
        </is>
      </c>
      <c r="B200" s="194" t="n">
        <v>45969</v>
      </c>
      <c r="C200" s="111" t="inlineStr">
        <is>
          <t>259/PZ</t>
        </is>
      </c>
      <c r="D200" s="111" t="inlineStr">
        <is>
          <t>ROSETTINE</t>
        </is>
      </c>
    </row>
    <row r="201">
      <c r="A201" s="111" t="inlineStr">
        <is>
          <t>GB FOOD SRL</t>
        </is>
      </c>
      <c r="B201" s="194" t="n">
        <v>45969</v>
      </c>
      <c r="C201" s="111" t="inlineStr">
        <is>
          <t>260/PZ</t>
        </is>
      </c>
      <c r="D201" s="111" t="inlineStr">
        <is>
          <t>CIABATTA</t>
        </is>
      </c>
    </row>
    <row r="202">
      <c r="A202" s="111" t="inlineStr">
        <is>
          <t>GB FOOD SRL</t>
        </is>
      </c>
      <c r="B202" s="194" t="n">
        <v>45973</v>
      </c>
      <c r="C202" s="111" t="inlineStr">
        <is>
          <t>267/PZ</t>
        </is>
      </c>
      <c r="D202" s="111" t="inlineStr">
        <is>
          <t>CIABATTA</t>
        </is>
      </c>
    </row>
    <row r="203">
      <c r="A203" s="111" t="inlineStr">
        <is>
          <t>GB FOOD SRL</t>
        </is>
      </c>
      <c r="B203" s="194" t="n">
        <v>45973</v>
      </c>
      <c r="C203" s="111" t="inlineStr">
        <is>
          <t>267/PZ</t>
        </is>
      </c>
      <c r="D203" s="111" t="inlineStr">
        <is>
          <t>ROSETTINE</t>
        </is>
      </c>
    </row>
    <row r="204">
      <c r="A204" s="111" t="inlineStr">
        <is>
          <t>GB FOOD SRL</t>
        </is>
      </c>
      <c r="B204" s="194" t="n">
        <v>45974</v>
      </c>
      <c r="C204" s="111" t="inlineStr">
        <is>
          <t>269/PZ</t>
        </is>
      </c>
      <c r="D204" s="111" t="inlineStr">
        <is>
          <t>CIABATTA</t>
        </is>
      </c>
    </row>
    <row r="205">
      <c r="A205" s="111" t="inlineStr">
        <is>
          <t>GB FOOD SRL</t>
        </is>
      </c>
      <c r="B205" s="194" t="n">
        <v>45974</v>
      </c>
      <c r="C205" s="111" t="inlineStr">
        <is>
          <t>269/PZ</t>
        </is>
      </c>
      <c r="D205" s="111" t="inlineStr">
        <is>
          <t>ROSETTINE</t>
        </is>
      </c>
    </row>
    <row r="206" ht="31.5" customHeight="1" s="155">
      <c r="A206" s="111" t="inlineStr">
        <is>
          <t>I COZZOLINO SRL</t>
        </is>
      </c>
      <c r="B206" s="194" t="n">
        <v>45976</v>
      </c>
      <c r="C206" s="111" t="inlineStr">
        <is>
          <t>D2973</t>
        </is>
      </c>
      <c r="D206" s="111" t="inlineStr">
        <is>
          <t>Pomodorini Sicilia L. 291-002759-0000021</t>
        </is>
      </c>
    </row>
    <row r="207" ht="47.25" customHeight="1" s="155">
      <c r="A207" s="111" t="inlineStr">
        <is>
          <t>I COZZOLINO SRL</t>
        </is>
      </c>
      <c r="B207" s="194" t="n">
        <v>45976</v>
      </c>
      <c r="C207" s="111" t="inlineStr">
        <is>
          <t>D2973</t>
        </is>
      </c>
      <c r="D207" s="111" t="inlineStr">
        <is>
          <t>Limes L.35219030060240253</t>
        </is>
      </c>
    </row>
    <row r="208" ht="31.5" customHeight="1" s="155">
      <c r="A208" s="111" t="inlineStr">
        <is>
          <t>I COZZOLINO SRL</t>
        </is>
      </c>
      <c r="B208" s="194" t="n">
        <v>45976</v>
      </c>
      <c r="C208" s="111" t="inlineStr">
        <is>
          <t>D2973</t>
        </is>
      </c>
      <c r="D208" s="111" t="inlineStr">
        <is>
          <t>Melone Giall orig. ita  L.05/42</t>
        </is>
      </c>
    </row>
    <row r="209" ht="31.5" customHeight="1" s="155">
      <c r="A209" s="111" t="inlineStr">
        <is>
          <t>I COZZOLINO SRL</t>
        </is>
      </c>
      <c r="B209" s="194" t="n">
        <v>45976</v>
      </c>
      <c r="C209" s="111" t="inlineStr">
        <is>
          <t>D2973</t>
        </is>
      </c>
      <c r="D209" s="111" t="inlineStr">
        <is>
          <t>Iceberg L. 258-000743-0010367</t>
        </is>
      </c>
    </row>
    <row r="210" ht="31.5" customHeight="1" s="155">
      <c r="A210" s="111" t="inlineStr">
        <is>
          <t>I COZZOLINO SRL</t>
        </is>
      </c>
      <c r="B210" s="194" t="n">
        <v>45976</v>
      </c>
      <c r="C210" s="111" t="inlineStr">
        <is>
          <t>D2973</t>
        </is>
      </c>
      <c r="D210" s="111" t="inlineStr">
        <is>
          <t>Melanzane L.197-002155-0008629</t>
        </is>
      </c>
    </row>
    <row r="211" ht="31.5" customHeight="1" s="155">
      <c r="A211" s="111" t="inlineStr">
        <is>
          <t>I COZZOLINO SRL</t>
        </is>
      </c>
      <c r="B211" s="194" t="n">
        <v>45976</v>
      </c>
      <c r="C211" s="111" t="inlineStr">
        <is>
          <t>D2973</t>
        </is>
      </c>
      <c r="D211" s="111" t="inlineStr">
        <is>
          <t>Limoni L. 130720240010</t>
        </is>
      </c>
    </row>
    <row r="212" ht="31.5" customHeight="1" s="155">
      <c r="A212" s="111" t="inlineStr">
        <is>
          <t>I COZZOLINO SRL</t>
        </is>
      </c>
      <c r="B212" s="194" t="n">
        <v>45976</v>
      </c>
      <c r="C212" s="111" t="inlineStr">
        <is>
          <t>D2974</t>
        </is>
      </c>
      <c r="D212" s="111" t="inlineStr">
        <is>
          <t>Limoni L. 130720240010</t>
        </is>
      </c>
    </row>
    <row r="213" ht="31.5" customHeight="1" s="155">
      <c r="A213" s="111" t="inlineStr">
        <is>
          <t>I COZZOLINO SRL</t>
        </is>
      </c>
      <c r="B213" s="194" t="n">
        <v>45976</v>
      </c>
      <c r="C213" s="111" t="inlineStr">
        <is>
          <t>D2974</t>
        </is>
      </c>
      <c r="D213" s="111" t="inlineStr">
        <is>
          <t>Iceberg L. 258-000743-0010367</t>
        </is>
      </c>
    </row>
    <row r="214">
      <c r="A214" s="111" t="inlineStr">
        <is>
          <t>I COZZOLINO SRL</t>
        </is>
      </c>
      <c r="B214" s="194" t="n">
        <v>45976</v>
      </c>
      <c r="C214" s="111" t="inlineStr">
        <is>
          <t>D2974</t>
        </is>
      </c>
      <c r="D214" s="111" t="inlineStr">
        <is>
          <t>Basilico L.417291</t>
        </is>
      </c>
    </row>
    <row r="215" ht="31.5" customHeight="1" s="155">
      <c r="A215" s="111" t="inlineStr">
        <is>
          <t>I COZZOLINO SRL</t>
        </is>
      </c>
      <c r="B215" s="194" t="n">
        <v>45976</v>
      </c>
      <c r="C215" s="111" t="inlineStr">
        <is>
          <t>D2974</t>
        </is>
      </c>
      <c r="D215" s="111" t="inlineStr">
        <is>
          <t>Iceberg L. 258-000743-0010367</t>
        </is>
      </c>
    </row>
    <row r="216" ht="47.25" customHeight="1" s="155">
      <c r="A216" s="111" t="inlineStr">
        <is>
          <t>I COZZOLINO SRL</t>
        </is>
      </c>
      <c r="B216" s="194" t="n">
        <v>45976</v>
      </c>
      <c r="C216" s="111" t="inlineStr">
        <is>
          <t>D2974</t>
        </is>
      </c>
      <c r="D216" s="111" t="inlineStr">
        <is>
          <t>Limes L.35219030060240253</t>
        </is>
      </c>
    </row>
    <row r="217" ht="31.5" customHeight="1" s="155">
      <c r="A217" s="111" t="inlineStr">
        <is>
          <t>I COZZOLINO SRL</t>
        </is>
      </c>
      <c r="B217" s="194" t="n">
        <v>45976</v>
      </c>
      <c r="C217" s="111" t="inlineStr">
        <is>
          <t>D2974</t>
        </is>
      </c>
      <c r="D217" s="111" t="inlineStr">
        <is>
          <t>Fragole L.242FR120009</t>
        </is>
      </c>
    </row>
    <row r="218" ht="31.5" customHeight="1" s="155">
      <c r="A218" s="111" t="inlineStr">
        <is>
          <t>I COZZOLINO SRL</t>
        </is>
      </c>
      <c r="B218" s="194" t="n">
        <v>45976</v>
      </c>
      <c r="C218" s="111" t="inlineStr">
        <is>
          <t>D2974</t>
        </is>
      </c>
      <c r="D218" s="111" t="inlineStr">
        <is>
          <t>Pomodori Insalata Orig.Ita L89/F455</t>
        </is>
      </c>
    </row>
    <row r="219" ht="31.5" customHeight="1" s="155">
      <c r="A219" s="111" t="inlineStr">
        <is>
          <t>I COZZOLINO SRL</t>
        </is>
      </c>
      <c r="B219" s="194" t="n">
        <v>45976</v>
      </c>
      <c r="C219" s="111" t="inlineStr">
        <is>
          <t>D2974</t>
        </is>
      </c>
      <c r="D219" s="111" t="inlineStr">
        <is>
          <t>Pomodorini Sicilia L. 291-002759-0000021</t>
        </is>
      </c>
    </row>
    <row r="220" ht="31.5" customHeight="1" s="155">
      <c r="A220" s="111" t="inlineStr">
        <is>
          <t>I COZZOLINO SRL</t>
        </is>
      </c>
      <c r="B220" s="194" t="n">
        <v>45976</v>
      </c>
      <c r="C220" s="111" t="inlineStr">
        <is>
          <t>D2974</t>
        </is>
      </c>
      <c r="D220" s="111" t="inlineStr">
        <is>
          <t>Zucchine L.0950-04/21-000040IT</t>
        </is>
      </c>
    </row>
    <row r="221" ht="31.5" customHeight="1" s="155">
      <c r="A221" s="111" t="inlineStr">
        <is>
          <t>I COZZOLINO SRL</t>
        </is>
      </c>
      <c r="B221" s="194" t="n">
        <v>45976</v>
      </c>
      <c r="C221" s="111" t="inlineStr">
        <is>
          <t>D2974</t>
        </is>
      </c>
      <c r="D221" s="111" t="inlineStr">
        <is>
          <t>Melanzane L.197-002155-0008629</t>
        </is>
      </c>
    </row>
    <row r="222" ht="31.5" customHeight="1" s="155">
      <c r="A222" s="111" t="inlineStr">
        <is>
          <t>I COZZOLINO SRL</t>
        </is>
      </c>
      <c r="B222" s="194" t="n">
        <v>45976</v>
      </c>
      <c r="C222" s="111" t="inlineStr">
        <is>
          <t>D2974</t>
        </is>
      </c>
      <c r="D222" s="111" t="inlineStr">
        <is>
          <t>Melone Giall orig. ita  L.05/42</t>
        </is>
      </c>
    </row>
    <row r="223" ht="31.5" customHeight="1" s="155">
      <c r="A223" s="111" t="inlineStr">
        <is>
          <t>I COZZOLINO SRL</t>
        </is>
      </c>
      <c r="B223" s="194" t="n">
        <v>45976</v>
      </c>
      <c r="C223" s="111" t="inlineStr">
        <is>
          <t>D2974</t>
        </is>
      </c>
      <c r="D223" s="111" t="inlineStr">
        <is>
          <t>Cipolle Orig.Ita L. 000642160924</t>
        </is>
      </c>
    </row>
    <row r="224" ht="31.5" customHeight="1" s="155">
      <c r="A224" s="111" t="inlineStr">
        <is>
          <t>I COZZOLINO SRL</t>
        </is>
      </c>
      <c r="B224" s="194" t="n">
        <v>45976</v>
      </c>
      <c r="C224" s="111" t="inlineStr">
        <is>
          <t>D2974</t>
        </is>
      </c>
      <c r="D224" s="111" t="inlineStr">
        <is>
          <t>Pompelmi L.027-002155-0005299</t>
        </is>
      </c>
    </row>
    <row r="225" ht="31.5" customHeight="1" s="155">
      <c r="A225" s="111" t="inlineStr">
        <is>
          <t>I COZZOLINO SRL</t>
        </is>
      </c>
      <c r="B225" s="194" t="n">
        <v>45976</v>
      </c>
      <c r="C225" s="111" t="inlineStr">
        <is>
          <t>D2974</t>
        </is>
      </c>
      <c r="D225" s="111" t="inlineStr">
        <is>
          <t>Friarielli Orig.Campania L.51/F FVI/49</t>
        </is>
      </c>
    </row>
    <row r="226" ht="31.5" customHeight="1" s="155">
      <c r="A226" s="111" t="inlineStr">
        <is>
          <t>I COZZOLINO SRL</t>
        </is>
      </c>
      <c r="B226" s="194" t="n">
        <v>45976</v>
      </c>
      <c r="C226" s="111" t="inlineStr">
        <is>
          <t>D2974</t>
        </is>
      </c>
      <c r="D226" s="111" t="inlineStr">
        <is>
          <t>Scarola Lisci L.FATT. 155/25-abruzz 1110</t>
        </is>
      </c>
    </row>
    <row r="227" ht="31.5" customHeight="1" s="155">
      <c r="A227" s="111" t="inlineStr">
        <is>
          <t>I COZZOLINO SRL</t>
        </is>
      </c>
      <c r="B227" s="194" t="n">
        <v>45976</v>
      </c>
      <c r="C227" s="111" t="inlineStr">
        <is>
          <t>D2974</t>
        </is>
      </c>
      <c r="D227" s="111" t="inlineStr">
        <is>
          <t>Patata da Consumo L.469/93</t>
        </is>
      </c>
    </row>
    <row r="228" ht="31.5" customHeight="1" s="155">
      <c r="A228" s="111" t="inlineStr">
        <is>
          <t>I COZZOLINO SRL</t>
        </is>
      </c>
      <c r="B228" s="194" t="n">
        <v>45976</v>
      </c>
      <c r="C228" s="111" t="inlineStr">
        <is>
          <t>D2974</t>
        </is>
      </c>
      <c r="D228" s="111" t="inlineStr">
        <is>
          <t>Iceberg L. 258-000743-0010367</t>
        </is>
      </c>
    </row>
    <row r="229" ht="31.5" customHeight="1" s="155">
      <c r="A229" s="111" t="inlineStr">
        <is>
          <t>I COZZOLINO SRL</t>
        </is>
      </c>
      <c r="B229" s="194" t="n">
        <v>45976</v>
      </c>
      <c r="C229" s="111" t="inlineStr">
        <is>
          <t>D2974</t>
        </is>
      </c>
      <c r="D229" s="111" t="inlineStr">
        <is>
          <t>Pomodorini Sicilia L. 291-002759-0000021</t>
        </is>
      </c>
    </row>
    <row r="230" ht="31.5" customHeight="1" s="155">
      <c r="A230" s="111" t="inlineStr">
        <is>
          <t>I COZZOLINO SRL</t>
        </is>
      </c>
      <c r="B230" s="194" t="n">
        <v>45976</v>
      </c>
      <c r="C230" s="111" t="inlineStr">
        <is>
          <t>D2974</t>
        </is>
      </c>
      <c r="D230" s="111" t="inlineStr">
        <is>
          <t>Pere Conferenze L. 059-004082-0001270</t>
        </is>
      </c>
    </row>
    <row r="231" ht="47.25" customHeight="1" s="155">
      <c r="A231" s="111" t="inlineStr">
        <is>
          <t>I COZZOLINO SRL</t>
        </is>
      </c>
      <c r="B231" s="194" t="n">
        <v>45976</v>
      </c>
      <c r="C231" s="111" t="inlineStr">
        <is>
          <t>D2974</t>
        </is>
      </c>
      <c r="D231" s="111" t="inlineStr">
        <is>
          <t>Mele Stark Orig.Ita L.027-003659-0000799</t>
        </is>
      </c>
    </row>
    <row r="232" ht="31.5" customHeight="1" s="155">
      <c r="A232" s="111" t="inlineStr">
        <is>
          <t>I COZZOLINO SRL</t>
        </is>
      </c>
      <c r="B232" s="194" t="n">
        <v>45976</v>
      </c>
      <c r="C232" s="111" t="inlineStr">
        <is>
          <t>D2974</t>
        </is>
      </c>
      <c r="D232" s="111" t="inlineStr">
        <is>
          <t>Pomodorini Sicilia L. 291-002759-0000021</t>
        </is>
      </c>
    </row>
    <row r="233" ht="31.5" customHeight="1" s="155">
      <c r="A233" s="111" t="inlineStr">
        <is>
          <t>I COZZOLINO SRL</t>
        </is>
      </c>
      <c r="B233" s="194" t="n">
        <v>45976</v>
      </c>
      <c r="C233" s="111" t="inlineStr">
        <is>
          <t>D2974</t>
        </is>
      </c>
      <c r="D233" s="111" t="inlineStr">
        <is>
          <t>Zucchine L.0950-04/21-000040IT</t>
        </is>
      </c>
    </row>
    <row r="234" ht="31.5" customHeight="1" s="155">
      <c r="A234" s="111" t="inlineStr">
        <is>
          <t>I COZZOLINO SRL</t>
        </is>
      </c>
      <c r="B234" s="194" t="n">
        <v>45976</v>
      </c>
      <c r="C234" s="111" t="inlineStr">
        <is>
          <t>D2974</t>
        </is>
      </c>
      <c r="D234" s="111" t="inlineStr">
        <is>
          <t>Iceberg L. 258-000743-0010367</t>
        </is>
      </c>
    </row>
    <row r="235" ht="31.5" customHeight="1" s="155">
      <c r="A235" s="111" t="inlineStr">
        <is>
          <t>I COZZOLINO SRL</t>
        </is>
      </c>
      <c r="B235" s="194" t="n">
        <v>45976</v>
      </c>
      <c r="C235" s="111" t="inlineStr">
        <is>
          <t>D2974</t>
        </is>
      </c>
      <c r="D235" s="111" t="inlineStr">
        <is>
          <t>Ananas L. 055-000857-0003014</t>
        </is>
      </c>
    </row>
    <row r="236" ht="31.5" customHeight="1" s="155">
      <c r="A236" s="111" t="inlineStr">
        <is>
          <t>I COZZOLINO SRL</t>
        </is>
      </c>
      <c r="B236" s="194" t="n">
        <v>45976</v>
      </c>
      <c r="C236" s="111" t="inlineStr">
        <is>
          <t>D2974</t>
        </is>
      </c>
      <c r="D236" s="111" t="inlineStr">
        <is>
          <t>Carote L.190-002155-0008587</t>
        </is>
      </c>
    </row>
    <row r="237" ht="31.5" customHeight="1" s="155">
      <c r="A237" s="111" t="inlineStr">
        <is>
          <t>I COZZOLINO SRL</t>
        </is>
      </c>
      <c r="B237" s="194" t="n">
        <v>45976</v>
      </c>
      <c r="C237" s="111" t="inlineStr">
        <is>
          <t>D2974</t>
        </is>
      </c>
      <c r="D237" s="111" t="inlineStr">
        <is>
          <t>Pomodori Insalata Orig.Ita L89/F455</t>
        </is>
      </c>
    </row>
    <row r="238" ht="31.5" customHeight="1" s="155">
      <c r="A238" s="111" t="inlineStr">
        <is>
          <t>I COZZOLINO SRL</t>
        </is>
      </c>
      <c r="B238" s="194" t="n">
        <v>45976</v>
      </c>
      <c r="C238" s="111" t="inlineStr">
        <is>
          <t>D2974</t>
        </is>
      </c>
      <c r="D238" s="111" t="inlineStr">
        <is>
          <t>Zucchine L.0950-04/21-000040IT</t>
        </is>
      </c>
    </row>
    <row r="239" ht="31.5" customHeight="1" s="155">
      <c r="A239" s="111" t="inlineStr">
        <is>
          <t>I COZZOLINO SRL</t>
        </is>
      </c>
      <c r="B239" s="194" t="n">
        <v>45976</v>
      </c>
      <c r="C239" s="111" t="inlineStr">
        <is>
          <t>D2974</t>
        </is>
      </c>
      <c r="D239" s="111" t="inlineStr">
        <is>
          <t>Pomodorini Sicilia L. 291-002759-0000021</t>
        </is>
      </c>
    </row>
    <row r="240" ht="31.5" customHeight="1" s="155">
      <c r="A240" s="111" t="inlineStr">
        <is>
          <t>I COZZOLINO SRL</t>
        </is>
      </c>
      <c r="B240" s="194" t="n">
        <v>45976</v>
      </c>
      <c r="C240" s="111" t="inlineStr">
        <is>
          <t>D2974</t>
        </is>
      </c>
      <c r="D240" s="111" t="inlineStr">
        <is>
          <t>Iceberg L. 258-000743-0010367</t>
        </is>
      </c>
    </row>
    <row r="241" ht="31.5" customHeight="1" s="155">
      <c r="A241" s="111" t="inlineStr">
        <is>
          <t>I COZZOLINO SRL</t>
        </is>
      </c>
      <c r="B241" s="194" t="n">
        <v>45976</v>
      </c>
      <c r="C241" s="111" t="inlineStr">
        <is>
          <t>D2974</t>
        </is>
      </c>
      <c r="D241" s="111" t="inlineStr">
        <is>
          <t>Limoni L. 130720240010</t>
        </is>
      </c>
    </row>
    <row r="242" ht="31.5" customHeight="1" s="155">
      <c r="A242" s="111" t="inlineStr">
        <is>
          <t>I COZZOLINO SRL</t>
        </is>
      </c>
      <c r="B242" s="194" t="n">
        <v>45976</v>
      </c>
      <c r="C242" s="111" t="inlineStr">
        <is>
          <t>D2974</t>
        </is>
      </c>
      <c r="D242" s="111" t="inlineStr">
        <is>
          <t>Melanzane L.197-002155-0008629</t>
        </is>
      </c>
    </row>
    <row r="243" ht="31.5" customHeight="1" s="155">
      <c r="A243" s="111" t="inlineStr">
        <is>
          <t>I COZZOLINO SRL</t>
        </is>
      </c>
      <c r="B243" s="194" t="n">
        <v>45976</v>
      </c>
      <c r="C243" s="111" t="inlineStr">
        <is>
          <t>D2974</t>
        </is>
      </c>
      <c r="D243" s="111" t="inlineStr">
        <is>
          <t>Pomodorini Sicilia L. 291-002759-0000021</t>
        </is>
      </c>
    </row>
    <row r="244" ht="31.5" customHeight="1" s="155">
      <c r="A244" s="111" t="inlineStr">
        <is>
          <t>I COZZOLINO SRL</t>
        </is>
      </c>
      <c r="B244" s="194" t="n">
        <v>45976</v>
      </c>
      <c r="C244" s="111" t="inlineStr">
        <is>
          <t>D2974</t>
        </is>
      </c>
      <c r="D244" s="111" t="inlineStr">
        <is>
          <t>Peperoni  L.031-004226-0000007</t>
        </is>
      </c>
    </row>
    <row r="245" ht="31.5" customHeight="1" s="155">
      <c r="A245" s="111" t="inlineStr">
        <is>
          <t>I COZZOLINO SRL</t>
        </is>
      </c>
      <c r="B245" s="194" t="n">
        <v>45976</v>
      </c>
      <c r="C245" s="111" t="inlineStr">
        <is>
          <t>D2974</t>
        </is>
      </c>
      <c r="D245" s="111" t="inlineStr">
        <is>
          <t>Ananas L. 055-000857-0003014</t>
        </is>
      </c>
    </row>
    <row r="246" ht="31.5" customHeight="1" s="155">
      <c r="A246" s="111" t="inlineStr">
        <is>
          <t>I COZZOLINO SRL</t>
        </is>
      </c>
      <c r="B246" s="194" t="n">
        <v>45976</v>
      </c>
      <c r="C246" s="111" t="inlineStr">
        <is>
          <t>D2974</t>
        </is>
      </c>
      <c r="D246" s="111" t="inlineStr">
        <is>
          <t>Kiwi L. 060-000015-0000091</t>
        </is>
      </c>
    </row>
    <row r="247" ht="47.25" customHeight="1" s="155">
      <c r="A247" s="111" t="inlineStr">
        <is>
          <t>I COZZOLINO SRL</t>
        </is>
      </c>
      <c r="B247" s="194" t="n">
        <v>45976</v>
      </c>
      <c r="C247" s="111" t="inlineStr">
        <is>
          <t>D2974</t>
        </is>
      </c>
      <c r="D247" s="111" t="inlineStr">
        <is>
          <t>Limes L.35219030060240253</t>
        </is>
      </c>
    </row>
    <row r="248" ht="31.5" customHeight="1" s="155">
      <c r="A248" s="111" t="inlineStr">
        <is>
          <t>I COZZOLINO SRL</t>
        </is>
      </c>
      <c r="B248" s="194" t="n">
        <v>45976</v>
      </c>
      <c r="C248" s="111" t="inlineStr">
        <is>
          <t>D2974</t>
        </is>
      </c>
      <c r="D248" s="111" t="inlineStr">
        <is>
          <t>Scarola Lisci L.FATT. 155/25-abruzz 1110</t>
        </is>
      </c>
    </row>
    <row r="249" ht="31.5" customHeight="1" s="155">
      <c r="A249" s="111" t="inlineStr">
        <is>
          <t>I COZZOLINO SRL</t>
        </is>
      </c>
      <c r="B249" s="194" t="n">
        <v>45976</v>
      </c>
      <c r="C249" s="111" t="inlineStr">
        <is>
          <t>D2974</t>
        </is>
      </c>
      <c r="D249" s="111" t="inlineStr">
        <is>
          <t>Friarielli Orig.Campania L.51/F FVI/49</t>
        </is>
      </c>
    </row>
    <row r="250" ht="31.5" customHeight="1" s="155">
      <c r="A250" s="111" t="inlineStr">
        <is>
          <t>I COZZOLINO SRL</t>
        </is>
      </c>
      <c r="B250" s="194" t="n">
        <v>45976</v>
      </c>
      <c r="C250" s="111" t="inlineStr">
        <is>
          <t>D2974</t>
        </is>
      </c>
      <c r="D250" s="111" t="inlineStr">
        <is>
          <t>Peperoni  L.031-004226-0000007</t>
        </is>
      </c>
    </row>
    <row r="251" ht="31.5" customHeight="1" s="155">
      <c r="A251" s="111" t="inlineStr">
        <is>
          <t>I COZZOLINO SRL</t>
        </is>
      </c>
      <c r="B251" s="194" t="n">
        <v>45976</v>
      </c>
      <c r="C251" s="111" t="inlineStr">
        <is>
          <t>D2974</t>
        </is>
      </c>
      <c r="D251" s="111" t="inlineStr">
        <is>
          <t>Zucchine L.0950-04/21-000040IT</t>
        </is>
      </c>
    </row>
    <row r="252" ht="31.5" customHeight="1" s="155">
      <c r="A252" s="111" t="inlineStr">
        <is>
          <t>I COZZOLINO SRL</t>
        </is>
      </c>
      <c r="B252" s="194" t="n">
        <v>45976</v>
      </c>
      <c r="C252" s="111" t="inlineStr">
        <is>
          <t>D2974</t>
        </is>
      </c>
      <c r="D252" s="111" t="inlineStr">
        <is>
          <t>Melanzane L.197-002155-0008629</t>
        </is>
      </c>
    </row>
    <row r="253" ht="31.5" customHeight="1" s="155">
      <c r="A253" s="111" t="inlineStr">
        <is>
          <t>I COZZOLINO SRL</t>
        </is>
      </c>
      <c r="B253" s="194" t="n">
        <v>45976</v>
      </c>
      <c r="C253" s="111" t="inlineStr">
        <is>
          <t>D2974</t>
        </is>
      </c>
      <c r="D253" s="111" t="inlineStr">
        <is>
          <t>Iceberg L. 258-000743-0010367</t>
        </is>
      </c>
    </row>
    <row r="254">
      <c r="A254" s="111" t="inlineStr">
        <is>
          <t>GB FOOD SRL</t>
        </is>
      </c>
      <c r="B254" s="194" t="n">
        <v>45975</v>
      </c>
      <c r="C254" s="111" t="inlineStr">
        <is>
          <t>271/PZ</t>
        </is>
      </c>
      <c r="D254" s="111" t="inlineStr">
        <is>
          <t>CIABATTA</t>
        </is>
      </c>
    </row>
    <row r="255">
      <c r="A255" s="111" t="inlineStr">
        <is>
          <t>GB FOOD SRL</t>
        </is>
      </c>
      <c r="B255" s="194" t="n">
        <v>45975</v>
      </c>
      <c r="C255" s="111" t="inlineStr">
        <is>
          <t>271/PZ</t>
        </is>
      </c>
      <c r="D255" s="111" t="inlineStr">
        <is>
          <t>ROSETTINE</t>
        </is>
      </c>
    </row>
    <row r="256">
      <c r="A256" s="111" t="inlineStr">
        <is>
          <t>GB FOOD SRL</t>
        </is>
      </c>
      <c r="B256" s="194" t="n">
        <v>45980</v>
      </c>
      <c r="C256" s="111" t="inlineStr">
        <is>
          <t>272/PZ</t>
        </is>
      </c>
      <c r="D256" s="111" t="inlineStr">
        <is>
          <t>CIABATTA</t>
        </is>
      </c>
    </row>
    <row r="257">
      <c r="A257" s="111" t="inlineStr">
        <is>
          <t>GB FOOD SRL</t>
        </is>
      </c>
      <c r="B257" s="194" t="n">
        <v>45980</v>
      </c>
      <c r="C257" s="111" t="inlineStr">
        <is>
          <t>274/PZ</t>
        </is>
      </c>
      <c r="D257" s="111" t="inlineStr">
        <is>
          <t>CIABATTA</t>
        </is>
      </c>
    </row>
    <row r="258">
      <c r="A258" s="111" t="inlineStr">
        <is>
          <t>GB FOOD SRL</t>
        </is>
      </c>
      <c r="B258" s="194" t="n">
        <v>45980</v>
      </c>
      <c r="C258" s="111" t="inlineStr">
        <is>
          <t>274/PZ</t>
        </is>
      </c>
      <c r="D258" s="111" t="inlineStr">
        <is>
          <t>ROSETTINE</t>
        </is>
      </c>
    </row>
    <row r="259">
      <c r="A259" s="111" t="inlineStr">
        <is>
          <t>GB FOOD SRL</t>
        </is>
      </c>
      <c r="B259" s="194" t="n">
        <v>45980</v>
      </c>
      <c r="C259" s="111" t="inlineStr">
        <is>
          <t>276/PZ</t>
        </is>
      </c>
      <c r="D259" s="111" t="inlineStr">
        <is>
          <t>CIABATTA</t>
        </is>
      </c>
    </row>
    <row r="260">
      <c r="A260" s="111" t="inlineStr">
        <is>
          <t>GB FOOD SRL</t>
        </is>
      </c>
      <c r="B260" s="194" t="n">
        <v>45980</v>
      </c>
      <c r="C260" s="111" t="inlineStr">
        <is>
          <t>276/PZ</t>
        </is>
      </c>
      <c r="D260" s="111" t="inlineStr">
        <is>
          <t>ROSETTINE</t>
        </is>
      </c>
    </row>
    <row r="261">
      <c r="A261" s="111" t="inlineStr">
        <is>
          <t>GB FOOD SRL</t>
        </is>
      </c>
      <c r="B261" s="194" t="n">
        <v>45980</v>
      </c>
      <c r="C261" s="111" t="inlineStr">
        <is>
          <t>277/PZ</t>
        </is>
      </c>
      <c r="D261" s="111" t="inlineStr">
        <is>
          <t>CIABATTA</t>
        </is>
      </c>
    </row>
    <row r="262">
      <c r="A262" s="111" t="inlineStr">
        <is>
          <t>GB FOOD SRL</t>
        </is>
      </c>
      <c r="B262" s="194" t="n">
        <v>45980</v>
      </c>
      <c r="C262" s="111" t="inlineStr">
        <is>
          <t>277/PZ</t>
        </is>
      </c>
      <c r="D262" s="111" t="inlineStr">
        <is>
          <t>ROSETTINE</t>
        </is>
      </c>
    </row>
    <row r="263">
      <c r="A263" s="111" t="inlineStr">
        <is>
          <t>GB FOOD SRL</t>
        </is>
      </c>
      <c r="B263" s="194" t="n">
        <v>45981</v>
      </c>
      <c r="C263" s="111" t="inlineStr">
        <is>
          <t>280/PZ</t>
        </is>
      </c>
      <c r="D263" s="111" t="inlineStr">
        <is>
          <t>CIABATTA</t>
        </is>
      </c>
    </row>
    <row r="264">
      <c r="A264" s="111" t="inlineStr">
        <is>
          <t>GB FOOD SRL</t>
        </is>
      </c>
      <c r="B264" s="194" t="n">
        <v>45981</v>
      </c>
      <c r="C264" s="111" t="inlineStr">
        <is>
          <t>280/PZ</t>
        </is>
      </c>
      <c r="D264" s="111" t="inlineStr">
        <is>
          <t>ROSETTINE</t>
        </is>
      </c>
    </row>
    <row r="265">
      <c r="A265" s="111" t="inlineStr">
        <is>
          <t>GB FOOD SRL</t>
        </is>
      </c>
      <c r="B265" s="194" t="n">
        <v>45982</v>
      </c>
      <c r="C265" s="111" t="inlineStr">
        <is>
          <t>282/PZ</t>
        </is>
      </c>
      <c r="D265" s="111" t="inlineStr">
        <is>
          <t>CIABATTA</t>
        </is>
      </c>
    </row>
    <row r="266">
      <c r="A266" s="111" t="inlineStr">
        <is>
          <t>GB FOOD SRL</t>
        </is>
      </c>
      <c r="B266" s="194" t="n">
        <v>45982</v>
      </c>
      <c r="C266" s="111" t="inlineStr">
        <is>
          <t>282/PZ</t>
        </is>
      </c>
      <c r="D266" s="111" t="inlineStr">
        <is>
          <t>ROSETTINE</t>
        </is>
      </c>
    </row>
    <row r="267">
      <c r="A267" s="111" t="inlineStr">
        <is>
          <t>GB FOOD SRL</t>
        </is>
      </c>
      <c r="B267" s="194" t="n">
        <v>45986</v>
      </c>
      <c r="C267" s="111" t="inlineStr">
        <is>
          <t>289/PZ</t>
        </is>
      </c>
      <c r="D267" s="111" t="inlineStr">
        <is>
          <t>CIABATTA</t>
        </is>
      </c>
    </row>
    <row r="268">
      <c r="A268" s="111" t="inlineStr">
        <is>
          <t>GB FOOD SRL</t>
        </is>
      </c>
      <c r="B268" s="194" t="n">
        <v>45986</v>
      </c>
      <c r="C268" s="111" t="inlineStr">
        <is>
          <t>289/PZ</t>
        </is>
      </c>
      <c r="D268" s="111" t="inlineStr">
        <is>
          <t>ROSETTINE</t>
        </is>
      </c>
    </row>
    <row r="269">
      <c r="A269" s="111" t="inlineStr">
        <is>
          <t>GB FOOD SRL</t>
        </is>
      </c>
      <c r="B269" s="194" t="n">
        <v>45987</v>
      </c>
      <c r="C269" s="111" t="inlineStr">
        <is>
          <t>291/PZ</t>
        </is>
      </c>
      <c r="D269" s="111" t="inlineStr">
        <is>
          <t>CIABATTA</t>
        </is>
      </c>
    </row>
    <row r="270">
      <c r="A270" s="111" t="inlineStr">
        <is>
          <t>GB FOOD SRL</t>
        </is>
      </c>
      <c r="B270" s="194" t="n">
        <v>45987</v>
      </c>
      <c r="C270" s="111" t="inlineStr">
        <is>
          <t>291/PZ</t>
        </is>
      </c>
      <c r="D270" s="111" t="inlineStr">
        <is>
          <t>ROSETTINE</t>
        </is>
      </c>
    </row>
    <row r="271">
      <c r="A271" s="111" t="inlineStr">
        <is>
          <t>GB FOOD SRL</t>
        </is>
      </c>
      <c r="B271" s="194" t="n">
        <v>45988</v>
      </c>
      <c r="C271" s="111" t="inlineStr">
        <is>
          <t>292/PZ</t>
        </is>
      </c>
      <c r="D271" s="111" t="inlineStr">
        <is>
          <t>CIABATTA</t>
        </is>
      </c>
    </row>
    <row r="272">
      <c r="A272" s="111" t="inlineStr">
        <is>
          <t>GB FOOD SRL</t>
        </is>
      </c>
      <c r="B272" s="194" t="n">
        <v>45988</v>
      </c>
      <c r="C272" s="111" t="inlineStr">
        <is>
          <t>292/PZ</t>
        </is>
      </c>
      <c r="D272" s="111" t="inlineStr">
        <is>
          <t>ROSETTINE</t>
        </is>
      </c>
    </row>
    <row r="273">
      <c r="A273" s="111" t="inlineStr">
        <is>
          <t>GB FOOD SRL</t>
        </is>
      </c>
      <c r="B273" s="194" t="n">
        <v>45983</v>
      </c>
      <c r="C273" s="111" t="inlineStr">
        <is>
          <t>284/PZ</t>
        </is>
      </c>
      <c r="D273" s="111" t="inlineStr">
        <is>
          <t>CIABATTA</t>
        </is>
      </c>
    </row>
    <row r="274">
      <c r="A274" s="111" t="inlineStr">
        <is>
          <t>GB FOOD SRL</t>
        </is>
      </c>
      <c r="B274" s="194" t="n">
        <v>45983</v>
      </c>
      <c r="C274" s="111" t="inlineStr">
        <is>
          <t>284/PZ</t>
        </is>
      </c>
      <c r="D274" s="111" t="inlineStr">
        <is>
          <t>ROSETTINE</t>
        </is>
      </c>
    </row>
    <row r="275">
      <c r="A275" s="111" t="inlineStr">
        <is>
          <t>GB FOOD SRL</t>
        </is>
      </c>
      <c r="B275" s="194" t="n">
        <v>45983</v>
      </c>
      <c r="C275" s="111" t="inlineStr">
        <is>
          <t>285/PZ</t>
        </is>
      </c>
      <c r="D275" s="111" t="inlineStr">
        <is>
          <t>CIABATTA</t>
        </is>
      </c>
    </row>
    <row r="276">
      <c r="A276" s="111" t="inlineStr">
        <is>
          <t>GB FOOD SRL</t>
        </is>
      </c>
      <c r="B276" s="194" t="n">
        <v>45983</v>
      </c>
      <c r="C276" s="111" t="inlineStr">
        <is>
          <t>286/PZ</t>
        </is>
      </c>
      <c r="D276" s="111" t="inlineStr">
        <is>
          <t>ROSETTINE</t>
        </is>
      </c>
    </row>
    <row r="277">
      <c r="A277" s="111" t="inlineStr">
        <is>
          <t>GB FOOD SRL</t>
        </is>
      </c>
      <c r="B277" s="194" t="n">
        <v>45985</v>
      </c>
      <c r="C277" s="111" t="inlineStr">
        <is>
          <t>287/PZ</t>
        </is>
      </c>
      <c r="D277" s="111" t="inlineStr">
        <is>
          <t>CIABATTA</t>
        </is>
      </c>
    </row>
    <row r="278">
      <c r="A278" s="111" t="inlineStr">
        <is>
          <t>GB FOOD SRL</t>
        </is>
      </c>
      <c r="B278" s="194" t="n">
        <v>45985</v>
      </c>
      <c r="C278" s="111" t="inlineStr">
        <is>
          <t>287/PZ</t>
        </is>
      </c>
      <c r="D278" s="111" t="inlineStr">
        <is>
          <t>ROSETTINE</t>
        </is>
      </c>
    </row>
    <row r="279" ht="31.5" customHeight="1" s="155">
      <c r="A279" s="111" t="inlineStr">
        <is>
          <t>I COZZOLINO SRL</t>
        </is>
      </c>
      <c r="B279" s="194" t="n">
        <v>45991</v>
      </c>
      <c r="C279" s="111" t="inlineStr">
        <is>
          <t>D3169</t>
        </is>
      </c>
      <c r="D279" s="111" t="inlineStr">
        <is>
          <t>Zucchine L.0950-04/21-000040IT</t>
        </is>
      </c>
    </row>
    <row r="280" ht="31.5" customHeight="1" s="155">
      <c r="A280" s="111" t="inlineStr">
        <is>
          <t>I COZZOLINO SRL</t>
        </is>
      </c>
      <c r="B280" s="194" t="n">
        <v>45991</v>
      </c>
      <c r="C280" s="111" t="inlineStr">
        <is>
          <t>D3169</t>
        </is>
      </c>
      <c r="D280" s="111" t="inlineStr">
        <is>
          <t>Peperoni  L.031-004226-0000007</t>
        </is>
      </c>
    </row>
    <row r="281" ht="31.5" customHeight="1" s="155">
      <c r="A281" s="111" t="inlineStr">
        <is>
          <t>I COZZOLINO SRL</t>
        </is>
      </c>
      <c r="B281" s="194" t="n">
        <v>45991</v>
      </c>
      <c r="C281" s="111" t="inlineStr">
        <is>
          <t>D3169</t>
        </is>
      </c>
      <c r="D281" s="111" t="inlineStr">
        <is>
          <t>Pomodorini Sicilia L. 291-002759-0000021</t>
        </is>
      </c>
    </row>
    <row r="282" ht="31.5" customHeight="1" s="155">
      <c r="A282" s="111" t="inlineStr">
        <is>
          <t>I COZZOLINO SRL</t>
        </is>
      </c>
      <c r="B282" s="194" t="n">
        <v>45991</v>
      </c>
      <c r="C282" s="111" t="inlineStr">
        <is>
          <t>D3170</t>
        </is>
      </c>
      <c r="D282" s="111" t="inlineStr">
        <is>
          <t>Zucchine L.0950-04/21-000040IT</t>
        </is>
      </c>
    </row>
    <row r="283" ht="31.5" customHeight="1" s="155">
      <c r="A283" s="111" t="inlineStr">
        <is>
          <t>I COZZOLINO SRL</t>
        </is>
      </c>
      <c r="B283" s="194" t="n">
        <v>45991</v>
      </c>
      <c r="C283" s="111" t="inlineStr">
        <is>
          <t>D3170</t>
        </is>
      </c>
      <c r="D283" s="111" t="inlineStr">
        <is>
          <t>Melanzane L.197-002155-0008629</t>
        </is>
      </c>
    </row>
    <row r="284" ht="31.5" customHeight="1" s="155">
      <c r="A284" s="111" t="inlineStr">
        <is>
          <t>I COZZOLINO SRL</t>
        </is>
      </c>
      <c r="B284" s="194" t="n">
        <v>45991</v>
      </c>
      <c r="C284" s="111" t="inlineStr">
        <is>
          <t>D3170</t>
        </is>
      </c>
      <c r="D284" s="111" t="inlineStr">
        <is>
          <t>Peperoni  L.031-004226-0000007</t>
        </is>
      </c>
    </row>
    <row r="285" ht="31.5" customHeight="1" s="155">
      <c r="A285" s="111" t="inlineStr">
        <is>
          <t>I COZZOLINO SRL</t>
        </is>
      </c>
      <c r="B285" s="194" t="n">
        <v>45991</v>
      </c>
      <c r="C285" s="111" t="inlineStr">
        <is>
          <t>D3170</t>
        </is>
      </c>
      <c r="D285" s="111" t="inlineStr">
        <is>
          <t>Pomodorini Sicilia L. 291-002759-0000021</t>
        </is>
      </c>
    </row>
    <row r="286" ht="31.5" customHeight="1" s="155">
      <c r="A286" s="111" t="inlineStr">
        <is>
          <t>I COZZOLINO SRL</t>
        </is>
      </c>
      <c r="B286" s="194" t="n">
        <v>45991</v>
      </c>
      <c r="C286" s="111" t="inlineStr">
        <is>
          <t>D3170</t>
        </is>
      </c>
      <c r="D286" s="111" t="inlineStr">
        <is>
          <t>Pomodori Insalata Orig.Ita L89/F455</t>
        </is>
      </c>
    </row>
    <row r="287" ht="31.5" customHeight="1" s="155">
      <c r="A287" s="111" t="inlineStr">
        <is>
          <t>I COZZOLINO SRL</t>
        </is>
      </c>
      <c r="B287" s="194" t="n">
        <v>45991</v>
      </c>
      <c r="C287" s="111" t="inlineStr">
        <is>
          <t>D3170</t>
        </is>
      </c>
      <c r="D287" s="111" t="inlineStr">
        <is>
          <t>Iceberg L. 258-000743-0010367</t>
        </is>
      </c>
    </row>
    <row r="288">
      <c r="A288" s="111" t="inlineStr">
        <is>
          <t>I COZZOLINO SRL</t>
        </is>
      </c>
      <c r="B288" s="194" t="n">
        <v>45991</v>
      </c>
      <c r="C288" s="111" t="inlineStr">
        <is>
          <t>D3170</t>
        </is>
      </c>
      <c r="D288" s="111" t="inlineStr">
        <is>
          <t>Sedano L.F.183/A</t>
        </is>
      </c>
    </row>
    <row r="289" ht="31.5" customHeight="1" s="155">
      <c r="A289" s="111" t="inlineStr">
        <is>
          <t>I COZZOLINO SRL</t>
        </is>
      </c>
      <c r="B289" s="194" t="n">
        <v>45991</v>
      </c>
      <c r="C289" s="111" t="inlineStr">
        <is>
          <t>D3170</t>
        </is>
      </c>
      <c r="D289" s="111" t="inlineStr">
        <is>
          <t>Carote L.190-002155-0008587</t>
        </is>
      </c>
    </row>
    <row r="290" ht="31.5" customHeight="1" s="155">
      <c r="A290" s="111" t="inlineStr">
        <is>
          <t>I COZZOLINO SRL</t>
        </is>
      </c>
      <c r="B290" s="194" t="n">
        <v>45991</v>
      </c>
      <c r="C290" s="111" t="inlineStr">
        <is>
          <t>D3170</t>
        </is>
      </c>
      <c r="D290" s="111" t="inlineStr">
        <is>
          <t>Patata da Consumo L.469/93</t>
        </is>
      </c>
    </row>
    <row r="291" ht="31.5" customHeight="1" s="155">
      <c r="A291" s="111" t="inlineStr">
        <is>
          <t>I COZZOLINO SRL</t>
        </is>
      </c>
      <c r="B291" s="194" t="n">
        <v>45991</v>
      </c>
      <c r="C291" s="111" t="inlineStr">
        <is>
          <t>D3170</t>
        </is>
      </c>
      <c r="D291" s="111" t="inlineStr">
        <is>
          <t>Ananas L. 055-000857-0003014</t>
        </is>
      </c>
    </row>
    <row r="292" ht="31.5" customHeight="1" s="155">
      <c r="A292" s="111" t="inlineStr">
        <is>
          <t>I COZZOLINO SRL</t>
        </is>
      </c>
      <c r="B292" s="194" t="n">
        <v>45991</v>
      </c>
      <c r="C292" s="111" t="inlineStr">
        <is>
          <t>D3170</t>
        </is>
      </c>
      <c r="D292" s="111" t="inlineStr">
        <is>
          <t>Zucchine L.0950-04/21-000040IT</t>
        </is>
      </c>
    </row>
    <row r="293" ht="47.25" customHeight="1" s="155">
      <c r="A293" s="111" t="inlineStr">
        <is>
          <t>I COZZOLINO SRL</t>
        </is>
      </c>
      <c r="B293" s="194" t="n">
        <v>45991</v>
      </c>
      <c r="C293" s="111" t="inlineStr">
        <is>
          <t>D3170</t>
        </is>
      </c>
      <c r="D293" s="111" t="inlineStr">
        <is>
          <t>Limes L.35219030060240253</t>
        </is>
      </c>
    </row>
    <row r="294" ht="31.5" customHeight="1" s="155">
      <c r="A294" s="111" t="inlineStr">
        <is>
          <t>I COZZOLINO SRL</t>
        </is>
      </c>
      <c r="B294" s="194" t="n">
        <v>45991</v>
      </c>
      <c r="C294" s="111" t="inlineStr">
        <is>
          <t>D3170</t>
        </is>
      </c>
      <c r="D294" s="111" t="inlineStr">
        <is>
          <t>Kiwi L. 060-000015-0000091</t>
        </is>
      </c>
    </row>
    <row r="295" ht="31.5" customHeight="1" s="155">
      <c r="A295" s="111" t="inlineStr">
        <is>
          <t>I COZZOLINO SRL</t>
        </is>
      </c>
      <c r="B295" s="194" t="n">
        <v>45991</v>
      </c>
      <c r="C295" s="111" t="inlineStr">
        <is>
          <t>D3170</t>
        </is>
      </c>
      <c r="D295" s="111" t="inlineStr">
        <is>
          <t>Cipolle Orig.Ita L. 000642160924</t>
        </is>
      </c>
    </row>
    <row r="296" ht="31.5" customHeight="1" s="155">
      <c r="A296" s="111" t="inlineStr">
        <is>
          <t>I COZZOLINO SRL</t>
        </is>
      </c>
      <c r="B296" s="194" t="n">
        <v>45991</v>
      </c>
      <c r="C296" s="111" t="inlineStr">
        <is>
          <t>D3170</t>
        </is>
      </c>
      <c r="D296" s="111" t="inlineStr">
        <is>
          <t>Pomodorini Sicilia L. 291-002759-0000021</t>
        </is>
      </c>
    </row>
    <row r="297" ht="31.5" customHeight="1" s="155">
      <c r="A297" s="111" t="inlineStr">
        <is>
          <t>I COZZOLINO SRL</t>
        </is>
      </c>
      <c r="B297" s="194" t="n">
        <v>45991</v>
      </c>
      <c r="C297" s="111" t="inlineStr">
        <is>
          <t>D3170</t>
        </is>
      </c>
      <c r="D297" s="111" t="inlineStr">
        <is>
          <t>Iceberg L. 258-000743-0010367</t>
        </is>
      </c>
    </row>
    <row r="298" ht="31.5" customHeight="1" s="155">
      <c r="A298" s="111" t="inlineStr">
        <is>
          <t>I COZZOLINO SRL</t>
        </is>
      </c>
      <c r="B298" s="194" t="n">
        <v>45991</v>
      </c>
      <c r="C298" s="111" t="inlineStr">
        <is>
          <t>D3170</t>
        </is>
      </c>
      <c r="D298" s="111" t="inlineStr">
        <is>
          <t>Melanzane L.197-002155-0008629</t>
        </is>
      </c>
    </row>
    <row r="299" ht="31.5" customHeight="1" s="155">
      <c r="A299" s="111" t="inlineStr">
        <is>
          <t>I COZZOLINO SRL</t>
        </is>
      </c>
      <c r="B299" s="194" t="n">
        <v>45991</v>
      </c>
      <c r="C299" s="111" t="inlineStr">
        <is>
          <t>D3170</t>
        </is>
      </c>
      <c r="D299" s="111" t="inlineStr">
        <is>
          <t>Pomodori Insalata Orig.Ita L89/F455</t>
        </is>
      </c>
    </row>
    <row r="300" ht="31.5" customHeight="1" s="155">
      <c r="A300" s="111" t="inlineStr">
        <is>
          <t>I COZZOLINO SRL</t>
        </is>
      </c>
      <c r="B300" s="194" t="n">
        <v>45991</v>
      </c>
      <c r="C300" s="111" t="inlineStr">
        <is>
          <t>D3170</t>
        </is>
      </c>
      <c r="D300" s="111" t="inlineStr">
        <is>
          <t>Limoni L. 130720240010</t>
        </is>
      </c>
    </row>
    <row r="301" ht="31.5" customHeight="1" s="155">
      <c r="A301" s="111" t="inlineStr">
        <is>
          <t>I COZZOLINO SRL</t>
        </is>
      </c>
      <c r="B301" s="194" t="n">
        <v>45991</v>
      </c>
      <c r="C301" s="111" t="inlineStr">
        <is>
          <t>D3170</t>
        </is>
      </c>
      <c r="D301" s="111" t="inlineStr">
        <is>
          <t>Ananas L. 055-000857-0003014</t>
        </is>
      </c>
    </row>
    <row r="302" ht="31.5" customHeight="1" s="155">
      <c r="A302" s="111" t="inlineStr">
        <is>
          <t>I COZZOLINO SRL</t>
        </is>
      </c>
      <c r="B302" s="194" t="n">
        <v>45991</v>
      </c>
      <c r="C302" s="111" t="inlineStr">
        <is>
          <t>D3170</t>
        </is>
      </c>
      <c r="D302" s="111" t="inlineStr">
        <is>
          <t>Iceberg L. 258-000743-0010367</t>
        </is>
      </c>
    </row>
    <row r="303" ht="31.5" customHeight="1" s="155">
      <c r="A303" s="111" t="inlineStr">
        <is>
          <t>I COZZOLINO SRL</t>
        </is>
      </c>
      <c r="B303" s="194" t="n">
        <v>45991</v>
      </c>
      <c r="C303" s="111" t="inlineStr">
        <is>
          <t>D3170</t>
        </is>
      </c>
      <c r="D303" s="111" t="inlineStr">
        <is>
          <t>Pomodorini Sicilia L. 291-002759-0000021</t>
        </is>
      </c>
    </row>
    <row r="304" ht="31.5" customHeight="1" s="155">
      <c r="A304" s="111" t="inlineStr">
        <is>
          <t>I COZZOLINO SRL</t>
        </is>
      </c>
      <c r="B304" s="194" t="n">
        <v>45991</v>
      </c>
      <c r="C304" s="111" t="inlineStr">
        <is>
          <t>D3170</t>
        </is>
      </c>
      <c r="D304" s="111" t="inlineStr">
        <is>
          <t>Pomodori Insalata Orig.Ita L89/F455</t>
        </is>
      </c>
    </row>
    <row r="305" ht="31.5" customHeight="1" s="155">
      <c r="A305" s="111" t="inlineStr">
        <is>
          <t>I COZZOLINO SRL</t>
        </is>
      </c>
      <c r="B305" s="194" t="n">
        <v>45991</v>
      </c>
      <c r="C305" s="111" t="inlineStr">
        <is>
          <t>D3170</t>
        </is>
      </c>
      <c r="D305" s="111" t="inlineStr">
        <is>
          <t>Pomodorini Sicilia L. 291-002759-0000021</t>
        </is>
      </c>
    </row>
    <row r="306" ht="31.5" customHeight="1" s="155">
      <c r="A306" s="111" t="inlineStr">
        <is>
          <t>I COZZOLINO SRL</t>
        </is>
      </c>
      <c r="B306" s="194" t="n">
        <v>45991</v>
      </c>
      <c r="C306" s="111" t="inlineStr">
        <is>
          <t>D3170</t>
        </is>
      </c>
      <c r="D306" s="111" t="inlineStr">
        <is>
          <t>Scarola Lisci L.FATT. 155/25-abruzz 1110</t>
        </is>
      </c>
    </row>
    <row r="307" ht="31.5" customHeight="1" s="155">
      <c r="A307" s="111" t="inlineStr">
        <is>
          <t>I COZZOLINO SRL</t>
        </is>
      </c>
      <c r="B307" s="194" t="n">
        <v>45991</v>
      </c>
      <c r="C307" s="111" t="inlineStr">
        <is>
          <t>D3170</t>
        </is>
      </c>
      <c r="D307" s="111" t="inlineStr">
        <is>
          <t>Friarielli Orig.Campania L.51/F FVI/49</t>
        </is>
      </c>
    </row>
    <row r="308" ht="31.5" customHeight="1" s="155">
      <c r="A308" s="111" t="inlineStr">
        <is>
          <t>I COZZOLINO SRL</t>
        </is>
      </c>
      <c r="B308" s="194" t="n">
        <v>45991</v>
      </c>
      <c r="C308" s="111" t="inlineStr">
        <is>
          <t>D3170</t>
        </is>
      </c>
      <c r="D308" s="111" t="inlineStr">
        <is>
          <t>Peperoni  L.031-004226-0000007</t>
        </is>
      </c>
    </row>
    <row r="309" ht="31.5" customHeight="1" s="155">
      <c r="A309" s="111" t="inlineStr">
        <is>
          <t>I COZZOLINO SRL</t>
        </is>
      </c>
      <c r="B309" s="194" t="n">
        <v>45991</v>
      </c>
      <c r="C309" s="111" t="inlineStr">
        <is>
          <t>D3170</t>
        </is>
      </c>
      <c r="D309" s="111" t="inlineStr">
        <is>
          <t>Zucchine L.0950-04/21-000040IT</t>
        </is>
      </c>
    </row>
    <row r="310" ht="31.5" customHeight="1" s="155">
      <c r="A310" s="111" t="inlineStr">
        <is>
          <t>I COZZOLINO SRL</t>
        </is>
      </c>
      <c r="B310" s="194" t="n">
        <v>45991</v>
      </c>
      <c r="C310" s="111" t="inlineStr">
        <is>
          <t>D3170</t>
        </is>
      </c>
      <c r="D310" s="111" t="inlineStr">
        <is>
          <t>Pomodorini Sicilia L. 291-002759-0000021</t>
        </is>
      </c>
    </row>
    <row r="311" ht="31.5" customHeight="1" s="155">
      <c r="A311" s="111" t="inlineStr">
        <is>
          <t>I COZZOLINO SRL</t>
        </is>
      </c>
      <c r="B311" s="194" t="n">
        <v>45991</v>
      </c>
      <c r="C311" s="111" t="inlineStr">
        <is>
          <t>D3170</t>
        </is>
      </c>
      <c r="D311" s="111" t="inlineStr">
        <is>
          <t>Pompelmi L.027-002155-0005299</t>
        </is>
      </c>
    </row>
    <row r="312">
      <c r="A312" s="111" t="inlineStr">
        <is>
          <t>I COZZOLINO SRL</t>
        </is>
      </c>
      <c r="B312" s="194" t="n">
        <v>45991</v>
      </c>
      <c r="C312" s="111" t="inlineStr">
        <is>
          <t>D3170</t>
        </is>
      </c>
      <c r="D312" s="111" t="inlineStr">
        <is>
          <t>Basilico L.417291</t>
        </is>
      </c>
    </row>
    <row r="313" ht="31.5" customHeight="1" s="155">
      <c r="A313" s="111" t="inlineStr">
        <is>
          <t>I COZZOLINO SRL</t>
        </is>
      </c>
      <c r="B313" s="194" t="n">
        <v>45991</v>
      </c>
      <c r="C313" s="111" t="inlineStr">
        <is>
          <t>D3170</t>
        </is>
      </c>
      <c r="D313" s="111" t="inlineStr">
        <is>
          <t>Kiwi L. 060-000015-0000091</t>
        </is>
      </c>
    </row>
    <row r="314" ht="31.5" customHeight="1" s="155">
      <c r="A314" s="111" t="inlineStr">
        <is>
          <t>I COZZOLINO SRL</t>
        </is>
      </c>
      <c r="B314" s="194" t="n">
        <v>45991</v>
      </c>
      <c r="C314" s="111" t="inlineStr">
        <is>
          <t>D3170</t>
        </is>
      </c>
      <c r="D314" s="111" t="inlineStr">
        <is>
          <t>Ananas L. 055-000857-0003014</t>
        </is>
      </c>
    </row>
    <row r="315" ht="31.5" customHeight="1" s="155">
      <c r="A315" s="111" t="inlineStr">
        <is>
          <t>I COZZOLINO SRL</t>
        </is>
      </c>
      <c r="B315" s="194" t="n">
        <v>45991</v>
      </c>
      <c r="C315" s="111" t="inlineStr">
        <is>
          <t>D3170</t>
        </is>
      </c>
      <c r="D315" s="111" t="inlineStr">
        <is>
          <t>Melone Giall orig. ita  L.05/42</t>
        </is>
      </c>
    </row>
    <row r="316" ht="31.5" customHeight="1" s="155">
      <c r="A316" s="111" t="inlineStr">
        <is>
          <t>I COZZOLINO SRL</t>
        </is>
      </c>
      <c r="B316" s="194" t="n">
        <v>45991</v>
      </c>
      <c r="C316" s="111" t="inlineStr">
        <is>
          <t>D3170</t>
        </is>
      </c>
      <c r="D316" s="111" t="inlineStr">
        <is>
          <t>Ananas L. 055-000857-0003014</t>
        </is>
      </c>
    </row>
    <row r="317" ht="31.5" customHeight="1" s="155">
      <c r="A317" s="111" t="inlineStr">
        <is>
          <t>I COZZOLINO SRL</t>
        </is>
      </c>
      <c r="B317" s="194" t="n">
        <v>45991</v>
      </c>
      <c r="C317" s="111" t="inlineStr">
        <is>
          <t>D3170</t>
        </is>
      </c>
      <c r="D317" s="111" t="inlineStr">
        <is>
          <t>Melone Giall orig. ita  L.05/42</t>
        </is>
      </c>
    </row>
    <row r="318" ht="47.25" customHeight="1" s="155">
      <c r="A318" s="111" t="inlineStr">
        <is>
          <t>I COZZOLINO SRL</t>
        </is>
      </c>
      <c r="B318" s="194" t="n">
        <v>45991</v>
      </c>
      <c r="C318" s="111" t="inlineStr">
        <is>
          <t>D3170</t>
        </is>
      </c>
      <c r="D318" s="111" t="inlineStr">
        <is>
          <t>Limes L.35219030060240253</t>
        </is>
      </c>
    </row>
    <row r="319" ht="31.5" customHeight="1" s="155">
      <c r="A319" s="111" t="inlineStr">
        <is>
          <t>I COZZOLINO SRL</t>
        </is>
      </c>
      <c r="B319" s="194" t="n">
        <v>45991</v>
      </c>
      <c r="C319" s="111" t="inlineStr">
        <is>
          <t>D3170</t>
        </is>
      </c>
      <c r="D319" s="111" t="inlineStr">
        <is>
          <t>Peperoni  L.031-004226-0000007</t>
        </is>
      </c>
    </row>
    <row r="320" ht="31.5" customHeight="1" s="155">
      <c r="A320" s="111" t="inlineStr">
        <is>
          <t>I COZZOLINO SRL</t>
        </is>
      </c>
      <c r="B320" s="194" t="n">
        <v>45991</v>
      </c>
      <c r="C320" s="111" t="inlineStr">
        <is>
          <t>D3170</t>
        </is>
      </c>
      <c r="D320" s="111" t="inlineStr">
        <is>
          <t>Friarielli Orig.Campania L.51/F FVI/49</t>
        </is>
      </c>
    </row>
    <row r="321" ht="31.5" customHeight="1" s="155">
      <c r="A321" s="111" t="inlineStr">
        <is>
          <t>I COZZOLINO SRL</t>
        </is>
      </c>
      <c r="B321" s="194" t="n">
        <v>45991</v>
      </c>
      <c r="C321" s="111" t="inlineStr">
        <is>
          <t>D3170</t>
        </is>
      </c>
      <c r="D321" s="111" t="inlineStr">
        <is>
          <t>Pomod Ciliegine L.197-004081-0002379</t>
        </is>
      </c>
    </row>
    <row r="322" ht="31.5" customHeight="1" s="155">
      <c r="A322" s="111" t="inlineStr">
        <is>
          <t>I COZZOLINO SRL</t>
        </is>
      </c>
      <c r="B322" s="194" t="n">
        <v>45991</v>
      </c>
      <c r="C322" s="111" t="inlineStr">
        <is>
          <t>D3170</t>
        </is>
      </c>
      <c r="D322" s="111" t="inlineStr">
        <is>
          <t>Patata da consumo L.469/93</t>
        </is>
      </c>
    </row>
    <row r="323">
      <c r="A323" s="111" t="inlineStr">
        <is>
          <t>GB FOOD SRL</t>
        </is>
      </c>
      <c r="B323" s="194" t="n">
        <v>45991</v>
      </c>
      <c r="C323" s="111" t="inlineStr">
        <is>
          <t>300/PZ</t>
        </is>
      </c>
      <c r="D323" s="111" t="inlineStr">
        <is>
          <t>ROSETTINE</t>
        </is>
      </c>
    </row>
    <row r="324">
      <c r="A324" s="111" t="inlineStr">
        <is>
          <t>GB FOOD SRL</t>
        </is>
      </c>
      <c r="B324" s="194" t="n">
        <v>45992</v>
      </c>
      <c r="C324" s="111" t="inlineStr">
        <is>
          <t>301/PZ</t>
        </is>
      </c>
      <c r="D324" s="111" t="inlineStr">
        <is>
          <t>CIABATTA</t>
        </is>
      </c>
    </row>
    <row r="325">
      <c r="A325" s="111" t="inlineStr">
        <is>
          <t>GB FOOD SRL</t>
        </is>
      </c>
      <c r="B325" s="194" t="n">
        <v>45993</v>
      </c>
      <c r="C325" s="111" t="inlineStr">
        <is>
          <t>302/PZ</t>
        </is>
      </c>
      <c r="D325" s="111" t="inlineStr">
        <is>
          <t>CIABATTA</t>
        </is>
      </c>
    </row>
    <row r="326">
      <c r="A326" s="111" t="inlineStr">
        <is>
          <t>GB FOOD SRL</t>
        </is>
      </c>
      <c r="B326" s="194" t="n">
        <v>45993</v>
      </c>
      <c r="C326" s="111" t="inlineStr">
        <is>
          <t>302/PZ</t>
        </is>
      </c>
      <c r="D326" s="111" t="inlineStr">
        <is>
          <t>ROSETTINE</t>
        </is>
      </c>
    </row>
    <row r="327">
      <c r="A327" s="111" t="inlineStr">
        <is>
          <t>GB FOOD SRL</t>
        </is>
      </c>
      <c r="B327" s="194" t="n">
        <v>45989</v>
      </c>
      <c r="C327" s="111" t="inlineStr">
        <is>
          <t>295/PZ</t>
        </is>
      </c>
      <c r="D327" s="111" t="inlineStr">
        <is>
          <t>CIABATTA</t>
        </is>
      </c>
    </row>
    <row r="328">
      <c r="A328" s="111" t="inlineStr">
        <is>
          <t>GB FOOD SRL</t>
        </is>
      </c>
      <c r="B328" s="194" t="n">
        <v>45989</v>
      </c>
      <c r="C328" s="111" t="inlineStr">
        <is>
          <t>295/PZ</t>
        </is>
      </c>
      <c r="D328" s="111" t="inlineStr">
        <is>
          <t>ROSETTINE</t>
        </is>
      </c>
    </row>
    <row r="329">
      <c r="A329" s="111" t="inlineStr">
        <is>
          <t>GB FOOD SRL</t>
        </is>
      </c>
      <c r="B329" s="194" t="n">
        <v>45994</v>
      </c>
      <c r="C329" s="111" t="inlineStr">
        <is>
          <t>304/PZ</t>
        </is>
      </c>
      <c r="D329" s="111" t="inlineStr">
        <is>
          <t>CIABATTA</t>
        </is>
      </c>
    </row>
    <row r="330">
      <c r="A330" s="111" t="inlineStr">
        <is>
          <t>GB FOOD SRL</t>
        </is>
      </c>
      <c r="B330" s="194" t="n">
        <v>45994</v>
      </c>
      <c r="C330" s="111" t="inlineStr">
        <is>
          <t>304/PZ</t>
        </is>
      </c>
      <c r="D330" s="111" t="inlineStr">
        <is>
          <t>ROSETTINE</t>
        </is>
      </c>
    </row>
    <row r="331">
      <c r="A331" s="111" t="inlineStr">
        <is>
          <t>GB FOOD SRL</t>
        </is>
      </c>
      <c r="B331" s="194" t="n">
        <v>45990</v>
      </c>
      <c r="C331" s="111" t="inlineStr">
        <is>
          <t>298/PZ</t>
        </is>
      </c>
      <c r="D331" s="111" t="inlineStr">
        <is>
          <t>CIABATTA</t>
        </is>
      </c>
    </row>
    <row r="332">
      <c r="A332" s="111" t="inlineStr">
        <is>
          <t>GB FOOD SRL</t>
        </is>
      </c>
      <c r="B332" s="194" t="n">
        <v>45990</v>
      </c>
      <c r="C332" s="111" t="inlineStr">
        <is>
          <t>298/PZ</t>
        </is>
      </c>
      <c r="D332" s="111" t="inlineStr">
        <is>
          <t>ROSETTINE</t>
        </is>
      </c>
    </row>
    <row r="333">
      <c r="A333" s="111" t="inlineStr">
        <is>
          <t>GB FOOD SRL</t>
        </is>
      </c>
      <c r="B333" s="194" t="n">
        <v>45995</v>
      </c>
      <c r="C333" s="111" t="inlineStr">
        <is>
          <t>306/PZ</t>
        </is>
      </c>
      <c r="D333" s="111" t="inlineStr">
        <is>
          <t>ROSETTINE</t>
        </is>
      </c>
    </row>
    <row r="334">
      <c r="A334" s="111" t="inlineStr">
        <is>
          <t>BIG FOOD SRL</t>
        </is>
      </c>
      <c r="B334" s="194" t="n">
        <v>45966</v>
      </c>
      <c r="C334" s="111" t="inlineStr">
        <is>
          <t>V1078689</t>
        </is>
      </c>
      <c r="D334" s="111" t="inlineStr">
        <is>
          <t>STAR TEA 25FF VERDE</t>
        </is>
      </c>
    </row>
    <row r="335" ht="31.5" customHeight="1" s="155">
      <c r="A335" s="111" t="inlineStr">
        <is>
          <t>BIG FOOD SRL</t>
        </is>
      </c>
      <c r="B335" s="194" t="n">
        <v>45966</v>
      </c>
      <c r="C335" s="111" t="inlineStr">
        <is>
          <t>V1078689</t>
        </is>
      </c>
      <c r="D335" s="111" t="inlineStr">
        <is>
          <t>KINDER CEREALI X 9 GR.211,5</t>
        </is>
      </c>
    </row>
    <row r="336" ht="31.5" customHeight="1" s="155">
      <c r="A336" s="111" t="inlineStr">
        <is>
          <t>BIG FOOD SRL</t>
        </is>
      </c>
      <c r="B336" s="194" t="n">
        <v>45966</v>
      </c>
      <c r="C336" s="111" t="inlineStr">
        <is>
          <t>V1078689</t>
        </is>
      </c>
      <c r="D336" s="111" t="inlineStr">
        <is>
          <t>STAR TEA 25FF CLASSICO</t>
        </is>
      </c>
    </row>
    <row r="337" ht="31.5" customHeight="1" s="155">
      <c r="A337" s="111" t="inlineStr">
        <is>
          <t>BIG FOOD SRL</t>
        </is>
      </c>
      <c r="B337" s="194" t="n">
        <v>45966</v>
      </c>
      <c r="C337" s="111" t="inlineStr">
        <is>
          <t>V1078689</t>
        </is>
      </c>
      <c r="D337" s="111" t="inlineStr">
        <is>
          <t>SARDANELLI MAREVIVO O.S. GR.80X3</t>
        </is>
      </c>
    </row>
    <row r="338" ht="31.5" customHeight="1" s="155">
      <c r="A338" s="111" t="inlineStr">
        <is>
          <t>BIG FOOD SRL</t>
        </is>
      </c>
      <c r="B338" s="194" t="n">
        <v>45966</v>
      </c>
      <c r="C338" s="111" t="inlineStr">
        <is>
          <t>V1078689</t>
        </is>
      </c>
      <c r="D338" s="111" t="inlineStr">
        <is>
          <t>SARDANELLI MAREVIVO O.S. GR.80X3</t>
        </is>
      </c>
    </row>
    <row r="339" ht="31.5" customHeight="1" s="155">
      <c r="A339" s="111" t="inlineStr">
        <is>
          <t>BIG FOOD SRL</t>
        </is>
      </c>
      <c r="B339" s="194" t="n">
        <v>45966</v>
      </c>
      <c r="C339" s="111" t="inlineStr">
        <is>
          <t>V1078689</t>
        </is>
      </c>
      <c r="D339" s="111" t="inlineStr">
        <is>
          <t>DIVELLA PASTA GR.500 62PATERNOSTI</t>
        </is>
      </c>
    </row>
    <row r="340" ht="31.5" customHeight="1" s="155">
      <c r="A340" s="111" t="inlineStr">
        <is>
          <t>BIG FOOD SRL</t>
        </is>
      </c>
      <c r="B340" s="194" t="n">
        <v>45966</v>
      </c>
      <c r="C340" s="111" t="inlineStr">
        <is>
          <t>V1078689</t>
        </is>
      </c>
      <c r="D340" s="111" t="inlineStr">
        <is>
          <t>DIVELLA PASTA GR.500 41MISTA</t>
        </is>
      </c>
    </row>
    <row r="341" ht="31.5" customHeight="1" s="155">
      <c r="A341" s="111" t="inlineStr">
        <is>
          <t>BIG FOOD SRL</t>
        </is>
      </c>
      <c r="B341" s="194" t="n">
        <v>45966</v>
      </c>
      <c r="C341" s="111" t="inlineStr">
        <is>
          <t>V1078689</t>
        </is>
      </c>
      <c r="D341" s="111" t="inlineStr">
        <is>
          <t>VITTORIA GR.250 LUPINI AL SALE</t>
        </is>
      </c>
    </row>
    <row r="342" ht="47.25" customHeight="1" s="155">
      <c r="A342" s="111" t="inlineStr">
        <is>
          <t>BIG FOOD SRL</t>
        </is>
      </c>
      <c r="B342" s="194" t="n">
        <v>45966</v>
      </c>
      <c r="C342" s="111" t="inlineStr">
        <is>
          <t>V1078689</t>
        </is>
      </c>
      <c r="D342" s="111" t="inlineStr">
        <is>
          <t>RIGAMONTI BRES.VALTEL.ORO.IGP 1/2</t>
        </is>
      </c>
    </row>
    <row r="343" ht="31.5" customHeight="1" s="155">
      <c r="A343" s="111" t="inlineStr">
        <is>
          <t>BIG FOOD SRL</t>
        </is>
      </c>
      <c r="B343" s="194" t="n">
        <v>45966</v>
      </c>
      <c r="C343" s="111" t="inlineStr">
        <is>
          <t>V1078689</t>
        </is>
      </c>
      <c r="D343" s="111" t="inlineStr">
        <is>
          <t>CURTIRISO KG.1 CARNAROLI</t>
        </is>
      </c>
    </row>
    <row r="344" ht="31.5" customHeight="1" s="155">
      <c r="A344" s="111" t="inlineStr">
        <is>
          <t>BIG FOOD SRL</t>
        </is>
      </c>
      <c r="B344" s="194" t="n">
        <v>45966</v>
      </c>
      <c r="C344" s="111" t="inlineStr">
        <is>
          <t>V1078689</t>
        </is>
      </c>
      <c r="D344" s="111" t="inlineStr">
        <is>
          <t>FIORUCCI MORTADELLA AROMA C.P.</t>
        </is>
      </c>
    </row>
    <row r="345" ht="31.5" customHeight="1" s="155">
      <c r="A345" s="111" t="inlineStr">
        <is>
          <t>BIG FOOD SRL</t>
        </is>
      </c>
      <c r="B345" s="194" t="n">
        <v>45966</v>
      </c>
      <c r="C345" s="111" t="inlineStr">
        <is>
          <t>V1078689</t>
        </is>
      </c>
      <c r="D345" s="111" t="inlineStr">
        <is>
          <t>PINSAMI PINSA CLASSICA GR.230</t>
        </is>
      </c>
    </row>
    <row r="346" ht="31.5" customHeight="1" s="155">
      <c r="A346" s="111" t="inlineStr">
        <is>
          <t>BIG FOOD SRL</t>
        </is>
      </c>
      <c r="B346" s="194" t="n">
        <v>45966</v>
      </c>
      <c r="C346" s="111" t="inlineStr">
        <is>
          <t>V1078689</t>
        </is>
      </c>
      <c r="D346" s="111" t="inlineStr">
        <is>
          <t>PINSAMI PINSA CLASSICA GR.230</t>
        </is>
      </c>
    </row>
    <row r="347" ht="47.25" customHeight="1" s="155">
      <c r="A347" s="111" t="inlineStr">
        <is>
          <t>BIG FOOD SRL</t>
        </is>
      </c>
      <c r="B347" s="194" t="n">
        <v>45966</v>
      </c>
      <c r="C347" s="111" t="inlineStr">
        <is>
          <t>V1078689</t>
        </is>
      </c>
      <c r="D347" s="111" t="inlineStr">
        <is>
          <t>VIT BOBINA X2 CASA&amp;LAVORO 800 PROF</t>
        </is>
      </c>
    </row>
    <row r="348" ht="31.5" customHeight="1" s="155">
      <c r="A348" s="111" t="inlineStr">
        <is>
          <t>BIG FOOD SRL</t>
        </is>
      </c>
      <c r="B348" s="194" t="n">
        <v>45966</v>
      </c>
      <c r="C348" s="111" t="inlineStr">
        <is>
          <t>V1078689</t>
        </is>
      </c>
      <c r="D348" s="111" t="inlineStr">
        <is>
          <t>MOND.SOTTILETTE GR.400</t>
        </is>
      </c>
    </row>
    <row r="349" ht="31.5" customHeight="1" s="155">
      <c r="A349" s="111" t="inlineStr">
        <is>
          <t>BIG FOOD SRL</t>
        </is>
      </c>
      <c r="B349" s="194" t="n">
        <v>45966</v>
      </c>
      <c r="C349" s="111" t="inlineStr">
        <is>
          <t>V1078689</t>
        </is>
      </c>
      <c r="D349" s="111" t="inlineStr">
        <is>
          <t>MORGANTE WURSTEL GR.100 MORGHÌ</t>
        </is>
      </c>
    </row>
    <row r="350" ht="31.5" customHeight="1" s="155">
      <c r="A350" s="111" t="inlineStr">
        <is>
          <t>BIG FOOD SRL</t>
        </is>
      </c>
      <c r="B350" s="194" t="n">
        <v>45966</v>
      </c>
      <c r="C350" s="111" t="inlineStr">
        <is>
          <t>V1078689</t>
        </is>
      </c>
      <c r="D350" s="111" t="inlineStr">
        <is>
          <t>BONAZZA WURSTEL KG.1 GRIGLIA&amp;FAMIG</t>
        </is>
      </c>
    </row>
    <row r="351" ht="31.5" customHeight="1" s="155">
      <c r="A351" s="111" t="inlineStr">
        <is>
          <t>BIG FOOD SRL</t>
        </is>
      </c>
      <c r="B351" s="194" t="n">
        <v>45966</v>
      </c>
      <c r="C351" s="111" t="inlineStr">
        <is>
          <t>V1078689</t>
        </is>
      </c>
      <c r="D351" s="111" t="inlineStr">
        <is>
          <t>MOND.SOTTILETTE GR.400</t>
        </is>
      </c>
    </row>
    <row r="352" ht="31.5" customHeight="1" s="155">
      <c r="A352" s="111" t="inlineStr">
        <is>
          <t>BIG FOOD SRL</t>
        </is>
      </c>
      <c r="B352" s="194" t="n">
        <v>45967</v>
      </c>
      <c r="C352" s="111" t="inlineStr">
        <is>
          <t>V1079132</t>
        </is>
      </c>
      <c r="D352" s="111" t="inlineStr">
        <is>
          <t>DE CECCO PAS.GR.500 117MEZ.ZITA TA</t>
        </is>
      </c>
    </row>
    <row r="353" ht="31.5" customHeight="1" s="155">
      <c r="A353" s="111" t="inlineStr">
        <is>
          <t>BIG FOOD SRL</t>
        </is>
      </c>
      <c r="B353" s="194" t="n">
        <v>45967</v>
      </c>
      <c r="C353" s="111" t="inlineStr">
        <is>
          <t>V1079132</t>
        </is>
      </c>
      <c r="D353" s="111" t="inlineStr">
        <is>
          <t>DE CECCO PAS.GR.500 120PASTA MISTA</t>
        </is>
      </c>
    </row>
    <row r="354" ht="31.5" customHeight="1" s="155">
      <c r="A354" s="111" t="inlineStr">
        <is>
          <t>BIG FOOD SRL</t>
        </is>
      </c>
      <c r="B354" s="194" t="n">
        <v>45967</v>
      </c>
      <c r="C354" s="111" t="inlineStr">
        <is>
          <t>V1079132</t>
        </is>
      </c>
      <c r="D354" s="111" t="inlineStr">
        <is>
          <t>DE CECCO PAS.GR.500 170VERMICELLI</t>
        </is>
      </c>
    </row>
    <row r="355" ht="31.5" customHeight="1" s="155">
      <c r="A355" s="111" t="inlineStr">
        <is>
          <t>BIG FOOD SRL</t>
        </is>
      </c>
      <c r="B355" s="194" t="n">
        <v>45967</v>
      </c>
      <c r="C355" s="111" t="inlineStr">
        <is>
          <t>V1079132</t>
        </is>
      </c>
      <c r="D355" s="111" t="inlineStr">
        <is>
          <t>DE CECCO PAS.GR.500 24RIGATONI</t>
        </is>
      </c>
    </row>
    <row r="356" ht="31.5" customHeight="1" s="155">
      <c r="A356" s="111" t="inlineStr">
        <is>
          <t>BIG FOOD SRL</t>
        </is>
      </c>
      <c r="B356" s="194" t="n">
        <v>45967</v>
      </c>
      <c r="C356" s="111" t="inlineStr">
        <is>
          <t>V1079132</t>
        </is>
      </c>
      <c r="D356" s="111" t="inlineStr">
        <is>
          <t>SARDANELLI MAREVIVO O.S. GR.80X3</t>
        </is>
      </c>
    </row>
    <row r="357" ht="31.5" customHeight="1" s="155">
      <c r="A357" s="111" t="inlineStr">
        <is>
          <t>BIG FOOD SRL</t>
        </is>
      </c>
      <c r="B357" s="194" t="n">
        <v>45967</v>
      </c>
      <c r="C357" s="111" t="inlineStr">
        <is>
          <t>V1079132</t>
        </is>
      </c>
      <c r="D357" s="111" t="inlineStr">
        <is>
          <t>HERO POKER MIELE DI FIORI GR.100</t>
        </is>
      </c>
    </row>
    <row r="358" ht="31.5" customHeight="1" s="155">
      <c r="A358" s="111" t="inlineStr">
        <is>
          <t>BIG FOOD SRL</t>
        </is>
      </c>
      <c r="B358" s="194" t="n">
        <v>45967</v>
      </c>
      <c r="C358" s="111" t="inlineStr">
        <is>
          <t>V1079132</t>
        </is>
      </c>
      <c r="D358" s="111" t="inlineStr">
        <is>
          <t>AIA. WUDY GR.300 WURSTEL POLLO</t>
        </is>
      </c>
    </row>
    <row r="359" ht="47.25" customHeight="1" s="155">
      <c r="A359" s="111" t="inlineStr">
        <is>
          <t>BIG FOOD SRL</t>
        </is>
      </c>
      <c r="B359" s="194" t="n">
        <v>45967</v>
      </c>
      <c r="C359" s="111" t="inlineStr">
        <is>
          <t>V1079132</t>
        </is>
      </c>
      <c r="D359" s="111" t="inlineStr">
        <is>
          <t>GEPI PORCHETTA ARROSTO AROM.STV KG</t>
        </is>
      </c>
    </row>
    <row r="360" ht="31.5" customHeight="1" s="155">
      <c r="A360" s="111" t="inlineStr">
        <is>
          <t>BIG FOOD SRL</t>
        </is>
      </c>
      <c r="B360" s="194" t="n">
        <v>45967</v>
      </c>
      <c r="C360" s="111" t="inlineStr">
        <is>
          <t>V1079132</t>
        </is>
      </c>
      <c r="D360" s="111" t="inlineStr">
        <is>
          <t>TULIP.BACON/PANCETTA AFFUM.KG.1</t>
        </is>
      </c>
    </row>
    <row r="361" ht="31.5" customHeight="1" s="155">
      <c r="A361" s="111" t="inlineStr">
        <is>
          <t>BIG FOOD SRL</t>
        </is>
      </c>
      <c r="B361" s="194" t="n">
        <v>45973</v>
      </c>
      <c r="C361" s="111" t="inlineStr">
        <is>
          <t>V1080647</t>
        </is>
      </c>
      <c r="D361" s="111" t="inlineStr">
        <is>
          <t>ALBERTI BUSTA GR150 TOR.STREGAMIGN</t>
        </is>
      </c>
    </row>
    <row r="362" ht="31.5" customHeight="1" s="155">
      <c r="A362" s="111" t="inlineStr">
        <is>
          <t>BIG FOOD SRL</t>
        </is>
      </c>
      <c r="B362" s="194" t="n">
        <v>45973</v>
      </c>
      <c r="C362" s="111" t="inlineStr">
        <is>
          <t>V1080647</t>
        </is>
      </c>
      <c r="D362" s="111" t="inlineStr">
        <is>
          <t>MILKA.TAV.GR.90 EXTRA COCOA</t>
        </is>
      </c>
    </row>
    <row r="363" ht="31.5" customHeight="1" s="155">
      <c r="A363" s="111" t="inlineStr">
        <is>
          <t>BIG FOOD SRL</t>
        </is>
      </c>
      <c r="B363" s="194" t="n">
        <v>45973</v>
      </c>
      <c r="C363" s="111" t="inlineStr">
        <is>
          <t>V1080647</t>
        </is>
      </c>
      <c r="D363" s="111" t="inlineStr">
        <is>
          <t>RIO MARE TONNO O.OLIVA GR.65 X6</t>
        </is>
      </c>
    </row>
    <row r="364" ht="31.5" customHeight="1" s="155">
      <c r="A364" s="111" t="inlineStr">
        <is>
          <t>BIG FOOD SRL</t>
        </is>
      </c>
      <c r="B364" s="194" t="n">
        <v>45973</v>
      </c>
      <c r="C364" s="111" t="inlineStr">
        <is>
          <t>V1080647</t>
        </is>
      </c>
      <c r="D364" s="111" t="inlineStr">
        <is>
          <t>BONTA'DIVINA TIRAMISU' 1' GR.450</t>
        </is>
      </c>
    </row>
    <row r="365" ht="31.5" customHeight="1" s="155">
      <c r="A365" s="111" t="inlineStr">
        <is>
          <t>BIG FOOD SRL</t>
        </is>
      </c>
      <c r="B365" s="194" t="n">
        <v>45973</v>
      </c>
      <c r="C365" s="111" t="inlineStr">
        <is>
          <t>V1080647</t>
        </is>
      </c>
      <c r="D365" s="111" t="inlineStr">
        <is>
          <t>BONTA'DIVINA TIRAMISU' 1' GR.450</t>
        </is>
      </c>
    </row>
    <row r="366" ht="31.5" customHeight="1" s="155">
      <c r="A366" s="111" t="inlineStr">
        <is>
          <t>BIG FOOD SRL</t>
        </is>
      </c>
      <c r="B366" s="194" t="n">
        <v>45973</v>
      </c>
      <c r="C366" s="111" t="inlineStr">
        <is>
          <t>V1080647</t>
        </is>
      </c>
      <c r="D366" s="111" t="inlineStr">
        <is>
          <t>LEONCINI CUBETTI P/COTTO GR.100</t>
        </is>
      </c>
    </row>
    <row r="367" ht="31.5" customHeight="1" s="155">
      <c r="A367" s="111" t="inlineStr">
        <is>
          <t>BIG FOOD SRL</t>
        </is>
      </c>
      <c r="B367" s="194" t="n">
        <v>45973</v>
      </c>
      <c r="C367" s="111" t="inlineStr">
        <is>
          <t>V1080647</t>
        </is>
      </c>
      <c r="D367" s="111" t="inlineStr">
        <is>
          <t>PARMAREGGIO SNACK BOX KG.1 MITO</t>
        </is>
      </c>
    </row>
    <row r="368" ht="31.5" customHeight="1" s="155">
      <c r="A368" s="111" t="inlineStr">
        <is>
          <t>BIG FOOD SRL</t>
        </is>
      </c>
      <c r="B368" s="194" t="n">
        <v>45982</v>
      </c>
      <c r="C368" s="111" t="inlineStr">
        <is>
          <t>V1083240</t>
        </is>
      </c>
      <c r="D368" s="111" t="inlineStr">
        <is>
          <t>AURICCHIO GIOVANE SALAMINI KG.</t>
        </is>
      </c>
    </row>
    <row r="369" ht="47.25" customHeight="1" s="155">
      <c r="A369" s="111" t="inlineStr">
        <is>
          <t>BIG FOOD SRL</t>
        </is>
      </c>
      <c r="B369" s="194" t="n">
        <v>45982</v>
      </c>
      <c r="C369" s="111" t="inlineStr">
        <is>
          <t>V1083240</t>
        </is>
      </c>
      <c r="D369" s="111" t="inlineStr">
        <is>
          <t>SORESINA GRATT.GR.100 GRANAPADANO</t>
        </is>
      </c>
    </row>
    <row r="370">
      <c r="A370" s="111" t="inlineStr">
        <is>
          <t>BIG FOOD SRL</t>
        </is>
      </c>
      <c r="B370" s="194" t="n">
        <v>45982</v>
      </c>
      <c r="C370" s="111" t="inlineStr">
        <is>
          <t>V1083240</t>
        </is>
      </c>
      <c r="D370" s="111" t="inlineStr">
        <is>
          <t>HALTA STRUTTO GR.250</t>
        </is>
      </c>
    </row>
    <row r="371" ht="31.5" customHeight="1" s="155">
      <c r="A371" s="111" t="inlineStr">
        <is>
          <t>BIG FOOD SRL</t>
        </is>
      </c>
      <c r="B371" s="194" t="n">
        <v>45982</v>
      </c>
      <c r="C371" s="111" t="inlineStr">
        <is>
          <t>V1083240</t>
        </is>
      </c>
      <c r="D371" s="111" t="inlineStr">
        <is>
          <t>KINGS P/CRUDO SAN DANIELE S/O</t>
        </is>
      </c>
    </row>
    <row r="372" ht="31.5" customHeight="1" s="155">
      <c r="A372" s="111" t="inlineStr">
        <is>
          <t>BIG FOOD SRL</t>
        </is>
      </c>
      <c r="B372" s="194" t="n">
        <v>45982</v>
      </c>
      <c r="C372" s="111" t="inlineStr">
        <is>
          <t>V1083240</t>
        </is>
      </c>
      <c r="D372" s="111" t="inlineStr">
        <is>
          <t>WELCOME FETTE GR.200</t>
        </is>
      </c>
    </row>
    <row r="373" ht="31.5" customHeight="1" s="155">
      <c r="A373" s="111" t="inlineStr">
        <is>
          <t>BIG FOOD SRL</t>
        </is>
      </c>
      <c r="B373" s="194" t="n">
        <v>45982</v>
      </c>
      <c r="C373" s="111" t="inlineStr">
        <is>
          <t>V1083240</t>
        </is>
      </c>
      <c r="D373" s="111" t="inlineStr">
        <is>
          <t>WELCOME FETTE GR.200</t>
        </is>
      </c>
    </row>
    <row r="374" ht="31.5" customHeight="1" s="155">
      <c r="A374" s="111" t="inlineStr">
        <is>
          <t>BIG FOOD SRL</t>
        </is>
      </c>
      <c r="B374" s="194" t="n">
        <v>45982</v>
      </c>
      <c r="C374" s="111" t="inlineStr">
        <is>
          <t>V1083240</t>
        </is>
      </c>
      <c r="D374" s="111" t="inlineStr">
        <is>
          <t>LEONCINI CUBETTI P/COTTO GR.100</t>
        </is>
      </c>
    </row>
    <row r="375" ht="31.5" customHeight="1" s="155">
      <c r="A375" s="111" t="inlineStr">
        <is>
          <t>BIG FOOD SRL</t>
        </is>
      </c>
      <c r="B375" s="194" t="n">
        <v>45982</v>
      </c>
      <c r="C375" s="111" t="inlineStr">
        <is>
          <t>V1083240</t>
        </is>
      </c>
      <c r="D375" s="111" t="inlineStr">
        <is>
          <t>PARMAREGGIO BURRO GR.100</t>
        </is>
      </c>
    </row>
    <row r="376" ht="31.5" customHeight="1" s="155">
      <c r="A376" s="111" t="inlineStr">
        <is>
          <t>BIG FOOD SRL</t>
        </is>
      </c>
      <c r="B376" s="194" t="n">
        <v>45982</v>
      </c>
      <c r="C376" s="111" t="inlineStr">
        <is>
          <t>V1083240</t>
        </is>
      </c>
      <c r="D376" s="111" t="inlineStr">
        <is>
          <t>SORESINA BURRO MONODOSE GR.125</t>
        </is>
      </c>
    </row>
    <row r="377" ht="47.25" customHeight="1" s="155">
      <c r="A377" s="111" t="inlineStr">
        <is>
          <t>BIG FOOD SRL</t>
        </is>
      </c>
      <c r="B377" s="194" t="n">
        <v>45982</v>
      </c>
      <c r="C377" s="111" t="inlineStr">
        <is>
          <t>V1083240</t>
        </is>
      </c>
      <c r="D377" s="111" t="inlineStr">
        <is>
          <t>SORESINA GRATT.GR.100 GRANAPADANO</t>
        </is>
      </c>
    </row>
    <row r="378" ht="31.5" customHeight="1" s="155">
      <c r="A378" s="111" t="inlineStr">
        <is>
          <t>BIG FOOD SRL</t>
        </is>
      </c>
      <c r="B378" s="194" t="n">
        <v>45982</v>
      </c>
      <c r="C378" s="111" t="inlineStr">
        <is>
          <t>V1083240</t>
        </is>
      </c>
      <c r="D378" s="111" t="inlineStr">
        <is>
          <t>VALLEPIÙ PESTO FRESCO S/AGLIO GR.9</t>
        </is>
      </c>
    </row>
    <row r="379" ht="31.5" customHeight="1" s="155">
      <c r="A379" s="111" t="inlineStr">
        <is>
          <t>BIG FOOD SRL</t>
        </is>
      </c>
      <c r="B379" s="194" t="n">
        <v>45982</v>
      </c>
      <c r="C379" s="111" t="inlineStr">
        <is>
          <t>V1083240</t>
        </is>
      </c>
      <c r="D379" s="111" t="inlineStr">
        <is>
          <t>LURPAK BURRO GR.200 CLASSICO S/SAL</t>
        </is>
      </c>
    </row>
    <row r="380" ht="47.25" customHeight="1" s="155">
      <c r="A380" s="111" t="inlineStr">
        <is>
          <t>BIG FOOD SRL</t>
        </is>
      </c>
      <c r="B380" s="194" t="n">
        <v>45982</v>
      </c>
      <c r="C380" s="111" t="inlineStr">
        <is>
          <t>V1083240</t>
        </is>
      </c>
      <c r="D380" s="111" t="inlineStr">
        <is>
          <t>BELLA LODI FORM.ITAL.FORME 18 MESI</t>
        </is>
      </c>
    </row>
    <row r="381" ht="31.5" customHeight="1" s="155">
      <c r="A381" s="111" t="inlineStr">
        <is>
          <t>BIG FOOD SRL</t>
        </is>
      </c>
      <c r="B381" s="194" t="n">
        <v>45982</v>
      </c>
      <c r="C381" s="111" t="inlineStr">
        <is>
          <t>V1083240</t>
        </is>
      </c>
      <c r="D381" s="111" t="inlineStr">
        <is>
          <t>PARMAREGGIO SNACK BOX KG.1 MITO</t>
        </is>
      </c>
    </row>
    <row r="382" ht="31.5" customHeight="1" s="155">
      <c r="A382" s="111" t="inlineStr">
        <is>
          <t>BIG FOOD SRL</t>
        </is>
      </c>
      <c r="B382" s="194" t="n">
        <v>45982</v>
      </c>
      <c r="C382" s="111" t="inlineStr">
        <is>
          <t>V1083240</t>
        </is>
      </c>
      <c r="D382" s="111" t="inlineStr">
        <is>
          <t>PARMAREGGIO GRATT.GR.60 PAR/REG.</t>
        </is>
      </c>
    </row>
    <row r="383" ht="31.5" customHeight="1" s="155">
      <c r="A383" s="111" t="inlineStr">
        <is>
          <t>BIG FOOD SRL</t>
        </is>
      </c>
      <c r="B383" s="194" t="n">
        <v>45982</v>
      </c>
      <c r="C383" s="111" t="inlineStr">
        <is>
          <t>V1083240</t>
        </is>
      </c>
      <c r="D383" s="111" t="inlineStr">
        <is>
          <t>PARMAREGGIO GRATT.GR.60 PAR/REG.</t>
        </is>
      </c>
    </row>
    <row r="384" ht="31.5" customHeight="1" s="155">
      <c r="A384" s="111" t="inlineStr">
        <is>
          <t>BIG FOOD SRL</t>
        </is>
      </c>
      <c r="B384" s="194" t="n">
        <v>45982</v>
      </c>
      <c r="C384" s="111" t="inlineStr">
        <is>
          <t>V1083240</t>
        </is>
      </c>
      <c r="D384" s="111" t="inlineStr">
        <is>
          <t>MOND.SOTTILETTE GR.400</t>
        </is>
      </c>
    </row>
    <row r="385" ht="31.5" customHeight="1" s="155">
      <c r="A385" s="111" t="inlineStr">
        <is>
          <t>BIG FOOD SRL</t>
        </is>
      </c>
      <c r="B385" s="194" t="n">
        <v>45982</v>
      </c>
      <c r="C385" s="111" t="inlineStr">
        <is>
          <t>V1083240</t>
        </is>
      </c>
      <c r="D385" s="111" t="inlineStr">
        <is>
          <t>MOND.SOTTILETTE GR.400</t>
        </is>
      </c>
    </row>
    <row r="386" ht="31.5" customHeight="1" s="155">
      <c r="A386" s="111" t="inlineStr">
        <is>
          <t>BIG FOOD SRL</t>
        </is>
      </c>
      <c r="B386" s="194" t="n">
        <v>45982</v>
      </c>
      <c r="C386" s="111" t="inlineStr">
        <is>
          <t>V1083240</t>
        </is>
      </c>
      <c r="D386" s="111" t="inlineStr">
        <is>
          <t>MORGANTE WURSTEL GR.100 MORGHÌ</t>
        </is>
      </c>
    </row>
    <row r="387" ht="47.25" customHeight="1" s="155">
      <c r="A387" s="111" t="inlineStr">
        <is>
          <t>BIG FOOD SRL</t>
        </is>
      </c>
      <c r="B387" s="194" t="n">
        <v>45982</v>
      </c>
      <c r="C387" s="111" t="inlineStr">
        <is>
          <t>V1083240</t>
        </is>
      </c>
      <c r="D387" s="111" t="inlineStr">
        <is>
          <t>BRUNELLI PECOR.STAG.RIS.TRAIANO KG</t>
        </is>
      </c>
    </row>
    <row r="388" ht="31.5" customHeight="1" s="155">
      <c r="A388" s="111" t="inlineStr">
        <is>
          <t>BIG FOOD SRL</t>
        </is>
      </c>
      <c r="B388" s="194" t="n">
        <v>45982</v>
      </c>
      <c r="C388" s="111" t="inlineStr">
        <is>
          <t>V1083240</t>
        </is>
      </c>
      <c r="D388" s="111" t="inlineStr">
        <is>
          <t>NORITA SALMONE NORV.GR.100 BUSTA</t>
        </is>
      </c>
    </row>
    <row r="389" ht="31.5" customHeight="1" s="155">
      <c r="A389" s="111" t="inlineStr">
        <is>
          <t>BIG FOOD SRL</t>
        </is>
      </c>
      <c r="B389" s="194" t="n">
        <v>45982</v>
      </c>
      <c r="C389" s="111" t="inlineStr">
        <is>
          <t>V1083240</t>
        </is>
      </c>
      <c r="D389" s="111" t="inlineStr">
        <is>
          <t>BIFFI GR.100 SALSA DI FICHI</t>
        </is>
      </c>
    </row>
    <row r="390" ht="31.5" customHeight="1" s="155">
      <c r="A390" s="111" t="inlineStr">
        <is>
          <t>BIG FOOD SRL</t>
        </is>
      </c>
      <c r="B390" s="194" t="n">
        <v>45982</v>
      </c>
      <c r="C390" s="111" t="inlineStr">
        <is>
          <t>V1083240</t>
        </is>
      </c>
      <c r="D390" s="111" t="inlineStr">
        <is>
          <t>LIEVITAL LIEVITO GR.25 X20</t>
        </is>
      </c>
    </row>
    <row r="391" ht="47.25" customHeight="1" s="155">
      <c r="A391" s="111" t="inlineStr">
        <is>
          <t>BIG FOOD SRL</t>
        </is>
      </c>
      <c r="B391" s="194" t="n">
        <v>45982</v>
      </c>
      <c r="C391" s="111" t="inlineStr">
        <is>
          <t>V1083240</t>
        </is>
      </c>
      <c r="D391" s="111" t="inlineStr">
        <is>
          <t>HERO POKER CONFET.GR.100 CILIEGIA</t>
        </is>
      </c>
    </row>
    <row r="392" ht="47.25" customHeight="1" s="155">
      <c r="A392" s="111" t="inlineStr">
        <is>
          <t>BIG FOOD SRL</t>
        </is>
      </c>
      <c r="B392" s="194" t="n">
        <v>45982</v>
      </c>
      <c r="C392" s="111" t="inlineStr">
        <is>
          <t>V1083240</t>
        </is>
      </c>
      <c r="D392" s="111" t="inlineStr">
        <is>
          <t>HERO POKER CONFET.GR.100 FRUT.BOSC</t>
        </is>
      </c>
    </row>
    <row r="393" ht="47.25" customHeight="1" s="155">
      <c r="A393" s="111" t="inlineStr">
        <is>
          <t>BIG FOOD SRL</t>
        </is>
      </c>
      <c r="B393" s="194" t="n">
        <v>45982</v>
      </c>
      <c r="C393" s="111" t="inlineStr">
        <is>
          <t>V1083240</t>
        </is>
      </c>
      <c r="D393" s="111" t="inlineStr">
        <is>
          <t>HERO POKER CONFET.GR.100 FRAGOLA</t>
        </is>
      </c>
    </row>
    <row r="394" ht="31.5" customHeight="1" s="155">
      <c r="A394" s="111" t="inlineStr">
        <is>
          <t>BIG FOOD SRL</t>
        </is>
      </c>
      <c r="B394" s="194" t="n">
        <v>45982</v>
      </c>
      <c r="C394" s="111" t="inlineStr">
        <is>
          <t>V1083240</t>
        </is>
      </c>
      <c r="D394" s="111" t="inlineStr">
        <is>
          <t>COMARO MIELE M.FIORI GR250 SQUEEZE</t>
        </is>
      </c>
    </row>
    <row r="395" ht="31.5" customHeight="1" s="155">
      <c r="A395" s="111" t="inlineStr">
        <is>
          <t>BIG FOOD SRL</t>
        </is>
      </c>
      <c r="B395" s="194" t="n">
        <v>45982</v>
      </c>
      <c r="C395" s="111" t="inlineStr">
        <is>
          <t>V1083240</t>
        </is>
      </c>
      <c r="D395" s="111" t="inlineStr">
        <is>
          <t>COATI SPIANATA PICCANTE 1/2 SV</t>
        </is>
      </c>
    </row>
    <row r="396" ht="47.25" customHeight="1" s="155">
      <c r="A396" s="111" t="inlineStr">
        <is>
          <t>BIG FOOD SRL</t>
        </is>
      </c>
      <c r="B396" s="194" t="n">
        <v>45982</v>
      </c>
      <c r="C396" s="111" t="inlineStr">
        <is>
          <t>V1083240</t>
        </is>
      </c>
      <c r="D396" s="111" t="inlineStr">
        <is>
          <t>SOGNI D'ORO CAMOMILLA MELATONI.GR6</t>
        </is>
      </c>
    </row>
    <row r="397" ht="31.5" customHeight="1" s="155">
      <c r="A397" s="111" t="inlineStr">
        <is>
          <t>BIG FOOD SRL</t>
        </is>
      </c>
      <c r="B397" s="194" t="n">
        <v>45982</v>
      </c>
      <c r="C397" s="111" t="inlineStr">
        <is>
          <t>V1083240</t>
        </is>
      </c>
      <c r="D397" s="111" t="inlineStr">
        <is>
          <t>DEL MONTE ANANAS NAT XL GR.820</t>
        </is>
      </c>
    </row>
    <row r="398" ht="31.5" customHeight="1" s="155">
      <c r="A398" s="111" t="inlineStr">
        <is>
          <t>BIG FOOD SRL</t>
        </is>
      </c>
      <c r="B398" s="194" t="n">
        <v>45982</v>
      </c>
      <c r="C398" s="111" t="inlineStr">
        <is>
          <t>V1083240</t>
        </is>
      </c>
      <c r="D398" s="111" t="inlineStr">
        <is>
          <t>PEZZELLA MILLEFIORI GR.60 X35</t>
        </is>
      </c>
    </row>
    <row r="399">
      <c r="A399" s="111" t="inlineStr">
        <is>
          <t>BIG FOOD SRL</t>
        </is>
      </c>
      <c r="B399" s="194" t="n">
        <v>45982</v>
      </c>
      <c r="C399" s="111" t="inlineStr">
        <is>
          <t>V1083240</t>
        </is>
      </c>
      <c r="D399" s="111" t="inlineStr">
        <is>
          <t>HEINZ KG.1 KETCHUP</t>
        </is>
      </c>
    </row>
    <row r="400" ht="31.5" customHeight="1" s="155">
      <c r="A400" s="111" t="inlineStr">
        <is>
          <t>BIG FOOD SRL</t>
        </is>
      </c>
      <c r="B400" s="194" t="n">
        <v>45982</v>
      </c>
      <c r="C400" s="111" t="inlineStr">
        <is>
          <t>V1083240</t>
        </is>
      </c>
      <c r="D400" s="111" t="inlineStr">
        <is>
          <t>AMBROSOLI MIELE M.FIORI GR.250 VAS</t>
        </is>
      </c>
    </row>
    <row r="401" ht="31.5" customHeight="1" s="155">
      <c r="A401" s="111" t="inlineStr">
        <is>
          <t>BIG FOOD SRL</t>
        </is>
      </c>
      <c r="B401" s="194" t="n">
        <v>45982</v>
      </c>
      <c r="C401" s="111" t="inlineStr">
        <is>
          <t>V1083240</t>
        </is>
      </c>
      <c r="D401" s="111" t="inlineStr">
        <is>
          <t>BERNI MELANZANE FILETTI GR.290</t>
        </is>
      </c>
    </row>
    <row r="402" ht="31.5" customHeight="1" s="155">
      <c r="A402" s="111" t="inlineStr">
        <is>
          <t>BIG FOOD SRL</t>
        </is>
      </c>
      <c r="B402" s="194" t="n">
        <v>45982</v>
      </c>
      <c r="C402" s="111" t="inlineStr">
        <is>
          <t>V1083240</t>
        </is>
      </c>
      <c r="D402" s="111" t="inlineStr">
        <is>
          <t>DAMICO GR.300 GIARDINIERA</t>
        </is>
      </c>
    </row>
    <row r="403" ht="31.5" customHeight="1" s="155">
      <c r="A403" s="111" t="inlineStr">
        <is>
          <t>BIG FOOD SRL</t>
        </is>
      </c>
      <c r="B403" s="194" t="n">
        <v>45982</v>
      </c>
      <c r="C403" s="111" t="inlineStr">
        <is>
          <t>V1083240</t>
        </is>
      </c>
      <c r="D403" s="111" t="inlineStr">
        <is>
          <t>MORATO AMERICAN SANDWICH GR.550</t>
        </is>
      </c>
    </row>
    <row r="404" ht="31.5" customHeight="1" s="155">
      <c r="A404" s="111" t="inlineStr">
        <is>
          <t>BIG FOOD SRL</t>
        </is>
      </c>
      <c r="B404" s="194" t="n">
        <v>45982</v>
      </c>
      <c r="C404" s="111" t="inlineStr">
        <is>
          <t>V1083240</t>
        </is>
      </c>
      <c r="D404" s="111" t="inlineStr">
        <is>
          <t>ROBERTO GRAN PIADA GR.330 INTEGRAL</t>
        </is>
      </c>
    </row>
    <row r="405" ht="31.5" customHeight="1" s="155">
      <c r="A405" s="111" t="inlineStr">
        <is>
          <t>BIG FOOD SRL</t>
        </is>
      </c>
      <c r="B405" s="194" t="n">
        <v>45982</v>
      </c>
      <c r="C405" s="111" t="inlineStr">
        <is>
          <t>V1083240</t>
        </is>
      </c>
      <c r="D405" s="111" t="inlineStr">
        <is>
          <t>GRANAROLO BEVANDA LT.1 DI SOIA UHT</t>
        </is>
      </c>
    </row>
    <row r="406" ht="31.5" customHeight="1" s="155">
      <c r="A406" s="111" t="inlineStr">
        <is>
          <t>BIG FOOD SRL</t>
        </is>
      </c>
      <c r="B406" s="194" t="n">
        <v>45982</v>
      </c>
      <c r="C406" s="111" t="inlineStr">
        <is>
          <t>V1083240</t>
        </is>
      </c>
      <c r="D406" s="111" t="inlineStr">
        <is>
          <t>HEINZ GR.855 MAIONESE</t>
        </is>
      </c>
    </row>
    <row r="407" ht="47.25" customHeight="1" s="155">
      <c r="A407" s="111" t="inlineStr">
        <is>
          <t>BIG FOOD SRL</t>
        </is>
      </c>
      <c r="B407" s="194" t="n">
        <v>45982</v>
      </c>
      <c r="C407" s="111" t="inlineStr">
        <is>
          <t>V1083042</t>
        </is>
      </c>
      <c r="D407" s="111" t="inlineStr">
        <is>
          <t>BARILLA PAS.BRO.GR.500 FUSILLI</t>
        </is>
      </c>
    </row>
    <row r="408" ht="47.25" customHeight="1" s="155">
      <c r="A408" s="111" t="inlineStr">
        <is>
          <t>BIG FOOD SRL</t>
        </is>
      </c>
      <c r="B408" s="194" t="n">
        <v>45982</v>
      </c>
      <c r="C408" s="111" t="inlineStr">
        <is>
          <t>V1083042</t>
        </is>
      </c>
      <c r="D408" s="111" t="inlineStr">
        <is>
          <t>BARILLA PAS.BRO.GR.500 PENNE RIGAT</t>
        </is>
      </c>
    </row>
    <row r="409" ht="31.5" customHeight="1" s="155">
      <c r="A409" s="111" t="inlineStr">
        <is>
          <t>BIG FOOD SRL</t>
        </is>
      </c>
      <c r="B409" s="194" t="n">
        <v>45982</v>
      </c>
      <c r="C409" s="111" t="inlineStr">
        <is>
          <t>V1083042</t>
        </is>
      </c>
      <c r="D409" s="111" t="inlineStr">
        <is>
          <t>BARILLA PESTO GR.190 GENOVESE S.AG</t>
        </is>
      </c>
    </row>
    <row r="410" ht="31.5" customHeight="1" s="155">
      <c r="A410" s="111" t="inlineStr">
        <is>
          <t>BIG FOOD SRL</t>
        </is>
      </c>
      <c r="B410" s="194" t="n">
        <v>45982</v>
      </c>
      <c r="C410" s="111" t="inlineStr">
        <is>
          <t>V1083042</t>
        </is>
      </c>
      <c r="D410" s="111" t="inlineStr">
        <is>
          <t>MOLINARI SAMBUCA EXTRA CL.70</t>
        </is>
      </c>
    </row>
    <row r="411" ht="31.5" customHeight="1" s="155">
      <c r="A411" s="111" t="inlineStr">
        <is>
          <t>BIG FOOD SRL</t>
        </is>
      </c>
      <c r="B411" s="194" t="n">
        <v>45982</v>
      </c>
      <c r="C411" s="111" t="inlineStr">
        <is>
          <t>V1083042</t>
        </is>
      </c>
      <c r="D411" s="111" t="inlineStr">
        <is>
          <t>CHEF PANNA DA CUCINA ML.200</t>
        </is>
      </c>
    </row>
    <row r="412" ht="31.5" customHeight="1" s="155">
      <c r="A412" s="111" t="inlineStr">
        <is>
          <t>BIG FOOD SRL</t>
        </is>
      </c>
      <c r="B412" s="194" t="n">
        <v>45982</v>
      </c>
      <c r="C412" s="111" t="inlineStr">
        <is>
          <t>V1083042</t>
        </is>
      </c>
      <c r="D412" s="111" t="inlineStr">
        <is>
          <t>FIORUCCI P/COTTO VELLUTATO</t>
        </is>
      </c>
    </row>
    <row r="413" ht="31.5" customHeight="1" s="155">
      <c r="A413" s="111" t="inlineStr">
        <is>
          <t>BIG FOOD SRL</t>
        </is>
      </c>
      <c r="B413" s="194" t="n">
        <v>45982</v>
      </c>
      <c r="C413" s="111" t="inlineStr">
        <is>
          <t>V1083042</t>
        </is>
      </c>
      <c r="D413" s="111" t="inlineStr">
        <is>
          <t>PARMAREGGIO SNACK GR.100</t>
        </is>
      </c>
    </row>
    <row r="414" ht="31.5" customHeight="1" s="155">
      <c r="A414" s="111" t="inlineStr">
        <is>
          <t>BIG FOOD SRL</t>
        </is>
      </c>
      <c r="B414" s="194" t="n">
        <v>45982</v>
      </c>
      <c r="C414" s="111" t="inlineStr">
        <is>
          <t>V1083042</t>
        </is>
      </c>
      <c r="D414" s="111" t="inlineStr">
        <is>
          <t>SENFTER SPECK MONTAGNA 1/2 STV KG.</t>
        </is>
      </c>
    </row>
    <row r="415" ht="31.5" customHeight="1" s="155">
      <c r="A415" s="111" t="inlineStr">
        <is>
          <t>BIG FOOD SRL</t>
        </is>
      </c>
      <c r="B415" s="194" t="n">
        <v>45982</v>
      </c>
      <c r="C415" s="111" t="inlineStr">
        <is>
          <t>V1083042</t>
        </is>
      </c>
      <c r="D415" s="111" t="inlineStr">
        <is>
          <t>WELCOME FETTE GR.800</t>
        </is>
      </c>
    </row>
    <row r="416" ht="31.5" customHeight="1" s="155">
      <c r="A416" s="111" t="inlineStr">
        <is>
          <t>BIG FOOD SRL</t>
        </is>
      </c>
      <c r="B416" s="194" t="n">
        <v>45989</v>
      </c>
      <c r="C416" s="111" t="inlineStr">
        <is>
          <t>V1084992</t>
        </is>
      </c>
      <c r="D416" s="111" t="inlineStr">
        <is>
          <t>DIVELLA REGIONALI GR500 85FARFALLE</t>
        </is>
      </c>
    </row>
    <row r="417" ht="31.5" customHeight="1" s="155">
      <c r="A417" s="111" t="inlineStr">
        <is>
          <t>BIG FOOD SRL</t>
        </is>
      </c>
      <c r="B417" s="194" t="n">
        <v>45989</v>
      </c>
      <c r="C417" s="111" t="inlineStr">
        <is>
          <t>V1084992</t>
        </is>
      </c>
      <c r="D417" s="111" t="inlineStr">
        <is>
          <t>DIVELLA REGIONALI GR500 88FIOCCHET</t>
        </is>
      </c>
    </row>
    <row r="418" ht="47.25" customHeight="1" s="155">
      <c r="A418" s="111" t="inlineStr">
        <is>
          <t>BIG FOOD SRL</t>
        </is>
      </c>
      <c r="B418" s="194" t="n">
        <v>45989</v>
      </c>
      <c r="C418" s="111" t="inlineStr">
        <is>
          <t>V1084992</t>
        </is>
      </c>
      <c r="D418" s="111" t="inlineStr">
        <is>
          <t>RUMMO PAS.CLAS.GR.500 23ANELLI SIC</t>
        </is>
      </c>
    </row>
    <row r="419" ht="31.5" customHeight="1" s="155">
      <c r="A419" s="111" t="inlineStr">
        <is>
          <t>BIG FOOD SRL</t>
        </is>
      </c>
      <c r="B419" s="194" t="n">
        <v>45989</v>
      </c>
      <c r="C419" s="111" t="inlineStr">
        <is>
          <t>V1084992</t>
        </is>
      </c>
      <c r="D419" s="111" t="inlineStr">
        <is>
          <t>GRANCUCINA PANNA ML.200</t>
        </is>
      </c>
    </row>
    <row r="420" ht="31.5" customHeight="1" s="155">
      <c r="A420" s="111" t="inlineStr">
        <is>
          <t>BIG FOOD SRL</t>
        </is>
      </c>
      <c r="B420" s="194" t="n">
        <v>45989</v>
      </c>
      <c r="C420" s="111" t="inlineStr">
        <is>
          <t>V1084992</t>
        </is>
      </c>
      <c r="D420" s="111" t="inlineStr">
        <is>
          <t>DE CECCO PAS.GR.500 2MAFALDINE</t>
        </is>
      </c>
    </row>
    <row r="421" ht="47.25" customHeight="1" s="155">
      <c r="A421" s="111" t="inlineStr">
        <is>
          <t>BIG FOOD SRL</t>
        </is>
      </c>
      <c r="B421" s="194" t="n">
        <v>45989</v>
      </c>
      <c r="C421" s="111" t="inlineStr">
        <is>
          <t>V1084992</t>
        </is>
      </c>
      <c r="D421" s="111" t="inlineStr">
        <is>
          <t>RUMMO PAS.SPEC.GR.500 111PACCHERI</t>
        </is>
      </c>
    </row>
    <row r="422" ht="31.5" customHeight="1" s="155">
      <c r="A422" s="111" t="inlineStr">
        <is>
          <t>BIG FOOD SRL</t>
        </is>
      </c>
      <c r="B422" s="194" t="n">
        <v>45989</v>
      </c>
      <c r="C422" s="111" t="inlineStr">
        <is>
          <t>V1084992</t>
        </is>
      </c>
      <c r="D422" s="111" t="inlineStr">
        <is>
          <t>CAPUTO FARINA KG.1 00 PIZZERIA</t>
        </is>
      </c>
    </row>
    <row r="423" ht="31.5" customHeight="1" s="155">
      <c r="A423" s="111" t="inlineStr">
        <is>
          <t>BIG FOOD SRL</t>
        </is>
      </c>
      <c r="B423" s="194" t="n">
        <v>45989</v>
      </c>
      <c r="C423" s="111" t="inlineStr">
        <is>
          <t>V1084992</t>
        </is>
      </c>
      <c r="D423" s="111" t="inlineStr">
        <is>
          <t>CURTIRISO KG.1 CARNAROLI</t>
        </is>
      </c>
    </row>
    <row r="424" ht="31.5" customHeight="1" s="155">
      <c r="A424" s="111" t="inlineStr">
        <is>
          <t>BIG FOOD SRL</t>
        </is>
      </c>
      <c r="B424" s="194" t="n">
        <v>45989</v>
      </c>
      <c r="C424" s="111" t="inlineStr">
        <is>
          <t>V1084992</t>
        </is>
      </c>
      <c r="D424" s="111" t="inlineStr">
        <is>
          <t>DEL MONTE ANANAS NAT XL GR.820</t>
        </is>
      </c>
    </row>
    <row r="425" ht="31.5" customHeight="1" s="155">
      <c r="A425" s="111" t="inlineStr">
        <is>
          <t>BIG FOOD SRL</t>
        </is>
      </c>
      <c r="B425" s="194" t="n">
        <v>45989</v>
      </c>
      <c r="C425" s="111" t="inlineStr">
        <is>
          <t>V1084992</t>
        </is>
      </c>
      <c r="D425" s="111" t="inlineStr">
        <is>
          <t>DANTE LT.1 OLIO CONDISANO</t>
        </is>
      </c>
    </row>
    <row r="426" ht="31.5" customHeight="1" s="155">
      <c r="A426" s="111" t="inlineStr">
        <is>
          <t>BIG FOOD SRL</t>
        </is>
      </c>
      <c r="B426" s="194" t="n">
        <v>45989</v>
      </c>
      <c r="C426" s="111" t="inlineStr">
        <is>
          <t>V1084992</t>
        </is>
      </c>
      <c r="D426" s="111" t="inlineStr">
        <is>
          <t>PINSAMI PINSA CLASSICA GR.230</t>
        </is>
      </c>
    </row>
    <row r="427" ht="31.5" customHeight="1" s="155">
      <c r="A427" s="111" t="inlineStr">
        <is>
          <t>BIG FOOD SRL</t>
        </is>
      </c>
      <c r="B427" s="194" t="n">
        <v>45989</v>
      </c>
      <c r="C427" s="111" t="inlineStr">
        <is>
          <t>V1084992</t>
        </is>
      </c>
      <c r="D427" s="111" t="inlineStr">
        <is>
          <t>GRANAROLO BEVANDA LT.1 DI SOIA UHT</t>
        </is>
      </c>
    </row>
    <row r="428" ht="31.5" customHeight="1" s="155">
      <c r="A428" s="111" t="inlineStr">
        <is>
          <t>BIG FOOD SRL</t>
        </is>
      </c>
      <c r="B428" s="194" t="n">
        <v>45989</v>
      </c>
      <c r="C428" s="111" t="inlineStr">
        <is>
          <t>V1084992</t>
        </is>
      </c>
      <c r="D428" s="111" t="inlineStr">
        <is>
          <t>BARILLA RIP.GR.250 TORTELLINI PROS</t>
        </is>
      </c>
    </row>
    <row r="429" ht="31.5" customHeight="1" s="155">
      <c r="A429" s="111" t="inlineStr">
        <is>
          <t>BIG FOOD SRL</t>
        </is>
      </c>
      <c r="B429" s="194" t="n">
        <v>45989</v>
      </c>
      <c r="C429" s="111" t="inlineStr">
        <is>
          <t>V1084992</t>
        </is>
      </c>
      <c r="D429" s="111" t="inlineStr">
        <is>
          <t>BARILLA RIP.GR.250 TORTELLINI PROS</t>
        </is>
      </c>
    </row>
    <row r="430" ht="31.5" customHeight="1" s="155">
      <c r="A430" s="111" t="inlineStr">
        <is>
          <t>BIG FOOD SRL</t>
        </is>
      </c>
      <c r="B430" s="194" t="n">
        <v>45989</v>
      </c>
      <c r="C430" s="111" t="inlineStr">
        <is>
          <t>V1084992</t>
        </is>
      </c>
      <c r="D430" s="111" t="inlineStr">
        <is>
          <t>OLITALIA LT.1 OLIO GIRASOLE PET</t>
        </is>
      </c>
    </row>
    <row r="431" ht="31.5" customHeight="1" s="155">
      <c r="A431" s="111" t="inlineStr">
        <is>
          <t>BIG FOOD SRL</t>
        </is>
      </c>
      <c r="B431" s="194" t="n">
        <v>45989</v>
      </c>
      <c r="C431" s="111" t="inlineStr">
        <is>
          <t>V1084992</t>
        </is>
      </c>
      <c r="D431" s="111" t="inlineStr">
        <is>
          <t>DESANTIS PET LT.1 OLIO ARACHIDE</t>
        </is>
      </c>
    </row>
    <row r="432" ht="31.5" customHeight="1" s="155">
      <c r="A432" s="111" t="inlineStr">
        <is>
          <t>BIG FOOD SRL</t>
        </is>
      </c>
      <c r="B432" s="194" t="n">
        <v>45989</v>
      </c>
      <c r="C432" s="111" t="inlineStr">
        <is>
          <t>V1084992</t>
        </is>
      </c>
      <c r="D432" s="111" t="inlineStr">
        <is>
          <t>PARMAREGGIO SNACK GR.100</t>
        </is>
      </c>
    </row>
    <row r="433" ht="31.5" customHeight="1" s="155">
      <c r="A433" s="111" t="inlineStr">
        <is>
          <t>BIG FOOD SRL</t>
        </is>
      </c>
      <c r="B433" s="194" t="n">
        <v>45989</v>
      </c>
      <c r="C433" s="111" t="inlineStr">
        <is>
          <t>V1084992</t>
        </is>
      </c>
      <c r="D433" s="111" t="inlineStr">
        <is>
          <t>PARMAREGGIO SNACK GR.100</t>
        </is>
      </c>
    </row>
    <row r="434" ht="31.5" customHeight="1" s="155">
      <c r="A434" s="111" t="inlineStr">
        <is>
          <t>BIG FOOD SRL</t>
        </is>
      </c>
      <c r="B434" s="194" t="n">
        <v>45989</v>
      </c>
      <c r="C434" s="111" t="inlineStr">
        <is>
          <t>V1084992</t>
        </is>
      </c>
      <c r="D434" s="111" t="inlineStr">
        <is>
          <t>PINNA PEC.ROMANO DOP TORO BI.1/4 S</t>
        </is>
      </c>
    </row>
    <row r="435" ht="31.5" customHeight="1" s="155">
      <c r="A435" s="111" t="inlineStr">
        <is>
          <t>BIG FOOD SRL</t>
        </is>
      </c>
      <c r="B435" s="194" t="n">
        <v>45989</v>
      </c>
      <c r="C435" s="111" t="inlineStr">
        <is>
          <t>V1084992</t>
        </is>
      </c>
      <c r="D435" s="111" t="inlineStr">
        <is>
          <t>IL COLLE LARDO PANCETTATO STV KG.</t>
        </is>
      </c>
    </row>
    <row r="436" ht="31.5" customHeight="1" s="155">
      <c r="A436" s="111" t="inlineStr">
        <is>
          <t>BIG FOOD SRL</t>
        </is>
      </c>
      <c r="B436" s="194" t="n">
        <v>45989</v>
      </c>
      <c r="C436" s="111" t="inlineStr">
        <is>
          <t>V1084992</t>
        </is>
      </c>
      <c r="D436" s="111" t="inlineStr">
        <is>
          <t>ARTIGIAN PANCETTA COPPATA 1/2 STV</t>
        </is>
      </c>
    </row>
    <row r="437" ht="31.5" customHeight="1" s="155">
      <c r="A437" s="111" t="inlineStr">
        <is>
          <t>BIG FOOD SRL</t>
        </is>
      </c>
      <c r="B437" s="194" t="n">
        <v>45989</v>
      </c>
      <c r="C437" s="111" t="inlineStr">
        <is>
          <t>V1084992</t>
        </is>
      </c>
      <c r="D437" s="111" t="inlineStr">
        <is>
          <t>LIEVITAL LIEVITO GR.25 X20</t>
        </is>
      </c>
    </row>
    <row r="438" ht="31.5" customHeight="1" s="155">
      <c r="A438" s="111" t="inlineStr">
        <is>
          <t>BIG FOOD SRL</t>
        </is>
      </c>
      <c r="B438" s="194" t="n">
        <v>45989</v>
      </c>
      <c r="C438" s="111" t="inlineStr">
        <is>
          <t>V1084992</t>
        </is>
      </c>
      <c r="D438" s="111" t="inlineStr">
        <is>
          <t>BERETTA P/COTTO ALLA BRACE</t>
        </is>
      </c>
    </row>
    <row r="439" ht="31.5" customHeight="1" s="155">
      <c r="A439" s="111" t="inlineStr">
        <is>
          <t>BIG FOOD SRL</t>
        </is>
      </c>
      <c r="B439" s="194" t="n">
        <v>45995</v>
      </c>
      <c r="C439" s="111" t="inlineStr">
        <is>
          <t>V1086595</t>
        </is>
      </c>
      <c r="D439" s="111" t="inlineStr">
        <is>
          <t>PARODI FIL.ALICI CANTABRIC.GR90 V.</t>
        </is>
      </c>
    </row>
    <row r="440" ht="31.5" customHeight="1" s="155">
      <c r="A440" s="111" t="inlineStr">
        <is>
          <t>BIG FOOD SRL</t>
        </is>
      </c>
      <c r="B440" s="194" t="n">
        <v>45995</v>
      </c>
      <c r="C440" s="111" t="inlineStr">
        <is>
          <t>V1086595</t>
        </is>
      </c>
      <c r="D440" s="111" t="inlineStr">
        <is>
          <t>LIEVITAL LIEVITO GR.25 X20</t>
        </is>
      </c>
    </row>
    <row r="441" ht="31.5" customHeight="1" s="155">
      <c r="A441" s="111" t="inlineStr">
        <is>
          <t>BIG FOOD SRL</t>
        </is>
      </c>
      <c r="B441" s="194" t="n">
        <v>45995</v>
      </c>
      <c r="C441" s="111" t="inlineStr">
        <is>
          <t>V1086595</t>
        </is>
      </c>
      <c r="D441" s="111" t="inlineStr">
        <is>
          <t>GRANAROLO BEVANDA LT.1 RISO UHT</t>
        </is>
      </c>
    </row>
    <row r="442" ht="31.5" customHeight="1" s="155">
      <c r="A442" s="111" t="inlineStr">
        <is>
          <t>BIG FOOD SRL</t>
        </is>
      </c>
      <c r="B442" s="194" t="n">
        <v>45995</v>
      </c>
      <c r="C442" s="111" t="inlineStr">
        <is>
          <t>V1086595</t>
        </is>
      </c>
      <c r="D442" s="111" t="inlineStr">
        <is>
          <t>CHEF PANNA FUNGHI ML.125X2</t>
        </is>
      </c>
    </row>
    <row r="443" ht="31.5" customHeight="1" s="155">
      <c r="A443" s="111" t="inlineStr">
        <is>
          <t>BIG FOOD SRL</t>
        </is>
      </c>
      <c r="B443" s="194" t="n">
        <v>45995</v>
      </c>
      <c r="C443" s="111" t="inlineStr">
        <is>
          <t>V1086595</t>
        </is>
      </c>
      <c r="D443" s="111" t="inlineStr">
        <is>
          <t>CHEF PANNA SALMONE ML.125X2</t>
        </is>
      </c>
    </row>
    <row r="444" ht="31.5" customHeight="1" s="155">
      <c r="A444" s="111" t="inlineStr">
        <is>
          <t>BIG FOOD SRL</t>
        </is>
      </c>
      <c r="B444" s="194" t="n">
        <v>45995</v>
      </c>
      <c r="C444" s="111" t="inlineStr">
        <is>
          <t>V1086595</t>
        </is>
      </c>
      <c r="D444" s="111" t="inlineStr">
        <is>
          <t>BONOMELLI CAMOMILLA SETACCIATA 18F</t>
        </is>
      </c>
    </row>
    <row r="445" ht="31.5" customHeight="1" s="155">
      <c r="A445" s="111" t="inlineStr">
        <is>
          <t>BIG FOOD SRL</t>
        </is>
      </c>
      <c r="B445" s="194" t="n">
        <v>45995</v>
      </c>
      <c r="C445" s="111" t="inlineStr">
        <is>
          <t>V1086595</t>
        </is>
      </c>
      <c r="D445" s="111" t="inlineStr">
        <is>
          <t>DIVELLA PASTA GR.500 9SPAGHETTINI</t>
        </is>
      </c>
    </row>
    <row r="446" ht="31.5" customHeight="1" s="155">
      <c r="A446" s="111" t="inlineStr">
        <is>
          <t>BIG FOOD SRL</t>
        </is>
      </c>
      <c r="B446" s="194" t="n">
        <v>45995</v>
      </c>
      <c r="C446" s="111" t="inlineStr">
        <is>
          <t>V1086595</t>
        </is>
      </c>
      <c r="D446" s="111" t="inlineStr">
        <is>
          <t>DIVELLA GR.500 SPEC.3MEZZANI</t>
        </is>
      </c>
    </row>
    <row r="447" ht="31.5" customHeight="1" s="155">
      <c r="A447" s="111" t="inlineStr">
        <is>
          <t>BIG FOOD SRL</t>
        </is>
      </c>
      <c r="B447" s="194" t="n">
        <v>45995</v>
      </c>
      <c r="C447" s="111" t="inlineStr">
        <is>
          <t>V1086595</t>
        </is>
      </c>
      <c r="D447" s="111" t="inlineStr">
        <is>
          <t>DAMICO LATTA GR.400 PEPERONI ARROS</t>
        </is>
      </c>
    </row>
    <row r="448">
      <c r="A448" s="111" t="inlineStr">
        <is>
          <t>BIG FOOD SRL</t>
        </is>
      </c>
      <c r="B448" s="194" t="n">
        <v>45995</v>
      </c>
      <c r="C448" s="111" t="inlineStr">
        <is>
          <t>V1086595</t>
        </is>
      </c>
      <c r="D448" s="111" t="inlineStr">
        <is>
          <t>HALTA STRUTTO GR.250</t>
        </is>
      </c>
    </row>
    <row r="449" ht="31.5" customHeight="1" s="155">
      <c r="A449" s="111" t="inlineStr">
        <is>
          <t>BIG FOOD SRL</t>
        </is>
      </c>
      <c r="B449" s="194" t="n">
        <v>45995</v>
      </c>
      <c r="C449" s="111" t="inlineStr">
        <is>
          <t>V1086595</t>
        </is>
      </c>
      <c r="D449" s="111" t="inlineStr">
        <is>
          <t>DIVELLA GR.500 SPEC.2ZITI</t>
        </is>
      </c>
    </row>
    <row r="450" ht="47.25" customHeight="1" s="155">
      <c r="A450" s="111" t="inlineStr">
        <is>
          <t>BIG FOOD SRL</t>
        </is>
      </c>
      <c r="B450" s="194" t="n">
        <v>45995</v>
      </c>
      <c r="C450" s="111" t="inlineStr">
        <is>
          <t>V1086595</t>
        </is>
      </c>
      <c r="D450" s="111" t="inlineStr">
        <is>
          <t>SORESINA GRATT.GR.100 GRANAPADANO</t>
        </is>
      </c>
    </row>
    <row r="451" ht="31.5" customHeight="1" s="155">
      <c r="A451" s="111" t="inlineStr">
        <is>
          <t>BIG FOOD SRL</t>
        </is>
      </c>
      <c r="B451" s="194" t="n">
        <v>45995</v>
      </c>
      <c r="C451" s="111" t="inlineStr">
        <is>
          <t>V1086595</t>
        </is>
      </c>
      <c r="D451" s="111" t="inlineStr">
        <is>
          <t>DIVELLA REGIONALI GR500 19PANTACCE</t>
        </is>
      </c>
    </row>
    <row r="452" ht="31.5" customHeight="1" s="155">
      <c r="A452" s="111" t="inlineStr">
        <is>
          <t>BIG FOOD SRL</t>
        </is>
      </c>
      <c r="B452" s="194" t="n">
        <v>45995</v>
      </c>
      <c r="C452" s="111" t="inlineStr">
        <is>
          <t>V1086595</t>
        </is>
      </c>
      <c r="D452" s="111" t="inlineStr">
        <is>
          <t>CHEF BESCIAMELLA ML.200</t>
        </is>
      </c>
    </row>
    <row r="453" ht="31.5" customHeight="1" s="155">
      <c r="A453" s="111" t="inlineStr">
        <is>
          <t>BIG FOOD SRL</t>
        </is>
      </c>
      <c r="B453" s="194" t="n">
        <v>45995</v>
      </c>
      <c r="C453" s="111" t="inlineStr">
        <is>
          <t>V1086595</t>
        </is>
      </c>
      <c r="D453" s="111" t="inlineStr">
        <is>
          <t>PARMAREGGIO GRATT.GR.60 PAR/REG.</t>
        </is>
      </c>
    </row>
    <row r="454" ht="31.5" customHeight="1" s="155">
      <c r="A454" s="111" t="inlineStr">
        <is>
          <t>BIG FOOD SRL</t>
        </is>
      </c>
      <c r="B454" s="194" t="n">
        <v>45995</v>
      </c>
      <c r="C454" s="111" t="inlineStr">
        <is>
          <t>V1086595</t>
        </is>
      </c>
      <c r="D454" s="111" t="inlineStr">
        <is>
          <t>GRANAROLO LATTE P.S. LT.1 BRIK</t>
        </is>
      </c>
    </row>
    <row r="455" ht="31.5" customHeight="1" s="155">
      <c r="A455" s="111" t="inlineStr">
        <is>
          <t>BIG FOOD SRL</t>
        </is>
      </c>
      <c r="B455" s="194" t="n">
        <v>45995</v>
      </c>
      <c r="C455" s="111" t="inlineStr">
        <is>
          <t>V1086595</t>
        </is>
      </c>
      <c r="D455" s="111" t="inlineStr">
        <is>
          <t>STERILGARDA LATTE LT.1,5 P.S. BRIK</t>
        </is>
      </c>
    </row>
    <row r="456" ht="31.5" customHeight="1" s="155">
      <c r="A456" s="111" t="inlineStr">
        <is>
          <t>BIG FOOD SRL</t>
        </is>
      </c>
      <c r="B456" s="194" t="n">
        <v>45995</v>
      </c>
      <c r="C456" s="111" t="inlineStr">
        <is>
          <t>V1086595</t>
        </is>
      </c>
      <c r="D456" s="111" t="inlineStr">
        <is>
          <t>YMA.KG.5 OLIVE GRECIA V.SSM</t>
        </is>
      </c>
    </row>
    <row r="457" ht="31.5" customHeight="1" s="155">
      <c r="A457" s="111" t="inlineStr">
        <is>
          <t>BIG FOOD SRL</t>
        </is>
      </c>
      <c r="B457" s="194" t="n">
        <v>45995</v>
      </c>
      <c r="C457" s="111" t="inlineStr">
        <is>
          <t>V1086595</t>
        </is>
      </c>
      <c r="D457" s="111" t="inlineStr">
        <is>
          <t>ITALKALI SALE IODIO GROSSO KG.1</t>
        </is>
      </c>
    </row>
    <row r="458" ht="31.5" customHeight="1" s="155">
      <c r="A458" s="111" t="inlineStr">
        <is>
          <t>BIG FOOD SRL</t>
        </is>
      </c>
      <c r="B458" s="194" t="n">
        <v>45995</v>
      </c>
      <c r="C458" s="111" t="inlineStr">
        <is>
          <t>V1086595</t>
        </is>
      </c>
      <c r="D458" s="111" t="inlineStr">
        <is>
          <t>ITALKALI SALE IODIO GROSSO KG.1</t>
        </is>
      </c>
    </row>
    <row r="459" ht="31.5" customHeight="1" s="155">
      <c r="A459" s="111" t="inlineStr">
        <is>
          <t>BIG FOOD SRL</t>
        </is>
      </c>
      <c r="B459" s="194" t="n">
        <v>45995</v>
      </c>
      <c r="C459" s="111" t="inlineStr">
        <is>
          <t>V1086595</t>
        </is>
      </c>
      <c r="D459" s="111" t="inlineStr">
        <is>
          <t>GRANCUCINA PANNA ML.500</t>
        </is>
      </c>
    </row>
    <row r="460" ht="31.5" customHeight="1" s="155">
      <c r="A460" s="111" t="inlineStr">
        <is>
          <t>BIG FOOD SRL</t>
        </is>
      </c>
      <c r="B460" s="194" t="n">
        <v>45995</v>
      </c>
      <c r="C460" s="111" t="inlineStr">
        <is>
          <t>V1086595</t>
        </is>
      </c>
      <c r="D460" s="111" t="inlineStr">
        <is>
          <t>GRANCUCINA BESCIAMELLA ML.500</t>
        </is>
      </c>
    </row>
    <row r="461" ht="31.5" customHeight="1" s="155">
      <c r="A461" s="111" t="inlineStr">
        <is>
          <t>BIG FOOD SRL</t>
        </is>
      </c>
      <c r="B461" s="194" t="n">
        <v>45995</v>
      </c>
      <c r="C461" s="111" t="inlineStr">
        <is>
          <t>V1086595</t>
        </is>
      </c>
      <c r="D461" s="111" t="inlineStr">
        <is>
          <t>KRAFT.MAIONESE TUBO ML.150</t>
        </is>
      </c>
    </row>
    <row r="462" ht="31.5" customHeight="1" s="155">
      <c r="A462" s="111" t="inlineStr">
        <is>
          <t>BIG FOOD SRL</t>
        </is>
      </c>
      <c r="B462" s="194" t="n">
        <v>45995</v>
      </c>
      <c r="C462" s="111" t="inlineStr">
        <is>
          <t>V1086595</t>
        </is>
      </c>
      <c r="D462" s="111" t="inlineStr">
        <is>
          <t>WELCOME FETTE GR.200</t>
        </is>
      </c>
    </row>
    <row r="463" ht="31.5" customHeight="1" s="155">
      <c r="A463" s="111" t="inlineStr">
        <is>
          <t>BIG FOOD SRL</t>
        </is>
      </c>
      <c r="B463" s="194" t="n">
        <v>45995</v>
      </c>
      <c r="C463" s="111" t="inlineStr">
        <is>
          <t>V1086595</t>
        </is>
      </c>
      <c r="D463" s="111" t="inlineStr">
        <is>
          <t>KINGS P/CRUDO SAN DANIELE S/O</t>
        </is>
      </c>
    </row>
    <row r="464">
      <c r="A464" s="111" t="inlineStr">
        <is>
          <t>BIG FOOD SRL</t>
        </is>
      </c>
      <c r="B464" s="194" t="n">
        <v>45995</v>
      </c>
      <c r="C464" s="111" t="inlineStr">
        <is>
          <t>V1086595</t>
        </is>
      </c>
      <c r="D464" s="111" t="inlineStr">
        <is>
          <t>PINNA BRIGANTE</t>
        </is>
      </c>
    </row>
    <row r="465" ht="31.5" customHeight="1" s="155">
      <c r="A465" s="111" t="inlineStr">
        <is>
          <t>BIG FOOD SRL</t>
        </is>
      </c>
      <c r="B465" s="194" t="n">
        <v>45995</v>
      </c>
      <c r="C465" s="111" t="inlineStr">
        <is>
          <t>V1086595</t>
        </is>
      </c>
      <c r="D465" s="111" t="inlineStr">
        <is>
          <t>PINNA BRIGANTE DI CAPRA</t>
        </is>
      </c>
    </row>
    <row r="466" ht="31.5" customHeight="1" s="155">
      <c r="A466" s="111" t="inlineStr">
        <is>
          <t>BIG FOOD SRL</t>
        </is>
      </c>
      <c r="B466" s="194" t="n">
        <v>45995</v>
      </c>
      <c r="C466" s="111" t="inlineStr">
        <is>
          <t>V1086595</t>
        </is>
      </c>
      <c r="D466" s="111" t="inlineStr">
        <is>
          <t>COATI SPIANATA PICCANTE 1/2 SV</t>
        </is>
      </c>
    </row>
    <row r="467" ht="31.5" customHeight="1" s="155">
      <c r="A467" s="111" t="inlineStr">
        <is>
          <t>BIG FOOD SRL</t>
        </is>
      </c>
      <c r="B467" s="194" t="n">
        <v>45995</v>
      </c>
      <c r="C467" s="111" t="inlineStr">
        <is>
          <t>V1086595</t>
        </is>
      </c>
      <c r="D467" s="111" t="inlineStr">
        <is>
          <t>COATI SPIANATA PICCANTE 1/2 SV</t>
        </is>
      </c>
    </row>
    <row r="468" ht="31.5" customHeight="1" s="155">
      <c r="A468" s="111" t="inlineStr">
        <is>
          <t>BIG FOOD SRL</t>
        </is>
      </c>
      <c r="B468" s="194" t="n">
        <v>45995</v>
      </c>
      <c r="C468" s="111" t="inlineStr">
        <is>
          <t>V1086595</t>
        </is>
      </c>
      <c r="D468" s="111" t="inlineStr">
        <is>
          <t>DAILYBREAD PAN DI SEGALE GR.500</t>
        </is>
      </c>
    </row>
    <row r="469" ht="31.5" customHeight="1" s="155">
      <c r="A469" s="111" t="inlineStr">
        <is>
          <t>BIG FOOD SRL</t>
        </is>
      </c>
      <c r="B469" s="194" t="n">
        <v>45995</v>
      </c>
      <c r="C469" s="111" t="inlineStr">
        <is>
          <t>V1086595</t>
        </is>
      </c>
      <c r="D469" s="111" t="inlineStr">
        <is>
          <t>DAILYBREAD PANE 4 CEREALI GR.500</t>
        </is>
      </c>
    </row>
    <row r="470" ht="47.25" customHeight="1" s="155">
      <c r="A470" s="111" t="inlineStr">
        <is>
          <t>BIG FOOD SRL</t>
        </is>
      </c>
      <c r="B470" s="194" t="n">
        <v>45995</v>
      </c>
      <c r="C470" s="111" t="inlineStr">
        <is>
          <t>V1086595</t>
        </is>
      </c>
      <c r="D470" s="111" t="inlineStr">
        <is>
          <t>VIT BOBINA X2 CASA&amp;LAVORO 800 PROF</t>
        </is>
      </c>
    </row>
    <row r="471" ht="47.25" customHeight="1" s="155">
      <c r="A471" s="111" t="inlineStr">
        <is>
          <t>BIG FOOD SRL</t>
        </is>
      </c>
      <c r="B471" s="194" t="n">
        <v>45995</v>
      </c>
      <c r="C471" s="111" t="inlineStr">
        <is>
          <t>V1086595</t>
        </is>
      </c>
      <c r="D471" s="111" t="inlineStr">
        <is>
          <t>SORESINA GRATT.GR.100 GRANAPADANO</t>
        </is>
      </c>
    </row>
    <row r="472" ht="31.5" customHeight="1" s="155">
      <c r="A472" s="111" t="inlineStr">
        <is>
          <t>BIG FOOD SRL</t>
        </is>
      </c>
      <c r="B472" s="194" t="n">
        <v>45995</v>
      </c>
      <c r="C472" s="111" t="inlineStr">
        <is>
          <t>V1086595</t>
        </is>
      </c>
      <c r="D472" s="111" t="inlineStr">
        <is>
          <t>KOSÈ CIALDE DECISO PZ.50</t>
        </is>
      </c>
    </row>
    <row r="473" ht="31.5" customHeight="1" s="155">
      <c r="A473" s="111" t="inlineStr">
        <is>
          <t>BIG FOOD SRL</t>
        </is>
      </c>
      <c r="B473" s="194" t="n">
        <v>45995</v>
      </c>
      <c r="C473" s="111" t="inlineStr">
        <is>
          <t>V1086595</t>
        </is>
      </c>
      <c r="D473" s="111" t="inlineStr">
        <is>
          <t>STAR TEA 25FF CLASSICO</t>
        </is>
      </c>
    </row>
    <row r="474" ht="31.5" customHeight="1" s="155">
      <c r="A474" s="111" t="inlineStr">
        <is>
          <t>BIG FOOD SRL</t>
        </is>
      </c>
      <c r="B474" s="194" t="n">
        <v>45995</v>
      </c>
      <c r="C474" s="111" t="inlineStr">
        <is>
          <t>V1086595</t>
        </is>
      </c>
      <c r="D474" s="111" t="inlineStr">
        <is>
          <t>BONOMELLI CAMOMILLA SETACCIATA 18F</t>
        </is>
      </c>
    </row>
    <row r="475" ht="47.25" customHeight="1" s="155">
      <c r="A475" s="111" t="inlineStr">
        <is>
          <t>BIG FOOD SRL</t>
        </is>
      </c>
      <c r="B475" s="194" t="n">
        <v>45995</v>
      </c>
      <c r="C475" s="111" t="inlineStr">
        <is>
          <t>V1086595</t>
        </is>
      </c>
      <c r="D475" s="111" t="inlineStr">
        <is>
          <t>SOGNI D'ORO CAMOMILLA MELATONI.GR6</t>
        </is>
      </c>
    </row>
    <row r="476" ht="31.5" customHeight="1" s="155">
      <c r="A476" s="111" t="inlineStr">
        <is>
          <t>BIG FOOD SRL</t>
        </is>
      </c>
      <c r="B476" s="194" t="n">
        <v>45995</v>
      </c>
      <c r="C476" s="111" t="inlineStr">
        <is>
          <t>V1086595</t>
        </is>
      </c>
      <c r="D476" s="111" t="inlineStr">
        <is>
          <t>BONAZZA WURSTEL KG.1 GRIGLIA&amp;FAMIG</t>
        </is>
      </c>
    </row>
    <row r="477" ht="31.5" customHeight="1" s="155">
      <c r="A477" s="111" t="inlineStr">
        <is>
          <t>BIG FOOD SRL</t>
        </is>
      </c>
      <c r="B477" s="194" t="n">
        <v>45995</v>
      </c>
      <c r="C477" s="111" t="inlineStr">
        <is>
          <t>V1086595</t>
        </is>
      </c>
      <c r="D477" s="111" t="inlineStr">
        <is>
          <t>MORGANTE WURSTEL GR.100 MORGHÌ</t>
        </is>
      </c>
    </row>
    <row r="478" ht="31.5" customHeight="1" s="155">
      <c r="A478" s="111" t="inlineStr">
        <is>
          <t>BIG FOOD SRL</t>
        </is>
      </c>
      <c r="B478" s="194" t="n">
        <v>45995</v>
      </c>
      <c r="C478" s="111" t="inlineStr">
        <is>
          <t>V1086595</t>
        </is>
      </c>
      <c r="D478" s="111" t="inlineStr">
        <is>
          <t>BARILLA PAST.UOVO GR.275 FARFALLIN</t>
        </is>
      </c>
    </row>
    <row r="479" ht="31.5" customHeight="1" s="155">
      <c r="A479" s="111" t="inlineStr">
        <is>
          <t>BIG FOOD SRL</t>
        </is>
      </c>
      <c r="B479" s="194" t="n">
        <v>45995</v>
      </c>
      <c r="C479" s="111" t="inlineStr">
        <is>
          <t>V1086595</t>
        </is>
      </c>
      <c r="D479" s="111" t="inlineStr">
        <is>
          <t>MOND.PHILADELPHIA GR.25X6 PORZ.</t>
        </is>
      </c>
    </row>
    <row r="480" ht="31.5" customHeight="1" s="155">
      <c r="A480" s="111" t="inlineStr">
        <is>
          <t>BIG FOOD SRL</t>
        </is>
      </c>
      <c r="B480" s="194" t="n">
        <v>45995</v>
      </c>
      <c r="C480" s="111" t="inlineStr">
        <is>
          <t>V1086595</t>
        </is>
      </c>
      <c r="D480" s="111" t="inlineStr">
        <is>
          <t>MOND.PHILADELPHIA GR.25X6 PORZ.</t>
        </is>
      </c>
    </row>
    <row r="481" ht="31.5" customHeight="1" s="155">
      <c r="A481" s="111" t="inlineStr">
        <is>
          <t>BIG FOOD SRL</t>
        </is>
      </c>
      <c r="B481" s="194" t="n">
        <v>45995</v>
      </c>
      <c r="C481" s="111" t="inlineStr">
        <is>
          <t>V1086595</t>
        </is>
      </c>
      <c r="D481" s="111" t="inlineStr">
        <is>
          <t>PARMAREGGIO BURRO GR.200</t>
        </is>
      </c>
    </row>
    <row r="482" ht="31.5" customHeight="1" s="155">
      <c r="A482" s="111" t="inlineStr">
        <is>
          <t>BIG FOOD SRL</t>
        </is>
      </c>
      <c r="B482" s="194" t="n">
        <v>45995</v>
      </c>
      <c r="C482" s="111" t="inlineStr">
        <is>
          <t>V1086595</t>
        </is>
      </c>
      <c r="D482" s="111" t="inlineStr">
        <is>
          <t>GRIFO L'ABATE CACIOTTA NORCIA KG.3</t>
        </is>
      </c>
    </row>
    <row r="483" ht="31.5" customHeight="1" s="155">
      <c r="A483" s="111" t="inlineStr">
        <is>
          <t>BIG FOOD SRL</t>
        </is>
      </c>
      <c r="B483" s="194" t="n">
        <v>45995</v>
      </c>
      <c r="C483" s="111" t="inlineStr">
        <is>
          <t>V1086595</t>
        </is>
      </c>
      <c r="D483" s="111" t="inlineStr">
        <is>
          <t>GRIFO L'ABATE CACIOTTA NORCIA KG.3</t>
        </is>
      </c>
    </row>
    <row r="484" ht="31.5" customHeight="1" s="155">
      <c r="A484" s="111" t="inlineStr">
        <is>
          <t>BIG FOOD SRL</t>
        </is>
      </c>
      <c r="B484" s="194" t="n">
        <v>45995</v>
      </c>
      <c r="C484" s="111" t="inlineStr">
        <is>
          <t>V1086595</t>
        </is>
      </c>
      <c r="D484" s="111" t="inlineStr">
        <is>
          <t>PARMAREGGIO GRATT.GR.60 PAR/REG.</t>
        </is>
      </c>
    </row>
    <row r="485" ht="31.5" customHeight="1" s="155">
      <c r="A485" s="111" t="inlineStr">
        <is>
          <t>BIG FOOD SRL</t>
        </is>
      </c>
      <c r="B485" s="194" t="n">
        <v>45995</v>
      </c>
      <c r="C485" s="111" t="inlineStr">
        <is>
          <t>V1086595</t>
        </is>
      </c>
      <c r="D485" s="111" t="inlineStr">
        <is>
          <t>OPTIMUS MASCARPONE GR.250</t>
        </is>
      </c>
    </row>
    <row r="486" ht="47.25" customHeight="1" s="155">
      <c r="A486" s="111" t="inlineStr">
        <is>
          <t>CAMPANIA 2 srl</t>
        </is>
      </c>
      <c r="B486" s="194" t="n">
        <v>45995</v>
      </c>
      <c r="C486" s="111" t="inlineStr">
        <is>
          <t>3A/2715</t>
        </is>
      </c>
      <c r="D486" s="111" t="inlineStr">
        <is>
          <t>Matr:8824015057 N.Scontrino: 254 Del: 04/12/2025</t>
        </is>
      </c>
    </row>
    <row r="487" ht="31.5" customHeight="1" s="155">
      <c r="A487" s="111" t="inlineStr">
        <is>
          <t>CAMPANIA 2 srl</t>
        </is>
      </c>
      <c r="B487" s="194" t="n">
        <v>45995</v>
      </c>
      <c r="C487" s="111" t="inlineStr">
        <is>
          <t>3A/2715</t>
        </is>
      </c>
      <c r="D487" s="111" t="inlineStr">
        <is>
          <t>BOXONE C/RUOTE 125LT 79X52X42</t>
        </is>
      </c>
    </row>
    <row r="488" ht="31.5" customHeight="1" s="155">
      <c r="A488" s="111" t="inlineStr">
        <is>
          <t>CAMPANIA 2 srl</t>
        </is>
      </c>
      <c r="B488" s="194" t="n">
        <v>45995</v>
      </c>
      <c r="C488" s="111" t="inlineStr">
        <is>
          <t>3A/2715</t>
        </is>
      </c>
      <c r="D488" s="111" t="inlineStr">
        <is>
          <t>BOXONE C/RUOTE 125LT 79X52X42</t>
        </is>
      </c>
    </row>
    <row r="489" ht="31.5" customHeight="1" s="155">
      <c r="A489" s="111" t="inlineStr">
        <is>
          <t>CAMPANIA 2 srl</t>
        </is>
      </c>
      <c r="B489" s="194" t="n">
        <v>45995</v>
      </c>
      <c r="C489" s="111" t="inlineStr">
        <is>
          <t>3A/2715</t>
        </is>
      </c>
      <c r="D489" s="111" t="inlineStr">
        <is>
          <t>BOXONE C/RUOTE 125LT 79X52X42</t>
        </is>
      </c>
    </row>
    <row r="490" ht="31.5" customHeight="1" s="155">
      <c r="A490" s="111" t="inlineStr">
        <is>
          <t>CAMPANIA 2 srl</t>
        </is>
      </c>
      <c r="B490" s="194" t="n">
        <v>45995</v>
      </c>
      <c r="C490" s="111" t="inlineStr">
        <is>
          <t>3A/2715</t>
        </is>
      </c>
      <c r="D490" s="111" t="inlineStr">
        <is>
          <t>TRITATUTTO HTC RIC 60W CORDLESS GRI</t>
        </is>
      </c>
    </row>
    <row r="491" ht="31.5" customHeight="1" s="155">
      <c r="A491" s="111" t="inlineStr">
        <is>
          <t>CAMPANIA 2 srl</t>
        </is>
      </c>
      <c r="B491" s="194" t="n">
        <v>45995</v>
      </c>
      <c r="C491" s="111" t="inlineStr">
        <is>
          <t>3A/2715</t>
        </is>
      </c>
      <c r="D491" s="111" t="inlineStr">
        <is>
          <t>TENDA SPIRALE HTC 200LED A BAT</t>
        </is>
      </c>
    </row>
    <row r="492" ht="31.5" customHeight="1" s="155">
      <c r="A492" s="111" t="inlineStr">
        <is>
          <t>CAMPANIA 2 srl</t>
        </is>
      </c>
      <c r="B492" s="194" t="n">
        <v>45995</v>
      </c>
      <c r="C492" s="111" t="inlineStr">
        <is>
          <t>3A/2715</t>
        </is>
      </c>
      <c r="D492" s="111" t="inlineStr">
        <is>
          <t>TENDA SPIRALE HTC 200LED A BAT</t>
        </is>
      </c>
    </row>
    <row r="493" ht="31.5" customHeight="1" s="155">
      <c r="A493" s="111" t="inlineStr">
        <is>
          <t>CAMPANIA 2 srl</t>
        </is>
      </c>
      <c r="B493" s="194" t="n">
        <v>45995</v>
      </c>
      <c r="C493" s="111" t="inlineStr">
        <is>
          <t>3A/2715</t>
        </is>
      </c>
      <c r="D493" s="111" t="inlineStr">
        <is>
          <t>TENDA SPIRALE HTC 200LED A BAT</t>
        </is>
      </c>
    </row>
    <row r="494" ht="31.5" customHeight="1" s="155">
      <c r="A494" s="111" t="inlineStr">
        <is>
          <t>CAMPANIA 2 srl</t>
        </is>
      </c>
      <c r="B494" s="194" t="n">
        <v>45995</v>
      </c>
      <c r="C494" s="111" t="inlineStr">
        <is>
          <t>3A/2715</t>
        </is>
      </c>
      <c r="D494" s="111" t="inlineStr">
        <is>
          <t>TENDA SPIRALE HTC 200LED A BAT</t>
        </is>
      </c>
    </row>
    <row r="495" ht="31.5" customHeight="1" s="155">
      <c r="A495" s="111" t="inlineStr">
        <is>
          <t>CAMPANIA 2 srl</t>
        </is>
      </c>
      <c r="B495" s="194" t="n">
        <v>45995</v>
      </c>
      <c r="C495" s="111" t="inlineStr">
        <is>
          <t>3A/2715</t>
        </is>
      </c>
      <c r="D495" s="111" t="inlineStr">
        <is>
          <t>TENDA SPIRALE HTC 200LED A BAT</t>
        </is>
      </c>
    </row>
    <row r="496" ht="31.5" customHeight="1" s="155">
      <c r="A496" s="111" t="inlineStr">
        <is>
          <t>CAMPANIA 2 srl</t>
        </is>
      </c>
      <c r="B496" s="194" t="n">
        <v>45995</v>
      </c>
      <c r="C496" s="111" t="inlineStr">
        <is>
          <t>3A/2715</t>
        </is>
      </c>
      <c r="D496" s="111" t="inlineStr">
        <is>
          <t>TENDA SPIRALE HTC 200LED A BAT</t>
        </is>
      </c>
    </row>
    <row r="497" ht="63" customHeight="1" s="155">
      <c r="A497" s="111" t="inlineStr">
        <is>
          <t>CAMPANIA 2 srl</t>
        </is>
      </c>
      <c r="B497" s="194" t="n">
        <v>45995</v>
      </c>
      <c r="C497" s="111" t="inlineStr">
        <is>
          <t>3A/2715</t>
        </is>
      </c>
      <c r="D497" s="111" t="inlineStr">
        <is>
          <t>Riga ausiliaria contenente informazioni tecniche e aggiuntive del documento</t>
        </is>
      </c>
    </row>
    <row r="498" ht="31.5" customHeight="1" s="155">
      <c r="A498" s="111" t="inlineStr">
        <is>
          <t>"RONDINELLA MARKET S.R.L."</t>
        </is>
      </c>
      <c r="B498" s="194" t="n">
        <v>45985</v>
      </c>
      <c r="C498" s="111" t="n">
        <v>2148</v>
      </c>
      <c r="D498" s="111" t="inlineStr">
        <is>
          <t>LIEVITO x 2.5kg</t>
        </is>
      </c>
    </row>
    <row r="499" ht="31.5" customHeight="1" s="155">
      <c r="A499" s="111" t="inlineStr">
        <is>
          <t>"RONDINELLA MARKET S.R.L."</t>
        </is>
      </c>
      <c r="B499" s="194" t="n">
        <v>45985</v>
      </c>
      <c r="C499" s="111" t="n">
        <v>2148</v>
      </c>
      <c r="D499" s="111" t="inlineStr">
        <is>
          <t>BAGNA BENEVENTO 70%VOL 2lt</t>
        </is>
      </c>
    </row>
    <row r="500" ht="31.5" customHeight="1" s="155">
      <c r="A500" s="111" t="inlineStr">
        <is>
          <t>"RONDINELLA MARKET S.R.L."</t>
        </is>
      </c>
      <c r="B500" s="194" t="n">
        <v>45985</v>
      </c>
      <c r="C500" s="111" t="n">
        <v>2148</v>
      </c>
      <c r="D500" s="111" t="inlineStr">
        <is>
          <t>ZUCCHERO A VELO x 5kg</t>
        </is>
      </c>
    </row>
    <row r="501" ht="31.5" customHeight="1" s="155">
      <c r="A501" s="111" t="inlineStr">
        <is>
          <t>"RONDINELLA MARKET S.R.L."</t>
        </is>
      </c>
      <c r="B501" s="194" t="n">
        <v>45985</v>
      </c>
      <c r="C501" s="111" t="n">
        <v>2148</v>
      </c>
      <c r="D501" s="111" t="inlineStr">
        <is>
          <t>PASSATA ALBICOCCA x 10kg</t>
        </is>
      </c>
    </row>
    <row r="502" ht="31.5" customHeight="1" s="155">
      <c r="A502" s="111" t="inlineStr">
        <is>
          <t>"RONDINELLA MARKET S.R.L."</t>
        </is>
      </c>
      <c r="B502" s="194" t="n">
        <v>45985</v>
      </c>
      <c r="C502" s="111" t="n">
        <v>2148</v>
      </c>
      <c r="D502" s="111" t="inlineStr">
        <is>
          <t>NUPPY NOCCIOLA 12KG</t>
        </is>
      </c>
    </row>
    <row r="503" ht="31.5" customHeight="1" s="155">
      <c r="A503" s="111" t="inlineStr">
        <is>
          <t>"RONDINELLA MARKET S.R.L."</t>
        </is>
      </c>
      <c r="B503" s="194" t="n">
        <v>45985</v>
      </c>
      <c r="C503" s="111" t="n">
        <v>2148</v>
      </c>
      <c r="D503" s="111" t="inlineStr">
        <is>
          <t>MIGLIORATORE UNIVERSALE</t>
        </is>
      </c>
    </row>
    <row r="504" ht="31.5" customHeight="1" s="155">
      <c r="A504" s="111" t="inlineStr">
        <is>
          <t>"RONDINELLA MARKET S.R.L."</t>
        </is>
      </c>
      <c r="B504" s="194" t="n">
        <v>45985</v>
      </c>
      <c r="C504" s="111" t="n">
        <v>2148</v>
      </c>
      <c r="D504" s="111" t="inlineStr">
        <is>
          <t>EST.ZUPPA INGLESE</t>
        </is>
      </c>
    </row>
    <row r="505" ht="31.5" customHeight="1" s="155">
      <c r="A505" s="111" t="inlineStr">
        <is>
          <t>"RONDINELLA MARKET S.R.L."</t>
        </is>
      </c>
      <c r="B505" s="194" t="n">
        <v>45985</v>
      </c>
      <c r="C505" s="111" t="n">
        <v>2148</v>
      </c>
      <c r="D505" s="111" t="inlineStr">
        <is>
          <t>AROMA BRIOCHES</t>
        </is>
      </c>
    </row>
    <row r="506" ht="31.5" customHeight="1" s="155">
      <c r="A506" s="111" t="inlineStr">
        <is>
          <t>"RONDINELLA MARKET S.R.L."</t>
        </is>
      </c>
      <c r="B506" s="194" t="n">
        <v>45985</v>
      </c>
      <c r="C506" s="111" t="n">
        <v>2148</v>
      </c>
      <c r="D506" s="111" t="inlineStr">
        <is>
          <t>CACAO AMARO IN POLVERE x 1kg</t>
        </is>
      </c>
    </row>
    <row r="507">
      <c r="A507" s="111" t="inlineStr">
        <is>
          <t>CILATTE S.R.L.</t>
        </is>
      </c>
      <c r="B507" s="194" t="n">
        <v>45991</v>
      </c>
      <c r="C507" s="111" t="n">
        <v>495</v>
      </c>
      <c r="D507" s="111" t="inlineStr">
        <is>
          <t>FIORI E PROVOLA</t>
        </is>
      </c>
    </row>
    <row r="508" ht="31.5" customHeight="1" s="155">
      <c r="A508" s="111" t="inlineStr">
        <is>
          <t>CILATTE S.R.L.</t>
        </is>
      </c>
      <c r="B508" s="194" t="n">
        <v>45991</v>
      </c>
      <c r="C508" s="111" t="n">
        <v>495</v>
      </c>
      <c r="D508" s="111" t="inlineStr">
        <is>
          <t>scheda di vendita n.347 novembre 2025</t>
        </is>
      </c>
    </row>
    <row r="509" ht="47.25" customHeight="1" s="155">
      <c r="A509" s="111" t="inlineStr">
        <is>
          <t>GE.FI.AL. SAS DI FIORENZANO GENNARO &amp; C.</t>
        </is>
      </c>
      <c r="B509" s="194" t="n">
        <v>45974</v>
      </c>
      <c r="C509" s="111" t="n">
        <v>277</v>
      </c>
      <c r="D509" s="111" t="inlineStr">
        <is>
          <t>Ricotta di Pecora Zuccherata Congelata x 6 - Ricocrem-</t>
        </is>
      </c>
    </row>
    <row r="510" ht="47.25" customHeight="1" s="155">
      <c r="A510" s="111" t="inlineStr">
        <is>
          <t>GE.FI.AL. SAS DI FIORENZANO GENNARO &amp; C.</t>
        </is>
      </c>
      <c r="B510" s="194" t="n">
        <v>45974</v>
      </c>
      <c r="C510" s="111" t="n">
        <v>277</v>
      </c>
      <c r="D510" s="111" t="inlineStr">
        <is>
          <t>Cannoli medi cioccolattati pz 100</t>
        </is>
      </c>
    </row>
    <row r="511" ht="47.25" customHeight="1" s="155">
      <c r="A511" s="111" t="inlineStr">
        <is>
          <t>GE.FI.AL. SAS DI FIORENZANO GENNARO &amp; C.</t>
        </is>
      </c>
      <c r="B511" s="194" t="n">
        <v>45974</v>
      </c>
      <c r="C511" s="111" t="n">
        <v>277</v>
      </c>
      <c r="D511" s="111" t="inlineStr">
        <is>
          <t>Cannoli mignon cioccolattati kg 3,5</t>
        </is>
      </c>
    </row>
    <row r="512" ht="47.25" customHeight="1" s="155">
      <c r="A512" s="111" t="inlineStr">
        <is>
          <t>GE.FI.AL. SAS DI FIORENZANO GENNARO &amp; C.</t>
        </is>
      </c>
      <c r="B512" s="194" t="n">
        <v>45974</v>
      </c>
      <c r="C512" s="111" t="n">
        <v>277</v>
      </c>
      <c r="D512" s="111" t="inlineStr">
        <is>
          <t>Cassatina Monoporzione Classica Gr. 100 x 12 pz.</t>
        </is>
      </c>
    </row>
    <row r="513" ht="47.25" customHeight="1" s="155">
      <c r="A513" s="111" t="inlineStr">
        <is>
          <t>GE.FI.AL. SAS DI FIORENZANO GENNARO &amp; C.</t>
        </is>
      </c>
      <c r="B513" s="194" t="n">
        <v>45996</v>
      </c>
      <c r="C513" s="111" t="n">
        <v>314</v>
      </c>
      <c r="D513" s="111" t="inlineStr">
        <is>
          <t>Ricotta di Pecora Zuccherata Congelata x 6 - Ricocrem-</t>
        </is>
      </c>
    </row>
    <row r="514" ht="31.5" customHeight="1" s="155">
      <c r="A514" s="111" t="inlineStr">
        <is>
          <t>"RONDINELLA MARKET S.R.L."</t>
        </is>
      </c>
      <c r="B514" s="194" t="n">
        <v>45971</v>
      </c>
      <c r="C514" s="111" t="n">
        <v>2036</v>
      </c>
      <c r="D514" s="111" t="inlineStr">
        <is>
          <t>AMARENA VISCIOLA 15Kg</t>
        </is>
      </c>
    </row>
    <row r="515" ht="31.5" customHeight="1" s="155">
      <c r="A515" s="111" t="inlineStr">
        <is>
          <t>"RONDINELLA MARKET S.R.L."</t>
        </is>
      </c>
      <c r="B515" s="194" t="n">
        <v>45971</v>
      </c>
      <c r="C515" s="111" t="n">
        <v>2036</v>
      </c>
      <c r="D515" s="111" t="inlineStr">
        <is>
          <t>STRUTTO</t>
        </is>
      </c>
    </row>
    <row r="516" ht="78.75" customHeight="1" s="155">
      <c r="A516" s="111" t="inlineStr">
        <is>
          <t>GE.FI.AL. SAS DI FIORENZANO GENNARO &amp; C.</t>
        </is>
      </c>
      <c r="B516" s="194" t="n">
        <v>45986</v>
      </c>
      <c r="C516" s="111" t="n">
        <v>297</v>
      </c>
      <c r="D516" s="111" t="inlineStr">
        <is>
          <t>Ricotta di Pecora Zuccherata Congelata x 6 - Ricocrem- // lotto F2005 scadenza 05/2027</t>
        </is>
      </c>
    </row>
    <row r="517" ht="63" customHeight="1" s="155">
      <c r="A517" s="111" t="inlineStr">
        <is>
          <t>GE.FI.AL. SAS DI FIORENZANO GENNARO &amp; C.</t>
        </is>
      </c>
      <c r="B517" s="194" t="n">
        <v>45986</v>
      </c>
      <c r="C517" s="111" t="n">
        <v>297</v>
      </c>
      <c r="D517" s="111" t="inlineStr">
        <is>
          <t>Cannoli medi cioccolattati pz 100 // lotto 11 Settembre scadenza Marzo 2026</t>
        </is>
      </c>
    </row>
    <row r="518" ht="63" customHeight="1" s="155">
      <c r="A518" s="111" t="inlineStr">
        <is>
          <t>GE.FI.AL. SAS DI FIORENZANO GENNARO &amp; C.</t>
        </is>
      </c>
      <c r="B518" s="194" t="n">
        <v>45986</v>
      </c>
      <c r="C518" s="111" t="n">
        <v>297</v>
      </c>
      <c r="D518" s="111" t="inlineStr">
        <is>
          <t>Cannoli mignon cioccolattati kg 3,5 // lotto 11 settembre scadenza 2026</t>
        </is>
      </c>
    </row>
    <row r="519" ht="31.5" customHeight="1" s="155">
      <c r="A519" s="111" t="inlineStr">
        <is>
          <t>SAIMA S.p.A.</t>
        </is>
      </c>
      <c r="B519" s="194" t="n">
        <v>45972</v>
      </c>
      <c r="C519" s="111" t="inlineStr">
        <is>
          <t>1/196084</t>
        </is>
      </c>
      <c r="D519" s="111" t="inlineStr">
        <is>
          <t xml:space="preserve">MIX GOLDEN NOW DA KG 15 (4644)  </t>
        </is>
      </c>
    </row>
    <row r="520" ht="47.25" customHeight="1" s="155">
      <c r="A520" s="111" t="inlineStr">
        <is>
          <t>SAIMA S.p.A.</t>
        </is>
      </c>
      <c r="B520" s="194" t="n">
        <v>45972</v>
      </c>
      <c r="C520" s="111" t="inlineStr">
        <is>
          <t>1/196084</t>
        </is>
      </c>
      <c r="D520" s="111" t="inlineStr">
        <is>
          <t xml:space="preserve">STAMPI PANETTONI BASSI DA KG 1 PZ 80 (M210/70HW)  </t>
        </is>
      </c>
    </row>
    <row r="521" ht="47.25" customHeight="1" s="155">
      <c r="A521" s="111" t="inlineStr">
        <is>
          <t>SAIMA S.p.A.</t>
        </is>
      </c>
      <c r="B521" s="194" t="n">
        <v>45972</v>
      </c>
      <c r="C521" s="111" t="inlineStr">
        <is>
          <t>1/196084</t>
        </is>
      </c>
      <c r="D521" s="111" t="inlineStr">
        <is>
          <t xml:space="preserve">BURRO TRADIZIONALE BLOCCHI M.G. 82% 20665601  </t>
        </is>
      </c>
    </row>
    <row r="522" ht="47.25" customHeight="1" s="155">
      <c r="A522" s="111" t="inlineStr">
        <is>
          <t>SAIMA S.p.A.</t>
        </is>
      </c>
      <c r="B522" s="194" t="n">
        <v>45972</v>
      </c>
      <c r="C522" s="111" t="inlineStr">
        <is>
          <t>1/196084</t>
        </is>
      </c>
      <c r="D522" s="111" t="inlineStr">
        <is>
          <t xml:space="preserve">LIEVITO DA KG 5 NATURALE NATURVI-S (4849)  </t>
        </is>
      </c>
    </row>
    <row r="523" ht="31.5" customHeight="1" s="155">
      <c r="A523" s="111" t="inlineStr">
        <is>
          <t>SAIMA S.p.A.</t>
        </is>
      </c>
      <c r="B523" s="194" t="n">
        <v>45972</v>
      </c>
      <c r="C523" s="111" t="inlineStr">
        <is>
          <t>1/196084</t>
        </is>
      </c>
      <c r="D523" s="111" t="inlineStr">
        <is>
          <t xml:space="preserve">MIX AFRICANO MIX DA KG 10  </t>
        </is>
      </c>
    </row>
    <row r="524" ht="31.5" customHeight="1" s="155">
      <c r="A524" s="111" t="inlineStr">
        <is>
          <t>SAIMA S.p.A.</t>
        </is>
      </c>
      <c r="B524" s="194" t="n">
        <v>45972</v>
      </c>
      <c r="C524" s="111" t="inlineStr">
        <is>
          <t>1/196084</t>
        </is>
      </c>
      <c r="D524" s="111" t="inlineStr">
        <is>
          <t xml:space="preserve">MIX CAKE NATURE DA KG 10 (4830)  </t>
        </is>
      </c>
    </row>
    <row r="525" ht="47.25" customHeight="1" s="155">
      <c r="A525" s="111" t="inlineStr">
        <is>
          <t>SAIMA S.p.A.</t>
        </is>
      </c>
      <c r="B525" s="194" t="n">
        <v>45972</v>
      </c>
      <c r="C525" s="111" t="inlineStr">
        <is>
          <t>1/196084</t>
        </is>
      </c>
      <c r="D525" s="111" t="inlineStr">
        <is>
          <t xml:space="preserve">UVA DA KG 1 SULTANINA AUSTRALIANA VINTAGE  </t>
        </is>
      </c>
    </row>
    <row r="526" ht="31.5" customHeight="1" s="155">
      <c r="A526" s="111" t="inlineStr">
        <is>
          <t>SAIMA S.p.A.</t>
        </is>
      </c>
      <c r="B526" s="194" t="n">
        <v>45972</v>
      </c>
      <c r="C526" s="111" t="inlineStr">
        <is>
          <t>1/196084</t>
        </is>
      </c>
      <c r="D526" s="111" t="inlineStr">
        <is>
          <t xml:space="preserve">LIEVITO DI BIRRA PER PANIFICAZIONE  </t>
        </is>
      </c>
    </row>
    <row r="527" ht="31.5" customHeight="1" s="155">
      <c r="A527" s="111" t="inlineStr">
        <is>
          <t>NATURISSIME SRL</t>
        </is>
      </c>
      <c r="B527" s="194" t="n">
        <v>46007</v>
      </c>
      <c r="C527" s="111" t="n">
        <v>5860</v>
      </c>
      <c r="D527" s="111" t="inlineStr">
        <is>
          <t>CAT.A UOVA FRESCHE COD. 3 - L DA 180</t>
        </is>
      </c>
    </row>
    <row r="528" ht="31.5" customHeight="1" s="155">
      <c r="A528" s="111" t="inlineStr">
        <is>
          <t>SAIMA S.p.A.</t>
        </is>
      </c>
      <c r="B528" s="194" t="n">
        <v>45972</v>
      </c>
      <c r="C528" s="111" t="inlineStr">
        <is>
          <t>1/196084</t>
        </is>
      </c>
      <c r="D528" s="111" t="inlineStr">
        <is>
          <t xml:space="preserve">PASTA TIRAMISU' DA KG 1 (0227.1)  </t>
        </is>
      </c>
    </row>
    <row r="529" ht="31.5" customHeight="1" s="155">
      <c r="A529" s="111" t="inlineStr">
        <is>
          <t>SAIMA S.p.A.</t>
        </is>
      </c>
      <c r="B529" s="194" t="n">
        <v>45972</v>
      </c>
      <c r="C529" s="111" t="inlineStr">
        <is>
          <t>1/196084</t>
        </is>
      </c>
      <c r="D529" s="111" t="inlineStr">
        <is>
          <t xml:space="preserve">AROMA EMULSIONE BURRO NATURALE  </t>
        </is>
      </c>
    </row>
    <row r="530" ht="63" customHeight="1" s="155">
      <c r="A530" s="111" t="inlineStr">
        <is>
          <t>SAIMA S.p.A.</t>
        </is>
      </c>
      <c r="B530" s="194" t="n">
        <v>45981</v>
      </c>
      <c r="C530" s="111" t="inlineStr">
        <is>
          <t>1/202426</t>
        </is>
      </c>
      <c r="D530" s="111" t="inlineStr">
        <is>
          <t xml:space="preserve">SCORZONE ARANCIO FRESCO PREMIUM CUBETTI 10X10 CANDITO DA KG 3  </t>
        </is>
      </c>
    </row>
    <row r="531" ht="47.25" customHeight="1" s="155">
      <c r="A531" s="111" t="inlineStr">
        <is>
          <t>SAIMA S.p.A.</t>
        </is>
      </c>
      <c r="B531" s="194" t="n">
        <v>45981</v>
      </c>
      <c r="C531" s="111" t="inlineStr">
        <is>
          <t>1/202426</t>
        </is>
      </c>
      <c r="D531" s="111" t="inlineStr">
        <is>
          <t xml:space="preserve">BURRO TRADIZIONALE BLOCCHI M.G. 82% 20665601  </t>
        </is>
      </c>
    </row>
    <row r="532" ht="63" customHeight="1" s="155">
      <c r="A532" s="111" t="inlineStr">
        <is>
          <t>SAIMA S.p.A.</t>
        </is>
      </c>
      <c r="B532" s="194" t="n">
        <v>45981</v>
      </c>
      <c r="C532" s="111" t="inlineStr">
        <is>
          <t>1/202426</t>
        </is>
      </c>
      <c r="D532" s="111" t="inlineStr">
        <is>
          <t xml:space="preserve">UVETTA CILENA AL RUM SPIRITUALS IN SCIROPPO KG 2,75 (02024275A)  </t>
        </is>
      </c>
    </row>
    <row r="533" ht="63" customHeight="1" s="155">
      <c r="A533" s="111" t="inlineStr">
        <is>
          <t>SAIMA S.p.A.</t>
        </is>
      </c>
      <c r="B533" s="194" t="n">
        <v>45981</v>
      </c>
      <c r="C533" s="111" t="inlineStr">
        <is>
          <t>1/202426</t>
        </is>
      </c>
      <c r="D533" s="111" t="inlineStr">
        <is>
          <t xml:space="preserve">PASTA DI ARANCIA (PUREA) AMORDIFRUTTA KG 3,5 (05100130A)  </t>
        </is>
      </c>
    </row>
    <row r="534" ht="47.25" customHeight="1" s="155">
      <c r="A534" s="111" t="inlineStr">
        <is>
          <t>SAIMA S.p.A.</t>
        </is>
      </c>
      <c r="B534" s="194" t="n">
        <v>45981</v>
      </c>
      <c r="C534" s="111" t="inlineStr">
        <is>
          <t>1/202426</t>
        </is>
      </c>
      <c r="D534" s="111" t="inlineStr">
        <is>
          <t xml:space="preserve">UVA DA KG 1 SULTANINA AUSTRALIANA VINTAGE  </t>
        </is>
      </c>
    </row>
    <row r="535" ht="31.5" customHeight="1" s="155">
      <c r="A535" s="111" t="inlineStr">
        <is>
          <t>SAIMA S.p.A.</t>
        </is>
      </c>
      <c r="B535" s="194" t="n">
        <v>45981</v>
      </c>
      <c r="C535" s="111" t="inlineStr">
        <is>
          <t>1/202426</t>
        </is>
      </c>
      <c r="D535" s="111" t="inlineStr">
        <is>
          <t xml:space="preserve">ZUCCHERO IN GRANELLA GRANDE  </t>
        </is>
      </c>
    </row>
    <row r="536">
      <c r="A536" s="111" t="inlineStr">
        <is>
          <t>SAIMA S.p.A.</t>
        </is>
      </c>
      <c r="B536" s="194" t="n">
        <v>45981</v>
      </c>
      <c r="C536" s="111" t="inlineStr">
        <is>
          <t>1/202426</t>
        </is>
      </c>
      <c r="D536" s="111" t="inlineStr">
        <is>
          <t xml:space="preserve">MIX GLAXA (4495)  </t>
        </is>
      </c>
    </row>
    <row r="537" ht="47.25" customHeight="1" s="155">
      <c r="A537" s="111" t="inlineStr">
        <is>
          <t>SAIMA S.p.A.</t>
        </is>
      </c>
      <c r="B537" s="194" t="n">
        <v>45981</v>
      </c>
      <c r="C537" s="111" t="inlineStr">
        <is>
          <t>1/202426</t>
        </is>
      </c>
      <c r="D537" s="111" t="inlineStr">
        <is>
          <t xml:space="preserve">COVER PISTACCHIO ROCK DA KG 3 (011CP130)  </t>
        </is>
      </c>
    </row>
    <row r="538" ht="31.5" customHeight="1" s="155">
      <c r="A538" s="111" t="inlineStr">
        <is>
          <t>SAIMA S.p.A.</t>
        </is>
      </c>
      <c r="B538" s="194" t="n">
        <v>45981</v>
      </c>
      <c r="C538" s="111" t="inlineStr">
        <is>
          <t>1/202426</t>
        </is>
      </c>
      <c r="D538" s="111" t="inlineStr">
        <is>
          <t xml:space="preserve">CHUNKS CUBETTI AL PISTACCHIO DA KG 2  </t>
        </is>
      </c>
    </row>
    <row r="539" ht="31.5" customHeight="1" s="155">
      <c r="A539" s="111" t="inlineStr">
        <is>
          <t>SAIMA S.p.A.</t>
        </is>
      </c>
      <c r="B539" s="194" t="n">
        <v>45981</v>
      </c>
      <c r="C539" s="111" t="inlineStr">
        <is>
          <t>1/202426</t>
        </is>
      </c>
      <c r="D539" s="111" t="inlineStr">
        <is>
          <t xml:space="preserve">MIX GOLDEN NOW DA KG 15 (4644)  </t>
        </is>
      </c>
    </row>
    <row r="540" ht="47.25" customHeight="1" s="155">
      <c r="A540" s="111" t="inlineStr">
        <is>
          <t>SAIMA S.p.A.</t>
        </is>
      </c>
      <c r="B540" s="194" t="n">
        <v>45981</v>
      </c>
      <c r="C540" s="111" t="inlineStr">
        <is>
          <t>1/202426</t>
        </is>
      </c>
      <c r="D540" s="111" t="inlineStr">
        <is>
          <t xml:space="preserve">LIEVITO DA KG 5 NATURALE NATURVI-S (4849)  </t>
        </is>
      </c>
    </row>
    <row r="541" ht="63" customHeight="1" s="155">
      <c r="A541" s="111" t="inlineStr">
        <is>
          <t>SAIMA S.p.A.</t>
        </is>
      </c>
      <c r="B541" s="194" t="n">
        <v>45981</v>
      </c>
      <c r="C541" s="111" t="inlineStr">
        <is>
          <t>1/202426</t>
        </is>
      </c>
      <c r="D541" s="111" t="inlineStr">
        <is>
          <t xml:space="preserve">MELA CANNELLA A CUBETTI 14X14 SEMICANDITA IN SCIROPPO DA KG 3  </t>
        </is>
      </c>
    </row>
    <row r="542" ht="31.5" customHeight="1" s="155">
      <c r="A542" s="111" t="inlineStr">
        <is>
          <t>SAIMA S.p.A.</t>
        </is>
      </c>
      <c r="B542" s="194" t="n">
        <v>45981</v>
      </c>
      <c r="C542" s="111" t="inlineStr">
        <is>
          <t>1/202426</t>
        </is>
      </c>
      <c r="D542" s="111" t="inlineStr">
        <is>
          <t xml:space="preserve">GOCCE DI MERINGA SFUSO KG 2  </t>
        </is>
      </c>
    </row>
    <row r="543" ht="47.25" customHeight="1" s="155">
      <c r="A543" s="111" t="inlineStr">
        <is>
          <t>SAIMA S.p.A.</t>
        </is>
      </c>
      <c r="B543" s="194" t="n">
        <v>45981</v>
      </c>
      <c r="C543" s="111" t="inlineStr">
        <is>
          <t>1/202426</t>
        </is>
      </c>
      <c r="D543" s="111" t="inlineStr">
        <is>
          <t xml:space="preserve">AMARENA NATURALE INTERA IN SCIROPPO DA KG 3  </t>
        </is>
      </c>
    </row>
    <row r="544" ht="31.5" customHeight="1" s="155">
      <c r="A544" s="111" t="inlineStr">
        <is>
          <t>SAIMA S.p.A.</t>
        </is>
      </c>
      <c r="B544" s="194" t="n">
        <v>45981</v>
      </c>
      <c r="C544" s="111" t="inlineStr">
        <is>
          <t>1/202426</t>
        </is>
      </c>
      <c r="D544" s="111" t="inlineStr">
        <is>
          <t xml:space="preserve">LIEVITO DI BIRRA PER PANIFICAZIONE  </t>
        </is>
      </c>
    </row>
    <row r="545" ht="47.25" customHeight="1" s="155">
      <c r="A545" s="111" t="inlineStr">
        <is>
          <t>SAIMA S.p.A.</t>
        </is>
      </c>
      <c r="B545" s="194" t="n">
        <v>45981</v>
      </c>
      <c r="C545" s="111" t="inlineStr">
        <is>
          <t>1/202426</t>
        </is>
      </c>
      <c r="D545" s="111" t="inlineStr">
        <is>
          <t xml:space="preserve">CHUNKS - CUBETTI DI CIOCCOLATO FONDENTE DA KG 2,5  </t>
        </is>
      </c>
    </row>
    <row r="546" ht="47.25" customHeight="1" s="155">
      <c r="A546" s="111" t="inlineStr">
        <is>
          <t>SAIMA S.p.A.</t>
        </is>
      </c>
      <c r="B546" s="194" t="n">
        <v>45981</v>
      </c>
      <c r="C546" s="111" t="inlineStr">
        <is>
          <t>1/202426</t>
        </is>
      </c>
      <c r="D546" s="111" t="inlineStr">
        <is>
          <t xml:space="preserve">CHUNKS - CUBETTI DI CIOCCOLATO BIANCO DA KG 2,5  </t>
        </is>
      </c>
    </row>
    <row r="547" ht="47.25" customHeight="1" s="155">
      <c r="A547" s="111" t="inlineStr">
        <is>
          <t>SAIMA S.p.A.</t>
        </is>
      </c>
      <c r="B547" s="194" t="n">
        <v>45981</v>
      </c>
      <c r="C547" s="111" t="inlineStr">
        <is>
          <t>1/202426</t>
        </is>
      </c>
      <c r="D547" s="111" t="inlineStr">
        <is>
          <t xml:space="preserve">CHUNKS - CUBETTI DI CIOCCOLATO AL LATTE DA KG 2,5  </t>
        </is>
      </c>
    </row>
    <row r="548" ht="63" customHeight="1" s="155">
      <c r="A548" s="111" t="inlineStr">
        <is>
          <t>SAIMA S.p.A.</t>
        </is>
      </c>
      <c r="B548" s="194" t="n">
        <v>45981</v>
      </c>
      <c r="C548" s="111" t="inlineStr">
        <is>
          <t>1/202426</t>
        </is>
      </c>
      <c r="D548" s="111" t="inlineStr">
        <is>
          <t xml:space="preserve">EUROVO ALBUME STANDARD PASTORIZZATO (NORMALE) (5197)  </t>
        </is>
      </c>
    </row>
    <row r="549" ht="31.5" customHeight="1" s="155">
      <c r="A549" s="111" t="inlineStr">
        <is>
          <t>SAIMA S.p.A.</t>
        </is>
      </c>
      <c r="B549" s="194" t="n">
        <v>45981</v>
      </c>
      <c r="C549" s="111" t="inlineStr">
        <is>
          <t>1/202426</t>
        </is>
      </c>
      <c r="D549" s="111" t="inlineStr">
        <is>
          <t xml:space="preserve">MANDORLE NATURALI IN SACCHI DA KG 25  </t>
        </is>
      </c>
    </row>
    <row r="550" ht="47.25" customHeight="1" s="155">
      <c r="A550" s="111" t="inlineStr">
        <is>
          <t>SAIMA S.p.A.</t>
        </is>
      </c>
      <c r="B550" s="194" t="n">
        <v>45981</v>
      </c>
      <c r="C550" s="111" t="inlineStr">
        <is>
          <t>1/202426</t>
        </is>
      </c>
      <c r="D550" s="111" t="inlineStr">
        <is>
          <t xml:space="preserve">SCORZONE A FILETTI ARANCIO 6X80 CANDITI DA KG 2  </t>
        </is>
      </c>
    </row>
    <row r="551" ht="31.5" customHeight="1" s="155">
      <c r="A551" s="111" t="inlineStr">
        <is>
          <t>SAIMA S.p.A.</t>
        </is>
      </c>
      <c r="B551" s="194" t="n">
        <v>45981</v>
      </c>
      <c r="C551" s="111" t="inlineStr">
        <is>
          <t>1/202426</t>
        </is>
      </c>
      <c r="D551" s="111" t="inlineStr">
        <is>
          <t xml:space="preserve">ARANCIA A TONDELLI CANDITA DA KG 5  </t>
        </is>
      </c>
    </row>
    <row r="552" ht="31.5" customHeight="1" s="155">
      <c r="A552" s="111" t="inlineStr">
        <is>
          <t>SAIMA S.p.A.</t>
        </is>
      </c>
      <c r="B552" s="194" t="n">
        <v>45981</v>
      </c>
      <c r="C552" s="111" t="inlineStr">
        <is>
          <t>1/202426</t>
        </is>
      </c>
      <c r="D552" s="111" t="inlineStr">
        <is>
          <t xml:space="preserve">MIELE MILLEFIORI CONTENITORE KG 10  </t>
        </is>
      </c>
    </row>
    <row r="553" ht="47.25" customHeight="1" s="155">
      <c r="A553" s="111" t="inlineStr">
        <is>
          <t>SAIMA S.p.A.</t>
        </is>
      </c>
      <c r="B553" s="194" t="n">
        <v>45981</v>
      </c>
      <c r="C553" s="111" t="inlineStr">
        <is>
          <t>1/202426</t>
        </is>
      </c>
      <c r="D553" s="111" t="inlineStr">
        <is>
          <t xml:space="preserve">AMMONIACA (BICARBONATO DI AMMONIO) E503 KG1  </t>
        </is>
      </c>
    </row>
    <row r="554" ht="31.5" customHeight="1" s="155">
      <c r="A554" s="111" t="inlineStr">
        <is>
          <t>SAIMA S.p.A.</t>
        </is>
      </c>
      <c r="B554" s="194" t="n">
        <v>45981</v>
      </c>
      <c r="C554" s="111" t="inlineStr">
        <is>
          <t>1/202426</t>
        </is>
      </c>
      <c r="D554" s="111" t="inlineStr">
        <is>
          <t xml:space="preserve">AROMA PISTO SUPER EXTRA IN POLVERE  </t>
        </is>
      </c>
    </row>
    <row r="555" ht="47.25" customHeight="1" s="155">
      <c r="A555" s="111" t="inlineStr">
        <is>
          <t>SAIMA S.p.A.</t>
        </is>
      </c>
      <c r="B555" s="194" t="n">
        <v>45981</v>
      </c>
      <c r="C555" s="111" t="inlineStr">
        <is>
          <t>1/202426</t>
        </is>
      </c>
      <c r="D555" s="111" t="inlineStr">
        <is>
          <t xml:space="preserve">PIROTTINI ROTONDI (ART.4) PICCOLI MM35XH21 PZ 2000  </t>
        </is>
      </c>
    </row>
    <row r="556" ht="47.25" customHeight="1" s="155">
      <c r="A556" s="111" t="inlineStr">
        <is>
          <t>SAIMA S.p.A.</t>
        </is>
      </c>
      <c r="B556" s="194" t="n">
        <v>45981</v>
      </c>
      <c r="C556" s="111" t="inlineStr">
        <is>
          <t>1/202426</t>
        </is>
      </c>
      <c r="D556" s="111" t="inlineStr">
        <is>
          <t xml:space="preserve">PIROTTINI ROTONDI GRANDI (ART.7) MM50xH25 PZ 2000  </t>
        </is>
      </c>
    </row>
    <row r="557" ht="31.5" customHeight="1" s="155">
      <c r="A557" s="111" t="inlineStr">
        <is>
          <t>SAIMA S.p.A.</t>
        </is>
      </c>
      <c r="B557" s="194" t="n">
        <v>45981</v>
      </c>
      <c r="C557" s="111" t="inlineStr">
        <is>
          <t>1/202426</t>
        </is>
      </c>
      <c r="D557" s="111" t="inlineStr">
        <is>
          <t xml:space="preserve">MAGIC FONDANT DA KG 14  </t>
        </is>
      </c>
    </row>
    <row r="558" ht="31.5" customHeight="1" s="155">
      <c r="A558" s="111" t="inlineStr">
        <is>
          <t>SAIMA S.p.A.</t>
        </is>
      </c>
      <c r="B558" s="194" t="n">
        <v>45981</v>
      </c>
      <c r="C558" s="111" t="inlineStr">
        <is>
          <t>1/202426</t>
        </is>
      </c>
      <c r="D558" s="111" t="inlineStr">
        <is>
          <t xml:space="preserve">AROMA VANIGLIATO 94^ LT 2  </t>
        </is>
      </c>
    </row>
    <row r="559" ht="31.5" customHeight="1" s="155">
      <c r="A559" s="111" t="inlineStr">
        <is>
          <t>SAIMA S.p.A.</t>
        </is>
      </c>
      <c r="B559" s="194" t="n">
        <v>45981</v>
      </c>
      <c r="C559" s="111" t="inlineStr">
        <is>
          <t>1/202426</t>
        </is>
      </c>
      <c r="D559" s="111" t="inlineStr">
        <is>
          <t xml:space="preserve">PANNA TENUTAPIU' DA LT 1 (M.G. 38%)  </t>
        </is>
      </c>
    </row>
    <row r="560" ht="47.25" customHeight="1" s="155">
      <c r="A560" s="111" t="inlineStr">
        <is>
          <t>SAIMA S.p.A.</t>
        </is>
      </c>
      <c r="B560" s="194" t="n">
        <v>45981</v>
      </c>
      <c r="C560" s="111" t="inlineStr">
        <is>
          <t>1/202426</t>
        </is>
      </c>
      <c r="D560" s="111" t="inlineStr">
        <is>
          <t xml:space="preserve">STAMPI PANETTONI BASSI DA KG 1 PZ 80 (M210/70HW)  </t>
        </is>
      </c>
    </row>
    <row r="561" ht="78.75" customHeight="1" s="155">
      <c r="A561" s="111" t="inlineStr">
        <is>
          <t>SAIMA S.p.A.</t>
        </is>
      </c>
      <c r="B561" s="194" t="n">
        <v>45981</v>
      </c>
      <c r="C561" s="111" t="inlineStr">
        <is>
          <t>1/202426</t>
        </is>
      </c>
      <c r="D561" s="111" t="inlineStr">
        <is>
          <t xml:space="preserve">CREMA NOCCIOLA (13%)SOFT DA FARCITURA KG 6 (42000344/NP075 SOFT)  </t>
        </is>
      </c>
    </row>
    <row r="562" ht="31.5" customHeight="1" s="155">
      <c r="A562" s="111" t="inlineStr">
        <is>
          <t>SAIMA S.p.A.</t>
        </is>
      </c>
      <c r="B562" s="194" t="n">
        <v>45981</v>
      </c>
      <c r="C562" s="111" t="inlineStr">
        <is>
          <t>1/202426</t>
        </is>
      </c>
      <c r="D562" s="111" t="inlineStr">
        <is>
          <t xml:space="preserve">MILKNUT (LATTE E NOCCIOLA) DA KG 6  </t>
        </is>
      </c>
    </row>
    <row r="563" ht="47.25" customHeight="1" s="155">
      <c r="A563" s="111" t="inlineStr">
        <is>
          <t>SAIMA S.p.A.</t>
        </is>
      </c>
      <c r="B563" s="194" t="n">
        <v>45981</v>
      </c>
      <c r="C563" s="111" t="inlineStr">
        <is>
          <t>1/202426</t>
        </is>
      </c>
      <c r="D563" s="111" t="inlineStr">
        <is>
          <t xml:space="preserve">CREMA PAN DI STELLE SPALMABILE IN CONFEZIONE DA KG 3  </t>
        </is>
      </c>
    </row>
    <row r="564" ht="63" customHeight="1" s="155">
      <c r="A564" s="111" t="inlineStr">
        <is>
          <t>SAIMA S.p.A.</t>
        </is>
      </c>
      <c r="B564" s="194" t="n">
        <v>45981</v>
      </c>
      <c r="C564" s="111" t="inlineStr">
        <is>
          <t>1/202426</t>
        </is>
      </c>
      <c r="D564" s="111" t="inlineStr">
        <is>
          <t xml:space="preserve">PASTA GLASSATURA FONDENTE PATE A GLACER DA KG 5 (Brune)  </t>
        </is>
      </c>
    </row>
    <row r="565" ht="47.25" customHeight="1" s="155">
      <c r="A565" s="111" t="inlineStr">
        <is>
          <t>SAIMA S.p.A.</t>
        </is>
      </c>
      <c r="B565" s="194" t="n">
        <v>45981</v>
      </c>
      <c r="C565" s="111" t="inlineStr">
        <is>
          <t>1/202426</t>
        </is>
      </c>
      <c r="D565" s="111" t="inlineStr">
        <is>
          <t xml:space="preserve">PASTA GLASSATURA BIANCO PATE A GLACER DA KG 5 (Ivoire)  </t>
        </is>
      </c>
    </row>
    <row r="566" ht="47.25" customHeight="1" s="155">
      <c r="A566" s="111" t="inlineStr">
        <is>
          <t>SAIMA S.p.A.</t>
        </is>
      </c>
      <c r="B566" s="194" t="n">
        <v>45981</v>
      </c>
      <c r="C566" s="111" t="inlineStr">
        <is>
          <t>1/202426</t>
        </is>
      </c>
      <c r="D566" s="111" t="inlineStr">
        <is>
          <t xml:space="preserve">PASTA GLASSATURA LATTE PATE A GLACER DA KG 5 (Blonde)  </t>
        </is>
      </c>
    </row>
    <row r="567" ht="31.5" customHeight="1" s="155">
      <c r="A567" s="111" t="inlineStr">
        <is>
          <t>SAIMA S.p.A.</t>
        </is>
      </c>
      <c r="B567" s="194" t="n">
        <v>45981</v>
      </c>
      <c r="C567" s="111" t="inlineStr">
        <is>
          <t>1/202426</t>
        </is>
      </c>
      <c r="D567" s="111" t="inlineStr">
        <is>
          <t xml:space="preserve">Omaggio con rivalsa iva  </t>
        </is>
      </c>
    </row>
    <row r="568" ht="63" customHeight="1" s="155">
      <c r="A568" s="111" t="inlineStr">
        <is>
          <t>SAIMA S.p.A.</t>
        </is>
      </c>
      <c r="B568" s="194" t="n">
        <v>45981</v>
      </c>
      <c r="C568" s="111" t="inlineStr">
        <is>
          <t>1/202426</t>
        </is>
      </c>
      <c r="D568" s="111" t="inlineStr">
        <is>
          <t xml:space="preserve">BASE PASTA DI MANDORLE MO ORO CONFEZIONE DA KG 12,5  </t>
        </is>
      </c>
    </row>
    <row r="569">
      <c r="A569" s="111" t="inlineStr">
        <is>
          <t>SAIMA S.p.A.</t>
        </is>
      </c>
      <c r="B569" s="194" t="n">
        <v>46006</v>
      </c>
      <c r="C569" s="111" t="inlineStr">
        <is>
          <t>1/221071</t>
        </is>
      </c>
      <c r="D569" s="111" t="inlineStr">
        <is>
          <t>tuorlo</t>
        </is>
      </c>
    </row>
    <row r="570" ht="47.25" customHeight="1" s="155">
      <c r="A570" s="111" t="inlineStr">
        <is>
          <t>SAIMA S.p.A.</t>
        </is>
      </c>
      <c r="B570" s="194" t="n">
        <v>45981</v>
      </c>
      <c r="C570" s="111" t="inlineStr">
        <is>
          <t>1/202426</t>
        </is>
      </c>
      <c r="D570" s="111" t="inlineStr">
        <is>
          <t xml:space="preserve">PASTA REALE CONFEZIONE DA KG 12,5  </t>
        </is>
      </c>
    </row>
    <row r="571" ht="31.5" customHeight="1" s="155">
      <c r="A571" s="111" t="inlineStr">
        <is>
          <t>F.lli Fiorentino Srl</t>
        </is>
      </c>
      <c r="B571" s="194" t="n">
        <v>45982</v>
      </c>
      <c r="C571" s="111" t="inlineStr">
        <is>
          <t>1/14722</t>
        </is>
      </c>
      <c r="D571" s="111" t="inlineStr">
        <is>
          <t xml:space="preserve">FARINA 0/MAN. CAPUTO DA KG.25  </t>
        </is>
      </c>
    </row>
    <row r="572" ht="47.25" customHeight="1" s="155">
      <c r="A572" s="111" t="inlineStr">
        <is>
          <t>F.lli Fiorentino Srl</t>
        </is>
      </c>
      <c r="B572" s="194" t="n">
        <v>45982</v>
      </c>
      <c r="C572" s="111" t="inlineStr">
        <is>
          <t>1/14722</t>
        </is>
      </c>
      <c r="D572" s="111" t="inlineStr">
        <is>
          <t xml:space="preserve">ZUCCHERO RAF.SEM.ERIDANIA KG.25  </t>
        </is>
      </c>
    </row>
    <row r="573" ht="31.5" customHeight="1" s="155">
      <c r="A573" s="111" t="inlineStr">
        <is>
          <t>F.lli Fiorentino Srl</t>
        </is>
      </c>
      <c r="B573" s="194" t="n">
        <v>45982</v>
      </c>
      <c r="C573" s="111" t="inlineStr">
        <is>
          <t>1/14722</t>
        </is>
      </c>
      <c r="D573" s="111" t="inlineStr">
        <is>
          <t xml:space="preserve">OLIO EXTRAVERGINE OLIVA L.5  </t>
        </is>
      </c>
    </row>
    <row r="574" ht="31.5" customHeight="1" s="155">
      <c r="A574" s="111" t="inlineStr">
        <is>
          <t>F.lli Fiorentino Srl</t>
        </is>
      </c>
      <c r="B574" s="194" t="n">
        <v>45982</v>
      </c>
      <c r="C574" s="111" t="inlineStr">
        <is>
          <t>1/14722</t>
        </is>
      </c>
      <c r="D574" s="111" t="inlineStr">
        <is>
          <t xml:space="preserve">OLIO SEMI GIRASOLE SORRENTO L.25  </t>
        </is>
      </c>
    </row>
    <row r="575" ht="31.5" customHeight="1" s="155">
      <c r="A575" s="111" t="inlineStr">
        <is>
          <t>F.lli Fiorentino Srl</t>
        </is>
      </c>
      <c r="B575" s="194" t="n">
        <v>45982</v>
      </c>
      <c r="C575" s="111" t="inlineStr">
        <is>
          <t>1/14722</t>
        </is>
      </c>
      <c r="D575" s="111" t="inlineStr">
        <is>
          <t xml:space="preserve">TONNO CALLIPO OL.OLIVA G.80x96  </t>
        </is>
      </c>
    </row>
    <row r="576" ht="31.5" customHeight="1" s="155">
      <c r="A576" s="111" t="inlineStr">
        <is>
          <t>F.lli Fiorentino Srl</t>
        </is>
      </c>
      <c r="B576" s="194" t="n">
        <v>45982</v>
      </c>
      <c r="C576" s="111" t="inlineStr">
        <is>
          <t>1/14722</t>
        </is>
      </c>
      <c r="D576" s="111" t="inlineStr">
        <is>
          <t xml:space="preserve">FAGIOLI CANNELL LESSATI KG.3X6  </t>
        </is>
      </c>
    </row>
    <row r="577" ht="31.5" customHeight="1" s="155">
      <c r="A577" s="111" t="inlineStr">
        <is>
          <t>F.lli Fiorentino Srl</t>
        </is>
      </c>
      <c r="B577" s="194" t="n">
        <v>45982</v>
      </c>
      <c r="C577" s="111" t="inlineStr">
        <is>
          <t>1/14722</t>
        </is>
      </c>
      <c r="D577" s="111" t="inlineStr">
        <is>
          <t xml:space="preserve">FAGIOLI BORLOTTI da KG.3X6  </t>
        </is>
      </c>
    </row>
    <row r="578" ht="31.5" customHeight="1" s="155">
      <c r="A578" s="111" t="inlineStr">
        <is>
          <t>F.lli Fiorentino Srl</t>
        </is>
      </c>
      <c r="B578" s="194" t="n">
        <v>45982</v>
      </c>
      <c r="C578" s="111" t="inlineStr">
        <is>
          <t>1/14722</t>
        </is>
      </c>
      <c r="D578" s="111" t="inlineStr">
        <is>
          <t xml:space="preserve">POMODORI PELATI KG.3 TORRENTE  </t>
        </is>
      </c>
    </row>
    <row r="579" ht="31.5" customHeight="1" s="155">
      <c r="A579" s="111" t="inlineStr">
        <is>
          <t>F.lli Fiorentino Srl</t>
        </is>
      </c>
      <c r="B579" s="194" t="n">
        <v>45982</v>
      </c>
      <c r="C579" s="111" t="inlineStr">
        <is>
          <t>1/14722</t>
        </is>
      </c>
      <c r="D579" s="111" t="inlineStr">
        <is>
          <t xml:space="preserve">FUNGHI CHAMP CASARECCIA KG.3X6  </t>
        </is>
      </c>
    </row>
    <row r="580" ht="31.5" customHeight="1" s="155">
      <c r="A580" s="111" t="inlineStr">
        <is>
          <t>F.lli Fiorentino Srl</t>
        </is>
      </c>
      <c r="B580" s="194" t="n">
        <v>45982</v>
      </c>
      <c r="C580" s="111" t="inlineStr">
        <is>
          <t>1/14722</t>
        </is>
      </c>
      <c r="D580" s="111" t="inlineStr">
        <is>
          <t xml:space="preserve">DE CECCO PENNE LISCE 140  </t>
        </is>
      </c>
    </row>
    <row r="581" ht="31.5" customHeight="1" s="155">
      <c r="A581" s="111" t="inlineStr">
        <is>
          <t>F.lli Fiorentino Srl</t>
        </is>
      </c>
      <c r="B581" s="194" t="n">
        <v>45982</v>
      </c>
      <c r="C581" s="111" t="inlineStr">
        <is>
          <t>1/14722</t>
        </is>
      </c>
      <c r="D581" s="111" t="inlineStr">
        <is>
          <t xml:space="preserve">DECECCO MEZZA ZITA 117  </t>
        </is>
      </c>
    </row>
    <row r="582" ht="31.5" customHeight="1" s="155">
      <c r="A582" s="111" t="inlineStr">
        <is>
          <t>F.lli Fiorentino Srl</t>
        </is>
      </c>
      <c r="B582" s="194" t="n">
        <v>45982</v>
      </c>
      <c r="C582" s="111" t="inlineStr">
        <is>
          <t>1/14722</t>
        </is>
      </c>
      <c r="D582" s="111" t="inlineStr">
        <is>
          <t xml:space="preserve">DE CECCO TUBETTI LISCI 62  </t>
        </is>
      </c>
    </row>
    <row r="583" ht="31.5" customHeight="1" s="155">
      <c r="A583" s="111" t="inlineStr">
        <is>
          <t>F.lli Fiorentino Srl</t>
        </is>
      </c>
      <c r="B583" s="194" t="n">
        <v>45982</v>
      </c>
      <c r="C583" s="111" t="inlineStr">
        <is>
          <t>1/14722</t>
        </is>
      </c>
      <c r="D583" s="111" t="inlineStr">
        <is>
          <t xml:space="preserve">MAIS BONDUELLE GR.300X12  </t>
        </is>
      </c>
    </row>
    <row r="584" ht="31.5" customHeight="1" s="155">
      <c r="A584" s="111" t="inlineStr">
        <is>
          <t>SAIMA S.p.A.</t>
        </is>
      </c>
      <c r="B584" s="194" t="n">
        <v>45986</v>
      </c>
      <c r="C584" s="111" t="inlineStr">
        <is>
          <t>1/205273</t>
        </is>
      </c>
      <c r="D584" s="111" t="inlineStr">
        <is>
          <t xml:space="preserve">AMIDO ARTECREMA CONFEZIONE DA 1 KG  </t>
        </is>
      </c>
    </row>
    <row r="585" ht="47.25" customHeight="1" s="155">
      <c r="A585" s="111" t="inlineStr">
        <is>
          <t>SAIMA S.p.A.</t>
        </is>
      </c>
      <c r="B585" s="194" t="n">
        <v>45986</v>
      </c>
      <c r="C585" s="111" t="inlineStr">
        <is>
          <t>1/205273</t>
        </is>
      </c>
      <c r="D585" s="111" t="inlineStr">
        <is>
          <t xml:space="preserve">CARTA DA FORNO SILICONATA CM 60X40 PZ 500  </t>
        </is>
      </c>
    </row>
    <row r="586" ht="47.25" customHeight="1" s="155">
      <c r="A586" s="111" t="inlineStr">
        <is>
          <t>SAIMA S.p.A.</t>
        </is>
      </c>
      <c r="B586" s="194" t="n">
        <v>45986</v>
      </c>
      <c r="C586" s="111" t="inlineStr">
        <is>
          <t>1/205273</t>
        </is>
      </c>
      <c r="D586" s="111" t="inlineStr">
        <is>
          <t xml:space="preserve">SCAGLIETTA DI SURROGATO FONDENTE RIO DA KG 2 (DS00AG)  </t>
        </is>
      </c>
    </row>
    <row r="587" ht="31.5" customHeight="1" s="155">
      <c r="A587" s="111" t="inlineStr">
        <is>
          <t>SAIMA S.p.A.</t>
        </is>
      </c>
      <c r="B587" s="194" t="n">
        <v>45986</v>
      </c>
      <c r="C587" s="111" t="inlineStr">
        <is>
          <t>1/205273</t>
        </is>
      </c>
      <c r="D587" s="111" t="inlineStr">
        <is>
          <t xml:space="preserve">MIX YOGOFINE DA KG 15  </t>
        </is>
      </c>
    </row>
    <row r="588" ht="47.25" customHeight="1" s="155">
      <c r="A588" s="111" t="inlineStr">
        <is>
          <t>SAIMA S.p.A.</t>
        </is>
      </c>
      <c r="B588" s="194" t="n">
        <v>45986</v>
      </c>
      <c r="C588" s="111" t="inlineStr">
        <is>
          <t>1/205273</t>
        </is>
      </c>
      <c r="D588" s="111" t="inlineStr">
        <is>
          <t xml:space="preserve">UVA SULTANINA AUSTRALIANA VINTAGE CONFEZIONE DA KG 14  </t>
        </is>
      </c>
    </row>
    <row r="589" ht="63" customHeight="1" s="155">
      <c r="A589" s="111" t="inlineStr">
        <is>
          <t>SAIMA S.p.A.</t>
        </is>
      </c>
      <c r="B589" s="194" t="n">
        <v>45986</v>
      </c>
      <c r="C589" s="111" t="inlineStr">
        <is>
          <t>1/205273</t>
        </is>
      </c>
      <c r="D589" s="111" t="inlineStr">
        <is>
          <t xml:space="preserve">SCORZONE ARANCIO FRESCO PREMIUM CUBETTI 10X10 CANDITO DA KG 3  </t>
        </is>
      </c>
    </row>
    <row r="590" ht="47.25" customHeight="1" s="155">
      <c r="A590" s="111" t="inlineStr">
        <is>
          <t>SAIMA S.p.A.</t>
        </is>
      </c>
      <c r="B590" s="194" t="n">
        <v>45986</v>
      </c>
      <c r="C590" s="111" t="inlineStr">
        <is>
          <t>1/205273</t>
        </is>
      </c>
      <c r="D590" s="111" t="inlineStr">
        <is>
          <t xml:space="preserve">MELANGE PLUS HOMILLINA GATEAUX DA KG 10 (4156)  </t>
        </is>
      </c>
    </row>
    <row r="591" ht="47.25" customHeight="1" s="155">
      <c r="A591" s="111" t="inlineStr">
        <is>
          <t>SAIMA S.p.A.</t>
        </is>
      </c>
      <c r="B591" s="194" t="n">
        <v>45986</v>
      </c>
      <c r="C591" s="111" t="inlineStr">
        <is>
          <t>1/205273</t>
        </is>
      </c>
      <c r="D591" s="111" t="inlineStr">
        <is>
          <t xml:space="preserve">MELANGE PLUS HOMILLINA PLATTE DA KG 10 (4155)  </t>
        </is>
      </c>
    </row>
    <row r="592" ht="63" customHeight="1" s="155">
      <c r="A592" s="111" t="inlineStr">
        <is>
          <t>SAIMA S.p.A.</t>
        </is>
      </c>
      <c r="B592" s="194" t="n">
        <v>45986</v>
      </c>
      <c r="C592" s="111" t="inlineStr">
        <is>
          <t>1/205273</t>
        </is>
      </c>
      <c r="D592" s="111" t="inlineStr">
        <is>
          <t xml:space="preserve">TARTELLETTA (063213) MODERN DOLCE C/BURRO 43MM PZ 250 (SFUSO)  </t>
        </is>
      </c>
    </row>
    <row r="593" ht="47.25" customHeight="1" s="155">
      <c r="A593" s="111" t="inlineStr">
        <is>
          <t>SAIMA S.p.A.</t>
        </is>
      </c>
      <c r="B593" s="194" t="n">
        <v>45986</v>
      </c>
      <c r="C593" s="111" t="inlineStr">
        <is>
          <t>1/205273</t>
        </is>
      </c>
      <c r="D593" s="111" t="inlineStr">
        <is>
          <t xml:space="preserve">BARCHETTA FROLLA MIGNON LUNGHEZZA mm 67 PZ 250  </t>
        </is>
      </c>
    </row>
    <row r="594" ht="63" customHeight="1" s="155">
      <c r="A594" s="111" t="inlineStr">
        <is>
          <t>SAIMA S.p.A.</t>
        </is>
      </c>
      <c r="B594" s="194" t="n">
        <v>45986</v>
      </c>
      <c r="C594" s="111" t="inlineStr">
        <is>
          <t>1/205273</t>
        </is>
      </c>
      <c r="D594" s="111" t="inlineStr">
        <is>
          <t xml:space="preserve">CREMA RIO TRADIZIONE PISTACCHIO IN CONFEZIONE DA KG 5 (DC00BM)  </t>
        </is>
      </c>
    </row>
    <row r="595" ht="47.25" customHeight="1" s="155">
      <c r="A595" s="111" t="inlineStr">
        <is>
          <t>SAIMA S.p.A.</t>
        </is>
      </c>
      <c r="B595" s="194" t="n">
        <v>45986</v>
      </c>
      <c r="C595" s="111" t="inlineStr">
        <is>
          <t>1/205273</t>
        </is>
      </c>
      <c r="D595" s="111" t="inlineStr">
        <is>
          <t xml:space="preserve">GELATINA GELINA A FREDDO NEUTRA IN CONFEZIONE DA KG 6  </t>
        </is>
      </c>
    </row>
    <row r="596" ht="47.25" customHeight="1" s="155">
      <c r="A596" s="111" t="inlineStr">
        <is>
          <t>SAIMA S.p.A.</t>
        </is>
      </c>
      <c r="B596" s="194" t="n">
        <v>45986</v>
      </c>
      <c r="C596" s="111" t="inlineStr">
        <is>
          <t>1/205273</t>
        </is>
      </c>
      <c r="D596" s="111" t="inlineStr">
        <is>
          <t xml:space="preserve">MEZZELUNE DI GELATINA AL LIMONE KG 2  </t>
        </is>
      </c>
    </row>
    <row r="597" ht="47.25" customHeight="1" s="155">
      <c r="A597" s="111" t="inlineStr">
        <is>
          <t>SAIMA S.p.A.</t>
        </is>
      </c>
      <c r="B597" s="194" t="n">
        <v>45986</v>
      </c>
      <c r="C597" s="111" t="inlineStr">
        <is>
          <t>1/205273</t>
        </is>
      </c>
      <c r="D597" s="111" t="inlineStr">
        <is>
          <t xml:space="preserve">STRUTTO PAPILLON EXTRA IN SECCHIO DA KG 15  </t>
        </is>
      </c>
    </row>
    <row r="598" ht="47.25" customHeight="1" s="155">
      <c r="A598" s="111" t="inlineStr">
        <is>
          <t>SAIMA S.p.A.</t>
        </is>
      </c>
      <c r="B598" s="194" t="n">
        <v>45979</v>
      </c>
      <c r="C598" s="111" t="inlineStr">
        <is>
          <t>1/200643</t>
        </is>
      </c>
      <c r="D598" s="111" t="inlineStr">
        <is>
          <t xml:space="preserve">PASSATA ALBICOCCA LABO GARDEN FRUIT DA KG 12,5  </t>
        </is>
      </c>
    </row>
    <row r="599" ht="47.25" customHeight="1" s="155">
      <c r="A599" s="111" t="inlineStr">
        <is>
          <t>SAIMA S.p.A.</t>
        </is>
      </c>
      <c r="B599" s="194" t="n">
        <v>45979</v>
      </c>
      <c r="C599" s="111" t="inlineStr">
        <is>
          <t>1/200643</t>
        </is>
      </c>
      <c r="D599" s="111" t="inlineStr">
        <is>
          <t xml:space="preserve">MELANGE PLUS HOMILLINA PLATTE DA KG 10 (4155)  </t>
        </is>
      </c>
    </row>
    <row r="600" ht="47.25" customHeight="1" s="155">
      <c r="A600" s="111" t="inlineStr">
        <is>
          <t>SAIMA S.p.A.</t>
        </is>
      </c>
      <c r="B600" s="194" t="n">
        <v>45979</v>
      </c>
      <c r="C600" s="111" t="inlineStr">
        <is>
          <t>1/200643</t>
        </is>
      </c>
      <c r="D600" s="111" t="inlineStr">
        <is>
          <t xml:space="preserve">GOCCINE MIGNON DI SURROGATO FONDENTE 1000/HG DA KG 12  </t>
        </is>
      </c>
    </row>
    <row r="601" ht="63" customHeight="1" s="155">
      <c r="A601" s="111" t="inlineStr">
        <is>
          <t>SAIMA S.p.A.</t>
        </is>
      </c>
      <c r="B601" s="194" t="n">
        <v>45979</v>
      </c>
      <c r="C601" s="111" t="inlineStr">
        <is>
          <t>1/200643</t>
        </is>
      </c>
      <c r="D601" s="111" t="inlineStr">
        <is>
          <t xml:space="preserve">CREMA RIO TRADIZIONE PISTACCHIO IN CONFEZIONE DA KG 5 (DC00BM)  </t>
        </is>
      </c>
    </row>
    <row r="602" ht="63" customHeight="1" s="155">
      <c r="A602" s="111" t="inlineStr">
        <is>
          <t>SAIMA S.p.A.</t>
        </is>
      </c>
      <c r="B602" s="194" t="n">
        <v>45979</v>
      </c>
      <c r="C602" s="111" t="inlineStr">
        <is>
          <t>1/200643</t>
        </is>
      </c>
      <c r="D602" s="111" t="inlineStr">
        <is>
          <t xml:space="preserve">TARTELLETTA (063915) MODERN DOLCE CON BURRO 65MM PZ 90(BLISTER)  </t>
        </is>
      </c>
    </row>
    <row r="603" ht="31.5" customHeight="1" s="155">
      <c r="A603" s="111" t="inlineStr">
        <is>
          <t>SAIMA S.p.A.</t>
        </is>
      </c>
      <c r="B603" s="194" t="n">
        <v>45987</v>
      </c>
      <c r="C603" s="111" t="inlineStr">
        <is>
          <t>1/206258</t>
        </is>
      </c>
      <c r="D603" s="111" t="inlineStr">
        <is>
          <t xml:space="preserve">PANNA SPRAY ZUCCHERATA ML 700  </t>
        </is>
      </c>
    </row>
    <row r="604" ht="31.5" customHeight="1" s="155">
      <c r="A604" s="111" t="inlineStr">
        <is>
          <t>SAIMA S.p.A.</t>
        </is>
      </c>
      <c r="B604" s="194" t="n">
        <v>46007</v>
      </c>
      <c r="C604" s="111" t="inlineStr">
        <is>
          <t>1/221664</t>
        </is>
      </c>
      <c r="D604" s="111" t="inlineStr">
        <is>
          <t xml:space="preserve">NUOVA BIANCALIEVE CREMA DA MONTARE  </t>
        </is>
      </c>
    </row>
    <row r="605" ht="31.5" customHeight="1" s="155">
      <c r="A605" s="111" t="inlineStr">
        <is>
          <t>SAIMA S.p.A.</t>
        </is>
      </c>
      <c r="B605" s="194" t="n">
        <v>45993</v>
      </c>
      <c r="C605" s="111" t="inlineStr">
        <is>
          <t>1/210345</t>
        </is>
      </c>
      <c r="D605" s="111" t="inlineStr">
        <is>
          <t xml:space="preserve">ESSENZA CANNELLA GR 500  </t>
        </is>
      </c>
    </row>
    <row r="606" ht="31.5" customHeight="1" s="155">
      <c r="A606" s="111" t="inlineStr">
        <is>
          <t>SAIMA S.p.A.</t>
        </is>
      </c>
      <c r="B606" s="194" t="n">
        <v>45993</v>
      </c>
      <c r="C606" s="111" t="inlineStr">
        <is>
          <t>1/210345</t>
        </is>
      </c>
      <c r="D606" s="111" t="inlineStr">
        <is>
          <t xml:space="preserve">MANDORLE NATURALI IN CARTONI DA KG 10  </t>
        </is>
      </c>
    </row>
    <row r="607" ht="31.5" customHeight="1" s="155">
      <c r="A607" s="111" t="inlineStr">
        <is>
          <t>SAIMA S.p.A.</t>
        </is>
      </c>
      <c r="B607" s="194" t="n">
        <v>45993</v>
      </c>
      <c r="C607" s="111" t="inlineStr">
        <is>
          <t>1/210345</t>
        </is>
      </c>
      <c r="D607" s="111" t="inlineStr">
        <is>
          <t xml:space="preserve">SOTTOGELI GRANDI PZ 2000 CM 13  </t>
        </is>
      </c>
    </row>
    <row r="608" ht="63" customHeight="1" s="155">
      <c r="A608" s="111" t="inlineStr">
        <is>
          <t>SAIMA S.p.A.</t>
        </is>
      </c>
      <c r="B608" s="194" t="n">
        <v>45993</v>
      </c>
      <c r="C608" s="111" t="inlineStr">
        <is>
          <t>1/210345</t>
        </is>
      </c>
      <c r="D608" s="111" t="inlineStr">
        <is>
          <t xml:space="preserve">EUROVO ALBUME STANDARD PASTORIZZATO (NORMALE) (5197)  </t>
        </is>
      </c>
    </row>
    <row r="609" ht="31.5" customHeight="1" s="155">
      <c r="A609" s="111" t="inlineStr">
        <is>
          <t>SAIMA S.p.A.</t>
        </is>
      </c>
      <c r="B609" s="194" t="n">
        <v>45993</v>
      </c>
      <c r="C609" s="111" t="inlineStr">
        <is>
          <t>1/210345</t>
        </is>
      </c>
      <c r="D609" s="111" t="inlineStr">
        <is>
          <t xml:space="preserve">MAGIC FONDANT DA KG 14  </t>
        </is>
      </c>
    </row>
    <row r="610" ht="47.25" customHeight="1" s="155">
      <c r="A610" s="111" t="inlineStr">
        <is>
          <t>SAIMA S.p.A.</t>
        </is>
      </c>
      <c r="B610" s="194" t="n">
        <v>45993</v>
      </c>
      <c r="C610" s="111" t="inlineStr">
        <is>
          <t>1/210345</t>
        </is>
      </c>
      <c r="D610" s="111" t="inlineStr">
        <is>
          <t xml:space="preserve">COLORE IDROSOLUBILE ROSSO GR 150 (IDRO150RSS)  </t>
        </is>
      </c>
    </row>
    <row r="611" ht="31.5" customHeight="1" s="155">
      <c r="A611" s="111" t="inlineStr">
        <is>
          <t>SAIMA S.p.A.</t>
        </is>
      </c>
      <c r="B611" s="194" t="n">
        <v>45993</v>
      </c>
      <c r="C611" s="111" t="inlineStr">
        <is>
          <t>1/210345</t>
        </is>
      </c>
      <c r="D611" s="111" t="inlineStr">
        <is>
          <t xml:space="preserve">AROMA EMULSIONE BURRO NATURALE  </t>
        </is>
      </c>
    </row>
    <row r="612" ht="47.25" customHeight="1" s="155">
      <c r="A612" s="111" t="inlineStr">
        <is>
          <t>SAIMA S.p.A.</t>
        </is>
      </c>
      <c r="B612" s="194" t="n">
        <v>45993</v>
      </c>
      <c r="C612" s="111" t="inlineStr">
        <is>
          <t>1/210345</t>
        </is>
      </c>
      <c r="D612" s="111" t="inlineStr">
        <is>
          <t xml:space="preserve">SURROGATO FONDENTE SUPERBRILL250 IN CONFEZIONE DA KG 10  </t>
        </is>
      </c>
    </row>
    <row r="613" ht="47.25" customHeight="1" s="155">
      <c r="A613" s="111" t="inlineStr">
        <is>
          <t>SAIMA S.p.A.</t>
        </is>
      </c>
      <c r="B613" s="194" t="n">
        <v>45993</v>
      </c>
      <c r="C613" s="111" t="inlineStr">
        <is>
          <t>1/210345</t>
        </is>
      </c>
      <c r="D613" s="111" t="inlineStr">
        <is>
          <t xml:space="preserve">SURROGATO BIANCO SUPERBRILL IN CONFEZIONE DA KG 10  </t>
        </is>
      </c>
    </row>
    <row r="614" ht="31.5" customHeight="1" s="155">
      <c r="A614" s="111" t="inlineStr">
        <is>
          <t>SAIMA S.p.A.</t>
        </is>
      </c>
      <c r="B614" s="194" t="n">
        <v>45993</v>
      </c>
      <c r="C614" s="111" t="inlineStr">
        <is>
          <t>1/210345</t>
        </is>
      </c>
      <c r="D614" s="111" t="inlineStr">
        <is>
          <t xml:space="preserve">AROMA EMULSIONE PANETTONE NATURALE  </t>
        </is>
      </c>
    </row>
    <row r="615" ht="31.5" customHeight="1" s="155">
      <c r="A615" s="111" t="inlineStr">
        <is>
          <t>SAIMA S.p.A.</t>
        </is>
      </c>
      <c r="B615" s="194" t="n">
        <v>45993</v>
      </c>
      <c r="C615" s="111" t="inlineStr">
        <is>
          <t>1/210345</t>
        </is>
      </c>
      <c r="D615" s="111" t="inlineStr">
        <is>
          <t xml:space="preserve">AMIDO ARTECREMA CONFEZIONE DA 20 KG  </t>
        </is>
      </c>
    </row>
    <row r="616" ht="31.5" customHeight="1" s="155">
      <c r="A616" s="111" t="inlineStr">
        <is>
          <t>NATURISSIME SRL</t>
        </is>
      </c>
      <c r="B616" s="194" t="n">
        <v>46010</v>
      </c>
      <c r="C616" s="111" t="n">
        <v>5963</v>
      </c>
      <c r="D616" s="111" t="inlineStr">
        <is>
          <t>CAT.A UOVA FRESCHE COD. 3 - L DA 180</t>
        </is>
      </c>
    </row>
    <row r="617" ht="47.25" customHeight="1" s="155">
      <c r="A617" s="111" t="inlineStr">
        <is>
          <t>SAIMA S.p.A.</t>
        </is>
      </c>
      <c r="B617" s="194" t="n">
        <v>45993</v>
      </c>
      <c r="C617" s="111" t="inlineStr">
        <is>
          <t>1/210345</t>
        </is>
      </c>
      <c r="D617" s="111" t="inlineStr">
        <is>
          <t xml:space="preserve">BARCHETTA FROLLA MIGNON LUNGHEZZA mm 67 PZ 250  </t>
        </is>
      </c>
    </row>
    <row r="618" ht="47.25" customHeight="1" s="155">
      <c r="A618" s="111" t="inlineStr">
        <is>
          <t>SAIMA S.p.A.</t>
        </is>
      </c>
      <c r="B618" s="194" t="n">
        <v>45993</v>
      </c>
      <c r="C618" s="111" t="inlineStr">
        <is>
          <t>1/210345</t>
        </is>
      </c>
      <c r="D618" s="111" t="inlineStr">
        <is>
          <t xml:space="preserve">LIEVITO BACK PULVER CHIMICO DA KG 2,5 + BRICCO GRADUATO  </t>
        </is>
      </c>
    </row>
    <row r="619" ht="63" customHeight="1" s="155">
      <c r="A619" s="111" t="inlineStr">
        <is>
          <t>SAIMA S.p.A.</t>
        </is>
      </c>
      <c r="B619" s="194" t="n">
        <v>45993</v>
      </c>
      <c r="C619" s="111" t="inlineStr">
        <is>
          <t>1/210345</t>
        </is>
      </c>
      <c r="D619" s="111" t="inlineStr">
        <is>
          <t xml:space="preserve">SIGILLO ROSSO "MERRY CHRISTMAS" DIAM.3CM 175PZ 14616  </t>
        </is>
      </c>
    </row>
    <row r="620" ht="63" customHeight="1" s="155">
      <c r="A620" s="111" t="inlineStr">
        <is>
          <t>SAIMA S.p.A.</t>
        </is>
      </c>
      <c r="B620" s="194" t="n">
        <v>45993</v>
      </c>
      <c r="C620" s="111" t="inlineStr">
        <is>
          <t>1/210345</t>
        </is>
      </c>
      <c r="D620" s="111" t="inlineStr">
        <is>
          <t xml:space="preserve">QUADRATI BIANCHI STRIATI ROSSI/NERI 3 CM DA 220 PZ (1034182)  </t>
        </is>
      </c>
    </row>
    <row r="621" ht="47.25" customHeight="1" s="155">
      <c r="A621" s="111" t="inlineStr">
        <is>
          <t>SAIMA S.p.A.</t>
        </is>
      </c>
      <c r="B621" s="194" t="n">
        <v>45993</v>
      </c>
      <c r="C621" s="111" t="inlineStr">
        <is>
          <t>1/210345</t>
        </is>
      </c>
      <c r="D621" s="111" t="inlineStr">
        <is>
          <t xml:space="preserve">CREMA RIO GRAN TRADIZIONE NOCCIOLA DA KG 13  </t>
        </is>
      </c>
    </row>
    <row r="622" ht="47.25" customHeight="1" s="155">
      <c r="A622" s="111" t="inlineStr">
        <is>
          <t>SAIMA S.p.A.</t>
        </is>
      </c>
      <c r="B622" s="194" t="n">
        <v>45993</v>
      </c>
      <c r="C622" s="111" t="inlineStr">
        <is>
          <t>1/210345</t>
        </is>
      </c>
      <c r="D622" s="111" t="inlineStr">
        <is>
          <t xml:space="preserve">STRUTTO PAPILLON EXTRA IN SECCHIO DA KG 15  </t>
        </is>
      </c>
    </row>
    <row r="623" ht="31.5" customHeight="1" s="155">
      <c r="A623" s="111" t="inlineStr">
        <is>
          <t>F.lli Fiorentino Srl</t>
        </is>
      </c>
      <c r="B623" s="194" t="n">
        <v>45992</v>
      </c>
      <c r="C623" s="111" t="inlineStr">
        <is>
          <t>1/15176</t>
        </is>
      </c>
      <c r="D623" s="111" t="inlineStr">
        <is>
          <t xml:space="preserve">FARINA 00 CAPUTO RINFORZ.KG.25  </t>
        </is>
      </c>
    </row>
    <row r="624" ht="31.5" customHeight="1" s="155">
      <c r="A624" s="111" t="inlineStr">
        <is>
          <t>F.lli Fiorentino Srl</t>
        </is>
      </c>
      <c r="B624" s="194" t="n">
        <v>45992</v>
      </c>
      <c r="C624" s="111" t="inlineStr">
        <is>
          <t>1/15176</t>
        </is>
      </c>
      <c r="D624" s="111" t="inlineStr">
        <is>
          <t xml:space="preserve">FARINA 0/MAN. CAPUTO DA KG.25  </t>
        </is>
      </c>
    </row>
    <row r="625" ht="31.5" customHeight="1" s="155">
      <c r="A625" s="111" t="inlineStr">
        <is>
          <t>F.lli Fiorentino Srl</t>
        </is>
      </c>
      <c r="B625" s="194" t="n">
        <v>45992</v>
      </c>
      <c r="C625" s="111" t="inlineStr">
        <is>
          <t>1/15176</t>
        </is>
      </c>
      <c r="D625" s="111" t="inlineStr">
        <is>
          <t xml:space="preserve">SEMOLA 0 G MEDIA XXL MAD KG.25  </t>
        </is>
      </c>
    </row>
    <row r="626" ht="47.25" customHeight="1" s="155">
      <c r="A626" s="111" t="inlineStr">
        <is>
          <t>F.lli Fiorentino Srl</t>
        </is>
      </c>
      <c r="B626" s="194" t="n">
        <v>45992</v>
      </c>
      <c r="C626" s="111" t="inlineStr">
        <is>
          <t>1/15176</t>
        </is>
      </c>
      <c r="D626" s="111" t="inlineStr">
        <is>
          <t xml:space="preserve">ZUCCHERO RAF.SEM.ERIDANIA KG.25  </t>
        </is>
      </c>
    </row>
    <row r="627" ht="31.5" customHeight="1" s="155">
      <c r="A627" s="111" t="inlineStr">
        <is>
          <t>F.lli Fiorentino Srl</t>
        </is>
      </c>
      <c r="B627" s="194" t="n">
        <v>45992</v>
      </c>
      <c r="C627" s="111" t="inlineStr">
        <is>
          <t>1/15176</t>
        </is>
      </c>
      <c r="D627" s="111" t="inlineStr">
        <is>
          <t xml:space="preserve">SALE SACCHI SALTECHNO KG.25  </t>
        </is>
      </c>
    </row>
    <row r="628" ht="31.5" customHeight="1" s="155">
      <c r="A628" s="111" t="inlineStr">
        <is>
          <t>F.lli Fiorentino Srl</t>
        </is>
      </c>
      <c r="B628" s="194" t="n">
        <v>45992</v>
      </c>
      <c r="C628" s="111" t="inlineStr">
        <is>
          <t>1/15176</t>
        </is>
      </c>
      <c r="D628" s="111" t="inlineStr">
        <is>
          <t xml:space="preserve">POMODORI PELATI KG.3 TORRENTE  </t>
        </is>
      </c>
    </row>
    <row r="629" ht="31.5" customHeight="1" s="155">
      <c r="A629" s="111" t="inlineStr">
        <is>
          <t>F.lli Fiorentino Srl</t>
        </is>
      </c>
      <c r="B629" s="194" t="n">
        <v>45992</v>
      </c>
      <c r="C629" s="111" t="inlineStr">
        <is>
          <t>1/15176</t>
        </is>
      </c>
      <c r="D629" s="111" t="inlineStr">
        <is>
          <t xml:space="preserve">POMODORINI CASARECCIA KG.3X6  </t>
        </is>
      </c>
    </row>
    <row r="630" ht="31.5" customHeight="1" s="155">
      <c r="A630" s="111" t="inlineStr">
        <is>
          <t>F.lli Fiorentino Srl</t>
        </is>
      </c>
      <c r="B630" s="194" t="n">
        <v>45992</v>
      </c>
      <c r="C630" s="111" t="inlineStr">
        <is>
          <t>1/15176</t>
        </is>
      </c>
      <c r="D630" s="111" t="inlineStr">
        <is>
          <t xml:space="preserve">PASSATA POMODORI POMOLA' KG.3  </t>
        </is>
      </c>
    </row>
    <row r="631" ht="31.5" customHeight="1" s="155">
      <c r="A631" s="111" t="inlineStr">
        <is>
          <t>F.lli Fiorentino Srl</t>
        </is>
      </c>
      <c r="B631" s="194" t="n">
        <v>45992</v>
      </c>
      <c r="C631" s="111" t="inlineStr">
        <is>
          <t>1/15176</t>
        </is>
      </c>
      <c r="D631" s="111" t="inlineStr">
        <is>
          <t xml:space="preserve">OLIO SEMI GIRASOLE DA L.25  </t>
        </is>
      </c>
    </row>
    <row r="632" ht="31.5" customHeight="1" s="155">
      <c r="A632" s="111" t="inlineStr">
        <is>
          <t>F.lli Fiorentino Srl</t>
        </is>
      </c>
      <c r="B632" s="194" t="n">
        <v>45992</v>
      </c>
      <c r="C632" s="111" t="inlineStr">
        <is>
          <t>1/15176</t>
        </is>
      </c>
      <c r="D632" s="111" t="inlineStr">
        <is>
          <t xml:space="preserve">OLIO EXTRAVERGINE OLIVA L.5  </t>
        </is>
      </c>
    </row>
    <row r="633" ht="31.5" customHeight="1" s="155">
      <c r="A633" s="111" t="inlineStr">
        <is>
          <t>F.lli Fiorentino Srl</t>
        </is>
      </c>
      <c r="B633" s="194" t="n">
        <v>45992</v>
      </c>
      <c r="C633" s="111" t="inlineStr">
        <is>
          <t>1/15176</t>
        </is>
      </c>
      <c r="D633" s="111" t="inlineStr">
        <is>
          <t xml:space="preserve">STRUTTO RAFFINATO UN�GR� KG.25  </t>
        </is>
      </c>
    </row>
    <row r="634" ht="31.5" customHeight="1" s="155">
      <c r="A634" s="111" t="inlineStr">
        <is>
          <t>F.lli Fiorentino Srl</t>
        </is>
      </c>
      <c r="B634" s="194" t="n">
        <v>45992</v>
      </c>
      <c r="C634" s="111" t="inlineStr">
        <is>
          <t>1/15176</t>
        </is>
      </c>
      <c r="D634" s="111" t="inlineStr">
        <is>
          <t xml:space="preserve">SALE FINO ITALKALI DA KG.1X12  </t>
        </is>
      </c>
    </row>
    <row r="635" ht="31.5" customHeight="1" s="155">
      <c r="A635" s="111" t="inlineStr">
        <is>
          <t>F.lli Fiorentino Srl</t>
        </is>
      </c>
      <c r="B635" s="194" t="n">
        <v>45992</v>
      </c>
      <c r="C635" s="111" t="inlineStr">
        <is>
          <t>1/15176</t>
        </is>
      </c>
      <c r="D635" s="111" t="inlineStr">
        <is>
          <t xml:space="preserve">SALE GROSSO ITALKALI KG.1X12  </t>
        </is>
      </c>
    </row>
    <row r="636" ht="31.5" customHeight="1" s="155">
      <c r="A636" s="111" t="inlineStr">
        <is>
          <t>SAIMA S.p.A.</t>
        </is>
      </c>
      <c r="B636" s="194" t="n">
        <v>45997</v>
      </c>
      <c r="C636" s="111" t="inlineStr">
        <is>
          <t>1/214607</t>
        </is>
      </c>
      <c r="D636" s="111" t="inlineStr">
        <is>
          <t xml:space="preserve">PANNA SPRAY ZUCCHERATA ML 700  </t>
        </is>
      </c>
    </row>
    <row r="637" ht="47.25" customHeight="1" s="155">
      <c r="A637" s="111" t="inlineStr">
        <is>
          <t>SAIMA S.p.A.</t>
        </is>
      </c>
      <c r="B637" s="194" t="n">
        <v>45997</v>
      </c>
      <c r="C637" s="111" t="inlineStr">
        <is>
          <t>1/214607</t>
        </is>
      </c>
      <c r="D637" s="111" t="inlineStr">
        <is>
          <t xml:space="preserve">CILIEGIE CALIBRO 18/20 ROSSE CANDITE DA KG 2,5  </t>
        </is>
      </c>
    </row>
    <row r="638" ht="47.25" customHeight="1" s="155">
      <c r="A638" s="111" t="inlineStr">
        <is>
          <t>SAIMA S.p.A.</t>
        </is>
      </c>
      <c r="B638" s="194" t="n">
        <v>45997</v>
      </c>
      <c r="C638" s="111" t="inlineStr">
        <is>
          <t>1/214607</t>
        </is>
      </c>
      <c r="D638" s="111" t="inlineStr">
        <is>
          <t xml:space="preserve">MELANGE PLUS HOMILLINA GATEAUX DA KG 10 (4156)  </t>
        </is>
      </c>
    </row>
  </sheetData>
  <autoFilter ref="A5:D638">
    <sortState ref="A133:D600">
      <sortCondition ref="B5:B638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vincenzo ceraldi</dc:creator>
  <dcterms:created xsi:type="dcterms:W3CDTF">2016-10-06T00:09:35Z</dcterms:created>
  <dcterms:modified xsi:type="dcterms:W3CDTF">2025-12-21T09:44:35Z</dcterms:modified>
  <cp:lastModifiedBy>vincenzo ceraldi</cp:lastModifiedBy>
  <cp:lastPrinted>2025-12-21T09:00:16Z</cp:lastPrinted>
</cp:coreProperties>
</file>